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 Order Ledger" sheetId="1" r:id="rId5"/>
    <sheet state="visible" name="Shop Order Listing 2026 Q2" sheetId="2" r:id="rId6"/>
    <sheet state="visible" name="Sheet26" sheetId="3" r:id="rId7"/>
    <sheet state="visible" name="Service Tracker" sheetId="4" r:id="rId8"/>
    <sheet state="visible" name="All Orders" sheetId="5" r:id="rId9"/>
    <sheet state="visible" name="DONT TOUCH PAST THIS SHEET " sheetId="6" r:id="rId10"/>
    <sheet state="visible" name="Shop Order Listing 2025 Q2" sheetId="7" r:id="rId11"/>
    <sheet state="visible" name="Shop Order Listing 2025 Q1" sheetId="8" r:id="rId12"/>
    <sheet state="visible" name="Appointments" sheetId="9" r:id="rId13"/>
    <sheet state="visible" name="Sheet28" sheetId="10" r:id="rId14"/>
    <sheet state="visible" name="Sheet29" sheetId="11" r:id="rId15"/>
    <sheet state="visible" name="Time" sheetId="12" r:id="rId16"/>
    <sheet state="visible" name="Shop Order Listing 2026 Q1" sheetId="13" r:id="rId17"/>
    <sheet state="visible" name="Shop Order Listing 2025 Q4" sheetId="14" r:id="rId18"/>
    <sheet state="visible" name="Shop Order Listing 2025 Q3" sheetId="15" r:id="rId19"/>
    <sheet state="visible" name="DashboardData" sheetId="16" r:id="rId20"/>
  </sheets>
  <definedNames>
    <definedName hidden="1" localSheetId="2" name="_xlnm._FilterDatabase">Sheet26!$A$1:$T$352</definedName>
  </definedNames>
  <calcPr/>
</workbook>
</file>

<file path=xl/sharedStrings.xml><?xml version="1.0" encoding="utf-8"?>
<sst xmlns="http://schemas.openxmlformats.org/spreadsheetml/2006/main" count="17243" uniqueCount="3059">
  <si>
    <t>.</t>
  </si>
  <si>
    <t>Order ID</t>
  </si>
  <si>
    <t>Name</t>
  </si>
  <si>
    <t>Phone Number</t>
  </si>
  <si>
    <t>Service Needed</t>
  </si>
  <si>
    <t>Location</t>
  </si>
  <si>
    <t>Due Date</t>
  </si>
  <si>
    <t>Email Address</t>
  </si>
  <si>
    <t>Submitted At</t>
  </si>
  <si>
    <t>Staff Member</t>
  </si>
  <si>
    <t>hl</t>
  </si>
  <si>
    <t>Please enter your full name</t>
  </si>
  <si>
    <t>Customer Paid</t>
  </si>
  <si>
    <t>Please enter your phone number</t>
  </si>
  <si>
    <t>Completed</t>
  </si>
  <si>
    <t>Order Location</t>
  </si>
  <si>
    <t>Out the door</t>
  </si>
  <si>
    <t>HasBeenCalled</t>
  </si>
  <si>
    <t>Pickup Location</t>
  </si>
  <si>
    <t>TimeCalled</t>
  </si>
  <si>
    <t>Please enter the item you would like to order.</t>
  </si>
  <si>
    <t>Do you need to be fitted for your ball or do we have your specs on file</t>
  </si>
  <si>
    <t>Notes</t>
  </si>
  <si>
    <t>Shop Order Date</t>
  </si>
  <si>
    <t>Column 17</t>
  </si>
  <si>
    <t>Supplier</t>
  </si>
  <si>
    <t>Order #</t>
  </si>
  <si>
    <t>Price</t>
  </si>
  <si>
    <t>Invoice #</t>
  </si>
  <si>
    <t>Order Out The Door</t>
  </si>
  <si>
    <t>Column 18</t>
  </si>
  <si>
    <t>Column 19</t>
  </si>
  <si>
    <t>Column 20</t>
  </si>
  <si>
    <t>bbraceyjr@braceys.com</t>
  </si>
  <si>
    <t>William Bracey</t>
  </si>
  <si>
    <t>Valley</t>
  </si>
  <si>
    <t>Purple hammer 78d 15lb</t>
  </si>
  <si>
    <t>Specs on file</t>
  </si>
  <si>
    <t>B Supply</t>
  </si>
  <si>
    <t>jbing2692@gmail.com</t>
  </si>
  <si>
    <t>Jim Bingham</t>
  </si>
  <si>
    <t>South</t>
  </si>
  <si>
    <t>Storm Bionic 16 LB</t>
  </si>
  <si>
    <t>Y</t>
  </si>
  <si>
    <t>jkreidlersr1@gmail.com</t>
  </si>
  <si>
    <t>Jim kreidler</t>
  </si>
  <si>
    <t>570 241 2865</t>
  </si>
  <si>
    <t>KR Mens Arrow FT Black Neon Size 8 1/2 left handed.</t>
  </si>
  <si>
    <t>N/A</t>
  </si>
  <si>
    <t>Charlie Spiegel</t>
  </si>
  <si>
    <t>516-343-0734</t>
  </si>
  <si>
    <t>Hammer NU 2.0 14 lb</t>
  </si>
  <si>
    <t>Cody Wilcox</t>
  </si>
  <si>
    <t>Stock</t>
  </si>
  <si>
    <t>570-566-5555</t>
  </si>
  <si>
    <t>resurface Gremlin and Anger Pearl</t>
  </si>
  <si>
    <t>Valley Lanes</t>
  </si>
  <si>
    <t>Shoe cover XL</t>
  </si>
  <si>
    <t>Doug S</t>
  </si>
  <si>
    <t>na</t>
  </si>
  <si>
    <t>Yes</t>
  </si>
  <si>
    <t>Brunswick Prism size 11</t>
  </si>
  <si>
    <t>Chris Weldon</t>
  </si>
  <si>
    <t>Bake and Resurface Black Widow 2.0</t>
  </si>
  <si>
    <t>Both</t>
  </si>
  <si>
    <t>Hammer Full effect 15 lb (2)</t>
  </si>
  <si>
    <t>Timestamp</t>
  </si>
  <si>
    <t>Gary Watson</t>
  </si>
  <si>
    <t>TG blue 23</t>
  </si>
  <si>
    <t>Ace</t>
  </si>
  <si>
    <t>Plug and Redrill Infinite Physix</t>
  </si>
  <si>
    <t>TG white 21</t>
  </si>
  <si>
    <t>TG green 49</t>
  </si>
  <si>
    <t>Michael Dinning</t>
  </si>
  <si>
    <t>Drill pitched from bw 3.0 into hammer effect</t>
  </si>
  <si>
    <t>TG yellow 39, 21, 3</t>
  </si>
  <si>
    <t>Doug Smith</t>
  </si>
  <si>
    <t>Plug and Drill test ball</t>
  </si>
  <si>
    <t>TG orange 21, 11</t>
  </si>
  <si>
    <t>Phil Rempe</t>
  </si>
  <si>
    <t>TG purple 13</t>
  </si>
  <si>
    <t>Plugged thumb at Valley. Needs ball completed and picked up at South side</t>
  </si>
  <si>
    <t>Tim</t>
  </si>
  <si>
    <t>TG clear 21, 23, 25,</t>
  </si>
  <si>
    <t>-</t>
  </si>
  <si>
    <t>Black widow 3000 grit</t>
  </si>
  <si>
    <t>-Empty-</t>
  </si>
  <si>
    <t>TG black 5, 45, 47, 25, 51, 13, 53</t>
  </si>
  <si>
    <t>David Dalykls</t>
  </si>
  <si>
    <t>Turbo 1 3/8" thumb slug red/green (10)</t>
  </si>
  <si>
    <t>Plug thumb</t>
  </si>
  <si>
    <t>Doug s</t>
  </si>
  <si>
    <t>No</t>
  </si>
  <si>
    <t>Turbo MS clear 35, 41, 21, 43, 45 (1)</t>
  </si>
  <si>
    <t>Alex Diakayos</t>
  </si>
  <si>
    <t>Original Envy - bake and resurface 3000</t>
  </si>
  <si>
    <t>Turbo MS clear 11, 23, 47, 3 (3)</t>
  </si>
  <si>
    <t>Ordered from?</t>
  </si>
  <si>
    <t>Turbo MS black 9 (1) 41, 45 (2) 43 (3)</t>
  </si>
  <si>
    <t>JoPo Twist Tool (2)</t>
  </si>
  <si>
    <t>Turbo Outer Sleeves (30)</t>
  </si>
  <si>
    <t>Turbo fitting tape blue (10)</t>
  </si>
  <si>
    <t>Hammer Full Effect</t>
  </si>
  <si>
    <t>Storm Concept 15 lb (2)</t>
  </si>
  <si>
    <t>jaredkerchner@gmail.com</t>
  </si>
  <si>
    <t>Jared kerchner</t>
  </si>
  <si>
    <t>Storm concept 15 lb</t>
  </si>
  <si>
    <t>Perfexxxxionproshop@gmail.com</t>
  </si>
  <si>
    <t>Paul Balczerak</t>
  </si>
  <si>
    <t>570 983 5004</t>
  </si>
  <si>
    <t>Brunswick Combat 14 lb</t>
  </si>
  <si>
    <t>Need appointment to be fitted</t>
  </si>
  <si>
    <t>Kolby</t>
  </si>
  <si>
    <t>Storm Ice - 15lbs</t>
  </si>
  <si>
    <t>Black/gold</t>
  </si>
  <si>
    <t>Patrick McCormack</t>
  </si>
  <si>
    <t>570-903-3894</t>
  </si>
  <si>
    <t xml:space="preserve">Brunswick T-zone ocean reef 11 lb </t>
  </si>
  <si>
    <t>as much green as possible</t>
  </si>
  <si>
    <t>Brunswick Coast size 8.5 &amp; 9</t>
  </si>
  <si>
    <t>CM51250992413</t>
  </si>
  <si>
    <t>return 8.5 4/21/26</t>
  </si>
  <si>
    <t>Hammer Tour V1 15 lb (2)</t>
  </si>
  <si>
    <t>Rick Mancini</t>
  </si>
  <si>
    <t>570 855 3136</t>
  </si>
  <si>
    <t>Brunswick Crown Victory Pearl 14 lb</t>
  </si>
  <si>
    <t>Brunswick Danger Zone Pearl 15 lb</t>
  </si>
  <si>
    <t>Dexter S10 sole (2)</t>
  </si>
  <si>
    <t>legendforreal7343@gmail.com</t>
  </si>
  <si>
    <t>Jonathan aviles</t>
  </si>
  <si>
    <t>Danger zone purple ice 14lb</t>
  </si>
  <si>
    <t>Brunswick Danger Zone 14 lb</t>
  </si>
  <si>
    <t>Storm Bionic 15 lb (2)</t>
  </si>
  <si>
    <t>Jack Dunback</t>
  </si>
  <si>
    <t>Storm Bionic 15 lb</t>
  </si>
  <si>
    <t>cancelled w/Steve 4/15</t>
  </si>
  <si>
    <t>hpgen24@gmail.com</t>
  </si>
  <si>
    <t>Ryan Richmond</t>
  </si>
  <si>
    <t>Storm Bionic 14lb</t>
  </si>
  <si>
    <t>backordered</t>
  </si>
  <si>
    <t>Chris Spaulding</t>
  </si>
  <si>
    <t>Motiv Venom Hysteria 14 lb</t>
  </si>
  <si>
    <t>Gene Kashuba</t>
  </si>
  <si>
    <t>570-498-0058</t>
  </si>
  <si>
    <t xml:space="preserve"> Track Stealth Mode Hybrid 14 lb</t>
  </si>
  <si>
    <t>Cancelled w/Steve 4/27</t>
  </si>
  <si>
    <t>Hammer Zero Mercy Solid 14 lb</t>
  </si>
  <si>
    <t>Brunswick t-zone tote lime</t>
  </si>
  <si>
    <t>Frank Baux</t>
  </si>
  <si>
    <t>570 840 5286</t>
  </si>
  <si>
    <t>Hammer Black Widow 3.0 Dyansty 14 lb</t>
  </si>
  <si>
    <t>Hammer hammered pearl 14 lb</t>
  </si>
  <si>
    <t>Kevin Locker</t>
  </si>
  <si>
    <t>570 209 3412</t>
  </si>
  <si>
    <t>Hammer arctic vibe 14lb</t>
  </si>
  <si>
    <t>David Perks</t>
  </si>
  <si>
    <t>gladomirak@gmail.com</t>
  </si>
  <si>
    <t xml:space="preserve">Dylan Shaffer </t>
  </si>
  <si>
    <t>ION Pro Solid 15 lb</t>
  </si>
  <si>
    <t xml:space="preserve"> Bunswick Big b ball cleaner (12)</t>
  </si>
  <si>
    <t>Jason Koval</t>
  </si>
  <si>
    <t>Brunswick Move - Size 10 black</t>
  </si>
  <si>
    <t>genovis13@me.com</t>
  </si>
  <si>
    <t>Gene Visneski</t>
  </si>
  <si>
    <t>(570)-606-1492</t>
  </si>
  <si>
    <t>Ball: Hammer Zero Mercy solid 14 lb &amp; Ball Hamme Zero Mercy Pearl 14 lb</t>
  </si>
  <si>
    <t>Dexter SST S10 (2)</t>
  </si>
  <si>
    <t>Dexter SST S10 XL (2)</t>
  </si>
  <si>
    <t>Dexter SST S8 (2)</t>
  </si>
  <si>
    <t>Idle Hours South</t>
  </si>
  <si>
    <t>Hammer Black Widow 3.0 Dynasty — 14 lb</t>
  </si>
  <si>
    <t>Brunswick Move size 9</t>
  </si>
  <si>
    <t>amy.danielowski@gmail.com</t>
  </si>
  <si>
    <t>Jaryl Scott</t>
  </si>
  <si>
    <t>845-807-6799</t>
  </si>
  <si>
    <t>Storm Monsoon 15lb</t>
  </si>
  <si>
    <t>Brunswick Big B ball cleaner (12)</t>
  </si>
  <si>
    <t>570-479-2829</t>
  </si>
  <si>
    <t>Lime/Green Rhino 12lb</t>
  </si>
  <si>
    <t>Needs to be fitted</t>
  </si>
  <si>
    <t>Jopo Inner sleeves (20)</t>
  </si>
  <si>
    <t>not yet received</t>
  </si>
  <si>
    <t>KR Pro Force glove LH L</t>
  </si>
  <si>
    <t>KR Pro Force glove RH L</t>
  </si>
  <si>
    <t>Brunswick Shoe cover S</t>
  </si>
  <si>
    <t>KR Pro Force glove RH M</t>
  </si>
  <si>
    <t>KR Pro Force glove LH XL</t>
  </si>
  <si>
    <t>KR Pro Force glove RH XL</t>
  </si>
  <si>
    <t>TG black 19 (5), 45 (10)</t>
  </si>
  <si>
    <t>TG white 19, 43 (5), 25, 41, 45 (10)</t>
  </si>
  <si>
    <t>TG green  5, 7, 27 (5), 3, 25 (10)</t>
  </si>
  <si>
    <t>TG red 53 (1), 5, 51 (5), 21, 41, 49 (10)</t>
  </si>
  <si>
    <t>TG yellow 5, 11, 23 (5) - got 2 11's and got 3 3's</t>
  </si>
  <si>
    <t>KR Shoe cover XL</t>
  </si>
  <si>
    <t>TG purple 45, 47 (10)</t>
  </si>
  <si>
    <t>TG orange 23, 25 (10)</t>
  </si>
  <si>
    <t>TG clear 11 (5), 25 (2)</t>
  </si>
  <si>
    <t>TG pink 13, 51 (5)</t>
  </si>
  <si>
    <t>TG blue 11, 39, 47 (5)</t>
  </si>
  <si>
    <t>Leanne Martin</t>
  </si>
  <si>
    <t>570 903 4227</t>
  </si>
  <si>
    <t>Dexter women's pro boa - Size 8 1/2 - Female - Lavender white</t>
  </si>
  <si>
    <t>Tom Tomaine</t>
  </si>
  <si>
    <t>Turbo Smart Grip Balls (5)</t>
  </si>
  <si>
    <t>Storm Ion Max Pearl 15 lb</t>
  </si>
  <si>
    <t>Storm Equinox Solid 15 lb</t>
  </si>
  <si>
    <t>Storm Hyroad 40 Pearl Teal 15 lb</t>
  </si>
  <si>
    <t>KR Drive Triple Roller navy (3)</t>
  </si>
  <si>
    <t>consignment</t>
  </si>
  <si>
    <t>Brunswick Edge Double Roller blue (3)</t>
  </si>
  <si>
    <t>Brunswick Edge Double Roller blue (1)</t>
  </si>
  <si>
    <t>Turbo 1" Tape Roll mint</t>
  </si>
  <si>
    <t>Hammer Tough Tote - orange (2) purple (4)</t>
  </si>
  <si>
    <t>Dexter SST 6 Hybrid BOA red/black size 8</t>
  </si>
  <si>
    <t>Dexter SST 6 Hybrid BOA red/black size 8.5</t>
  </si>
  <si>
    <t>Dexter SST 6 Hybrid BOA red/black size 9</t>
  </si>
  <si>
    <t>Dexter SST 6 Hybrid BOA red/black size 9.5</t>
  </si>
  <si>
    <t>Dexter SST 6 Hybrid BOA red/black size 10</t>
  </si>
  <si>
    <t>KR Drive Triple Roller navy (2)</t>
  </si>
  <si>
    <t>Turbo 1" Tape Roll beige</t>
  </si>
  <si>
    <t>Dexter SST 6 Hybrid BOA red/black size 10.5</t>
  </si>
  <si>
    <t>Dexter SST 6 Hybrid BOA red/black size 11</t>
  </si>
  <si>
    <t>Brunswick Edge Double Roller blue (5)</t>
  </si>
  <si>
    <t>2 backordered</t>
  </si>
  <si>
    <t>Dexter SST 6 Hybrid BOA red/black size 11.5</t>
  </si>
  <si>
    <t>missing 1 purple</t>
  </si>
  <si>
    <t>Dexter SST 6 Hybrid BOA red/black size 12</t>
  </si>
  <si>
    <t>Dexter SST 6 Hybrid BOA red/black size 13</t>
  </si>
  <si>
    <t>Storm Alpha Crux 15 lb</t>
  </si>
  <si>
    <t>Storm Ion Max Pearl 14 &amp; 15 lb</t>
  </si>
  <si>
    <t>returned 14 lb 6/9/26</t>
  </si>
  <si>
    <t>Roto Grip Transformer - 14 lb</t>
  </si>
  <si>
    <t>returned 6/9/26</t>
  </si>
  <si>
    <t>Storm Concept 14 lb</t>
  </si>
  <si>
    <t>Storm Concept 15 lb</t>
  </si>
  <si>
    <t>Storm Bionic 14 lb (2)</t>
  </si>
  <si>
    <t>returned  6/9/26</t>
  </si>
  <si>
    <t>Roto Grip Gremlin Tour X 14 &amp; 15 lb</t>
  </si>
  <si>
    <t>Hammer Arctic Vibe 15 lb</t>
  </si>
  <si>
    <t>Storm Phaze II Pearl 14 &amp; 15 lb</t>
  </si>
  <si>
    <t>Brunswick Danger Zone Solid 14 lb</t>
  </si>
  <si>
    <t>Brunswick Danger Zone Pearl 14 lb</t>
  </si>
  <si>
    <t>Hammer Purple 78 D 14 &amp; 15 lb</t>
  </si>
  <si>
    <t>did not receive</t>
  </si>
  <si>
    <t>Hammer Zero Mercy Pearl 14 lb</t>
  </si>
  <si>
    <t>Hammer Black Widow Dynasty 14 lb</t>
  </si>
  <si>
    <t>Venom Hysteria 15 lb</t>
  </si>
  <si>
    <t>yankeesfanin2011@gmail.com</t>
  </si>
  <si>
    <t>Walter Reaver</t>
  </si>
  <si>
    <t>Motiv venom hysteria 15</t>
  </si>
  <si>
    <t>Frank Malyetti</t>
  </si>
  <si>
    <t>vcmecca@gmail.com</t>
  </si>
  <si>
    <t>Vito Mecca</t>
  </si>
  <si>
    <t>(570)-446-9011</t>
  </si>
  <si>
    <t>sold</t>
  </si>
  <si>
    <t xml:space="preserve">Brunswick Renegade - Size 10W </t>
  </si>
  <si>
    <t>Brunswick edge single tote lime</t>
  </si>
  <si>
    <t>returned 7/14/26</t>
  </si>
  <si>
    <t xml:space="preserve">Al Reuther </t>
  </si>
  <si>
    <t>570 780 9280</t>
  </si>
  <si>
    <t>Hammer tour v1 14 lb</t>
  </si>
  <si>
    <t xml:space="preserve">Turbo Big Red Tape </t>
  </si>
  <si>
    <t>Hammer Purple Pearl Urethane 15 lb</t>
  </si>
  <si>
    <t>Vise K+ tape (5)</t>
  </si>
  <si>
    <t>Storm Phaze II Pearl 15 lb</t>
  </si>
  <si>
    <t>IQ Tour</t>
  </si>
  <si>
    <t xml:space="preserve">Brunswick Renegade - Size 10 1/2W </t>
  </si>
  <si>
    <t>Storm Ice gold/black 15 lb</t>
  </si>
  <si>
    <t>Storm Mix silver 15 lb</t>
  </si>
  <si>
    <t>Storm IQ 78U 15 lb</t>
  </si>
  <si>
    <t>Turbo 1" roll tape  mint</t>
  </si>
  <si>
    <t>Melinda Ciero</t>
  </si>
  <si>
    <t>Dexer Pro BOA black/leopard size 7.5</t>
  </si>
  <si>
    <t>Tom Bartkovsky</t>
  </si>
  <si>
    <t>messenger</t>
  </si>
  <si>
    <t>Robert Smith</t>
  </si>
  <si>
    <t>Storm Concept — 14 lb</t>
  </si>
  <si>
    <t>570 815 1026</t>
  </si>
  <si>
    <t>Tac up ball cleaner (5)</t>
  </si>
  <si>
    <t>Cheo Samad</t>
  </si>
  <si>
    <t>23geraflores@gmail.com</t>
  </si>
  <si>
    <t>Gerardo Patino Flores</t>
  </si>
  <si>
    <t>Brunswick Danger Zone Bowling Ball BLACK Size 14</t>
  </si>
  <si>
    <t>myamarie111303@icloud.com</t>
  </si>
  <si>
    <t>Men’s Dexter THE9 11 slide sole shoe size 10.5</t>
  </si>
  <si>
    <t>Mya Scintilla</t>
  </si>
  <si>
    <t>dexter h6 LE heel shoe size 10.5</t>
  </si>
  <si>
    <t xml:space="preserve"> Dexter h7 heel shoe size 10.5</t>
  </si>
  <si>
    <t>Brunswick Prism size 8.5</t>
  </si>
  <si>
    <t>Terry Elkins</t>
  </si>
  <si>
    <t>South side</t>
  </si>
  <si>
    <t>Hammer Black Widow 3.0 Dynasty — 16 lb</t>
  </si>
  <si>
    <t>dougb2oo9@yahoo.com</t>
  </si>
  <si>
    <t>Douglas Blair</t>
  </si>
  <si>
    <t>Brunswick Prism size 10.5</t>
  </si>
  <si>
    <t>(570)540-2564</t>
  </si>
  <si>
    <t>Ball: Storm Monsoon 14lb</t>
  </si>
  <si>
    <t>Storm Monsoon 15lb (3)</t>
  </si>
  <si>
    <t>TROPICAL SURGE BLACK-BLUE-PINK - 15lb</t>
  </si>
  <si>
    <t>Gremlin Tour-X - 15lb</t>
  </si>
  <si>
    <t>Amy Ferrise</t>
  </si>
  <si>
    <t>570 351 4798</t>
  </si>
  <si>
    <t>Hammer purple pearl urethane 78d 14 lb</t>
  </si>
  <si>
    <t>Andrew Barbour</t>
  </si>
  <si>
    <t>Motiv Venom Shock — 15 lb</t>
  </si>
  <si>
    <t>dustinbowen7@gmail.com</t>
  </si>
  <si>
    <t xml:space="preserve">Dustin Bowen </t>
  </si>
  <si>
    <t>Roto Grip Transformer 14 lb</t>
  </si>
  <si>
    <t>Hammer Full Effect 14 lb</t>
  </si>
  <si>
    <t>Wristmaster II RH L</t>
  </si>
  <si>
    <t>Tom Howell</t>
  </si>
  <si>
    <t>Ion Max - 14lbs</t>
  </si>
  <si>
    <t>Brunswick Slingshot - Size 10 WW - Male - Black</t>
  </si>
  <si>
    <t>Sku- 58-311101 - size 10WW</t>
  </si>
  <si>
    <t>ryry2dope@aol.com</t>
  </si>
  <si>
    <t>Ryan Kollonig</t>
  </si>
  <si>
    <t>570 906 0735</t>
  </si>
  <si>
    <t>Hammer Night Diesel 10 1/2 RH</t>
  </si>
  <si>
    <t xml:space="preserve">Dineen Reuther </t>
  </si>
  <si>
    <t>570 780 9261</t>
  </si>
  <si>
    <t>Kr Strikeforce maui grey youth girls size 3 and 4</t>
  </si>
  <si>
    <t xml:space="preserve">Kr Strikeforce maui grey youth girls size 3 </t>
  </si>
  <si>
    <t>Wristmaster II RH XL</t>
  </si>
  <si>
    <t>Hammer Shoe Slides</t>
  </si>
  <si>
    <t>Shoe brush</t>
  </si>
  <si>
    <t>Slide stone</t>
  </si>
  <si>
    <t>Poop emoji grip sack (5)</t>
  </si>
  <si>
    <t>Turbo wrist wrap L</t>
  </si>
  <si>
    <t>Hammer Spawn 15 lb</t>
  </si>
  <si>
    <t>sidekick tote</t>
  </si>
  <si>
    <t>Master skin patch</t>
  </si>
  <si>
    <t>Master Giant Rosin Bag</t>
  </si>
  <si>
    <t>Motiv Venom Hysteria 15 lb (2)</t>
  </si>
  <si>
    <t xml:space="preserve">Motiv Venom Hysteria 14 lb </t>
  </si>
  <si>
    <t>Kim Smalls</t>
  </si>
  <si>
    <t>Hammer Zero Mercy Pearl 15 lb</t>
  </si>
  <si>
    <t>Hammer Spawn — 15 lb</t>
  </si>
  <si>
    <t>Bill Kenia</t>
  </si>
  <si>
    <t>941-224-5698</t>
  </si>
  <si>
    <t>Hammer Zero Mercy Pearl 16 lb</t>
  </si>
  <si>
    <t>Hammer black widow dynasty 14 lb</t>
  </si>
  <si>
    <t>1 1/4" red/green thumb slug (10)</t>
  </si>
  <si>
    <t>1 1/4" blue/purple thumb slug (10)</t>
  </si>
  <si>
    <t>Vise 500 sanding pads (2)</t>
  </si>
  <si>
    <t>Vise 1000 sanding pads (2)</t>
  </si>
  <si>
    <t>Hammer Zero Mercy Pearl — 14 lb</t>
  </si>
  <si>
    <t>Hammer May release 14 lb</t>
  </si>
  <si>
    <t>Brunswick</t>
  </si>
  <si>
    <t>C74467</t>
  </si>
  <si>
    <t>Hammer May release 15 lb</t>
  </si>
  <si>
    <t>bat solid</t>
  </si>
  <si>
    <t>KR Stay Dry Shoe Cover XL</t>
  </si>
  <si>
    <t>Vise K + tape  (10)</t>
  </si>
  <si>
    <t>Dexter S10 sole</t>
  </si>
  <si>
    <t>Rocket AI - 15lb</t>
  </si>
  <si>
    <t>201-906-6445</t>
  </si>
  <si>
    <t>Storm Monsoon 14lb</t>
  </si>
  <si>
    <t>ismlv@yahoo.com</t>
  </si>
  <si>
    <t>Michele Craft</t>
  </si>
  <si>
    <t>gregmaty@gmail.com</t>
  </si>
  <si>
    <t>Greg Matyjevich</t>
  </si>
  <si>
    <t>Brunswick move periwinkle size 9.5</t>
  </si>
  <si>
    <t>Storm Monsoon 13lb</t>
  </si>
  <si>
    <t>McKinely Floyd</t>
  </si>
  <si>
    <t>Storm Monsoon — 12 lb</t>
  </si>
  <si>
    <t>John Liccardone</t>
  </si>
  <si>
    <t>Dexter SST 6 Hybrid BOA red/black size 7</t>
  </si>
  <si>
    <t>njckid84@gmail.com</t>
  </si>
  <si>
    <t>Chris Santopietro</t>
  </si>
  <si>
    <t>(570)460-1201</t>
  </si>
  <si>
    <t>14 lb hammer effect tour(for my dad)</t>
  </si>
  <si>
    <t>Melissa Dunlap</t>
  </si>
  <si>
    <t>Carbondale</t>
  </si>
  <si>
    <t>Brunswick TZone Peek-A-Boo Berry — 15 lb</t>
  </si>
  <si>
    <t>KR Pro Force Glove RH M &amp; L, LH M</t>
  </si>
  <si>
    <t>Timothy Smalls</t>
  </si>
  <si>
    <t>Brunswick Alert — 15 lb</t>
  </si>
  <si>
    <t>Hammer Hammerhead Pearl 15 lb</t>
  </si>
  <si>
    <t>Bionic - 15lb</t>
  </si>
  <si>
    <t>Vengeance Returns 15lb</t>
  </si>
  <si>
    <t>Hammer Tough Tote - org, blu, blk, pur (2)</t>
  </si>
  <si>
    <t>jk</t>
  </si>
  <si>
    <t>---</t>
  </si>
  <si>
    <t>Joe Pica</t>
  </si>
  <si>
    <t>Turbo small twist tool</t>
  </si>
  <si>
    <t>Kolby Tuminelli</t>
  </si>
  <si>
    <t>570-362-3216</t>
  </si>
  <si>
    <t>Black Hammer Pearl Urethane 78D - 15lb</t>
  </si>
  <si>
    <t>Jon Sawicki</t>
  </si>
  <si>
    <t>Brunswick Hero - Size 12 - Male - Grey/black</t>
  </si>
  <si>
    <t>Turbo switch a roo</t>
  </si>
  <si>
    <t>Turbo 1" roll tape  blue</t>
  </si>
  <si>
    <t>14 lb Swag dragon stained glass ball(for Carmine)</t>
  </si>
  <si>
    <t>Roto Grip Hustle X-ray 15 lb</t>
  </si>
  <si>
    <t>Donation</t>
  </si>
  <si>
    <t>Ebonite Turbo X NU 14 lb</t>
  </si>
  <si>
    <t>C74921</t>
  </si>
  <si>
    <t>Ebonite Turbo X NU 15 lb</t>
  </si>
  <si>
    <t xml:space="preserve">Storm Next Factor 15 lb </t>
  </si>
  <si>
    <t>blowout sale</t>
  </si>
  <si>
    <t>Billy Bernavage</t>
  </si>
  <si>
    <t>Vise sanding pads 3000 (2)</t>
  </si>
  <si>
    <t>Brunswick Shoe Shield M (2)</t>
  </si>
  <si>
    <t>Brunswick Quick Clean Ball Wipes (2)</t>
  </si>
  <si>
    <t>TG slugs 1 1/4 yellow/orange (10)</t>
  </si>
  <si>
    <t>TG purple 21 (10)</t>
  </si>
  <si>
    <t>TG red 23 (5)</t>
  </si>
  <si>
    <t>TG blue 5 (5)</t>
  </si>
  <si>
    <t>TG orange 43 (10)</t>
  </si>
  <si>
    <t>Brunswick Slide Stone (2)</t>
  </si>
  <si>
    <t>Justin Allabaugh</t>
  </si>
  <si>
    <t>Track Synthesis — 15 lb</t>
  </si>
  <si>
    <t>Cole Baldwin</t>
  </si>
  <si>
    <t>570-550-5315</t>
  </si>
  <si>
    <t>KR Pro Force Glove RH M</t>
  </si>
  <si>
    <t>Lesley Hagerty</t>
  </si>
  <si>
    <t>845-234-5369</t>
  </si>
  <si>
    <t>Dexter Pro BOA teal/grey size 8</t>
  </si>
  <si>
    <t>1 Southgate Rd Apt 38 Middletown NY 10940</t>
  </si>
  <si>
    <t>atthelanes@outlook.com</t>
  </si>
  <si>
    <t>Michael Marinelli</t>
  </si>
  <si>
    <t>570 690 9747</t>
  </si>
  <si>
    <t xml:space="preserve">Hammer Full Effect 15 lb </t>
  </si>
  <si>
    <t>Tom Price</t>
  </si>
  <si>
    <t>570-498-9499</t>
  </si>
  <si>
    <t>Brunswick Rhino red/black/yellow 13 lb</t>
  </si>
  <si>
    <t>for August</t>
  </si>
  <si>
    <t>Dexter S12 sole</t>
  </si>
  <si>
    <t>Bobby Johnson</t>
  </si>
  <si>
    <t>Storm Monsoon 15 lb</t>
  </si>
  <si>
    <t>Brunswick Danger Zone Solid 15 lb (2)</t>
  </si>
  <si>
    <t>fale@gmail.com</t>
  </si>
  <si>
    <t>Roger Johnson</t>
  </si>
  <si>
    <t>570-251-8506</t>
  </si>
  <si>
    <t>Motiv Black Venom - 13lbs</t>
  </si>
  <si>
    <t>has ball to copy</t>
  </si>
  <si>
    <t>Doug to sell</t>
  </si>
  <si>
    <t>Teri Pushinaitis</t>
  </si>
  <si>
    <t>570 499 2647</t>
  </si>
  <si>
    <t>White Dot Black/Purple/Silver 10 lb</t>
  </si>
  <si>
    <t>Wizard 3 to 1 ball plug gallon kit (2)</t>
  </si>
  <si>
    <t>Hammer Black Widow Dynasty 15 lb</t>
  </si>
  <si>
    <t>Donna McNear</t>
  </si>
  <si>
    <t>570 290 6527</t>
  </si>
  <si>
    <t>White Dot Lime Swirl 10 lb</t>
  </si>
  <si>
    <t>Hammer ball cup (2)</t>
  </si>
  <si>
    <t>TG yellow 11, 23, 45, 49</t>
  </si>
  <si>
    <t>TG black 23</t>
  </si>
  <si>
    <t>TG orange 3, 19</t>
  </si>
  <si>
    <t>Master Giant Rosin Bag (2)</t>
  </si>
  <si>
    <t>TG red 43, 45</t>
  </si>
  <si>
    <t>TG white 43</t>
  </si>
  <si>
    <t>Chastity Black</t>
  </si>
  <si>
    <t>Danger zone Solid - 14lbs</t>
  </si>
  <si>
    <t>kevinwalsh@jacobsautosupplies.com</t>
  </si>
  <si>
    <t>Emma Walsh</t>
  </si>
  <si>
    <t>570-815-6918</t>
  </si>
  <si>
    <t>johnnyo1359@yahoo.com</t>
  </si>
  <si>
    <t xml:space="preserve">Radical Revenge Solid 14lb </t>
  </si>
  <si>
    <t>James Durland</t>
  </si>
  <si>
    <t>Jonathan Morris</t>
  </si>
  <si>
    <t>Ebonite GB5 Hybrid 14 lb</t>
  </si>
  <si>
    <t>NA</t>
  </si>
  <si>
    <t>Hammer Axe pink/purple 14 lb</t>
  </si>
  <si>
    <t>Hammer Axe Purple/Pink 15lb</t>
  </si>
  <si>
    <t>Storm Ion Pro Solid — 15 lb</t>
  </si>
  <si>
    <t>megan.meredick@gmail.com</t>
  </si>
  <si>
    <t xml:space="preserve">Megan Meredick </t>
  </si>
  <si>
    <t>(570)-468-4358</t>
  </si>
  <si>
    <t>Radical Outer Limits Black Hole 14lb lighter side</t>
  </si>
  <si>
    <t>Kr Strikeforce maui grey youth girls size 4</t>
  </si>
  <si>
    <t>Hammer Zero Mercy Solid 15 lb</t>
  </si>
  <si>
    <t>John Saranchuk</t>
  </si>
  <si>
    <t>570 235 7516</t>
  </si>
  <si>
    <t>Brunswick Crown Victory Pearl 15 lb</t>
  </si>
  <si>
    <t>cjfallon1990@gmail.com</t>
  </si>
  <si>
    <t xml:space="preserve">Christopher Fallon </t>
  </si>
  <si>
    <t xml:space="preserve">570-280-6369 </t>
  </si>
  <si>
    <t>Storm Ion Pro Solid 15 lb</t>
  </si>
  <si>
    <t>Hammer Arctic Vibe White Purple 15 lb</t>
  </si>
  <si>
    <t>Roto Grip Rockstar Amped 15 lb</t>
  </si>
  <si>
    <t>900 Global Vengeance 15 lb</t>
  </si>
  <si>
    <t>900 Global Viking 15 lb</t>
  </si>
  <si>
    <t>Storm Ice spare ball 15 lb</t>
  </si>
  <si>
    <t>wrist support medium</t>
  </si>
  <si>
    <t>Large shoe cover</t>
  </si>
  <si>
    <t>Brunswick Prism size 10</t>
  </si>
  <si>
    <t>Ryan Simon</t>
  </si>
  <si>
    <t>Hammer Raw Solid Black/Grey — 15 lb</t>
  </si>
  <si>
    <t>south</t>
  </si>
  <si>
    <t>Hammer Raw Hybrid Blue/Black/Orange — 15 lb</t>
  </si>
  <si>
    <t>Storm Pro Max tape (2)</t>
  </si>
  <si>
    <t>jwe_prm@hotmail.com</t>
  </si>
  <si>
    <t>John Eibach</t>
  </si>
  <si>
    <t xml:space="preserve">570575-0895 </t>
  </si>
  <si>
    <t xml:space="preserve">Hammer NU 2.0 14 lb </t>
  </si>
  <si>
    <t>paid in full</t>
  </si>
  <si>
    <t>Hammer Hammerhead pearl 14 lb</t>
  </si>
  <si>
    <t>Johnny Morris</t>
  </si>
  <si>
    <t>570-980-3120</t>
  </si>
  <si>
    <t>Ebonite Gamebreaker 5 Solid 15 lb</t>
  </si>
  <si>
    <t>Brunswick Edge single tote grey/black (5)</t>
  </si>
  <si>
    <t>aphelps8582@yahoo.com</t>
  </si>
  <si>
    <t>Allan Phelps</t>
  </si>
  <si>
    <t>Motiv ascend red/yellow 14lb</t>
  </si>
  <si>
    <t>kdavisnapa@gmail.com</t>
  </si>
  <si>
    <t xml:space="preserve">Kevin Davis </t>
  </si>
  <si>
    <t xml:space="preserve">570-960-1728 </t>
  </si>
  <si>
    <t>Brunswick TZone Ocean Reef- 15 lbs</t>
  </si>
  <si>
    <t>McKinley Floyd</t>
  </si>
  <si>
    <t>Brunswick TZone Wild Orchid — 12 lb</t>
  </si>
  <si>
    <t>Kayla Wright</t>
  </si>
  <si>
    <t>14lb Bionic</t>
  </si>
  <si>
    <t>Jared Kerchner</t>
  </si>
  <si>
    <t>15lb Ion Max Pearl</t>
  </si>
  <si>
    <t>Richie Lee</t>
  </si>
  <si>
    <t>15lb monsoon</t>
  </si>
  <si>
    <t>Sam Pierre</t>
  </si>
  <si>
    <t>Brunswick Danger Zone solid — 12 lb</t>
  </si>
  <si>
    <t>TG purple 23, 51</t>
  </si>
  <si>
    <t>James Bianchi</t>
  </si>
  <si>
    <t>wanted zero mercy</t>
  </si>
  <si>
    <t>Donna Nelson</t>
  </si>
  <si>
    <t>Erwin Schlipf</t>
  </si>
  <si>
    <t>Storm Phaze II — 14 lb</t>
  </si>
  <si>
    <t>Storm Tropical Surge Solid Black/Blue/Pink — 11 lb</t>
  </si>
  <si>
    <t>TG green 23</t>
  </si>
  <si>
    <t>TG yellow 21, 23, 43</t>
  </si>
  <si>
    <t>TG red 11, 13</t>
  </si>
  <si>
    <t>TG orange 45</t>
  </si>
  <si>
    <t>TG pink 11</t>
  </si>
  <si>
    <t>TG blue 21, 45</t>
  </si>
  <si>
    <t>ID</t>
  </si>
  <si>
    <t>THIS PAGE IS INTENTIONALLY LEFT BLANK</t>
  </si>
  <si>
    <t>Vise sanding pads 2000 (2)</t>
  </si>
  <si>
    <t>Quantity</t>
  </si>
  <si>
    <t>Item Description</t>
  </si>
  <si>
    <t>Order Date</t>
  </si>
  <si>
    <t>Order Due</t>
  </si>
  <si>
    <t>Amy's Notes</t>
  </si>
  <si>
    <t>Paid</t>
  </si>
  <si>
    <t>Out the Door</t>
  </si>
  <si>
    <t>Complete</t>
  </si>
  <si>
    <t>Jopo outer sleeves (30)</t>
  </si>
  <si>
    <t>JoPo inner half n half 1 3/8" (10)</t>
  </si>
  <si>
    <t>Turbo inner half n half 1 3/8" (10)</t>
  </si>
  <si>
    <t>Turbo 1 1/4" slug black/white (10)</t>
  </si>
  <si>
    <t>Motiv Venom Hysteria - 13lbs</t>
  </si>
  <si>
    <t>Paid in full 6/11/26</t>
  </si>
  <si>
    <t>Roseann Richards</t>
  </si>
  <si>
    <t>Storm Monsoon — 13 lb</t>
  </si>
  <si>
    <t>570-780-9280</t>
  </si>
  <si>
    <t xml:space="preserve">Brunswick Renegade blue mesh size 6.5 </t>
  </si>
  <si>
    <t>Brunswick Renegade blue mesh size 7</t>
  </si>
  <si>
    <t>Ken Lowe</t>
  </si>
  <si>
    <t>900 Global Harsh Reality Pearl 15 lb</t>
  </si>
  <si>
    <t>SO456174</t>
  </si>
  <si>
    <t>Radical The Spy 15 lb</t>
  </si>
  <si>
    <t>Storm Typhoon 15 lb</t>
  </si>
  <si>
    <t>Hammer NU 15 lb</t>
  </si>
  <si>
    <t>DJ Collins</t>
  </si>
  <si>
    <t>Brunswick Zone Double Roller sky blue</t>
  </si>
  <si>
    <t>tomthefisherman80@yahoo.com</t>
  </si>
  <si>
    <t xml:space="preserve">Thomas Reece </t>
  </si>
  <si>
    <t>Jopo Outer Sleeves</t>
  </si>
  <si>
    <t xml:space="preserve">Vengeance Returns 15lb </t>
  </si>
  <si>
    <t>Turbo Big Red Tape</t>
  </si>
  <si>
    <t>TG white 13</t>
  </si>
  <si>
    <t>TG pink 3</t>
  </si>
  <si>
    <t>TG blue 11</t>
  </si>
  <si>
    <t>Storm mix black and white 15lb</t>
  </si>
  <si>
    <t>TG black 3</t>
  </si>
  <si>
    <t>Hammer ball cup orange</t>
  </si>
  <si>
    <t>Mike Dinning</t>
  </si>
  <si>
    <t>Roto Grip Attention Star S2 15 lb</t>
  </si>
  <si>
    <t>SO456377</t>
  </si>
  <si>
    <t>Tom Melisky</t>
  </si>
  <si>
    <t>Hammer Black Pearl Urethane 14 lb</t>
  </si>
  <si>
    <t>Luciano Arcurie</t>
  </si>
  <si>
    <t>Hammer Ocean Vibe 12 lb</t>
  </si>
  <si>
    <t>Tim Weiner</t>
  </si>
  <si>
    <t>Storm 3 Ball Travel Tote Pro Blk/Grey</t>
  </si>
  <si>
    <t>SO457661</t>
  </si>
  <si>
    <t>C300 Boss Triple Roller</t>
  </si>
  <si>
    <t xml:space="preserve">Chett </t>
  </si>
  <si>
    <t>570-878-0142</t>
  </si>
  <si>
    <t>Hammer Deep Ocean Vibe 14 lb</t>
  </si>
  <si>
    <t>Janis Reisinger</t>
  </si>
  <si>
    <t>610-389-1231</t>
  </si>
  <si>
    <t>Brunswick Karma size 9</t>
  </si>
  <si>
    <t>Paid in full</t>
  </si>
  <si>
    <t>C76626</t>
  </si>
  <si>
    <t>KR 1" white tape</t>
  </si>
  <si>
    <t>KR 3/4" white tape</t>
  </si>
  <si>
    <t>Donna Watson</t>
  </si>
  <si>
    <t>Hammer Axe pink/purple 13 lb</t>
  </si>
  <si>
    <t>Ricky Korb</t>
  </si>
  <si>
    <t>Hammer Special Effect 14 lb</t>
  </si>
  <si>
    <t>Hammer Deep Ocean Vibe 15 lb</t>
  </si>
  <si>
    <t>C300 White Dot Diamond 14 lb</t>
  </si>
  <si>
    <t>TG clear 23</t>
  </si>
  <si>
    <t>TG yellow 23</t>
  </si>
  <si>
    <t>TG pink 25</t>
  </si>
  <si>
    <t>TG black 25</t>
  </si>
  <si>
    <t>TG black 51</t>
  </si>
  <si>
    <t>Hammer Fallout 14 lb</t>
  </si>
  <si>
    <t>Hammer Premium Towels</t>
  </si>
  <si>
    <t>KR TPC blk/blue shoes size 10</t>
  </si>
  <si>
    <t>SO459173</t>
  </si>
  <si>
    <t>returned 4/29/25</t>
  </si>
  <si>
    <t>Brunswick #6 sole</t>
  </si>
  <si>
    <t>Brunswick #8 sole</t>
  </si>
  <si>
    <t>KR Pro Force Glove RH large</t>
  </si>
  <si>
    <t>Hammer Fallout 15 lb</t>
  </si>
  <si>
    <t>Storm Equinox 14 lb</t>
  </si>
  <si>
    <t>returned 7/29/25</t>
  </si>
  <si>
    <t>Storm IQ AI 14 lb</t>
  </si>
  <si>
    <t>Hammer Effect 3D Assault 15 lb</t>
  </si>
  <si>
    <t>Storm Typhoon 14 lb</t>
  </si>
  <si>
    <t>Chris Murray</t>
  </si>
  <si>
    <t>570-561-9900</t>
  </si>
  <si>
    <t>C300 Pirahna PowerCor 14 lb</t>
  </si>
  <si>
    <t>Heckler Taunt 15 lb</t>
  </si>
  <si>
    <t>$25  rebate</t>
  </si>
  <si>
    <t>Vise grips black 25/32 &amp; 51/64</t>
  </si>
  <si>
    <t>Steve Bogan</t>
  </si>
  <si>
    <t>Hammer Hazmat Pearl 15 lb</t>
  </si>
  <si>
    <t>DVCL3VGR</t>
  </si>
  <si>
    <t>C56534</t>
  </si>
  <si>
    <t>Dexter #8 standard sole</t>
  </si>
  <si>
    <t>SO459803</t>
  </si>
  <si>
    <t>Husam</t>
  </si>
  <si>
    <t>Turbo fitting tape blue roll</t>
  </si>
  <si>
    <t>Danny Smalls</t>
  </si>
  <si>
    <t>Paragon Fire 15 lb</t>
  </si>
  <si>
    <t>KR TPC blk/gold shoes size 10</t>
  </si>
  <si>
    <t>Roto Grip Rockstar 15 lb</t>
  </si>
  <si>
    <t>Brunswick Ivory Rhino Pro 15 lb</t>
  </si>
  <si>
    <t>Spartan Pearl 15 lb</t>
  </si>
  <si>
    <t>C300 White Dot ScarletGold/Black 12 lb</t>
  </si>
  <si>
    <t>C300 White Dot ScarletGold/Black 15 lb</t>
  </si>
  <si>
    <t>Al Reuther</t>
  </si>
  <si>
    <t>Hammer Hammerhead 12 lb</t>
  </si>
  <si>
    <t>Ultimate 1 1/4" slugs blue/purple</t>
  </si>
  <si>
    <t>Storm 1 ball spare kit</t>
  </si>
  <si>
    <t>Fallout 15 lb</t>
  </si>
  <si>
    <t>SO460503</t>
  </si>
  <si>
    <t>cancelled 8/14/25</t>
  </si>
  <si>
    <t>Brunswick Supreme see-saw</t>
  </si>
  <si>
    <t>TG white 47</t>
  </si>
  <si>
    <t>TG yellow 39</t>
  </si>
  <si>
    <t>Bo Schlipf</t>
  </si>
  <si>
    <t>TG pink 43</t>
  </si>
  <si>
    <t>Storm Mix Black/Purple/Pink — 15 lb</t>
  </si>
  <si>
    <t>TG pink 45</t>
  </si>
  <si>
    <t>TG pink 47</t>
  </si>
  <si>
    <t>TG red 19</t>
  </si>
  <si>
    <t>TG red 47</t>
  </si>
  <si>
    <t>TG black 41</t>
  </si>
  <si>
    <t>TG black 49</t>
  </si>
  <si>
    <t xml:space="preserve">Vise grips black 5/8 </t>
  </si>
  <si>
    <t>Vise grips black 41/64</t>
  </si>
  <si>
    <t>Vise grips black 21/32</t>
  </si>
  <si>
    <t>Tac Up Ball Cleaner</t>
  </si>
  <si>
    <t>Dexter S10 XL sole</t>
  </si>
  <si>
    <t xml:space="preserve">Dexter S12 sole </t>
  </si>
  <si>
    <t>Mark Fair</t>
  </si>
  <si>
    <t>570-309-2855</t>
  </si>
  <si>
    <t>Hammer Axe black/smoke 15 lb</t>
  </si>
  <si>
    <t>Michael Eckhart</t>
  </si>
  <si>
    <t>KR TPC Alpha RH Unisex blk/gold size 12</t>
  </si>
  <si>
    <t>KR joey bag black (2)</t>
  </si>
  <si>
    <t>KR Pro Force Glove LH XL</t>
  </si>
  <si>
    <t>via Steve</t>
  </si>
  <si>
    <t>Brunswick shoe covers XL</t>
  </si>
  <si>
    <t>Matt Bourassa</t>
  </si>
  <si>
    <t>570-862-6822</t>
  </si>
  <si>
    <t>Hammer Ocean Vibe 14 lb</t>
  </si>
  <si>
    <t>Hammer Arctic Vibe 14 lb</t>
  </si>
  <si>
    <t>Storm 78 U 15 lb</t>
  </si>
  <si>
    <t>Daniel Reisinger</t>
  </si>
  <si>
    <t>KR Aviator Black/Grey size 11</t>
  </si>
  <si>
    <t>Lea Miller</t>
  </si>
  <si>
    <t>570-604-1787</t>
  </si>
  <si>
    <t>John Yencho</t>
  </si>
  <si>
    <t>KR Aviator Black/Grey size 9</t>
  </si>
  <si>
    <t>Hammer Raw Single Tote pink</t>
  </si>
  <si>
    <t>Hammer Hammerhead 14 lb</t>
  </si>
  <si>
    <t>Darlene Pusateri</t>
  </si>
  <si>
    <t>Hammer Arctic Vibe 12 lb</t>
  </si>
  <si>
    <t>Hammer shoe slide</t>
  </si>
  <si>
    <t>William Cheek</t>
  </si>
  <si>
    <t>570-947-6830</t>
  </si>
  <si>
    <t>Walter Gergats</t>
  </si>
  <si>
    <t>570-892-2058</t>
  </si>
  <si>
    <t>Brunswick shoe slide black</t>
  </si>
  <si>
    <t>C300 WD Peek-A-Boo Berry 8 lb</t>
  </si>
  <si>
    <t>paid for Rhino Magenta 12 lb</t>
  </si>
  <si>
    <t>Chad Grob</t>
  </si>
  <si>
    <t>Storm Phaze II 15 lb</t>
  </si>
  <si>
    <t>Hammer premium towel (6)</t>
  </si>
  <si>
    <t>Dexter S9 Sawtooth sole</t>
  </si>
  <si>
    <t>Frank  Alu</t>
  </si>
  <si>
    <t>Robby Rev 3 LH XL</t>
  </si>
  <si>
    <t>KR Pro Force Glove RH L</t>
  </si>
  <si>
    <t>Robby Rev 3 LH L</t>
  </si>
  <si>
    <t>Phillip Rempe</t>
  </si>
  <si>
    <t>570-371-9441</t>
  </si>
  <si>
    <t>Brunswick Rhino carbon/lime/silver 15 lb</t>
  </si>
  <si>
    <t>Hammer Axe pink 15 lb</t>
  </si>
  <si>
    <t>cullen.mcc08@gmail.com</t>
  </si>
  <si>
    <t>Cullen McCarthy</t>
  </si>
  <si>
    <t>570-862-6190</t>
  </si>
  <si>
    <t>Storm Summit Ascent 14 lb</t>
  </si>
  <si>
    <t>for Kayla</t>
  </si>
  <si>
    <t>Brunswick Nexxus black size 7.5</t>
  </si>
  <si>
    <t xml:space="preserve">Hammer Zero Mercy Pearl 14lb </t>
  </si>
  <si>
    <t>Sorm Lightning Blackout 14 lb</t>
  </si>
  <si>
    <t>Mark Smith</t>
  </si>
  <si>
    <t>570-562-1150</t>
  </si>
  <si>
    <t xml:space="preserve">Brunswick Rampage RH size 12 </t>
  </si>
  <si>
    <t>Turbo Outer Sleeves</t>
  </si>
  <si>
    <t xml:space="preserve">TG yellow 21 </t>
  </si>
  <si>
    <t>saranchukj@gmail.com</t>
  </si>
  <si>
    <t xml:space="preserve">TG pink 21 </t>
  </si>
  <si>
    <t>Brunswick Big B Ball Cleaner</t>
  </si>
  <si>
    <t>returned 6/19/25 to Jason</t>
  </si>
  <si>
    <t>Dylan Wesley</t>
  </si>
  <si>
    <t>Storm Level 15 lb - lighter one</t>
  </si>
  <si>
    <t>Hammer Zero mercy pearl 15 lb</t>
  </si>
  <si>
    <t>Shop Supplies</t>
  </si>
  <si>
    <t>Wizard All Season ball Plug Kit</t>
  </si>
  <si>
    <t>Ron Pusateri</t>
  </si>
  <si>
    <t>Hammer Mania 14 lb - lighter one</t>
  </si>
  <si>
    <t>Larry Lawrence</t>
  </si>
  <si>
    <t>Thumb sock</t>
  </si>
  <si>
    <t>Mike Bienecki</t>
  </si>
  <si>
    <t>Radical Rattler NU 15 lb</t>
  </si>
  <si>
    <t>Tim trattern</t>
  </si>
  <si>
    <t>Turbo interchangeable fingers</t>
  </si>
  <si>
    <t>inner sleeves in black</t>
  </si>
  <si>
    <t>Brunswick T-zone berry blast 14 lb</t>
  </si>
  <si>
    <t xml:space="preserve"> outer sleevs in black</t>
  </si>
  <si>
    <t>Brunswick Pro Wrist Support M</t>
  </si>
  <si>
    <t>Brunswick Fuse Chaos size 9</t>
  </si>
  <si>
    <t>Brunswick Pro Wrist Support XL</t>
  </si>
  <si>
    <t>Buffalo Bills ball 14 lb</t>
  </si>
  <si>
    <t>Gino Arcurie</t>
  </si>
  <si>
    <t>Storm IQ Tour 14 lb</t>
  </si>
  <si>
    <t>Gary Ladomirak</t>
  </si>
  <si>
    <t>Storm IQ Tour Solid 15 lb</t>
  </si>
  <si>
    <t>Janine Heard</t>
  </si>
  <si>
    <t>C300 WD Peek-A-Boo Berry 15 lb</t>
  </si>
  <si>
    <t>301-704-4587</t>
  </si>
  <si>
    <t>Hammer Hazmat Pearl 14 lb</t>
  </si>
  <si>
    <t>Charlie Schank</t>
  </si>
  <si>
    <t>570-561-8944</t>
  </si>
  <si>
    <t>Dexter Kam Grey RH 9.5</t>
  </si>
  <si>
    <t>Chrissy Karwaski</t>
  </si>
  <si>
    <t>Dexter Leading Edge Heel #6</t>
  </si>
  <si>
    <t>Justin Mulea</t>
  </si>
  <si>
    <t>Storm Ion Max 14 lb</t>
  </si>
  <si>
    <t>Dexter S8 sole standard</t>
  </si>
  <si>
    <t>Kevin Williams</t>
  </si>
  <si>
    <t>John Grady</t>
  </si>
  <si>
    <t>570-575-0308</t>
  </si>
  <si>
    <t>Dexter S10 sole standard</t>
  </si>
  <si>
    <t>Storm Monsoon 14 lb</t>
  </si>
  <si>
    <t>Nicholas Collins</t>
  </si>
  <si>
    <t>gave him used Arctic Vibe</t>
  </si>
  <si>
    <t>TG MS Quad black 19, 39, 5, 21</t>
  </si>
  <si>
    <t>564290 1 blk 5</t>
  </si>
  <si>
    <t>Brunswick Fuze Chaos size 10</t>
  </si>
  <si>
    <t>TG MS Quad black 41, 17</t>
  </si>
  <si>
    <t>Maureen Mahoney</t>
  </si>
  <si>
    <t>570-357-5402</t>
  </si>
  <si>
    <t>KR Arrow blue size 10</t>
  </si>
  <si>
    <t>Brunswick Fuze Chaos size 10.5</t>
  </si>
  <si>
    <t>Hammer Pure Envy 15 lb</t>
  </si>
  <si>
    <t>Jon Cruz</t>
  </si>
  <si>
    <t>Hammer Power Diesel RH black size 9</t>
  </si>
  <si>
    <t>Vise K + tape black</t>
  </si>
  <si>
    <t>Josh Koerner</t>
  </si>
  <si>
    <t>jaryld824@icloud.com</t>
  </si>
  <si>
    <t>Jeff Blacerzak</t>
  </si>
  <si>
    <t>KR TPC Alpha RH Unisex blk/gold size 10</t>
  </si>
  <si>
    <t>Hammer Black Widow Mania 15 lb</t>
  </si>
  <si>
    <t>Jaryl 'the black man' Scott</t>
  </si>
  <si>
    <t>Mark Ottone</t>
  </si>
  <si>
    <t>Hammer Raw blk/purple/teal 14 lb</t>
  </si>
  <si>
    <t xml:space="preserve">Ryan Simon </t>
  </si>
  <si>
    <t>Roto Grip Hustle VP 15lb</t>
  </si>
  <si>
    <t>Hammer Effect Tour 14 lb</t>
  </si>
  <si>
    <t xml:space="preserve">Storm level 15 lb </t>
  </si>
  <si>
    <t>Michael JC</t>
  </si>
  <si>
    <t>DV8 Trouble Maker Solid 15 lb</t>
  </si>
  <si>
    <t>Hammer Hammerhead 15 lb</t>
  </si>
  <si>
    <t>Keith</t>
  </si>
  <si>
    <t>Hammer Pure Envy 14 lb</t>
  </si>
  <si>
    <t>to replace his that we sold</t>
  </si>
  <si>
    <t>Hammer Effect Tour 15 lb</t>
  </si>
  <si>
    <t>Doug</t>
  </si>
  <si>
    <t>TG slug 1 1/4" blk/white</t>
  </si>
  <si>
    <t>Storm Equinox 15 lb</t>
  </si>
  <si>
    <t>Storm Tropical Surge Apple Kiwi Avocado 15lb</t>
  </si>
  <si>
    <t>TG slug 1 1/4" blue/purple</t>
  </si>
  <si>
    <t xml:space="preserve"> Master Wristmaster II RH S</t>
  </si>
  <si>
    <t>C300 Ricochet Pearl 15 lb</t>
  </si>
  <si>
    <t>Master Wristmaster II RH L</t>
  </si>
  <si>
    <t xml:space="preserve">rewards </t>
  </si>
  <si>
    <t>Jim Yacone</t>
  </si>
  <si>
    <t>Master Wristmaster II RH XL</t>
  </si>
  <si>
    <t>Steve Bojan</t>
  </si>
  <si>
    <t>Sidekick single tote</t>
  </si>
  <si>
    <t>Ebonite Turbo X 15 lb</t>
  </si>
  <si>
    <t>C57582</t>
  </si>
  <si>
    <t>Storm 78U 15 lb</t>
  </si>
  <si>
    <t>SO463997</t>
  </si>
  <si>
    <t>Storm Level 15 lb</t>
  </si>
  <si>
    <t>David Pawlikowski</t>
  </si>
  <si>
    <t>Storm</t>
  </si>
  <si>
    <t>Hammer Arctic Vibe 13 lb</t>
  </si>
  <si>
    <t>CM51250991264</t>
  </si>
  <si>
    <t>Roto grip Hyped Up 15 lb</t>
  </si>
  <si>
    <t>900 Global Zen 25 15 lb</t>
  </si>
  <si>
    <t xml:space="preserve"> Storm Equinox 15 lb</t>
  </si>
  <si>
    <t>Roto Grip Rock Star 15 lb</t>
  </si>
  <si>
    <t>Jopo Blank Inner</t>
  </si>
  <si>
    <t>Hammer Purple Urethane 15 lb</t>
  </si>
  <si>
    <t>Troy Petrillo</t>
  </si>
  <si>
    <t>SO464019</t>
  </si>
  <si>
    <t>Colin</t>
  </si>
  <si>
    <t>272-379-3942</t>
  </si>
  <si>
    <t>Hammer Black Pearl Urethane 15 lb</t>
  </si>
  <si>
    <t>Hammer Raw Solid Black/Grey — 14 lb</t>
  </si>
  <si>
    <t>610-428-5595</t>
  </si>
  <si>
    <t>Hammer Black Widow Mania 12 lb</t>
  </si>
  <si>
    <t>David Bowen</t>
  </si>
  <si>
    <t>Dave Miller</t>
  </si>
  <si>
    <t>Hammer Black Widow Mania 14 lb</t>
  </si>
  <si>
    <t>Scott Keating</t>
  </si>
  <si>
    <t>Brunswick T-Zone Night Sky 10 lb</t>
  </si>
  <si>
    <t xml:space="preserve">Maria McCullon </t>
  </si>
  <si>
    <t>570-218-2830</t>
  </si>
  <si>
    <t>Hammer Arctic Vibe 10 lb</t>
  </si>
  <si>
    <t>traded for 12 lb ball</t>
  </si>
  <si>
    <t>Madison Ferri</t>
  </si>
  <si>
    <t>Brunswick T-Zone Deep Space 15 lb</t>
  </si>
  <si>
    <t>Storm Ion Pro 14 lb</t>
  </si>
  <si>
    <t>$240 quoted</t>
  </si>
  <si>
    <t>Motiv Max Thrill Hybrid 14 lb</t>
  </si>
  <si>
    <t>Tac Up ball cleaner</t>
  </si>
  <si>
    <t>Randy St Clair</t>
  </si>
  <si>
    <t>Motiv Max Thrill Hybrid 15 lb</t>
  </si>
  <si>
    <t>TG pink 39</t>
  </si>
  <si>
    <t>Keith Ciero</t>
  </si>
  <si>
    <t>Storm accessory bag</t>
  </si>
  <si>
    <t>TG clear 39</t>
  </si>
  <si>
    <t>TG clear 21</t>
  </si>
  <si>
    <t>570012 (4)</t>
  </si>
  <si>
    <t>TG clear 47</t>
  </si>
  <si>
    <t>TG blue 13</t>
  </si>
  <si>
    <t>TG clear 29</t>
  </si>
  <si>
    <t>572505 (2)</t>
  </si>
  <si>
    <t>Anna Pica</t>
  </si>
  <si>
    <t>TG pink 13</t>
  </si>
  <si>
    <t>TG black 13</t>
  </si>
  <si>
    <t>Brunswick TZone night sky 15 lb</t>
  </si>
  <si>
    <t>Jayden Genao</t>
  </si>
  <si>
    <t>Brunswick T-Zone Frozen Bliss 15 lb</t>
  </si>
  <si>
    <t>TG white 5</t>
  </si>
  <si>
    <t>Storm Physix Blackout 15 lb</t>
  </si>
  <si>
    <t>KR Aviator blue size 9</t>
  </si>
  <si>
    <t>TG white 45</t>
  </si>
  <si>
    <t>KR Aviator blue size 9.5</t>
  </si>
  <si>
    <t>TG green 13</t>
  </si>
  <si>
    <t>Hammer Premium Slim Triple Tote</t>
  </si>
  <si>
    <t>Pattie Trapper</t>
  </si>
  <si>
    <t>570-290-0271</t>
  </si>
  <si>
    <t>Brunswick Rhino Metallic Bl/Blk 12 lbs</t>
  </si>
  <si>
    <t>Tony Bruno</t>
  </si>
  <si>
    <t>michaeldinning04@gmail.com</t>
  </si>
  <si>
    <t>Hammer Scorpion Low Flare 15 lb</t>
  </si>
  <si>
    <t>Wristmaster II RH M</t>
  </si>
  <si>
    <t>Turbo tournament tote</t>
  </si>
  <si>
    <t>Hammer NU Blue 15 lb</t>
  </si>
  <si>
    <t>Chris Heiberg</t>
  </si>
  <si>
    <t>Joe Bruno</t>
  </si>
  <si>
    <t>Storm Phaze AI 15 lb</t>
  </si>
  <si>
    <t>Hammer shoe brush</t>
  </si>
  <si>
    <t>Aidan Farnan</t>
  </si>
  <si>
    <t>570-216-0411</t>
  </si>
  <si>
    <t>Brunswick Avalanche grey size 7</t>
  </si>
  <si>
    <t>C300 Super Cuda PowerCor Pearl 15 lb</t>
  </si>
  <si>
    <t>Finn Farnan</t>
  </si>
  <si>
    <t>Brunswick Avalanche size grey 7</t>
  </si>
  <si>
    <t>C57732</t>
  </si>
  <si>
    <t>Hammer Axe smoke/pink 15 lb</t>
  </si>
  <si>
    <t>Turbo smart grip balls</t>
  </si>
  <si>
    <t>SO465610</t>
  </si>
  <si>
    <t>C300 Piranha PowerCor Pearl 15 lb</t>
  </si>
  <si>
    <t>C52569</t>
  </si>
  <si>
    <t>Storm scented rosin bag</t>
  </si>
  <si>
    <t>Phaze 2 solid - 15 lb</t>
  </si>
  <si>
    <t>AISN</t>
  </si>
  <si>
    <t>Brunswick Edge single tote black</t>
  </si>
  <si>
    <t>George L</t>
  </si>
  <si>
    <t>Sherri St Clair</t>
  </si>
  <si>
    <t>Randy</t>
  </si>
  <si>
    <t>Ebonite The One Reverb 12 lb</t>
  </si>
  <si>
    <t>Brunswick Edge single tote blue</t>
  </si>
  <si>
    <t>Amy Welch</t>
  </si>
  <si>
    <t>Brunswick Edge single tote grey/black</t>
  </si>
  <si>
    <t>Tony Fasulla</t>
  </si>
  <si>
    <t>Hammer Scorpion Low Flare 14 lb</t>
  </si>
  <si>
    <t>Brunswick shoe shield L</t>
  </si>
  <si>
    <t>Brunswick shoe shield M</t>
  </si>
  <si>
    <t>Chase Dunleavy</t>
  </si>
  <si>
    <t>DV8 Trouble Maker Solid 12 lb</t>
  </si>
  <si>
    <t>Brunswick shoe shield XL</t>
  </si>
  <si>
    <t>TG pink 49</t>
  </si>
  <si>
    <t>Brunswick shoe shield football</t>
  </si>
  <si>
    <t>Brunswick Soul blue size 8</t>
  </si>
  <si>
    <t>VG PO black 5, 6, 7.5, clear 5</t>
  </si>
  <si>
    <t>Brunswick shoe slider</t>
  </si>
  <si>
    <t>VG PO clear 5.5, 7</t>
  </si>
  <si>
    <t>Wizard EZ Quick Plug 2 gallon kit</t>
  </si>
  <si>
    <t>SO442862</t>
  </si>
  <si>
    <t>Storm Pro Max Tape green</t>
  </si>
  <si>
    <t>Rob Smith</t>
  </si>
  <si>
    <t>570-574-6370</t>
  </si>
  <si>
    <t>Hammer Axe smoke/pink 14 lb</t>
  </si>
  <si>
    <t>Genesis Pro Texx Protective Tape navy</t>
  </si>
  <si>
    <t>Matt Talerico</t>
  </si>
  <si>
    <t>570-299-1109</t>
  </si>
  <si>
    <t>Chris Gurnari</t>
  </si>
  <si>
    <t>570-921-3419</t>
  </si>
  <si>
    <t>Patricia Barcola</t>
  </si>
  <si>
    <t>Tammy Barry</t>
  </si>
  <si>
    <t>C300 White Dot Wild Orchid 10 lb</t>
  </si>
  <si>
    <t>C300 WD Peek-A-Boo Berry 12 lb</t>
  </si>
  <si>
    <t>Brunswick Mystic blk/pink size 9</t>
  </si>
  <si>
    <t>TG Big Red Tape</t>
  </si>
  <si>
    <t>Radical No Doubt Hybrid — 12 lb</t>
  </si>
  <si>
    <t>Jon King</t>
  </si>
  <si>
    <t xml:space="preserve">C300 White Dot 1 ball tote blk </t>
  </si>
  <si>
    <t>Hammer Premium Triple Roller</t>
  </si>
  <si>
    <t>Ken August</t>
  </si>
  <si>
    <t>900 Global Zen 25 14 lb</t>
  </si>
  <si>
    <t>SO443245</t>
  </si>
  <si>
    <t>Dexter #7 sole</t>
  </si>
  <si>
    <t>Brunswick rosin bags</t>
  </si>
  <si>
    <t>Brunswick Nexxus black  size 7.5</t>
  </si>
  <si>
    <t>mulearacing123@gmail.com</t>
  </si>
  <si>
    <t xml:space="preserve">TG 1 1/4 blue/purple </t>
  </si>
  <si>
    <t>KR Aviator blue size 11</t>
  </si>
  <si>
    <t>Justin mulea</t>
  </si>
  <si>
    <t>TG red 11</t>
  </si>
  <si>
    <t>Fallout 14lb</t>
  </si>
  <si>
    <t>Jopo Twist Outer Sleeves</t>
  </si>
  <si>
    <t>Brad Dutter</t>
  </si>
  <si>
    <t>570-687-4329</t>
  </si>
  <si>
    <t>JoPo outer sleeves</t>
  </si>
  <si>
    <t>Hammer Pure Envy 16 lb</t>
  </si>
  <si>
    <t>Mark Maros</t>
  </si>
  <si>
    <t>570-793-7106</t>
  </si>
  <si>
    <t>Via Shelena</t>
  </si>
  <si>
    <t>Larry Delancy</t>
  </si>
  <si>
    <t>Hammer Premium Towel</t>
  </si>
  <si>
    <t>TG 1 1/4 pink/white</t>
  </si>
  <si>
    <t>Dylan Shaffer</t>
  </si>
  <si>
    <t>invoiced but didn't receive</t>
  </si>
  <si>
    <t>Hammer Raw teal/purple 14 lb</t>
  </si>
  <si>
    <t>Noah Blasko</t>
  </si>
  <si>
    <t>570-687-1187</t>
  </si>
  <si>
    <t>Hammer Raw Hybrid red/smoke/blk 14 lb</t>
  </si>
  <si>
    <t>Will Kennedy</t>
  </si>
  <si>
    <t>Brunswick shoe cover blk XL</t>
  </si>
  <si>
    <t>Michael Conforti</t>
  </si>
  <si>
    <t>570-840-2775</t>
  </si>
  <si>
    <t>Vise black 3, 3.5</t>
  </si>
  <si>
    <t>Ebonite Turbo X 14 lb</t>
  </si>
  <si>
    <t>SO466772</t>
  </si>
  <si>
    <t>Storm Alpha Crux — 14 lb</t>
  </si>
  <si>
    <t>TG MS pink size 35</t>
  </si>
  <si>
    <t>Eddie Boraski</t>
  </si>
  <si>
    <t>Hook It Ball Cleaner</t>
  </si>
  <si>
    <t>Dominick Kowalcyzk</t>
  </si>
  <si>
    <t>570-574-4869</t>
  </si>
  <si>
    <t>SO444939</t>
  </si>
  <si>
    <t>Josh Fink</t>
  </si>
  <si>
    <t>917-217-1534</t>
  </si>
  <si>
    <t>Hammer Axe purple/smoke 12 lb</t>
  </si>
  <si>
    <t>Storm Ion Max 15 lb</t>
  </si>
  <si>
    <t>Daniel Haas</t>
  </si>
  <si>
    <t>484-574-7415</t>
  </si>
  <si>
    <t>Aviator Red size 13</t>
  </si>
  <si>
    <t>Marshall Ward</t>
  </si>
  <si>
    <t>C300 Triple Boss Roller</t>
  </si>
  <si>
    <t>Hammer accessory bag</t>
  </si>
  <si>
    <t>Brunswick Avalance black size 9.5</t>
  </si>
  <si>
    <t>Turbo tote</t>
  </si>
  <si>
    <t>Dexter Trixie white/black/purple size 9</t>
  </si>
  <si>
    <t>SO446194</t>
  </si>
  <si>
    <t>Hammer Arctic Vibe 11 lb</t>
  </si>
  <si>
    <t>KR Pro Force positioner RH XL</t>
  </si>
  <si>
    <t>SO468363</t>
  </si>
  <si>
    <t xml:space="preserve"> RMA22210 6/24/25</t>
  </si>
  <si>
    <t>Storm Ice teal/silver 15 lb</t>
  </si>
  <si>
    <t>Brunswick Rampage white size 13</t>
  </si>
  <si>
    <t>Brunswick Avanche grey size 9.5</t>
  </si>
  <si>
    <t>Brunswick T-Zone Carribean Blue 9 lb</t>
  </si>
  <si>
    <t>C300 grip cream</t>
  </si>
  <si>
    <t>Dexter SST6 Hybrid BOA size 11</t>
  </si>
  <si>
    <t>Hammer premium triple roller</t>
  </si>
  <si>
    <t>TG 1 1/4 yellow/orange</t>
  </si>
  <si>
    <t>TG 1 3/8 blue/purple</t>
  </si>
  <si>
    <t>Hammer Anger 14 lb</t>
  </si>
  <si>
    <t>Vince Ottone</t>
  </si>
  <si>
    <t>Jerry Cummings</t>
  </si>
  <si>
    <t>SO447372</t>
  </si>
  <si>
    <t>TG orange 3</t>
  </si>
  <si>
    <t>Bob Straut</t>
  </si>
  <si>
    <t>C300 WD Scarlet/Gold/Blk 13 lb</t>
  </si>
  <si>
    <t>TG white 19</t>
  </si>
  <si>
    <t>Jopo outer sleeves (50)</t>
  </si>
  <si>
    <t>Rick Pica</t>
  </si>
  <si>
    <t>TG white  27</t>
  </si>
  <si>
    <t>602261 (2)</t>
  </si>
  <si>
    <t>604944 (3)</t>
  </si>
  <si>
    <t>TG pink 7</t>
  </si>
  <si>
    <t>Dave Maconeghy</t>
  </si>
  <si>
    <t>C300 Piranha PowerCor Pearl 14 lb</t>
  </si>
  <si>
    <t>Super Bowl Squares winner</t>
  </si>
  <si>
    <t>TG pink 23</t>
  </si>
  <si>
    <t>TG pink  27</t>
  </si>
  <si>
    <t>Dave Badyrka</t>
  </si>
  <si>
    <t>TG pink 29</t>
  </si>
  <si>
    <t>Brunswick Slingshot size 9</t>
  </si>
  <si>
    <t>KR Pro Force Glove L XL, R M &amp; XL</t>
  </si>
  <si>
    <t>JoPo inner sleeves (20)</t>
  </si>
  <si>
    <t>Wizard all season plug kit</t>
  </si>
  <si>
    <t>SO447486</t>
  </si>
  <si>
    <t xml:space="preserve">Brunswick shoe shield M </t>
  </si>
  <si>
    <t>Steve</t>
  </si>
  <si>
    <t>TG pink 51</t>
  </si>
  <si>
    <t>TG pink 53</t>
  </si>
  <si>
    <t>Hammer Hammerhead 15lb</t>
  </si>
  <si>
    <t>C54036</t>
  </si>
  <si>
    <t>TG yellow 11</t>
  </si>
  <si>
    <t>Hammer Special Effect 15 lb</t>
  </si>
  <si>
    <t>TG yellow 29</t>
  </si>
  <si>
    <t>Vise sanding pad (2)</t>
  </si>
  <si>
    <t>Roto Grip RST Hyperdrive 15 lb</t>
  </si>
  <si>
    <t>TG yellow 47</t>
  </si>
  <si>
    <t>Brian</t>
  </si>
  <si>
    <t>TG yellow 53</t>
  </si>
  <si>
    <t>Storm IQ Tour AI 15 lb</t>
  </si>
  <si>
    <t>TG purple 25</t>
  </si>
  <si>
    <t>TG blue 43</t>
  </si>
  <si>
    <t>Megan</t>
  </si>
  <si>
    <t>Rhino metallic Blue Black 10 lb</t>
  </si>
  <si>
    <t>Hammer Black Widow large grip sack</t>
  </si>
  <si>
    <t>TG black 23 (10)</t>
  </si>
  <si>
    <t>Jopo Twist Blank Inner Sleeves</t>
  </si>
  <si>
    <t>Brunswick #10 sole</t>
  </si>
  <si>
    <t>Hammer Anger Solid 15 lb</t>
  </si>
  <si>
    <t>C58819</t>
  </si>
  <si>
    <t>Hammer Bubblegum Vibe 15 lb</t>
  </si>
  <si>
    <t>TG pink 5</t>
  </si>
  <si>
    <t>SO449556</t>
  </si>
  <si>
    <t xml:space="preserve">Kim Smalls </t>
  </si>
  <si>
    <t>201-994-5474</t>
  </si>
  <si>
    <t>Brunswick Ivory Rhino Pro 13 lbs</t>
  </si>
  <si>
    <t>SO469442</t>
  </si>
  <si>
    <t>Turbo fitting tape mint (6)</t>
  </si>
  <si>
    <t>Dave Searfoss</t>
  </si>
  <si>
    <t>TG MS clear 41</t>
  </si>
  <si>
    <t>Matt Lynott</t>
  </si>
  <si>
    <t>570-466-9090</t>
  </si>
  <si>
    <t>Turbo</t>
  </si>
  <si>
    <t>rewards</t>
  </si>
  <si>
    <t>TG MS clear 21</t>
  </si>
  <si>
    <t>TG MS clear 11</t>
  </si>
  <si>
    <t>Brunswick Rhino cobalt/aqua/teal 12 lb</t>
  </si>
  <si>
    <t>TG MS clear 45</t>
  </si>
  <si>
    <t>Vise 13/16 black</t>
  </si>
  <si>
    <t>TG MS clear 9</t>
  </si>
  <si>
    <t>TG MS clear 37</t>
  </si>
  <si>
    <t>Vise 3/4 black</t>
  </si>
  <si>
    <t>578760 (3)</t>
  </si>
  <si>
    <t>Turbo fitting tape purple (6)</t>
  </si>
  <si>
    <t>TG MS black &amp; clear 5</t>
  </si>
  <si>
    <t>5 of each</t>
  </si>
  <si>
    <t>Vise 25/32 black</t>
  </si>
  <si>
    <t>TG MS black &amp; clear 19</t>
  </si>
  <si>
    <t>Vise 25/32 clear</t>
  </si>
  <si>
    <t>TG MS black &amp; clear 39</t>
  </si>
  <si>
    <t>Vise 23/32 black</t>
  </si>
  <si>
    <t xml:space="preserve">Ultimate slugs 1 1/4" blue/purple </t>
  </si>
  <si>
    <t>Brunswick Avalanche grey size 10.5</t>
  </si>
  <si>
    <t>Art Golembeski</t>
  </si>
  <si>
    <t>570-575-5231</t>
  </si>
  <si>
    <t>Dexter Turbo Pro white size 14</t>
  </si>
  <si>
    <t>Dev Telford</t>
  </si>
  <si>
    <t>KR Donut Triple Tote</t>
  </si>
  <si>
    <t>TG white 3</t>
  </si>
  <si>
    <t>Brunswick Nexus black size 7.5</t>
  </si>
  <si>
    <t>TG white 11</t>
  </si>
  <si>
    <t>Turbo inner sleeve (10)</t>
  </si>
  <si>
    <t>Roto Grip Hustle RIP 14 lb</t>
  </si>
  <si>
    <t>TG white 53</t>
  </si>
  <si>
    <t>Roto Grip Rock Star 14 lb</t>
  </si>
  <si>
    <t>TG purple 49</t>
  </si>
  <si>
    <t>SO450199</t>
  </si>
  <si>
    <t>Ryan Kollonige</t>
  </si>
  <si>
    <t>TG purple 51</t>
  </si>
  <si>
    <t>Turbo NX inner sleeve (10)</t>
  </si>
  <si>
    <t xml:space="preserve">C300 WD Peek-A-Boo Berry 15 lb </t>
  </si>
  <si>
    <t>TG purple 53</t>
  </si>
  <si>
    <t>Bobby Lane</t>
  </si>
  <si>
    <t>570-665-0818</t>
  </si>
  <si>
    <t>Hammer Ocean Vibe 15 lb</t>
  </si>
  <si>
    <t>Larry from Valley</t>
  </si>
  <si>
    <t>Radical Spy 15 lb</t>
  </si>
  <si>
    <t>Rich Rosenberg</t>
  </si>
  <si>
    <t>973-727-1024</t>
  </si>
  <si>
    <t>C300 White Dot Peek-A-Boo Berry 13 lb</t>
  </si>
  <si>
    <t>Brunswick Nexus black size 7</t>
  </si>
  <si>
    <t>Corri Franchetti</t>
  </si>
  <si>
    <t>570-815-7312</t>
  </si>
  <si>
    <t>Brunswick Renegade grey size 12</t>
  </si>
  <si>
    <t>Brunswick T-Zone Deep Space 12 lb</t>
  </si>
  <si>
    <t>Hammer Premium towel</t>
  </si>
  <si>
    <t>Harmonie Dinning</t>
  </si>
  <si>
    <t>570-497-0368</t>
  </si>
  <si>
    <t>Dexter Pro Lite BOA RH 9.5</t>
  </si>
  <si>
    <t>Storm IQ 78U 14 lb</t>
  </si>
  <si>
    <t>Turbo outer sleeve (10)</t>
  </si>
  <si>
    <t>Ebonite Crusher red/blk/orange 15 lb</t>
  </si>
  <si>
    <t>Vise 47/64 black</t>
  </si>
  <si>
    <t>Roto Grip Rockstar 16 lb</t>
  </si>
  <si>
    <t>Vise 47/64 clear</t>
  </si>
  <si>
    <t>Set of 3 pitch gauges</t>
  </si>
  <si>
    <t>Bob Johnson</t>
  </si>
  <si>
    <t>Innovative Plug Cutter Blade</t>
  </si>
  <si>
    <t>Hammer Raw smoke/blue/gold 14 lb</t>
  </si>
  <si>
    <t>Trubo NX outer sleeve (10)</t>
  </si>
  <si>
    <t>SO471188</t>
  </si>
  <si>
    <t>Chris Macavage</t>
  </si>
  <si>
    <t>Ben Prutzman</t>
  </si>
  <si>
    <t>570-406-9182</t>
  </si>
  <si>
    <t>Motiv Venom Shock 13 lb</t>
  </si>
  <si>
    <t>Jeff Winkler</t>
  </si>
  <si>
    <t>570-575-7552</t>
  </si>
  <si>
    <t>Brunswick Ethos Solid 14 lb</t>
  </si>
  <si>
    <t>TG MS black 35</t>
  </si>
  <si>
    <t>Turbo slugs blue/purple 1 1/4 (10)</t>
  </si>
  <si>
    <t>TG MS clear 35</t>
  </si>
  <si>
    <t>C300 Super Cuda 15 lb</t>
  </si>
  <si>
    <t>Brunswick Nexxus black size 6</t>
  </si>
  <si>
    <t>570-665-2522</t>
  </si>
  <si>
    <t>Brunswick Nexxus black size 9</t>
  </si>
  <si>
    <t>C300 Super Cuda 14 lb</t>
  </si>
  <si>
    <t>Ultimate slugs 1 1/4" black/white</t>
  </si>
  <si>
    <t>Brunswick shoe brush</t>
  </si>
  <si>
    <t>Turbo quad black 5, 11, 21 (20)</t>
  </si>
  <si>
    <t>Ultimate slugs 1 1/4" pink/yellow</t>
  </si>
  <si>
    <t>Mike Labate</t>
  </si>
  <si>
    <t>917-418-3824</t>
  </si>
  <si>
    <t>Brunswick Alpha Max shoe 13 W</t>
  </si>
  <si>
    <t>Hammer #10 sole</t>
  </si>
  <si>
    <t>Dexter XL S8 sole</t>
  </si>
  <si>
    <t>Dexter XL S10 sole</t>
  </si>
  <si>
    <t>Zack Wilson</t>
  </si>
  <si>
    <t>570-442-9451</t>
  </si>
  <si>
    <t>SO453637</t>
  </si>
  <si>
    <t>Brunswick Pizza grip sack</t>
  </si>
  <si>
    <t>Gene Visnetski</t>
  </si>
  <si>
    <t>Roto Grip RST Hyperdrive 14 lb</t>
  </si>
  <si>
    <t>Turbo quad black 43,45,47,49 (10)</t>
  </si>
  <si>
    <t>607510 (1)</t>
  </si>
  <si>
    <t xml:space="preserve">607756 (4) </t>
  </si>
  <si>
    <t>Frank Snyder</t>
  </si>
  <si>
    <t>Gary Ladomirack</t>
  </si>
  <si>
    <t>TG white 27</t>
  </si>
  <si>
    <t>Hammer Anger 15 lb</t>
  </si>
  <si>
    <t>Turbo quad red 5 (10)</t>
  </si>
  <si>
    <t>Tyler Corkins</t>
  </si>
  <si>
    <t>Jean</t>
  </si>
  <si>
    <t>Hammer Axe Purple/Smoke 8 lb</t>
  </si>
  <si>
    <t>Paid in Full</t>
  </si>
  <si>
    <t>Turbo quad white 5, 41 (10)</t>
  </si>
  <si>
    <t>Brunswick Nexxus mauve size 7.5</t>
  </si>
  <si>
    <t>Brunswick Fuse Chaos size 13</t>
  </si>
  <si>
    <t>Super Dams rounds</t>
  </si>
  <si>
    <t>Hammer shoe slide black</t>
  </si>
  <si>
    <t>Turbo quad yellow 5, 11, 47 (10)</t>
  </si>
  <si>
    <t>C300 Rally 15 lb</t>
  </si>
  <si>
    <t>C55413</t>
  </si>
  <si>
    <t>7370092'</t>
  </si>
  <si>
    <t>SO455082</t>
  </si>
  <si>
    <t>Roto Grip RST Hyperdrive 16 lb</t>
  </si>
  <si>
    <t>Hammer Black Widow Mania 16 lb</t>
  </si>
  <si>
    <t>John Rebar</t>
  </si>
  <si>
    <t>570-499-0645</t>
  </si>
  <si>
    <t>C300 Piranha PowerCor 14 lb</t>
  </si>
  <si>
    <t>g</t>
  </si>
  <si>
    <t>Brunswick Scholar blue size 12</t>
  </si>
  <si>
    <t>Turbo quad green 3,5,11,21,43 (10)</t>
  </si>
  <si>
    <t>Matt Gallagher</t>
  </si>
  <si>
    <t>Vise bowling ball compound 32 oz</t>
  </si>
  <si>
    <t>TG yellow 13</t>
  </si>
  <si>
    <t>Bryant Del Toro</t>
  </si>
  <si>
    <t>Turbo quad purple 3,23,25,43,45,47 (10)</t>
  </si>
  <si>
    <t>Turbo slugs 1 1/4" black/white</t>
  </si>
  <si>
    <t>Turbo quad blue 11,23,43 (10)</t>
  </si>
  <si>
    <t>Turbo quad ice 3,25,43,45,47 (10)</t>
  </si>
  <si>
    <t>Turbo quad pink 21 (10)</t>
  </si>
  <si>
    <t>Turbo quad orange 23,43 (10)</t>
  </si>
  <si>
    <t>Chase Smith</t>
  </si>
  <si>
    <t>Roto Grip Cosmos — 15 lb</t>
  </si>
  <si>
    <t>Stacey Sutton</t>
  </si>
  <si>
    <t>Storm tropical surge black/blue/pink 14 lb</t>
  </si>
  <si>
    <t>Storm Alpha Crux — 15 lb</t>
  </si>
  <si>
    <t>Austin Lee Goble</t>
  </si>
  <si>
    <t>(570)267-6102</t>
  </si>
  <si>
    <t>Hammer Black Widow Tour V1 — 14 lb</t>
  </si>
  <si>
    <t>Tom Howell (Wife)</t>
  </si>
  <si>
    <t>570-499-6741</t>
  </si>
  <si>
    <t>Brunswick Fury Pink/Ice/Silver Pearl — 9 lb</t>
  </si>
  <si>
    <t>need to return</t>
  </si>
  <si>
    <t>570-878-7555</t>
  </si>
  <si>
    <t>900Global Vengeance — 15 lb</t>
  </si>
  <si>
    <t>Storm IQ Tour Sapphire — 15 lb</t>
  </si>
  <si>
    <t>Roto Grip Wicked Gremlin — 15 lb</t>
  </si>
  <si>
    <t>Cody wilcox</t>
  </si>
  <si>
    <t>Brad Kellogg</t>
  </si>
  <si>
    <t>570-280-8489</t>
  </si>
  <si>
    <t>Storm concept 16 lbs</t>
  </si>
  <si>
    <t>Brunswick Prism size 11.5</t>
  </si>
  <si>
    <t xml:space="preserve">Brunswick Prism size 12 </t>
  </si>
  <si>
    <t>Wristmaster II RH S</t>
  </si>
  <si>
    <t>Jason Roman</t>
  </si>
  <si>
    <t>Motiv Jackal Ghost V2 — 15 lb</t>
  </si>
  <si>
    <t>returned 8/18/26</t>
  </si>
  <si>
    <t>Jake Sholtz</t>
  </si>
  <si>
    <t>Storm Ion Max — 15 lb</t>
  </si>
  <si>
    <t>Jordan Edwards</t>
  </si>
  <si>
    <t>Track Theorem Delta — 16 lb</t>
  </si>
  <si>
    <t>Jade Noakes</t>
  </si>
  <si>
    <t>570 815 1482</t>
  </si>
  <si>
    <t>Motiv Vault 3 Ball Triple Roller midnight blue</t>
  </si>
  <si>
    <t>Mike</t>
  </si>
  <si>
    <t>Brunswick TZone Indigo Swirl — 14 lb</t>
  </si>
  <si>
    <t>From Website</t>
  </si>
  <si>
    <t>keith.danielowski@gmail.com</t>
  </si>
  <si>
    <t>Harvey Kellog</t>
  </si>
  <si>
    <t>(570) 814-0270</t>
  </si>
  <si>
    <t>IQ Tour Solid 16 lb</t>
  </si>
  <si>
    <t>Storm Alpha Crux 14 lb</t>
  </si>
  <si>
    <t>DV8 Intense Collision 15 lb</t>
  </si>
  <si>
    <t>$30 rebate</t>
  </si>
  <si>
    <t>Brunswick Combat Solid 14 lb</t>
  </si>
  <si>
    <t>Mason Kenia</t>
  </si>
  <si>
    <t>Brunswick Combat Solid 15 lb</t>
  </si>
  <si>
    <t>Ben Brady</t>
  </si>
  <si>
    <t>Brunswick Infinity Quest Pearl 15 lb</t>
  </si>
  <si>
    <t>$20 rebate</t>
  </si>
  <si>
    <t>Track Theorem Delta 15 lb</t>
  </si>
  <si>
    <t>Rich Sakosky</t>
  </si>
  <si>
    <t>Ebonite Spartan Pearl 14 lb</t>
  </si>
  <si>
    <t>Kevin Walsh</t>
  </si>
  <si>
    <t>Nick Collins</t>
  </si>
  <si>
    <t>Nick Dutkiewicz</t>
  </si>
  <si>
    <t>Mike Straut</t>
  </si>
  <si>
    <t>Billy Bernavge</t>
  </si>
  <si>
    <t>$10 rebate</t>
  </si>
  <si>
    <t>Keith Griffiths</t>
  </si>
  <si>
    <t>Bradley Cox</t>
  </si>
  <si>
    <t>Radical Outer Limits Black Hole 14 lb</t>
  </si>
  <si>
    <t>free</t>
  </si>
  <si>
    <t>Ray St Clair</t>
  </si>
  <si>
    <t>Ella Millon</t>
  </si>
  <si>
    <t>trade show</t>
  </si>
  <si>
    <t>Dennis Bracken</t>
  </si>
  <si>
    <t>Sam Dutkiewicz</t>
  </si>
  <si>
    <t>y</t>
  </si>
  <si>
    <t>Joe Renaldi</t>
  </si>
  <si>
    <t>Storm Hy-Road 40 Pearl 15 lb</t>
  </si>
  <si>
    <t>Storm Hy-Road 40 Pearl 12 lb</t>
  </si>
  <si>
    <t>free ball</t>
  </si>
  <si>
    <t>Roto Grip Gremlin 15 lb</t>
  </si>
  <si>
    <t>Brunswick Big B ball cleaner 8 oz (48)</t>
  </si>
  <si>
    <t>Brunswick Big B ball cleaner 1 gallon</t>
  </si>
  <si>
    <t>Crown Factory Compound</t>
  </si>
  <si>
    <t>Crown Factory Polish</t>
  </si>
  <si>
    <t>Brunswick Shoe cover S/M (5)</t>
  </si>
  <si>
    <t>Brunswick Shoe cover L/XL (10)</t>
  </si>
  <si>
    <t>Brunswick Shoe cover XXL (5)</t>
  </si>
  <si>
    <t>Brunswick shoe slide (15)</t>
  </si>
  <si>
    <t>Hammer shoe slide (15)</t>
  </si>
  <si>
    <t>Brusnwick slide stone (5)</t>
  </si>
  <si>
    <t>Brunswick rosin bag (24)</t>
  </si>
  <si>
    <t>Brunswick sole #8 (5)</t>
  </si>
  <si>
    <t>Brunswick sole #10 (10)</t>
  </si>
  <si>
    <t>only got 1</t>
  </si>
  <si>
    <t>Hammer Premium towel (25)</t>
  </si>
  <si>
    <t>Hammer shoe brush (5)</t>
  </si>
  <si>
    <t>only got 3</t>
  </si>
  <si>
    <t>Hammer 3/4" white tape (10)</t>
  </si>
  <si>
    <t>Hammer 1" white tape (20)</t>
  </si>
  <si>
    <t>Hammer Black Widow large grip sacks (15)</t>
  </si>
  <si>
    <t>Vise sanding pads 500 1000 1500 (10)</t>
  </si>
  <si>
    <t>missing 5 500</t>
  </si>
  <si>
    <t>extra 5 1500</t>
  </si>
  <si>
    <t>Vise sanding pads 2000 3000 4000 (6)</t>
  </si>
  <si>
    <t>missing 6 3000</t>
  </si>
  <si>
    <t>missing 3 4000</t>
  </si>
  <si>
    <t>Vise K+ tape (48)</t>
  </si>
  <si>
    <t>didn't get</t>
  </si>
  <si>
    <t>KR Pro Force glove RH S M L XL (2)</t>
  </si>
  <si>
    <t xml:space="preserve">KR Pro Force glove LH S </t>
  </si>
  <si>
    <t>Storm Power Edge quart</t>
  </si>
  <si>
    <t>Master Giant Puff Ball (12)</t>
  </si>
  <si>
    <t xml:space="preserve">x </t>
  </si>
  <si>
    <t>JoPo outer black (96)</t>
  </si>
  <si>
    <t>x</t>
  </si>
  <si>
    <t>JoPo outer black (24)</t>
  </si>
  <si>
    <t>buy 8 get 2 free</t>
  </si>
  <si>
    <t>gu</t>
  </si>
  <si>
    <t>Appointment ID</t>
  </si>
  <si>
    <t>Service</t>
  </si>
  <si>
    <t>Appt Date</t>
  </si>
  <si>
    <t>Appoitnment Time</t>
  </si>
  <si>
    <t>Completed?</t>
  </si>
  <si>
    <t>Appt Time</t>
  </si>
  <si>
    <t>Turbo Switch Grip NX outer sleeves (100)</t>
  </si>
  <si>
    <t>570-840-9357</t>
  </si>
  <si>
    <t>drill black pearl urethane and spartan pearl 14 lb</t>
  </si>
  <si>
    <t>Turbo Switch Grip NX inner sleeves (40)</t>
  </si>
  <si>
    <t>570-369-3815</t>
  </si>
  <si>
    <t xml:space="preserve">drill </t>
  </si>
  <si>
    <t>(leave blank)</t>
  </si>
  <si>
    <t>570-766-8210</t>
  </si>
  <si>
    <t>Fit and Drill Steel Forge</t>
  </si>
  <si>
    <t>Y or N</t>
  </si>
  <si>
    <t>Tim Straut</t>
  </si>
  <si>
    <t>Full eval plus maybe drill Zero Mercy Solid</t>
  </si>
  <si>
    <t>Clint Perry</t>
  </si>
  <si>
    <t>570-780-2548</t>
  </si>
  <si>
    <t>Turbo 1 1/4" slug black/white (100)</t>
  </si>
  <si>
    <t>Christian Halliday</t>
  </si>
  <si>
    <t>570-578-3108</t>
  </si>
  <si>
    <t>Tour V1 &amp; Zero Mercy Solid 15 lb</t>
  </si>
  <si>
    <t>Nicole Besermin</t>
  </si>
  <si>
    <t>570-219-5285</t>
  </si>
  <si>
    <t>T-zone deep space 6 lb</t>
  </si>
  <si>
    <t>Jeremiah Kennedy</t>
  </si>
  <si>
    <t>570-352-6521</t>
  </si>
  <si>
    <t>T-zone deep space 9 lb</t>
  </si>
  <si>
    <t>Jim Bedford</t>
  </si>
  <si>
    <t>570-840-1023</t>
  </si>
  <si>
    <t>T-zone berry blast 9 lb</t>
  </si>
  <si>
    <t>Ion Max 15 lb</t>
  </si>
  <si>
    <t>Adam Horsky</t>
  </si>
  <si>
    <t>ball assessment 14 lb?</t>
  </si>
  <si>
    <t>Turbo 1 1/4" slug yellow/orange (100)</t>
  </si>
  <si>
    <t>Steve Quatra</t>
  </si>
  <si>
    <t>570-780-3576</t>
  </si>
  <si>
    <t>Venom Shock &amp; Mix lime/royal 13 lb</t>
  </si>
  <si>
    <t>Jean Marie Quatra</t>
  </si>
  <si>
    <t>Mix black/purple/pink 10 lb</t>
  </si>
  <si>
    <t>Tara Castrogiovanni</t>
  </si>
  <si>
    <t>Twist black/pink 10 lb</t>
  </si>
  <si>
    <t>Frank Bauman</t>
  </si>
  <si>
    <t>570-351-6466</t>
  </si>
  <si>
    <t>bake  &amp; possible new ball 15 lb</t>
  </si>
  <si>
    <t>Bruce Bauman</t>
  </si>
  <si>
    <t>new ball 15 lb</t>
  </si>
  <si>
    <t>Jason Rodney</t>
  </si>
  <si>
    <t>570-499-7874</t>
  </si>
  <si>
    <t>blank drill</t>
  </si>
  <si>
    <t>Turbo 1 1/4" slug blue/purple (100)</t>
  </si>
  <si>
    <t>Jason Rodney Jr</t>
  </si>
  <si>
    <t>Ashley Allen</t>
  </si>
  <si>
    <t>20251224001252-40307793</t>
  </si>
  <si>
    <t>Matthew Clark</t>
  </si>
  <si>
    <t>570-240-7631</t>
  </si>
  <si>
    <t>blank drill Phaze II</t>
  </si>
  <si>
    <t>Brayden Matthews</t>
  </si>
  <si>
    <t>570-677-0591</t>
  </si>
  <si>
    <t>Hammer Raw blue/orange 12 lb</t>
  </si>
  <si>
    <t>Turbo 1 3/8" slug blue/purple (20)</t>
  </si>
  <si>
    <t>Vince Soriano</t>
  </si>
  <si>
    <t>Hunter</t>
  </si>
  <si>
    <t>Magnotta</t>
  </si>
  <si>
    <t>Zero Mercy 14 lb</t>
  </si>
  <si>
    <t>James</t>
  </si>
  <si>
    <t>new ball assessment</t>
  </si>
  <si>
    <t>Vic Cognetti</t>
  </si>
  <si>
    <t>drill plugged ball</t>
  </si>
  <si>
    <t>Preston</t>
  </si>
  <si>
    <t>215-801-0490</t>
  </si>
  <si>
    <t>Blank drill iq tour</t>
  </si>
  <si>
    <t>Derek Depoti</t>
  </si>
  <si>
    <t>570-904-9711</t>
  </si>
  <si>
    <t>Turbo 1 1/4" slug red/green (100)</t>
  </si>
  <si>
    <t>Landon Sosa</t>
  </si>
  <si>
    <t>570-677-5005</t>
  </si>
  <si>
    <t>Jade Hoakes</t>
  </si>
  <si>
    <t>570-815-1482</t>
  </si>
  <si>
    <t>Motiv Apex Jackal 14 lb</t>
  </si>
  <si>
    <t>Jerry Foley</t>
  </si>
  <si>
    <t>Allison Foley</t>
  </si>
  <si>
    <t>Allan Ross</t>
  </si>
  <si>
    <t>570-840-0910</t>
  </si>
  <si>
    <t>Nebula 15 lb - in stock</t>
  </si>
  <si>
    <t>Rutheana Clark (Ashleys Mom)</t>
  </si>
  <si>
    <t>Just fit hand, can drill at later time. Her ball is payed for.</t>
  </si>
  <si>
    <t>Joey Costanzo</t>
  </si>
  <si>
    <t>drill blank</t>
  </si>
  <si>
    <t>Stacy Costanzo</t>
  </si>
  <si>
    <t>drill 2 blank</t>
  </si>
  <si>
    <t>Maura Wisnefski</t>
  </si>
  <si>
    <t>570-851-9078</t>
  </si>
  <si>
    <t xml:space="preserve">Twist lavender/lime 12 lb </t>
  </si>
  <si>
    <t>Turbo 1 3/8" slug red/green (10)</t>
  </si>
  <si>
    <t>570-460-1201</t>
  </si>
  <si>
    <t>invoice work</t>
  </si>
  <si>
    <t>Joan Magnotta</t>
  </si>
  <si>
    <t>Switch balls to Jopo</t>
  </si>
  <si>
    <t>Gaetano Arcurie</t>
  </si>
  <si>
    <t>Anger Solid 12 lb</t>
  </si>
  <si>
    <t>John Schwartztrauber</t>
  </si>
  <si>
    <t>Equinox Pearl 14 lb</t>
  </si>
  <si>
    <t>Turbo 1 1/4"slug pink/white (50)</t>
  </si>
  <si>
    <t>Turbo smart grip ball (20)</t>
  </si>
  <si>
    <t>711239 (4)</t>
  </si>
  <si>
    <t>Turbo T45 ball plug (4)</t>
  </si>
  <si>
    <t>drill 4 plugged balls with grips &amp; JoPo sleeves</t>
  </si>
  <si>
    <t>Gary Gilbert</t>
  </si>
  <si>
    <t>drill Hammerhead Pearl</t>
  </si>
  <si>
    <t>711239 (3)</t>
  </si>
  <si>
    <t>Kennedy</t>
  </si>
  <si>
    <t>drill NU Hammer</t>
  </si>
  <si>
    <t>Jena</t>
  </si>
  <si>
    <t>570-233-0348</t>
  </si>
  <si>
    <t>drill blank for son</t>
  </si>
  <si>
    <t>3 plugged balls and Zero Mercy Solid 15 lb</t>
  </si>
  <si>
    <t>Mya</t>
  </si>
  <si>
    <t>Arctic Vibe 15 lb</t>
  </si>
  <si>
    <t>Leland</t>
  </si>
  <si>
    <t>drill thumb hole</t>
  </si>
  <si>
    <t>Greg Balck</t>
  </si>
  <si>
    <t>347-952-5534</t>
  </si>
  <si>
    <t>Turbo super dams circle (10)</t>
  </si>
  <si>
    <t>Jon-Paul Rink</t>
  </si>
  <si>
    <t>570-881-0698</t>
  </si>
  <si>
    <t>Putting new slugs, and inserts, into the 3 old balls</t>
  </si>
  <si>
    <t xml:space="preserve"> Valley Lanes</t>
  </si>
  <si>
    <t>John Kime</t>
  </si>
  <si>
    <t>570-470-6431</t>
  </si>
  <si>
    <t>drill plugged Rhino</t>
  </si>
  <si>
    <t>Kit Collins</t>
  </si>
  <si>
    <t>570-510-1825</t>
  </si>
  <si>
    <t>Turbo super dams oval (10)</t>
  </si>
  <si>
    <t>drill blank - surprise for birthday</t>
  </si>
  <si>
    <t>drill Phaze II Pearl 14 lb</t>
  </si>
  <si>
    <t>Colin Giordano</t>
  </si>
  <si>
    <t>Cullen Mccarthy</t>
  </si>
  <si>
    <t>Fit and drill green rhino</t>
  </si>
  <si>
    <t>drill Widow Dynasty</t>
  </si>
  <si>
    <t>Kim Mecca</t>
  </si>
  <si>
    <t>ball consult for her &amp; Vito; shoe consult for her</t>
  </si>
  <si>
    <t>Brianna Clark</t>
  </si>
  <si>
    <t>781-654-1547</t>
  </si>
  <si>
    <t>Turbo drilling reamer</t>
  </si>
  <si>
    <t>drill blank polyester ball</t>
  </si>
  <si>
    <t>Greg Clark</t>
  </si>
  <si>
    <t>Charleen Bixby</t>
  </si>
  <si>
    <t>Phil Ferresse</t>
  </si>
  <si>
    <t>570-914-8841</t>
  </si>
  <si>
    <t>Hammer NU 2.0</t>
  </si>
  <si>
    <t>Tom Boylan</t>
  </si>
  <si>
    <t>570-766-2123</t>
  </si>
  <si>
    <t>Motiv Evoke Mayhem</t>
  </si>
  <si>
    <t>Cameron Marhelski</t>
  </si>
  <si>
    <t>570-954-8124</t>
  </si>
  <si>
    <t>drill blank for 6 year old</t>
  </si>
  <si>
    <t>Iveon Niola</t>
  </si>
  <si>
    <t>646-944-9911</t>
  </si>
  <si>
    <t>Fit and drill blank for youth bowler</t>
  </si>
  <si>
    <t>Ken Lillie</t>
  </si>
  <si>
    <t>Take measurements - Marcus Ball/refit. Drill plugged ball</t>
  </si>
  <si>
    <t>Turbo plug cutter</t>
  </si>
  <si>
    <t>Liam Boylan</t>
  </si>
  <si>
    <t>drill Tour V1 15 lb</t>
  </si>
  <si>
    <t>Kyle Dittus</t>
  </si>
  <si>
    <t>570-417-6472</t>
  </si>
  <si>
    <t>consult new ball for him and his son</t>
  </si>
  <si>
    <t>Tom Fasano</t>
  </si>
  <si>
    <t>646-296-1187</t>
  </si>
  <si>
    <t>drill Dynasty 14 lb</t>
  </si>
  <si>
    <t>TJ Murphy</t>
  </si>
  <si>
    <t>570-991-1204</t>
  </si>
  <si>
    <t>Tropical Surge 15 lb</t>
  </si>
  <si>
    <t xml:space="preserve">Jason Rodney </t>
  </si>
  <si>
    <t>John Keyes</t>
  </si>
  <si>
    <t>Turbo fitting tape 30 piece blue (12)</t>
  </si>
  <si>
    <t>refit Rhino</t>
  </si>
  <si>
    <t>Joey</t>
  </si>
  <si>
    <t>Fit and Drill blank sunstorm 15lb</t>
  </si>
  <si>
    <t>Adriana Rodriguez</t>
  </si>
  <si>
    <t>drill RST Hyperdrive 12 lb</t>
  </si>
  <si>
    <t>Mark Velehoski</t>
  </si>
  <si>
    <t>570-479-3221</t>
  </si>
  <si>
    <t>drill 3 plugged balls</t>
  </si>
  <si>
    <t>Allen Phelps</t>
  </si>
  <si>
    <t>Leann Martin</t>
  </si>
  <si>
    <t>Fitting and Drilling fingertip ball. Physix Blackout</t>
  </si>
  <si>
    <t>change 4 balls to JoPo</t>
  </si>
  <si>
    <t>David Charles</t>
  </si>
  <si>
    <t>Fit and drill NU 2.0</t>
  </si>
  <si>
    <t>Turbo fitting tape 30 piece beige (6)</t>
  </si>
  <si>
    <t>570-446-4001</t>
  </si>
  <si>
    <t>Paul Luongo</t>
  </si>
  <si>
    <t>570-856-5902</t>
  </si>
  <si>
    <t>drill plugged Ocean Vibe</t>
  </si>
  <si>
    <t>Andrew Szuhay</t>
  </si>
  <si>
    <t>435-233-8679</t>
  </si>
  <si>
    <t xml:space="preserve">drill 2 blank balls </t>
  </si>
  <si>
    <t>Debra Barno</t>
  </si>
  <si>
    <t>570-903-9958</t>
  </si>
  <si>
    <t>consult for new ball</t>
  </si>
  <si>
    <t>Michelle Battle</t>
  </si>
  <si>
    <t>570-926-4690</t>
  </si>
  <si>
    <t>drill blank for son Nolan</t>
  </si>
  <si>
    <t>Stephanie</t>
  </si>
  <si>
    <t>See order details</t>
  </si>
  <si>
    <t>Fitting hand, ball was ordered, i can drill it tuesday when it gets here.</t>
  </si>
  <si>
    <t>Ben Klem</t>
  </si>
  <si>
    <t>570-466-5743</t>
  </si>
  <si>
    <t>drll Carl O'Neil's plugged Ocean Vibe</t>
  </si>
  <si>
    <t>Debra Lawson</t>
  </si>
  <si>
    <t>272-235-9758</t>
  </si>
  <si>
    <t>Fit and drill youth ball</t>
  </si>
  <si>
    <t>Turbo fitting tape 30 piece purple (6)</t>
  </si>
  <si>
    <t>Pat Mcdonald</t>
  </si>
  <si>
    <t>Drill used bubblegum vibe</t>
  </si>
  <si>
    <t>Donna Dexter</t>
  </si>
  <si>
    <t>570-470-6931</t>
  </si>
  <si>
    <t>Blank drill</t>
  </si>
  <si>
    <t>Andy Lopez</t>
  </si>
  <si>
    <t>570-507-1762</t>
  </si>
  <si>
    <t>used Axis ball</t>
  </si>
  <si>
    <t>Alex Szuhay</t>
  </si>
  <si>
    <t>fit and drill 2 blank balls</t>
  </si>
  <si>
    <t>Melissa Good</t>
  </si>
  <si>
    <t>570-650-9643</t>
  </si>
  <si>
    <t>Marissa</t>
  </si>
  <si>
    <t>570-851-7957</t>
  </si>
  <si>
    <t>Turbo fitting tape 30 piece mint (6)</t>
  </si>
  <si>
    <t>Charles Ivey</t>
  </si>
  <si>
    <t>570-909-7969</t>
  </si>
  <si>
    <t>Grayson Ancherani</t>
  </si>
  <si>
    <t>570-498-2323</t>
  </si>
  <si>
    <t>drill blank for 7 year old - Mom Allison</t>
  </si>
  <si>
    <t>Tom curtis</t>
  </si>
  <si>
    <t>Fit and drill female for 13lb danger z</t>
  </si>
  <si>
    <t>Eric Gima</t>
  </si>
  <si>
    <t>570-218-2990</t>
  </si>
  <si>
    <t xml:space="preserve">drill blank &amp; make 2 thumbs </t>
  </si>
  <si>
    <t>Joe Reilly</t>
  </si>
  <si>
    <t>570-406-4221</t>
  </si>
  <si>
    <t>drill Crown Victory Pearl 14 lb</t>
  </si>
  <si>
    <t>John Kawka</t>
  </si>
  <si>
    <t>570-604-3744</t>
  </si>
  <si>
    <t>Date</t>
  </si>
  <si>
    <t>Day</t>
  </si>
  <si>
    <t>Open Time 1</t>
  </si>
  <si>
    <t>Close Time 1</t>
  </si>
  <si>
    <t>Open Note 1</t>
  </si>
  <si>
    <t>Brian Hamiltin</t>
  </si>
  <si>
    <t>Open Time 2</t>
  </si>
  <si>
    <t>Close Time 2</t>
  </si>
  <si>
    <t>Fit and Drill nu2.0 14lb</t>
  </si>
  <si>
    <t>South Side</t>
  </si>
  <si>
    <t>Open Note 2</t>
  </si>
  <si>
    <t>Vise black 2, 2.5, 3, 3.5, 4.5, 5, 5.5, 6, 7, 7.5 (5)</t>
  </si>
  <si>
    <t>Valley Bowling Lanes</t>
  </si>
  <si>
    <t>Tim Farrell</t>
  </si>
  <si>
    <t>570-706-6619</t>
  </si>
  <si>
    <t>drill Bionic 16 lb</t>
  </si>
  <si>
    <t>Monday</t>
  </si>
  <si>
    <t>Sarah Sorrells</t>
  </si>
  <si>
    <t>540 319 3111</t>
  </si>
  <si>
    <t>drill Viking 14 lb</t>
  </si>
  <si>
    <t>Chris Fallon</t>
  </si>
  <si>
    <t>570-280-6369</t>
  </si>
  <si>
    <t>drill Rhino 14 lb</t>
  </si>
  <si>
    <t>Pasquale D'Abbraccio</t>
  </si>
  <si>
    <t>drill Tour V1, Zero Mercy Solid, 78D &amp; Full Effect 115 lb</t>
  </si>
  <si>
    <t>Harleey</t>
  </si>
  <si>
    <t>Fit and Drill blue tank and jackal rising</t>
  </si>
  <si>
    <t>Tuesday</t>
  </si>
  <si>
    <t>Demry Bessermin</t>
  </si>
  <si>
    <t>Doug Only</t>
  </si>
  <si>
    <t>drill blank for 5 year old</t>
  </si>
  <si>
    <t>Wednesday</t>
  </si>
  <si>
    <t>Tom Wheeler</t>
  </si>
  <si>
    <t>570-780-2023</t>
  </si>
  <si>
    <t xml:space="preserve">drill Tour V1 </t>
  </si>
  <si>
    <t>Vise clear 3, 3.5, 4.5, 5, 5.5, 6 (5)</t>
  </si>
  <si>
    <t>Thursday</t>
  </si>
  <si>
    <t>Assisted Living</t>
  </si>
  <si>
    <t>570-876-3066</t>
  </si>
  <si>
    <t>Friday</t>
  </si>
  <si>
    <t>Closed</t>
  </si>
  <si>
    <t>Square mesage</t>
  </si>
  <si>
    <t>drill Hammer NU 2.0 14 lb</t>
  </si>
  <si>
    <t>Saturday</t>
  </si>
  <si>
    <t>Sunday</t>
  </si>
  <si>
    <t>drill Rhino 12lb</t>
  </si>
  <si>
    <t>Shop will open after league</t>
  </si>
  <si>
    <t>Dennis Meek</t>
  </si>
  <si>
    <t>570-351-8000</t>
  </si>
  <si>
    <t>drill Turbo X 15 lb</t>
  </si>
  <si>
    <t>Amy Only</t>
  </si>
  <si>
    <t>570-840-5286</t>
  </si>
  <si>
    <t>drill Black Widow Dynasty 3.0 14 lb</t>
  </si>
  <si>
    <t>Aaron Blakely</t>
  </si>
  <si>
    <t>252-475-0334</t>
  </si>
  <si>
    <t>Alan Reuther</t>
  </si>
  <si>
    <t>drill Tour V1 14 lb</t>
  </si>
  <si>
    <t>Jay Rodney</t>
  </si>
  <si>
    <t>Storm Ion Pro Solid 14 lb</t>
  </si>
  <si>
    <t>Fit and Drill Hysteria</t>
  </si>
  <si>
    <t>Appointment Only</t>
  </si>
  <si>
    <t>Drill blank</t>
  </si>
  <si>
    <t>Copy and Paste for Facebook post!</t>
  </si>
  <si>
    <t>Kevin Bauer</t>
  </si>
  <si>
    <t>610-310-2504</t>
  </si>
  <si>
    <t>Shop hours for this week, Mar 9 - Mar 15 are as follows:
Monday 6pm-8:30pm @ Valley / 9pm-10:30pm Shop will open after league @ Idle Hours South
Tuesday 6pm-8:30pm Doug Only @ Valley / 11:30am-2pm Amy Only @ Idle Hours South &amp; 6pm-8:30pm
Wednesday 6pm-8:30pm @ Valley
Thursday 6pm-8:30pm @ Valley / 6pm-8pm @ Idle Hours South
Friday closed
Saturday 9:30am-1pm @ Valley / 9am-12pm @ Idle Hours South
Sunday 4pm-8:30pm @ Valley / Appointment Only @ Idle Hours South</t>
  </si>
  <si>
    <t>Marty</t>
  </si>
  <si>
    <t>Track Synthesis 15 lb</t>
  </si>
  <si>
    <t>Gina Calpin</t>
  </si>
  <si>
    <t>570-614-3078</t>
  </si>
  <si>
    <t>Brunswick Fusion grey RH 10</t>
  </si>
  <si>
    <t>Carmine Santopietro</t>
  </si>
  <si>
    <t>drill Effect Tour 14 lb</t>
  </si>
  <si>
    <t>Danger Zone Solid 14 lb</t>
  </si>
  <si>
    <t>Hammer Zero Mercy Solid &amp; purple pearl urethane 14 lb</t>
  </si>
  <si>
    <t>Charlie Joely's nephew</t>
  </si>
  <si>
    <t>570-687-3630</t>
  </si>
  <si>
    <t>Larry K</t>
  </si>
  <si>
    <t>William Bauer</t>
  </si>
  <si>
    <t>610-310-2002</t>
  </si>
  <si>
    <t>570-499-2647</t>
  </si>
  <si>
    <t>Brunswick Fusion grey RH 8W</t>
  </si>
  <si>
    <t>white Dot black purple silver 10 lb</t>
  </si>
  <si>
    <t>Penny</t>
  </si>
  <si>
    <t>Fit and Drill Tzone</t>
  </si>
  <si>
    <t>Kyle Gallagher</t>
  </si>
  <si>
    <t>570-604-5142</t>
  </si>
  <si>
    <t>fit and drill blank for ARC bowler</t>
  </si>
  <si>
    <t>Storm Phaze II 14 lb - wants to get PAP</t>
  </si>
  <si>
    <t>Tropical Surge Solid 11 lb for wife</t>
  </si>
  <si>
    <t>570-520-9246</t>
  </si>
  <si>
    <t>drill 2 blanks - no thumb</t>
  </si>
  <si>
    <t>Tony Russo</t>
  </si>
  <si>
    <t>Gregory Masters</t>
  </si>
  <si>
    <t>570-507-0460</t>
  </si>
  <si>
    <t xml:space="preserve">fit and drill blank </t>
  </si>
  <si>
    <t>fit and drill blank</t>
  </si>
  <si>
    <t>570-290-3217</t>
  </si>
  <si>
    <t>Dexter SST8 Power Frame BOA blue/red wide 9.5</t>
  </si>
  <si>
    <t>Jared Morris</t>
  </si>
  <si>
    <t>570-815-2610</t>
  </si>
  <si>
    <t>drill Concept 15 lb</t>
  </si>
  <si>
    <t>change grips and install JoPo sleeve</t>
  </si>
  <si>
    <t>drill blank &amp; drop off 2 balls to plug</t>
  </si>
  <si>
    <t>drill Storm Mix 15 lb</t>
  </si>
  <si>
    <t>drill blank, change grips, install JoPo sleeves x 2</t>
  </si>
  <si>
    <t>Hammer Black Urethane 14 lb</t>
  </si>
  <si>
    <t>Erik Smith</t>
  </si>
  <si>
    <t>drill plugged Pure Envy</t>
  </si>
  <si>
    <t>drill plugged ball and blank ball</t>
  </si>
  <si>
    <t>Joe</t>
  </si>
  <si>
    <t>new ball consult</t>
  </si>
  <si>
    <t>?</t>
  </si>
  <si>
    <t>Ty</t>
  </si>
  <si>
    <t>plug &amp; redrill - new ball for father anf friend</t>
  </si>
  <si>
    <t>T</t>
  </si>
  <si>
    <t>570-986-4630</t>
  </si>
  <si>
    <t>drill No Doubt hybrid 12 lb</t>
  </si>
  <si>
    <t>Brian Conserette</t>
  </si>
  <si>
    <t>Rodney Jay</t>
  </si>
  <si>
    <t>drill Concept 16 lb</t>
  </si>
  <si>
    <t xml:space="preserve">drill Widow Mania </t>
  </si>
  <si>
    <t>Fred Catapano</t>
  </si>
  <si>
    <t>516 987 1792</t>
  </si>
  <si>
    <t>Bryan Mowrer</t>
  </si>
  <si>
    <t>717-873-6072</t>
  </si>
  <si>
    <t>Drill Fallout 15 lb</t>
  </si>
  <si>
    <t>Harvey Kellogg</t>
  </si>
  <si>
    <t>drill IQ Tour Solid 16 lb &amp; blank and eval</t>
  </si>
  <si>
    <t>Hammer Axe Smoke Gray 15 lbs</t>
  </si>
  <si>
    <t>Roger Ebert</t>
  </si>
  <si>
    <t>drill t-zone</t>
  </si>
  <si>
    <t>dril t-zone</t>
  </si>
  <si>
    <t>Pete W</t>
  </si>
  <si>
    <t>Drill phaze 2 pearl</t>
  </si>
  <si>
    <t>Mark Ross</t>
  </si>
  <si>
    <t>Drill ball from wall 15 lb</t>
  </si>
  <si>
    <t>Jay Roman</t>
  </si>
  <si>
    <t>570-604-5140</t>
  </si>
  <si>
    <t>drill Jackal Ghost</t>
  </si>
  <si>
    <t>drill Demo ball</t>
  </si>
  <si>
    <t>215-440-2359</t>
  </si>
  <si>
    <t>drill Outer Limits Black Hole 14 lb</t>
  </si>
  <si>
    <t>Gary Ladomirak Jr</t>
  </si>
  <si>
    <t>272-307-6809</t>
  </si>
  <si>
    <t>drill Deep Ocean Vibe 15 lb</t>
  </si>
  <si>
    <t>Melissa Williams</t>
  </si>
  <si>
    <t>570-592-0042</t>
  </si>
  <si>
    <t xml:space="preserve">drill Zero Mercy Solid 14 lb </t>
  </si>
  <si>
    <t>IQ Tour Sapphire 15lbs</t>
  </si>
  <si>
    <t>914-850-0875</t>
  </si>
  <si>
    <t>drill Storm IQ Tour Sapphire 15 lb</t>
  </si>
  <si>
    <t>Lucas Koch</t>
  </si>
  <si>
    <t>drill DV8 Heckler 15 lb</t>
  </si>
  <si>
    <t>drill Fury for girlfriend &amp; ball for friend</t>
  </si>
  <si>
    <t>272-250-8690</t>
  </si>
  <si>
    <t>570 369 3815</t>
  </si>
  <si>
    <t>Drill Zero Mercy Solid 15</t>
  </si>
  <si>
    <t>570 840 6953</t>
  </si>
  <si>
    <t>Drill Vengance and another ball.</t>
  </si>
  <si>
    <t>Fb messenger</t>
  </si>
  <si>
    <t>Drill Zero Mercy and Next Factor.</t>
  </si>
  <si>
    <t>drill Ion Pro Solid 14 lb and ball for friend</t>
  </si>
  <si>
    <t>Tom Curtis</t>
  </si>
  <si>
    <t>drill 2 plugged balls</t>
  </si>
  <si>
    <t>Christiana</t>
  </si>
  <si>
    <t>drill plugged rhino</t>
  </si>
  <si>
    <t>Demo Day</t>
  </si>
  <si>
    <t>melissaw0615@gmail.com</t>
  </si>
  <si>
    <t>Melissa williams</t>
  </si>
  <si>
    <t>drill mania</t>
  </si>
  <si>
    <t>570 592 0042</t>
  </si>
  <si>
    <t>Selwyn Wright</t>
  </si>
  <si>
    <t>646 269 4155</t>
  </si>
  <si>
    <t>Eval and Drill on the road ball.</t>
  </si>
  <si>
    <t xml:space="preserve">South </t>
  </si>
  <si>
    <t xml:space="preserve">Hammer Zero Mercy Solid 14 </t>
  </si>
  <si>
    <t>Scott Pierson</t>
  </si>
  <si>
    <t>570 762 4555</t>
  </si>
  <si>
    <t>Drill Danger Zone 14</t>
  </si>
  <si>
    <t>John Born</t>
  </si>
  <si>
    <t>Change thumb slug, detox ball</t>
  </si>
  <si>
    <t>Eric Bealla</t>
  </si>
  <si>
    <t>570 817 9516</t>
  </si>
  <si>
    <t>Drill Spawn from Demo Day</t>
  </si>
  <si>
    <t>Ray St Claire</t>
  </si>
  <si>
    <t>Dylan Wiley</t>
  </si>
  <si>
    <t>315 804 4311</t>
  </si>
  <si>
    <t>Eval.  New bowler no thumb.  15.  Discussed NU hammer or vibe based on eval.</t>
  </si>
  <si>
    <t>914 850 0875</t>
  </si>
  <si>
    <t>Storm IQ tour Sapphire 15 lb</t>
  </si>
  <si>
    <t>Roto Grip Rockstar 14 lb</t>
  </si>
  <si>
    <t>Hammer 3D Offset Assault 14 lb</t>
  </si>
  <si>
    <t>C300 Pulse 15 lb</t>
  </si>
  <si>
    <t>Track Theorem Solid 15 lb</t>
  </si>
  <si>
    <t>Stormoji Angry Grip Sacks</t>
  </si>
  <si>
    <t>Motiv Evoke Hysteria 14 lb</t>
  </si>
  <si>
    <t>Roto Grip X-Cell 14 lb</t>
  </si>
  <si>
    <t>Storm Identity 15 lb</t>
  </si>
  <si>
    <t>Storm Identity 14 lb</t>
  </si>
  <si>
    <t>Dexter #6 sole</t>
  </si>
  <si>
    <t>Brunswick Prism blue size 11</t>
  </si>
  <si>
    <t>Brunswick Pro Wrist support M</t>
  </si>
  <si>
    <t>Brunswick Pro Wrist support L</t>
  </si>
  <si>
    <t>Brunswick Pro Wrist support XL</t>
  </si>
  <si>
    <t>Storm Mix blk/purple/pink 14 lb</t>
  </si>
  <si>
    <t>KR Royal Flush triple roller silver</t>
  </si>
  <si>
    <t>Brunswick Rhino metallic blue/blk 14 lb</t>
  </si>
  <si>
    <t>Hammer Bubblegum Vibe 14 lb</t>
  </si>
  <si>
    <t>Brunswick Hammer sole #8</t>
  </si>
  <si>
    <t>Brunswick sole #10</t>
  </si>
  <si>
    <t>Storm Tropical Surge blk/cherry 15 lb</t>
  </si>
  <si>
    <t>Brunswick T-zone ocean reef 14 lb</t>
  </si>
  <si>
    <t>Tony Sromvsky</t>
  </si>
  <si>
    <t>Brunswick Rhino cobalt/aqua/teal 13 lb</t>
  </si>
  <si>
    <t>570 479 9148</t>
  </si>
  <si>
    <t>Brunswick Rhino cobalt/aqua/teal 15 lb</t>
  </si>
  <si>
    <t>Strikeforce Aviator blue size 8</t>
  </si>
  <si>
    <t>Strikeforce Aviator blue size 7.5</t>
  </si>
  <si>
    <t>Brunswick Alpha size  8</t>
  </si>
  <si>
    <t>T zone ocean reef 6 lb</t>
  </si>
  <si>
    <t>TG black 47</t>
  </si>
  <si>
    <t>TG clear 11</t>
  </si>
  <si>
    <t>Brunswick Coast sand size 8.5</t>
  </si>
  <si>
    <t>Brunswick Nexxus size 8</t>
  </si>
  <si>
    <t>Brunswick Nexxus size 9</t>
  </si>
  <si>
    <t>Brunswick Prism black size 11.5</t>
  </si>
  <si>
    <t>Hammer Bubblegum Vibe 13 lb</t>
  </si>
  <si>
    <t>C300 White Dot Peek-A-Boo Berry 14 lb</t>
  </si>
  <si>
    <t>C300 White Dot Diamond 10 lb</t>
  </si>
  <si>
    <t>Emoji Poo Happens grip sack</t>
  </si>
  <si>
    <t>Motiv Venom Shock 15 lb</t>
  </si>
  <si>
    <t>Football Shoe Covers</t>
  </si>
  <si>
    <t>Vise P/O 3/4 black</t>
  </si>
  <si>
    <t>Vise P/O 11/16 black</t>
  </si>
  <si>
    <t>Track Theorem Solid 14 lb</t>
  </si>
  <si>
    <t>C300 Pulse 14 lb</t>
  </si>
  <si>
    <t>Brunswick  Combat 14 lb</t>
  </si>
  <si>
    <t>Brunswick  Combat 15 lb</t>
  </si>
  <si>
    <t>Track Paragon Shadow 14 lb</t>
  </si>
  <si>
    <t>Track Paragon Shadow 15 lb</t>
  </si>
  <si>
    <t>C300 Pulse 15 lb F-9694</t>
  </si>
  <si>
    <t>Brunswick T-zone scarlet shadow 14 lb</t>
  </si>
  <si>
    <t>Brunswick Siege size 12 W</t>
  </si>
  <si>
    <t>Motiv Evoke Hysteria 13lb</t>
  </si>
  <si>
    <t>Hammer Arctic Vibe 11lb</t>
  </si>
  <si>
    <t>Hammer Special Effect 13lb</t>
  </si>
  <si>
    <t>C300 White Dot Peek-A-Boo Berry 12 lb</t>
  </si>
  <si>
    <t>Hammer NU Blue 14 lb</t>
  </si>
  <si>
    <t>900 Global Vengance 15 lb</t>
  </si>
  <si>
    <t>Brunswick Infinity Quest 15 lb</t>
  </si>
  <si>
    <t>Brunswick Combat 15 lb</t>
  </si>
  <si>
    <t>Brunswick Hero 9.5</t>
  </si>
  <si>
    <t>Brunswick Prism size 9.5</t>
  </si>
  <si>
    <t>Radical Torpedo 15 lb</t>
  </si>
  <si>
    <t>Brunswick Infinity Quest 14 lb</t>
  </si>
  <si>
    <t>Ebonite Turbo X 16 lb</t>
  </si>
  <si>
    <t>Motiv Evoke Hysteria 15 lb</t>
  </si>
  <si>
    <t>Motiv Jackal Ghost 15 lb</t>
  </si>
  <si>
    <t>Motiv Evoke Hysteria 16 lb</t>
  </si>
  <si>
    <t>Hammer Axe purple/pink 11 lb</t>
  </si>
  <si>
    <t>Brunswick Moves Periwinkle size 9</t>
  </si>
  <si>
    <t>Radical Torpedo 14 lb</t>
  </si>
  <si>
    <t>Motiv Aspire Blk/Red/Gold</t>
  </si>
  <si>
    <t>JoPo Outer Sleeves</t>
  </si>
  <si>
    <t>Dexter the 9 #10 for size 10.5 shoe</t>
  </si>
  <si>
    <t>Brunswick T-zone scarlet shadow 10 lb</t>
  </si>
  <si>
    <t>F</t>
  </si>
  <si>
    <t>Brunswick Prism black size 9</t>
  </si>
  <si>
    <t>Strikeforce joey bag</t>
  </si>
  <si>
    <t>Turbo triple tote black/orange</t>
  </si>
  <si>
    <t>Turbo 1 1/8" pink/white slug</t>
  </si>
  <si>
    <t>Turbo switch grip inner urethane black</t>
  </si>
  <si>
    <t>570-814-0128</t>
  </si>
  <si>
    <t>Turbo switch grip inner blank black</t>
  </si>
  <si>
    <t>Turbo switch grip outer sleeves</t>
  </si>
  <si>
    <t>Turbo fitting tape beige 30 pc packs</t>
  </si>
  <si>
    <t>Brunswick T-zone indigo swirl 15 lb</t>
  </si>
  <si>
    <t>TG black 5</t>
  </si>
  <si>
    <t>TG black 43</t>
  </si>
  <si>
    <t>TG black 11</t>
  </si>
  <si>
    <t>TG black 21</t>
  </si>
  <si>
    <t>jennyryas@hotmail.com</t>
  </si>
  <si>
    <t>TG white 23</t>
  </si>
  <si>
    <t xml:space="preserve">JennyRose Yasinskas </t>
  </si>
  <si>
    <t>TG white 25</t>
  </si>
  <si>
    <t>570 815 5630</t>
  </si>
  <si>
    <t>TG blue 21</t>
  </si>
  <si>
    <t>TG red 21</t>
  </si>
  <si>
    <t>Brunswick Move Perriwinkle size 7.5</t>
  </si>
  <si>
    <t>TG red 25</t>
  </si>
  <si>
    <t>TG red 13</t>
  </si>
  <si>
    <t>Track Theorem Solid 16 lb</t>
  </si>
  <si>
    <t>Hammer Black Widow 2.0 Hybrid 15 lb</t>
  </si>
  <si>
    <t>C300 Pulse 16 lb</t>
  </si>
  <si>
    <t>Brunswick T-zone caribbean blue 9 lb</t>
  </si>
  <si>
    <t>Dexter SST 8 white size 10</t>
  </si>
  <si>
    <t>C300 White Dot Peek-a-boo berry 10 lb</t>
  </si>
  <si>
    <t>Dexter Raquel Lite RH size 7</t>
  </si>
  <si>
    <t>Brunswick Prism black size 9.5</t>
  </si>
  <si>
    <t>Brunswick Coast size 8.5</t>
  </si>
  <si>
    <t>DV8 Dark Side 14 lb</t>
  </si>
  <si>
    <t>Brunswick Twist Lime/Purple 12 lb</t>
  </si>
  <si>
    <t>Roto Grip Hustle X-ray 14 lb</t>
  </si>
  <si>
    <t>Radical Torpedo Direct Hit 14 lb</t>
  </si>
  <si>
    <t>Vise Hada Patch 40 PCS/Bag 1" Tape aqua</t>
  </si>
  <si>
    <t>Storm Tropical Surge 10 lb</t>
  </si>
  <si>
    <t>Hammer Black Widow 3.0 15 lb</t>
  </si>
  <si>
    <t>Motiv Venom Shock 12 lb</t>
  </si>
  <si>
    <t>Brunswick Edge single tote</t>
  </si>
  <si>
    <t>Brunswick Scholar size 10.5</t>
  </si>
  <si>
    <t>C300 Super Cuda Pearl 14 lb</t>
  </si>
  <si>
    <t>C300 Super Cuda Pearl 15 lb</t>
  </si>
  <si>
    <t>Marie Caporali</t>
  </si>
  <si>
    <t>Master Skin Patch</t>
  </si>
  <si>
    <t>Roto Grip RST Hyperdrive Pearl 15 lb</t>
  </si>
  <si>
    <t>Hammer Maximum Effect 15 lb</t>
  </si>
  <si>
    <t>570-499-2753</t>
  </si>
  <si>
    <t>Hammer Tour V1 15 lb</t>
  </si>
  <si>
    <t>Guru Oracle 15 lb</t>
  </si>
  <si>
    <t>Combat 15 lb</t>
  </si>
  <si>
    <t xml:space="preserve">T zone berry blast 12 lb. </t>
  </si>
  <si>
    <t>Brunswick Strikezone White/Teal size 2</t>
  </si>
  <si>
    <t>Ebonite The One Ovation 15 lb</t>
  </si>
  <si>
    <t>Motiv Max Thrill Solid 15 lb</t>
  </si>
  <si>
    <t>Hammer Raw Blue/Black/Orange 15 lb</t>
  </si>
  <si>
    <t>Brunswick T-zone night sky 15 lb</t>
  </si>
  <si>
    <t>Hammer Raw Smoke/Blue/Gold 10 lb</t>
  </si>
  <si>
    <t>Dexter Raquel Lite RH size 8</t>
  </si>
  <si>
    <t>Brunswick Spark Single Tote frozen bliss</t>
  </si>
  <si>
    <t>C300White Dot Wild Orchid 12 lb</t>
  </si>
  <si>
    <t>KR Starr white size 7</t>
  </si>
  <si>
    <t>KR Starr white size 7.5</t>
  </si>
  <si>
    <t>Hammer Purple Urethane 14 lb</t>
  </si>
  <si>
    <t>Hammer Anger Pearl 15 lb</t>
  </si>
  <si>
    <t>C300 White Dot Peek a Boo Berry 10 lb</t>
  </si>
  <si>
    <t>Turbo MS 17 Clear</t>
  </si>
  <si>
    <t>Turbo MS 17 Black</t>
  </si>
  <si>
    <t>Turbo MS 35 Clear</t>
  </si>
  <si>
    <t>Lisa McKenna</t>
  </si>
  <si>
    <t>Turbo MS 35 Black</t>
  </si>
  <si>
    <t>Turbo MS 9 Clear</t>
  </si>
  <si>
    <t>Turbo MS 9 Black</t>
  </si>
  <si>
    <t>Turbo MS 37 Clear</t>
  </si>
  <si>
    <t>TG blue 39</t>
  </si>
  <si>
    <t>Turbo MS 37 Black</t>
  </si>
  <si>
    <t>Turbo MS 19 Clear</t>
  </si>
  <si>
    <t>Turbo MS 19 Black</t>
  </si>
  <si>
    <t>Turbo MS 39 Clear</t>
  </si>
  <si>
    <t>Turbo MS 39 Black</t>
  </si>
  <si>
    <t>Turbo MS 5 Clear</t>
  </si>
  <si>
    <t>Turbo MS 5 Black</t>
  </si>
  <si>
    <t>Motiv Pride Liberty 13 lb</t>
  </si>
  <si>
    <t>Brunswick Rhino Purple/Pink/Berry Pearl 12 lb</t>
  </si>
  <si>
    <t>(570)-851-9078</t>
  </si>
  <si>
    <t>Brunswick Twist Lavender/Lime 12 lbs.</t>
  </si>
  <si>
    <t>Brunswick Twist Blk/Gold/Silver 14 lb</t>
  </si>
  <si>
    <t>Jopo Inner Blank Black</t>
  </si>
  <si>
    <t>Jopo Twist Tool</t>
  </si>
  <si>
    <t>900 Global shoe brush</t>
  </si>
  <si>
    <t>Hammer Maximum Effect 14 lb</t>
  </si>
  <si>
    <t>Hammer Tour V1 14 lb</t>
  </si>
  <si>
    <t>Brunswick T-zone berry blast 10 lb</t>
  </si>
  <si>
    <t>Hammer #6 sole</t>
  </si>
  <si>
    <t>Hammer Raw blk/purple/teal 13 lb</t>
  </si>
  <si>
    <t>TG ice 39</t>
  </si>
  <si>
    <t>Brunswick Prism size 9</t>
  </si>
  <si>
    <t>Nexxus black size 9</t>
  </si>
  <si>
    <t>Brunswick Twist pink/black 12 lb</t>
  </si>
  <si>
    <t>KR Hybrid Single Roller purple</t>
  </si>
  <si>
    <t>Brunswick Move periwinkle size 7.5</t>
  </si>
  <si>
    <t>Brunswick T-zone Berry Blast 14 lb</t>
  </si>
  <si>
    <t xml:space="preserve">IQ Tour 78u - 15 lbs </t>
  </si>
  <si>
    <t>Storm single tote purple</t>
  </si>
  <si>
    <t>C300 White Dot Wild Orchid 8 lb</t>
  </si>
  <si>
    <t>Brunswick Strikezone white/teal, size 2</t>
  </si>
  <si>
    <t>Hammer NU 2.0 15 lb</t>
  </si>
  <si>
    <t>TG white 41</t>
  </si>
  <si>
    <t>TG yellow 49</t>
  </si>
  <si>
    <t>TG neoprene wrister M</t>
  </si>
  <si>
    <t>TG neoprene wrister L</t>
  </si>
  <si>
    <t>Angelo Barry</t>
  </si>
  <si>
    <t>Hammer Raw Hybrid Red/Smoke/Black 13</t>
  </si>
  <si>
    <t>Brunswick Rhino magenta 10 lb</t>
  </si>
  <si>
    <t>520-339-7849</t>
  </si>
  <si>
    <t>Radical Guru Oracle 16 lb</t>
  </si>
  <si>
    <t>C300 White Dot Wild Orchid 12 lb</t>
  </si>
  <si>
    <t>Brunswick Twist red/purple 13 lb</t>
  </si>
  <si>
    <t>Danger Zone Solid 15lb</t>
  </si>
  <si>
    <t>Brunswick T-zone Deep Space 8 lb</t>
  </si>
  <si>
    <t>Brunswick Rhino metallic blue/blk 10 lb</t>
  </si>
  <si>
    <t>Hammer Raw Blue/Black/Orange 12 lb</t>
  </si>
  <si>
    <t>Brunswick Sidekick</t>
  </si>
  <si>
    <t>Dexter sole #8</t>
  </si>
  <si>
    <t>C300 White Dot Peek-a-boo Berry 14 lb</t>
  </si>
  <si>
    <t>C300 White Dot blk/purple/silver 10 lb</t>
  </si>
  <si>
    <t>Brunswick Move periwinkle size 8</t>
  </si>
  <si>
    <t>Brunswick Hero 8.5</t>
  </si>
  <si>
    <t>Hammer Raw blk/purple/teal 12 lb</t>
  </si>
  <si>
    <t>Brunswick Rhino metallic blk/blue 10 lb</t>
  </si>
  <si>
    <t>Turbo fitting tape bulk roll - beige</t>
  </si>
  <si>
    <t>Brunswick Pro Wrist Support  XL</t>
  </si>
  <si>
    <t>C300 Pulse 13 lb</t>
  </si>
  <si>
    <t>570-815-7256</t>
  </si>
  <si>
    <t>Brunswick t-zone peek a boo berry 15 lb</t>
  </si>
  <si>
    <t>KR Flyer Mesh Lite black/royal size 10.5 W</t>
  </si>
  <si>
    <t>Brunswick T-zone night sky 10 lb</t>
  </si>
  <si>
    <t>cancelled with Steve 1/14/26</t>
  </si>
  <si>
    <t>Storm 3 Ball Tournament Tote blue/blk</t>
  </si>
  <si>
    <t>KR Fast Slim Triple Tote white/blk/red</t>
  </si>
  <si>
    <t>Dexter Turbo Tour RH grey size 9</t>
  </si>
  <si>
    <t>Dexter Turbo Tour RH grey size 9.5</t>
  </si>
  <si>
    <t>Dexter Raquel black size 9.5</t>
  </si>
  <si>
    <t>Brunswick Blast single tote purple</t>
  </si>
  <si>
    <t>Brunswick Renegade grey size 10.5</t>
  </si>
  <si>
    <t>Hammer Raw Hybrid Red/Smoke/Black 14</t>
  </si>
  <si>
    <t>Brunswick T-zone caribbean blue 10 lb</t>
  </si>
  <si>
    <t>Brunswick T-zone single tote blue wave</t>
  </si>
  <si>
    <t>Brunswick Prism black size 10.5</t>
  </si>
  <si>
    <t>Dexter Pro BOA peach size 7</t>
  </si>
  <si>
    <t>Dexter Pro BOA peach size 7.5</t>
  </si>
  <si>
    <t>Item</t>
  </si>
  <si>
    <t>KR OPP Lite black size 10.5</t>
  </si>
  <si>
    <t>returned - ordered regular by mistake</t>
  </si>
  <si>
    <t>Brunswick Hero size 13</t>
  </si>
  <si>
    <t>908-528-6957</t>
  </si>
  <si>
    <t>Brunswick T-zone Deep Space 12 lb</t>
  </si>
  <si>
    <t>C300 WD scarlet/gold/black 13lb</t>
  </si>
  <si>
    <t>C300 White Dot blk/purple/silver 11 lb</t>
  </si>
  <si>
    <t>Brunswick T-zone scarlet shadow 11 lb</t>
  </si>
  <si>
    <t>Brunswick Hero 8</t>
  </si>
  <si>
    <t>C300 Richocet Return 15 lb</t>
  </si>
  <si>
    <t>Brunswick Move Periwinkle size 6.5</t>
  </si>
  <si>
    <t>Brunswick Move periwinkle size 7</t>
  </si>
  <si>
    <t>Brunswick Move periwinkle size 8.5</t>
  </si>
  <si>
    <t>Brunswick Move periwinkle size 9</t>
  </si>
  <si>
    <t>Brunswick Prism black size 10</t>
  </si>
  <si>
    <t>Brunswick Prism black size 11</t>
  </si>
  <si>
    <t>Brunswick Prism black size 12</t>
  </si>
  <si>
    <t>Brunswick Prism black size 13</t>
  </si>
  <si>
    <t>xf</t>
  </si>
  <si>
    <t>Radical Guru Oracle 15 lb</t>
  </si>
  <si>
    <t>Hammer Arctic Vibe 15lb</t>
  </si>
  <si>
    <t>Radical Torpedo Direct Hit 15 lb</t>
  </si>
  <si>
    <t>Ebonite The One Ovation 16 lb</t>
  </si>
  <si>
    <t>Brunswick Rhino purple/black 14 lb</t>
  </si>
  <si>
    <t>Dexter S8 sole</t>
  </si>
  <si>
    <t>Dexter S9 sole</t>
  </si>
  <si>
    <t>Dexter S10 sole XL</t>
  </si>
  <si>
    <t>Dexter S11 sole XL</t>
  </si>
  <si>
    <t>Storm IQ Tour 15 lb</t>
  </si>
  <si>
    <t>Motiv Venom Shock 14 lb</t>
  </si>
  <si>
    <t>Jopo 1 3/8" Inners</t>
  </si>
  <si>
    <t>Jopo Blank Inners</t>
  </si>
  <si>
    <t>Brunswick Strikezone white/teal, size 3</t>
  </si>
  <si>
    <t>Sliding stones</t>
  </si>
  <si>
    <t>Brunswick Move Periwinkle size 6</t>
  </si>
  <si>
    <t>Storm Ion Pro Solid 16 lb</t>
  </si>
  <si>
    <t>Brunswick Fury emerald black 12 lb</t>
  </si>
  <si>
    <t>Brunswick Move Periwinkle size 8.5</t>
  </si>
  <si>
    <t>C300 Ricochet Pearl 14 lb</t>
  </si>
  <si>
    <t>Hammer Raw red/smoke/blk 13 lb</t>
  </si>
  <si>
    <t>Brunswick Rhino metallic blue/blk 12 lb</t>
  </si>
  <si>
    <t>Brunswick T-zone Indigo Swirl 14 lb</t>
  </si>
  <si>
    <t>Dexter women’s pro boa light grey/blue size 9.5</t>
  </si>
  <si>
    <t>Storm EquinoX Solid 15 lb</t>
  </si>
  <si>
    <t>10/14/0225</t>
  </si>
  <si>
    <t>Dexter Turbo BOA white size 10.5</t>
  </si>
  <si>
    <t>Brunswick Hammer #6 sole</t>
  </si>
  <si>
    <t>Emoji Poop Happens Grip Sack</t>
  </si>
  <si>
    <t>Brunswick see-saw</t>
  </si>
  <si>
    <t>Aviator grey camo size 11</t>
  </si>
  <si>
    <t>Brunswick Alpha Max blk/red size 8.5</t>
  </si>
  <si>
    <t>Joe Melucci</t>
  </si>
  <si>
    <t>Turbo 1 1/4" slugs yellow/orange</t>
  </si>
  <si>
    <t>Storm Next Factor 14 lb</t>
  </si>
  <si>
    <t>C300 Ricochet Return 15 lb</t>
  </si>
  <si>
    <t>TG orange 49</t>
  </si>
  <si>
    <t>TG orange 53</t>
  </si>
  <si>
    <t>Brunswick Sidekick Tote</t>
  </si>
  <si>
    <t>Brunswick Strikezone white/teal, size 4</t>
  </si>
  <si>
    <t>Hammer Widow 3.0 13 lb</t>
  </si>
  <si>
    <t>Adam Jaffe</t>
  </si>
  <si>
    <t>White dot purple/black/silver 14lbs</t>
  </si>
  <si>
    <t>Brunswick Move Perwinkle size 6</t>
  </si>
  <si>
    <t>Brunswick Move Perwinkle size 8</t>
  </si>
  <si>
    <t>Strikeforce H7 heel large</t>
  </si>
  <si>
    <t>Brunswick Max Grip Glove RH 2XL</t>
  </si>
  <si>
    <t>C300 WD Peek-a-boo berry 6 lb</t>
  </si>
  <si>
    <t>Brunswick Energize 15 lb</t>
  </si>
  <si>
    <t>Greg Matievich</t>
  </si>
  <si>
    <t>Radical Evil Eye 15 lb</t>
  </si>
  <si>
    <t>Track Criteron Inverse 15 lb</t>
  </si>
  <si>
    <t>Brunswick Alert 15 lb</t>
  </si>
  <si>
    <t>Hammer Black Widow Tour V1 15 lb</t>
  </si>
  <si>
    <t>Brunswick Punisher Double Roller - blue</t>
  </si>
  <si>
    <t>Brunswick Punisher Double Roller - grey</t>
  </si>
  <si>
    <t>Brunswick Quick Clean Ball Wipes</t>
  </si>
  <si>
    <t>Brunswick Pizza Grip Sack</t>
  </si>
  <si>
    <t>Brunswick Rosin Bag</t>
  </si>
  <si>
    <t>Scranton</t>
  </si>
  <si>
    <t>T-Zone Night Sky 15 lb</t>
  </si>
  <si>
    <t>Brunswick Prism 8.5</t>
  </si>
  <si>
    <t>Brunswick Prism 9.5</t>
  </si>
  <si>
    <t>TG black 39</t>
  </si>
  <si>
    <t>Roto Grip Hustle X-Ray Solid — 14 lb</t>
  </si>
  <si>
    <t>Vise grips 0-11</t>
  </si>
  <si>
    <t>Storm EquinoX Solid 14 lb</t>
  </si>
  <si>
    <t>Dexter Ultra Groovy blue size 10</t>
  </si>
  <si>
    <t>T-Zone Caribbean Blue 10 lb</t>
  </si>
  <si>
    <t>Hammer Carbon Shield Triple Roller blue</t>
  </si>
  <si>
    <t>Roto Grip Rock Star Amped 15 lb</t>
  </si>
  <si>
    <t>Vise Hada Patch 40 PCS/Bag 1" Tape blue</t>
  </si>
  <si>
    <t>Vise grips 2-4, 5-8.5</t>
  </si>
  <si>
    <t>Turbo switch-a-roo</t>
  </si>
  <si>
    <t>Pro Force Glove RH L</t>
  </si>
  <si>
    <t>Dexter Pro BOA red/black size 12</t>
  </si>
  <si>
    <t>Dexter #10 sole XL</t>
  </si>
  <si>
    <t>Maximum Effect 15 lb</t>
  </si>
  <si>
    <t>Dan Very</t>
  </si>
  <si>
    <t>Jopo Aluminum Tool</t>
  </si>
  <si>
    <t>Motiv evoke hysteria 13 lb</t>
  </si>
  <si>
    <t>900 Global Origin 15 lb</t>
  </si>
  <si>
    <t>C300 White Dot gold/blk/red 9 lb</t>
  </si>
  <si>
    <t>KR 2 ball backpack</t>
  </si>
  <si>
    <t>Hammer Raw Tote orange</t>
  </si>
  <si>
    <t>Radical Evil Eye 14 lb</t>
  </si>
  <si>
    <t xml:space="preserve">Joe Mauro </t>
  </si>
  <si>
    <t>C300 Ricochet Return 14 lb</t>
  </si>
  <si>
    <t>Brunswick T-zone scarlet shadow 8 lb</t>
  </si>
  <si>
    <t>570 892 8265</t>
  </si>
  <si>
    <t>Hammer Raw blk/purple/teal  10 lb</t>
  </si>
  <si>
    <t>Hammer Axe green/smoke 8 lb</t>
  </si>
  <si>
    <t>hammer widow dynasty 15lbs</t>
  </si>
  <si>
    <t>Dexter BOA SST 8 parchment LH size 10.5</t>
  </si>
  <si>
    <t>Storm Typhoon 13 lb</t>
  </si>
  <si>
    <t>Track Stealth Mode 14 lb</t>
  </si>
  <si>
    <t>Master wristmaster II XL L</t>
  </si>
  <si>
    <t>Master wristmaster II XL R</t>
  </si>
  <si>
    <t>T zone Peek a boo berry 8 lb</t>
  </si>
  <si>
    <t>Master wristmaster II S R</t>
  </si>
  <si>
    <t>Chris Lutz</t>
  </si>
  <si>
    <t>Turbo Pursuit Triple Tote</t>
  </si>
  <si>
    <t>1 1/4" thumb slug red/green</t>
  </si>
  <si>
    <t>Dexter THE 9, #10 slide pad, medium</t>
  </si>
  <si>
    <t>Turbo fitting tape mint 30 pc packs</t>
  </si>
  <si>
    <t>TG green 41</t>
  </si>
  <si>
    <t>TG green 21</t>
  </si>
  <si>
    <t>TG green 43</t>
  </si>
  <si>
    <t>TG green 11</t>
  </si>
  <si>
    <t>TG green 45</t>
  </si>
  <si>
    <t>TG yellow 25</t>
  </si>
  <si>
    <t>TG yellow 27</t>
  </si>
  <si>
    <t>TG red 43</t>
  </si>
  <si>
    <t>TG red 45</t>
  </si>
  <si>
    <t>Paul Ward</t>
  </si>
  <si>
    <t>TG red 23</t>
  </si>
  <si>
    <t>TG red 3</t>
  </si>
  <si>
    <t>TG white 49</t>
  </si>
  <si>
    <t>Kr Hybrid Single Roller Purple</t>
  </si>
  <si>
    <t>TG black 45</t>
  </si>
  <si>
    <t>TG ice 43</t>
  </si>
  <si>
    <t>TG ice 11</t>
  </si>
  <si>
    <t>TG ice 45</t>
  </si>
  <si>
    <t>Christine Auriemma</t>
  </si>
  <si>
    <t>TG ice 23</t>
  </si>
  <si>
    <t>570-840-8522</t>
  </si>
  <si>
    <t>TG ice 47</t>
  </si>
  <si>
    <t>Turbo grip  it shammy 7"</t>
  </si>
  <si>
    <t>Brunswick Zone single roller black</t>
  </si>
  <si>
    <t>Hammer Axe purple/smoke 10 lb</t>
  </si>
  <si>
    <t>Tropical Surge emerald 13 lb</t>
  </si>
  <si>
    <t>(570)-936-9870</t>
  </si>
  <si>
    <t>Storm Mix black/silver 14 lb</t>
  </si>
  <si>
    <t>Roto Grip Hustle X-Ray 15 lb</t>
  </si>
  <si>
    <t>C300 White Dot scarlet/blk/gold 10 lb</t>
  </si>
  <si>
    <t>Storm Mix red/white 14 lb</t>
  </si>
  <si>
    <t>570-499-1369</t>
  </si>
  <si>
    <t>Brunswick Move black size 9</t>
  </si>
  <si>
    <t>Hammer Dynasty 14 lb</t>
  </si>
  <si>
    <t>Brunswick Rhino cobalt/aqua/teal 10 lb</t>
  </si>
  <si>
    <t>Roto Grip RST Hyperdrive Pearl 14 lb</t>
  </si>
  <si>
    <t>Storm Tropical Surge pink/purple 11 lb</t>
  </si>
  <si>
    <t>C300 White Dor wild orchid 6 lb</t>
  </si>
  <si>
    <t>Hammer Anger Solid 13 lb</t>
  </si>
  <si>
    <t>TG green 25</t>
  </si>
  <si>
    <t>TG yellow 19</t>
  </si>
  <si>
    <t>TG yellow 41</t>
  </si>
  <si>
    <t>TG red 5</t>
  </si>
  <si>
    <t>TG red 41</t>
  </si>
  <si>
    <t>TG red 49</t>
  </si>
  <si>
    <t>TG blue 5</t>
  </si>
  <si>
    <t>Brunswick Lady Fanatic pink/black 7.5</t>
  </si>
  <si>
    <t>TG blue 27</t>
  </si>
  <si>
    <t>TG ice 25</t>
  </si>
  <si>
    <t>John Schwarztrauber</t>
  </si>
  <si>
    <t>570 3967532</t>
  </si>
  <si>
    <t>TG ice 49</t>
  </si>
  <si>
    <t>TG orange 25</t>
  </si>
  <si>
    <t>Storm equinox pearl 14lb</t>
  </si>
  <si>
    <t>TG purple 27</t>
  </si>
  <si>
    <t>Hammer Zero Mercy Solid 16 lb</t>
  </si>
  <si>
    <t>Hammer NU 2.0 16 lb</t>
  </si>
  <si>
    <t>Motiv Nebula 15 lb</t>
  </si>
  <si>
    <t>(570)262-6785</t>
  </si>
  <si>
    <t>Hammer Anger Solid 12 lb</t>
  </si>
  <si>
    <t>Hammer Raw blue/orange 14 lb</t>
  </si>
  <si>
    <t>Storm Phaze II 14 lb</t>
  </si>
  <si>
    <t>570-780-7960</t>
  </si>
  <si>
    <t>Jamie Saranchuk</t>
  </si>
  <si>
    <t>570 614 3518</t>
  </si>
  <si>
    <t>Dexter SST 8 Pro white/champagne</t>
  </si>
  <si>
    <t>Brunswick Prism 10.5</t>
  </si>
  <si>
    <t>Motiv Nebula 14 lb</t>
  </si>
  <si>
    <t>Dexter SST 8 blue/white size 9</t>
  </si>
  <si>
    <t>1 3/8" thumb slug blue/purple</t>
  </si>
  <si>
    <t>Motiv Max Thrill blue/red 15 lb</t>
  </si>
  <si>
    <t>Pesarchik</t>
  </si>
  <si>
    <t>Motiv Evoke Hysteria 13 lb</t>
  </si>
  <si>
    <t>Dexter S6 blue microfiber sole</t>
  </si>
  <si>
    <t>Hammer ball cup</t>
  </si>
  <si>
    <t>Brunswick Punisher Double Roller grey</t>
  </si>
  <si>
    <t>Brunswick Slingshot size 13</t>
  </si>
  <si>
    <t>C300 Richocet Return 14 lb</t>
  </si>
  <si>
    <t>Motiv Jackyl Onyx 16 lb</t>
  </si>
  <si>
    <t>Dexter #8 sole</t>
  </si>
  <si>
    <t>C300 Street Rally 14 lb</t>
  </si>
  <si>
    <t>C300 Street Rally 15 lb</t>
  </si>
  <si>
    <t xml:space="preserve">Brunswick T-Zone deep space 6 lb </t>
  </si>
  <si>
    <t>Mary Jo Ricci</t>
  </si>
  <si>
    <t>Brunswick Alert 14 lb</t>
  </si>
  <si>
    <t>579-499-2753</t>
  </si>
  <si>
    <t>Brunswick Strikezone White/Teal size 4</t>
  </si>
  <si>
    <t>Motiv Lethal Venom 14 lb</t>
  </si>
  <si>
    <t>Brunswick Slide Stone</t>
  </si>
  <si>
    <t>Dexter Pro BOA blue size 11.5W</t>
  </si>
  <si>
    <t>Storm Rolling Thunder 3-Ball Roller</t>
  </si>
  <si>
    <t>Storm IQ Tour 13 lb</t>
  </si>
  <si>
    <t>Brunswick T-zone bag red</t>
  </si>
  <si>
    <t xml:space="preserve">Brunswick T-zone deep space 9 lb </t>
  </si>
  <si>
    <t xml:space="preserve">Brunswick T-zone deep space 6 lb </t>
  </si>
  <si>
    <t>Tim Smalls</t>
  </si>
  <si>
    <t>(201) 207-4643</t>
  </si>
  <si>
    <t>C300 White Dot Wild Orchid 14lb</t>
  </si>
  <si>
    <t>DV8 Heckler Taunt - 15lbs</t>
  </si>
  <si>
    <t>Brunswick Strikezone White/Teal size 1</t>
  </si>
  <si>
    <t>Hammer Dynasty 15 lb</t>
  </si>
  <si>
    <t>Storm Ion Max 15lb</t>
  </si>
  <si>
    <t>Brunswick Slingshot Black/Grey size 12</t>
  </si>
  <si>
    <t>Motiv Venom Shock 13lb</t>
  </si>
  <si>
    <t>Storm Mix Lime/Royal/Custard 13lb</t>
  </si>
  <si>
    <t>Storm Mix Black/Purple/Pink 10lb</t>
  </si>
  <si>
    <t>Brunswick Twist Sky/Pink/Snow 10lb</t>
  </si>
  <si>
    <t>THE 9 slide #10 size 10.5 shoe</t>
  </si>
  <si>
    <t>Ryan kollonige</t>
  </si>
  <si>
    <t>570 9060735</t>
  </si>
  <si>
    <t>Hammer Axe Grey/Smoke 15lb</t>
  </si>
  <si>
    <t>Brunswick Slingshot size 8.5</t>
  </si>
  <si>
    <t>1 1/4" slugs red/green</t>
  </si>
  <si>
    <t>1 1/4" slugs black/white</t>
  </si>
  <si>
    <t>KR Strikeforce Arrow red 10.5</t>
  </si>
  <si>
    <t>Brunswick Prism blue size 9.5</t>
  </si>
  <si>
    <t>Hammer Raw red/smoke 13 lb</t>
  </si>
  <si>
    <t>Wizard ball plug</t>
  </si>
  <si>
    <t>JoPo Outer Sleeve</t>
  </si>
  <si>
    <t>Brunswick slide stone</t>
  </si>
  <si>
    <t>Dexter T2+ Hyperflex Traction sole large</t>
  </si>
  <si>
    <t>Brunswick Twist pink/black 10 lb</t>
  </si>
  <si>
    <t>Brunswick Spark single tote black</t>
  </si>
  <si>
    <t>Brunswick Alpha size 12</t>
  </si>
  <si>
    <t>Brunswick Sidekick tote</t>
  </si>
  <si>
    <t>Jopo outer sleeve</t>
  </si>
  <si>
    <t>Brunswick Danger Zone Solid 15 lb</t>
  </si>
  <si>
    <t>VIse 4 &amp; 6 PO</t>
  </si>
  <si>
    <t>Vise 2-6 PO</t>
  </si>
  <si>
    <t>Hammer Black Urethane 15 lb</t>
  </si>
  <si>
    <t xml:space="preserve">Ball: !Q Tour Sapphire - 15lbs </t>
  </si>
  <si>
    <t xml:space="preserve">Brunswick Danger Zone Pearl 14 lb </t>
  </si>
  <si>
    <t xml:space="preserve"> Hammer Zero Mercy Solid 15 lb</t>
  </si>
  <si>
    <t>Master Giant Rosin Bags</t>
  </si>
  <si>
    <t>Brunswick Hero size 11</t>
  </si>
  <si>
    <t xml:space="preserve">Brunswick T-zone berry blast 9 lb </t>
  </si>
  <si>
    <t>Brunswick Crown 78 15 lb</t>
  </si>
  <si>
    <t>Storm Next Factor 15 lb</t>
  </si>
  <si>
    <t>Hammer Black Widow Tote w/Pouch</t>
  </si>
  <si>
    <t>Roto Grip Gremlin 12 lb</t>
  </si>
  <si>
    <t>Vise 1/2, 7, 7.5, 8.5, 10.5 blk</t>
  </si>
  <si>
    <t>Vise 1.5 , 2, 2.5, 3, 3.5, 4, 5, 5.5, 6.5, 7, 7.5, 8,  ice</t>
  </si>
  <si>
    <t>TG yellow 7</t>
  </si>
  <si>
    <t>TG green 53</t>
  </si>
  <si>
    <t>Brunswick Pro Wrist support - M</t>
  </si>
  <si>
    <t xml:space="preserve">Hammer Maximum Effect 14 lb </t>
  </si>
  <si>
    <t>Motiv Apex Jackyl 14 lb</t>
  </si>
  <si>
    <t>Motiv Apex Jackyl 15 lb</t>
  </si>
  <si>
    <t>IQ tour - 15lbs</t>
  </si>
  <si>
    <t>KR strikeforce Avatiors - Size 8 - Male - Blue</t>
  </si>
  <si>
    <t>TG yellow 45</t>
  </si>
  <si>
    <t>Dexter Pro BOA - Size 10.5 - Red/black</t>
  </si>
  <si>
    <t>Dexter pro boas - Size 10 - Male - White/grey</t>
  </si>
  <si>
    <t>KR Flyer Lite black size 10 &amp; 10.5</t>
  </si>
  <si>
    <t>KR OPP black size 10 &amp; 10.5</t>
  </si>
  <si>
    <t xml:space="preserve">KR Flyer Mesh Lite black/royal size 10.5 </t>
  </si>
  <si>
    <t>Brunswick Renegade grey size 10 &amp; 10.5</t>
  </si>
  <si>
    <t>TG purple 23</t>
  </si>
  <si>
    <t>Brunswick Prism blue size 10.5</t>
  </si>
  <si>
    <t>Hammer Hammerhead Pearl 14 lb</t>
  </si>
  <si>
    <t>Hammer 14 Dynasty 14 lb</t>
  </si>
  <si>
    <t>TG blue 45</t>
  </si>
  <si>
    <t>TG blue 49</t>
  </si>
  <si>
    <t>Free Demo Day ball</t>
  </si>
  <si>
    <t>TG orange 23</t>
  </si>
  <si>
    <t>via Brandon</t>
  </si>
  <si>
    <t>TG pink 21</t>
  </si>
  <si>
    <t>returned to BS</t>
  </si>
  <si>
    <t>TG black 29</t>
  </si>
  <si>
    <t>Timmy Bilski</t>
  </si>
  <si>
    <t>yes</t>
  </si>
  <si>
    <t>1 1/4" slug red/green</t>
  </si>
  <si>
    <t>Hammer Tour V1 13 lb</t>
  </si>
  <si>
    <t>Football shoe covers</t>
  </si>
  <si>
    <t>Brunswick shoe shield S</t>
  </si>
  <si>
    <t>Turbo Rev Wrap M</t>
  </si>
  <si>
    <t>Ball: Track Therom Original 15lb 3-4" pin</t>
  </si>
  <si>
    <t>570-881-1925</t>
  </si>
  <si>
    <t>Storm Phaze 2 pearl</t>
  </si>
  <si>
    <t>drilling Saturday</t>
  </si>
  <si>
    <t>Arctic Vibe - 13lbs</t>
  </si>
  <si>
    <t>Storm Ice - 10lbs</t>
  </si>
  <si>
    <t>Karen Horvath</t>
  </si>
  <si>
    <t>570-906-5285</t>
  </si>
  <si>
    <t>Brunswick Prism Size 11</t>
  </si>
  <si>
    <t>Melvin Thomas</t>
  </si>
  <si>
    <t>Master Wristmaster II LH XL</t>
  </si>
  <si>
    <t>Danger Zone purple ice 13lb</t>
  </si>
  <si>
    <t>Hammer Axe Purple Smoke 15 lb</t>
  </si>
  <si>
    <t>Brunswick Strikezone White/Teal size 3</t>
  </si>
  <si>
    <t>Maureen Morley</t>
  </si>
  <si>
    <t>Brunswick Danger Zone Solid - 14 lb</t>
  </si>
  <si>
    <t>914-844-4554</t>
  </si>
  <si>
    <t>Brunswick Crown Victory 15 lb</t>
  </si>
  <si>
    <t>Dexter kam camo size 13</t>
  </si>
  <si>
    <t>Hammer Arctic Vibe 14lb</t>
  </si>
  <si>
    <t>Hammer Zero Mercy Peal 15 lb</t>
  </si>
  <si>
    <t>Hammerhead Pearl 13 lb</t>
  </si>
  <si>
    <t>Len Silva</t>
  </si>
  <si>
    <t>570-282-2424</t>
  </si>
  <si>
    <t>Dexter S 8 sole</t>
  </si>
  <si>
    <t>Brunswick Crown 78 U</t>
  </si>
  <si>
    <t>Vise 3/4 P/O</t>
  </si>
  <si>
    <t>Vise 11/16 P/O</t>
  </si>
  <si>
    <t>Turbo blank inner</t>
  </si>
  <si>
    <t>JoPo blank inner</t>
  </si>
  <si>
    <t>Storm Phaze II Pearl 14 lb</t>
  </si>
  <si>
    <t>Alex Markardt</t>
  </si>
  <si>
    <t>RST Hyperdrive Pearl 12 lb</t>
  </si>
  <si>
    <t>814-598-7155</t>
  </si>
  <si>
    <t>Hammer Black Widow Tour V1 13 lb</t>
  </si>
  <si>
    <t>Ball: black widow tour V1 - 14 lbs</t>
  </si>
  <si>
    <t>Ball: Hammer NU 2.0 grey 14 lbs</t>
  </si>
  <si>
    <t>Brunswick Danger Zone 15 lb</t>
  </si>
  <si>
    <t>570 580 2358</t>
  </si>
  <si>
    <t>Rhino Carbon Lime Silver 13lb</t>
  </si>
  <si>
    <t>Bethany Derrick</t>
  </si>
  <si>
    <t>570-507-2810</t>
  </si>
  <si>
    <t>Hammer Black Widow Dynasty 3.0 15 lb</t>
  </si>
  <si>
    <t>Pd $30 Venmo 10/1/25</t>
  </si>
  <si>
    <t>Dexter pro boa lavender size 8</t>
  </si>
  <si>
    <t>Brunswick t-zone deep space 8 lb</t>
  </si>
  <si>
    <t>T45 quick plug</t>
  </si>
  <si>
    <t>Zero Mercy Solid - 13lbs</t>
  </si>
  <si>
    <t>Hammer Black Widow Dynasty 3.0 15 lb (2)</t>
  </si>
  <si>
    <t>Hammer Tough single tote blue (2)</t>
  </si>
  <si>
    <t>Hammer Tough single tote purple (2)</t>
  </si>
  <si>
    <t>Hammer single tote</t>
  </si>
  <si>
    <t>570-903-4227</t>
  </si>
  <si>
    <t>Jopo inner sleeves</t>
  </si>
  <si>
    <t>Jopo outer sleeves</t>
  </si>
  <si>
    <t>Pd in Full - Valley</t>
  </si>
  <si>
    <t>Turbo inner sleeves</t>
  </si>
  <si>
    <t>Turbo outer sleeves</t>
  </si>
  <si>
    <t>1 1/8" black/white</t>
  </si>
  <si>
    <t>TG blue 51</t>
  </si>
  <si>
    <t>TG red 39</t>
  </si>
  <si>
    <t>TG yellow 43</t>
  </si>
  <si>
    <t>TG purple 45</t>
  </si>
  <si>
    <t>Bag: 3-ball travel tote pro white/teal</t>
  </si>
  <si>
    <t>Kr Pro Force glove RH L</t>
  </si>
  <si>
    <t>Brunswick Prism size 13</t>
  </si>
  <si>
    <t>Brunswick zone Single ball roller black</t>
  </si>
  <si>
    <t>Storm Tropical Surge Black Cherry 15 lb</t>
  </si>
  <si>
    <t>Ryan Thomas</t>
  </si>
  <si>
    <t>HyRoad (Original) 15 lb</t>
  </si>
  <si>
    <t>Hammer widow 3.0 Dynasty 15 lb</t>
  </si>
  <si>
    <t>900 Global Vengeance 14 lb</t>
  </si>
  <si>
    <t>C300 Pirahna 14 lb</t>
  </si>
  <si>
    <t>C300 Pirahna 15 lb</t>
  </si>
  <si>
    <t>Brunswick/Hammer #8 sole</t>
  </si>
  <si>
    <t>Brunswick/Hammer #10 sole</t>
  </si>
  <si>
    <t>Frank Santasiero</t>
  </si>
  <si>
    <t>570-446-3154</t>
  </si>
  <si>
    <t>black widow dynasty 14 lb</t>
  </si>
  <si>
    <t>drilled</t>
  </si>
  <si>
    <t>Brunswick Shoe Shield XL</t>
  </si>
  <si>
    <t>Brunswick Shoe Shield  XL</t>
  </si>
  <si>
    <t>Brunswick Shoe Shield  L</t>
  </si>
  <si>
    <t>Dexter SST 8 Power Frame BOA white blue size 9</t>
  </si>
  <si>
    <t>1 1/8" slug blue/purple</t>
  </si>
  <si>
    <t>1 1/8" slug red/green</t>
  </si>
  <si>
    <t>TG orange 13</t>
  </si>
  <si>
    <t xml:space="preserve">Tom Price </t>
  </si>
  <si>
    <t>TG white 39</t>
  </si>
  <si>
    <t>T-zone peek a boo berry 13 lb</t>
  </si>
  <si>
    <t>Brunswick Shoe Shield XXL</t>
  </si>
  <si>
    <t>Motiv Evoke Mayhem - 14 lb</t>
  </si>
  <si>
    <t>Mckinley Floyd</t>
  </si>
  <si>
    <t>Motiv Evoke Mayhem - 15 lb</t>
  </si>
  <si>
    <t>570-899-1592</t>
  </si>
  <si>
    <t>Rhino Carbon Lime Silver 14lbs</t>
  </si>
  <si>
    <t>Vise K+ tape</t>
  </si>
  <si>
    <t>Dxeter S10 sole XL</t>
  </si>
  <si>
    <t>Danger zone solid - 13lbs</t>
  </si>
  <si>
    <t>Brunswick Shoe Shield M</t>
  </si>
  <si>
    <t>Master large puff ball</t>
  </si>
  <si>
    <t>570-899-0219</t>
  </si>
  <si>
    <t>Hammer Black Widow Tour V1 14lb</t>
  </si>
  <si>
    <t>Roto grip rst hyperdrive pearl 14 lb</t>
  </si>
  <si>
    <t>C300 Pulse 14 lbs</t>
  </si>
  <si>
    <t>Brunswick T-zone deep space 14 lbs</t>
  </si>
  <si>
    <t>14lb black widow dynasty</t>
  </si>
  <si>
    <t>Hammer Nu 2.0 - 14lbs</t>
  </si>
  <si>
    <t>Jennifer Ricci</t>
  </si>
  <si>
    <t>570-604-0462</t>
  </si>
  <si>
    <t>Valley - for her son</t>
  </si>
  <si>
    <t>Rotogrip Transformer 15 lb</t>
  </si>
  <si>
    <t>1 1/4" slug orange/yellow</t>
  </si>
  <si>
    <t>1 1/8" slug pink/white</t>
  </si>
  <si>
    <t>1 1/4" blue/purple</t>
  </si>
  <si>
    <t>Hammer Zero mercy Solid 15 lb</t>
  </si>
  <si>
    <t>Brunswick Tzone Deep Space - 11lbs</t>
  </si>
  <si>
    <t>Lady Fanatic - Size 8.5 and 9  Pink/black/white</t>
  </si>
  <si>
    <t>C300 White Dot Wild Orchid - 11lbs</t>
  </si>
  <si>
    <t>Lady Fantic - Size 8.5 - Female - Pink</t>
  </si>
  <si>
    <t>seed ball</t>
  </si>
  <si>
    <t>C63122</t>
  </si>
  <si>
    <t>C300 White Dot mint frost 13 lb</t>
  </si>
  <si>
    <t>C300 Piranha 15 lb</t>
  </si>
  <si>
    <t>C300 Piranha 14 lb</t>
  </si>
  <si>
    <t>Dexter #7 heel</t>
  </si>
  <si>
    <t xml:space="preserve">Ace </t>
  </si>
  <si>
    <t>Brunswick shoe shield M &amp; XXL</t>
  </si>
  <si>
    <t>Turbo wrister M</t>
  </si>
  <si>
    <t>Hammer Black Widow Special Edition Triple Tote</t>
  </si>
  <si>
    <t>Pin Pals</t>
  </si>
  <si>
    <t>david.brown.mastec@gmail.com</t>
  </si>
  <si>
    <t>Motiv nebula 15 lbs</t>
  </si>
  <si>
    <t>1 1/8" slug yellow/orange</t>
  </si>
  <si>
    <t>David Brown</t>
  </si>
  <si>
    <t>Brunswick Big B Ball Cleaner 32 oz</t>
  </si>
  <si>
    <t>JoPo Outer sleeves</t>
  </si>
  <si>
    <t>TG purple 47</t>
  </si>
  <si>
    <t>570 687 5940</t>
  </si>
  <si>
    <t>TG yellow 5</t>
  </si>
  <si>
    <t>Brunswick Coast - Size 11 - Female - Black</t>
  </si>
  <si>
    <t>Brunswick Hero size 12</t>
  </si>
  <si>
    <t>Danger zone solid - 14lbs</t>
  </si>
  <si>
    <t>Brunswick Fury. Red blue black 12</t>
  </si>
  <si>
    <t>Turbo wrister L</t>
  </si>
  <si>
    <t>Master Giant puff ball</t>
  </si>
  <si>
    <t>Dexter #8 sole standard</t>
  </si>
  <si>
    <t>Trucker Johnson</t>
  </si>
  <si>
    <t>Brunswick Hero size 10.5</t>
  </si>
  <si>
    <t>Brunswick Rhino Red Black Gold 12 lb</t>
  </si>
  <si>
    <t>Entity Pearl - 14lbs</t>
  </si>
  <si>
    <t>Hammer Black Widow Viz-a-ball 14 lb</t>
  </si>
  <si>
    <t>Brunswick Sidekick Single Tote</t>
  </si>
  <si>
    <t>TG blue 25</t>
  </si>
  <si>
    <t>TG blue 41</t>
  </si>
  <si>
    <t>TG orange 47</t>
  </si>
  <si>
    <t>TG yellow 21</t>
  </si>
  <si>
    <t>TG red 27</t>
  </si>
  <si>
    <t>Justin Schiavone</t>
  </si>
  <si>
    <t>TG white 7</t>
  </si>
  <si>
    <t>215-805-4588</t>
  </si>
  <si>
    <t>JoPo removal tool</t>
  </si>
  <si>
    <t>Brunswick Twist sky blue/pink/snow 10 lb</t>
  </si>
  <si>
    <t>Storm Concept - 15 lbs</t>
  </si>
  <si>
    <t>Brunswick Move size 8.5</t>
  </si>
  <si>
    <t>Brunswick Prism size 12</t>
  </si>
  <si>
    <t>Joe Santasiero</t>
  </si>
  <si>
    <t>Hammer zero mercy pearl 14 lb</t>
  </si>
  <si>
    <t>Derek Benson</t>
  </si>
  <si>
    <t>Hammer Black Widow Dynasty 3.0 14 lb</t>
  </si>
  <si>
    <t>Storm Ice Storm Ocean Blue — 15 lb</t>
  </si>
  <si>
    <t>Joe Giumento</t>
  </si>
  <si>
    <t>Hammer Dye Sub Triple Tote Pink Arrows</t>
  </si>
  <si>
    <t>Kyle defina</t>
  </si>
  <si>
    <t>Hammer Full Effect 15 lb</t>
  </si>
  <si>
    <t>Hammer Purple Pearl Urethane 78D 14 lb</t>
  </si>
  <si>
    <t>Unger, Nick</t>
  </si>
  <si>
    <t>Hammer Purple Pearl Urethane 78D 15 lb</t>
  </si>
  <si>
    <t>570-236-9078</t>
  </si>
  <si>
    <t>appt 10/22</t>
  </si>
  <si>
    <t>Motiv Supra 15 lb</t>
  </si>
  <si>
    <t>Motiv Hyper Venom 15 lm</t>
  </si>
  <si>
    <t>Roto Grip Gremlin Tour X 15lbs</t>
  </si>
  <si>
    <t>570-280-9290</t>
  </si>
  <si>
    <t>KR Hybrid single roller pink</t>
  </si>
  <si>
    <t>Michael Horvath</t>
  </si>
  <si>
    <t>C300 White Dot wild orchid 10 lbs</t>
  </si>
  <si>
    <t>appt 10/21</t>
  </si>
  <si>
    <t>Brunswick Prism 12</t>
  </si>
  <si>
    <t>Storm arc ruler</t>
  </si>
  <si>
    <t>570 840 9357</t>
  </si>
  <si>
    <t>Hammer Black Widow Dynasty 3.0 12 lb</t>
  </si>
  <si>
    <t>Hammer Zero Mercy Pearl 15 lbs</t>
  </si>
  <si>
    <t>Rhino Red Black Gold 14 lb.</t>
  </si>
  <si>
    <t>Hammer Black Widow Double Tote</t>
  </si>
  <si>
    <t>Brunswick Big B ball cleaner</t>
  </si>
  <si>
    <t>KR shoe cover L</t>
  </si>
  <si>
    <t>KR shoe cover XXL</t>
  </si>
  <si>
    <t>wrist support M</t>
  </si>
  <si>
    <t>Brunswick T-zone indigo swirl 11 lb</t>
  </si>
  <si>
    <t>C300 White Dot black/purple/silver 11 lb</t>
  </si>
  <si>
    <t>Synthesis Track - 15lbs</t>
  </si>
  <si>
    <t>Storm concept 15lb</t>
  </si>
  <si>
    <t>Chris Brink</t>
  </si>
  <si>
    <t>570-903-2089</t>
  </si>
  <si>
    <t>Roto Grip Transformer 14lb</t>
  </si>
  <si>
    <t>14lb Zero Mercy Solid</t>
  </si>
  <si>
    <t>Roto Grip Gremlin Tour-X 15lb</t>
  </si>
  <si>
    <t>Roto Grip Transformer 15 lb</t>
  </si>
  <si>
    <t xml:space="preserve">Ball: Storm Bionic 14 lb. </t>
  </si>
  <si>
    <t>Storm Ion Max Pearl - 15 lbs</t>
  </si>
  <si>
    <t>Brunswick Move size 7.5</t>
  </si>
  <si>
    <t>Storm Bionic 14 LB</t>
  </si>
  <si>
    <t>Storm Concept 14lbs</t>
  </si>
  <si>
    <t>Roto Gremlin Tour X 14 lb</t>
  </si>
  <si>
    <t>Motiv VENOM SHOCK 14lb</t>
  </si>
  <si>
    <t>Roto Grip Transformer - 15lbs</t>
  </si>
  <si>
    <t>Roto Grip Transformer - 16lbs</t>
  </si>
  <si>
    <t>Storm bionic 16 lb</t>
  </si>
  <si>
    <t xml:space="preserve">kr Strikeforce Aviator Blue  - Size 8.5 </t>
  </si>
  <si>
    <t xml:space="preserve">2 - 15 lb Phase 2 original balls.  I need one drilled for me and 1 drilled for Chloe.  </t>
  </si>
  <si>
    <t>Tropical Surge emerald/charcoal - 10lbs</t>
  </si>
  <si>
    <t>Hammer purple pearl 78D urethane 15lb</t>
  </si>
  <si>
    <t>900 global viking 14 lb</t>
  </si>
  <si>
    <t>Storm IQ Sapphire 15 lb</t>
  </si>
  <si>
    <t>1 1/4" thumb slug white/pink</t>
  </si>
  <si>
    <t>1 1/4" thumb slug orange/yellow</t>
  </si>
  <si>
    <t>Hammer Balck Widow Triple Tote blue (2)</t>
  </si>
  <si>
    <t>Zero Mercy Pearl 14lb Ball</t>
  </si>
  <si>
    <t>Poop Emoji  grip sack (2)</t>
  </si>
  <si>
    <t>Turbo Outer Sleeves (20)</t>
  </si>
  <si>
    <t>Jon Ottone</t>
  </si>
  <si>
    <t>Various black Vise grips</t>
  </si>
  <si>
    <t>Various clear Vise grips</t>
  </si>
  <si>
    <t>KR Pro Force Glove RH XL</t>
  </si>
  <si>
    <t>Hammer Full Effect 15Ib</t>
  </si>
  <si>
    <t>Hammer Full Effect 14 lb(for my dad)</t>
  </si>
  <si>
    <t>Storm concept 14lb.</t>
  </si>
  <si>
    <t>Pulse - 15lbs</t>
  </si>
  <si>
    <t xml:space="preserve">15lb Strikeforce polyester (blue/black/silver)  </t>
  </si>
  <si>
    <t>15lb Strikeforce polyester (purple/royal/silver)</t>
  </si>
  <si>
    <t>900 global Vengeance - 15lbs</t>
  </si>
  <si>
    <t>Stealth Mode Hybrid 14 lbs</t>
  </si>
  <si>
    <t>Hammer HammerHead Pearl 14 lbs</t>
  </si>
  <si>
    <t>Danger zone pearl - 13lbs</t>
  </si>
  <si>
    <t>Hammer purple 78d 15 lb</t>
  </si>
  <si>
    <t>Motiv Max Thrill Hybrid 14 (blue purple)</t>
  </si>
  <si>
    <t>Hammer Effect Tour - 16 Pounds</t>
  </si>
  <si>
    <t>Black widow 3.0 dynasty 16lb</t>
  </si>
  <si>
    <t>Vise 2000 sanding disks</t>
  </si>
  <si>
    <t>570 604 7117</t>
  </si>
  <si>
    <t>Visse 3000 sanding disks</t>
  </si>
  <si>
    <t>Hammer Purple Pearl Urethane 78 D 15 lb</t>
  </si>
  <si>
    <t>Tzone night sky 15lbs</t>
  </si>
  <si>
    <t>Track Stealth Mode Hybrid 14lb</t>
  </si>
  <si>
    <t>Brunswick Punisher Double roller - blue</t>
  </si>
  <si>
    <t>Hammer NU 2.0 — 14 lb</t>
  </si>
  <si>
    <t>Brunswick Prism - Size 10.5 - Male - Black</t>
  </si>
  <si>
    <t>Hammer tour v1 14lb</t>
  </si>
  <si>
    <t>Hammer zero mercy pearl 14</t>
  </si>
  <si>
    <t>Vise IT thumb slug bottoms</t>
  </si>
  <si>
    <t>Storm Concept 15 lbs</t>
  </si>
  <si>
    <t>JoPo twist tool (4)</t>
  </si>
  <si>
    <t>JoPo Twist Tool</t>
  </si>
  <si>
    <t xml:space="preserve"> Radical Snapshot Hybrid 14 lb</t>
  </si>
  <si>
    <t>Geri Sansky</t>
  </si>
  <si>
    <t>570-766-0112</t>
  </si>
  <si>
    <t>Valley - paid</t>
  </si>
  <si>
    <t>trucklover840@gmail.com</t>
  </si>
  <si>
    <t>Accessories: 2x Dexter THE 9 Slide S8 Slide Sole Large</t>
  </si>
  <si>
    <t>570-906-6445</t>
  </si>
  <si>
    <t>718 506 2145</t>
  </si>
  <si>
    <t>David Roulston</t>
  </si>
  <si>
    <t>610 308 8599</t>
  </si>
  <si>
    <t>Brunswick Fury orange red - 11lbs</t>
  </si>
  <si>
    <t>Richard Sakosky</t>
  </si>
  <si>
    <t>Needs appt 4 wife</t>
  </si>
  <si>
    <t>(570)-840-9357</t>
  </si>
  <si>
    <t xml:space="preserve">husband needs appt </t>
  </si>
  <si>
    <t>Ray LaChance</t>
  </si>
  <si>
    <t>978 223 3591</t>
  </si>
  <si>
    <t>Hammer Axe Purple Smoke - 14lbs</t>
  </si>
  <si>
    <t>need to ship</t>
  </si>
  <si>
    <t>Andrew Flores</t>
  </si>
  <si>
    <t>862-400-5989</t>
  </si>
  <si>
    <t>570-606-1492</t>
  </si>
  <si>
    <t>appt 10/18</t>
  </si>
  <si>
    <t>Brian Betty</t>
  </si>
  <si>
    <t>570-351-3272</t>
  </si>
  <si>
    <t>$100 down - appt 10/19</t>
  </si>
  <si>
    <t>Nick Yanulavich</t>
  </si>
  <si>
    <t>570 947 3036</t>
  </si>
  <si>
    <t>Lou D'oro</t>
  </si>
  <si>
    <t>Kyle Defina</t>
  </si>
  <si>
    <t>570-877-2696</t>
  </si>
  <si>
    <t>$40 down - appt 10/22</t>
  </si>
  <si>
    <t>Brunswick Siege 13 Left Hand - Size 13 - Male - N/a</t>
  </si>
  <si>
    <t>Carleen Ramirez</t>
  </si>
  <si>
    <t>Paul Schopperth</t>
  </si>
  <si>
    <t>607-206-5026</t>
  </si>
  <si>
    <t>Storm Equinox Hybrid 15 lb</t>
  </si>
  <si>
    <t>C63493</t>
  </si>
  <si>
    <t>Luke Miller</t>
  </si>
  <si>
    <t>drilling 10/18</t>
  </si>
  <si>
    <t>Patrick Jenks</t>
  </si>
  <si>
    <t>570-866-0962</t>
  </si>
  <si>
    <t>Ken Fritsch</t>
  </si>
  <si>
    <t>570-499-2188</t>
  </si>
  <si>
    <t>buy 8 balls get 1 free</t>
  </si>
  <si>
    <t>Adam Patterson</t>
  </si>
  <si>
    <t>609-533-6364</t>
  </si>
  <si>
    <t>t-zone ocean reef 15 lb</t>
  </si>
  <si>
    <t>Aaron cole</t>
  </si>
  <si>
    <t>570-877-2386</t>
  </si>
  <si>
    <t>Becky Decker</t>
  </si>
  <si>
    <t>Jerry Sealey</t>
  </si>
  <si>
    <t>John Swartztrauber</t>
  </si>
  <si>
    <t>570-396-7532</t>
  </si>
  <si>
    <t>Ron Kraptavage</t>
  </si>
  <si>
    <t>570-903-0242</t>
  </si>
  <si>
    <t>Kim Murphy</t>
  </si>
  <si>
    <t>Heather Valenzano</t>
  </si>
  <si>
    <t>(570) 650-7314</t>
  </si>
  <si>
    <t xml:space="preserve">Turbo fitting tape bulk roll blue </t>
  </si>
  <si>
    <t>Turbo fitting tape bulk roll mint</t>
  </si>
  <si>
    <t>Turbo fitting tape bulk roll beige</t>
  </si>
  <si>
    <t>Vise black 2, 2.5, 3, 3.5, 4.5, 5, 5.5 (3)</t>
  </si>
  <si>
    <t>Vise clear 3, 3.5, 4.5, 5, 5.5 (3)</t>
  </si>
  <si>
    <t>Dexter turbo Boa's wide size 7.5 and 8</t>
  </si>
  <si>
    <t>Brunswick TZone Deep Space — 12 lb</t>
  </si>
  <si>
    <t>Kayla</t>
  </si>
  <si>
    <t>C70061</t>
  </si>
  <si>
    <t>Casper Dalykas</t>
  </si>
  <si>
    <t>570-878-7484</t>
  </si>
  <si>
    <t>Bill Kreinberg</t>
  </si>
  <si>
    <t>at seminar</t>
  </si>
  <si>
    <t>Brunswick Seminar</t>
  </si>
  <si>
    <t>Thomas Fasano</t>
  </si>
  <si>
    <t>Timmy</t>
  </si>
  <si>
    <t>635711 (10)</t>
  </si>
  <si>
    <t>Brunswick Seminar 637895 (2)</t>
  </si>
  <si>
    <t>Andrew Vaughan</t>
  </si>
  <si>
    <t>returned</t>
  </si>
  <si>
    <t>Mary Linda</t>
  </si>
  <si>
    <t>570-282-4119</t>
  </si>
  <si>
    <t>Carol Afford</t>
  </si>
  <si>
    <t>609-828-3416</t>
  </si>
  <si>
    <t>Shaun Kucharski</t>
  </si>
  <si>
    <t>(570) 904-4978</t>
  </si>
  <si>
    <t>Roy Addis</t>
  </si>
  <si>
    <t>Brian Hamilton</t>
  </si>
  <si>
    <t>(570)-878-0296</t>
  </si>
  <si>
    <t>Benny centeno</t>
  </si>
  <si>
    <t>returned 11/18/25</t>
  </si>
  <si>
    <t>Phil ferrese</t>
  </si>
  <si>
    <t>RMA24914</t>
  </si>
  <si>
    <t>Carl O'Neil</t>
  </si>
  <si>
    <t>William Thomas</t>
  </si>
  <si>
    <t>570-954-3003</t>
  </si>
  <si>
    <t>Ariele Williams</t>
  </si>
  <si>
    <t>570-299-1377</t>
  </si>
  <si>
    <t>for Ashley Oliva</t>
  </si>
  <si>
    <t>returned 12/9/25</t>
  </si>
  <si>
    <t>Francesha Houck</t>
  </si>
  <si>
    <t>570-878-4145</t>
  </si>
  <si>
    <t>Zach Wilson</t>
  </si>
  <si>
    <t>Dunton Francis</t>
  </si>
  <si>
    <t>214 336 9471</t>
  </si>
  <si>
    <t xml:space="preserve">Y </t>
  </si>
  <si>
    <t>Kyle Recicar</t>
  </si>
  <si>
    <t>Eddie Kozlowski</t>
  </si>
  <si>
    <t>adult/junior league</t>
  </si>
  <si>
    <t>Tom Burke</t>
  </si>
  <si>
    <t>Maxine Gilligan</t>
  </si>
  <si>
    <t>570-510-8468</t>
  </si>
  <si>
    <t>Bill Bracey</t>
  </si>
  <si>
    <t>Carl Chupron</t>
  </si>
  <si>
    <t>570-562-6207</t>
  </si>
  <si>
    <t>Sebastan Samujh</t>
  </si>
  <si>
    <t>Phil Minelli</t>
  </si>
  <si>
    <t>cancelled with Steve 12/8/25</t>
  </si>
  <si>
    <t>Sandy Matievich</t>
  </si>
  <si>
    <t>off truck</t>
  </si>
  <si>
    <t>C64692</t>
  </si>
  <si>
    <t>program</t>
  </si>
  <si>
    <t>Items free with $499 program fee</t>
  </si>
  <si>
    <t>Jadyn Rostri</t>
  </si>
  <si>
    <t>Mike Wasylyniak</t>
  </si>
  <si>
    <t>Christopher Fallon</t>
  </si>
  <si>
    <t>returned 4/21/26</t>
  </si>
  <si>
    <t>Charles David</t>
  </si>
  <si>
    <t>570-445-7882</t>
  </si>
  <si>
    <t>RP Balls 26</t>
  </si>
  <si>
    <t>Charlie Azarsky</t>
  </si>
  <si>
    <t>570-392-3397</t>
  </si>
  <si>
    <t>Tony Russomano</t>
  </si>
  <si>
    <t>570-604-4176</t>
  </si>
  <si>
    <t>Timothy Harding</t>
  </si>
  <si>
    <t>570-229-3042</t>
  </si>
  <si>
    <t>Pam Morgan</t>
  </si>
  <si>
    <t>606-341-3134</t>
  </si>
  <si>
    <t>Will Hebner</t>
  </si>
  <si>
    <t>Becky Empett</t>
  </si>
  <si>
    <t>Gary Richard Spencer</t>
  </si>
  <si>
    <t>C65501</t>
  </si>
  <si>
    <t>Jim Curtis</t>
  </si>
  <si>
    <t>Michael Deutch-Jones</t>
  </si>
  <si>
    <t>570-200-5875</t>
  </si>
  <si>
    <t>Ashley Oliva</t>
  </si>
  <si>
    <t>570-236-7505hjl</t>
  </si>
  <si>
    <t xml:space="preserve">need to sell </t>
  </si>
  <si>
    <t>not avail</t>
  </si>
  <si>
    <t>Dawn Wisneski</t>
  </si>
  <si>
    <t>570-955-6615</t>
  </si>
  <si>
    <t>Jake Scholtz</t>
  </si>
  <si>
    <t>570-815-0911</t>
  </si>
  <si>
    <t>Samantha Carrick</t>
  </si>
  <si>
    <t>570-241-2261</t>
  </si>
  <si>
    <t>John Gladden Jr</t>
  </si>
  <si>
    <t>860-338-9118</t>
  </si>
  <si>
    <t>Art Christiano</t>
  </si>
  <si>
    <t>Richie lei</t>
  </si>
  <si>
    <t>272 257 9597</t>
  </si>
  <si>
    <t>Kenneth Petroziello</t>
  </si>
  <si>
    <t>570-290-3900</t>
  </si>
  <si>
    <t>sent wrong ones - returned</t>
  </si>
  <si>
    <t>Steven Furiosi</t>
  </si>
  <si>
    <t>Ed Slick</t>
  </si>
  <si>
    <t>Nathan Drouse</t>
  </si>
  <si>
    <t>(570)-280-9290</t>
  </si>
  <si>
    <t>Stephanie Sheridan</t>
  </si>
  <si>
    <t>Bob Petrillo</t>
  </si>
  <si>
    <t>Mike Roberts</t>
  </si>
  <si>
    <t>Andrew Ristman</t>
  </si>
  <si>
    <t>570-592-0369</t>
  </si>
  <si>
    <t>Austin Bicking</t>
  </si>
  <si>
    <t>Jeff Balcerzak</t>
  </si>
  <si>
    <t>C71571</t>
  </si>
  <si>
    <t>Sandy Minelli</t>
  </si>
  <si>
    <t>570-877-2828</t>
  </si>
  <si>
    <t>free with 8 balls</t>
  </si>
  <si>
    <t>Motiv</t>
  </si>
  <si>
    <t>returned 1/6/26</t>
  </si>
  <si>
    <t>Mike Miller</t>
  </si>
  <si>
    <t>(570)936-9870</t>
  </si>
  <si>
    <t>Gail Thomas</t>
  </si>
  <si>
    <t>570-677-6742</t>
  </si>
  <si>
    <t>570-862-2147</t>
  </si>
  <si>
    <t>Emily Reklaitis</t>
  </si>
  <si>
    <t>570-977-9123</t>
  </si>
  <si>
    <t>for his dad</t>
  </si>
  <si>
    <t>Hector Cruz</t>
  </si>
  <si>
    <t>347-358-1000</t>
  </si>
  <si>
    <t>Joe Marder</t>
  </si>
  <si>
    <t>570-309-4874</t>
  </si>
  <si>
    <t>Mackenzie Celuck</t>
  </si>
  <si>
    <t>Michael Arthur</t>
  </si>
  <si>
    <t>Kevin Davis</t>
  </si>
  <si>
    <t>570-960-1728</t>
  </si>
  <si>
    <t>Drew Barbour</t>
  </si>
  <si>
    <t>570-335-8973</t>
  </si>
  <si>
    <t>C66139</t>
  </si>
  <si>
    <t>free engraving</t>
  </si>
  <si>
    <t>Debra</t>
  </si>
  <si>
    <t>Stephanie Kemmerer</t>
  </si>
  <si>
    <t>570-396-3721</t>
  </si>
  <si>
    <t>Nicole Schott</t>
  </si>
  <si>
    <t>(850) 533-7412</t>
  </si>
  <si>
    <t>Joel McGlynn</t>
  </si>
  <si>
    <t>484-619-6670</t>
  </si>
  <si>
    <t>Collin Keogh</t>
  </si>
  <si>
    <t>Kyle Burton</t>
  </si>
  <si>
    <t>570-766-0798</t>
  </si>
  <si>
    <t>paid</t>
  </si>
  <si>
    <t>Dave Price</t>
  </si>
  <si>
    <t>570-575-3772</t>
  </si>
  <si>
    <t>26 Diamond</t>
  </si>
  <si>
    <t>osterhoutalex@gmail.com</t>
  </si>
  <si>
    <t>Alex osterhaut</t>
  </si>
  <si>
    <t>570-579-4933</t>
  </si>
  <si>
    <t>610 428 5595</t>
  </si>
  <si>
    <t>Jared paying - don't tell Gary</t>
  </si>
  <si>
    <t>Brian Werts</t>
  </si>
  <si>
    <t>Eddie Kozloski</t>
  </si>
  <si>
    <t>christian.halliday@icloud.com</t>
  </si>
  <si>
    <t>James Kennedy</t>
  </si>
  <si>
    <t>adult/youth league</t>
  </si>
  <si>
    <t>tomknierim@hotmail.com</t>
  </si>
  <si>
    <t>Thomas Knierim</t>
  </si>
  <si>
    <t>337-375-3610</t>
  </si>
  <si>
    <t>Nicole Bessermin</t>
  </si>
  <si>
    <t>PJ Guse</t>
  </si>
  <si>
    <t>631-456-9206</t>
  </si>
  <si>
    <t>gattoa864@gmail.com</t>
  </si>
  <si>
    <t>Andrew Gatto</t>
  </si>
  <si>
    <t>(570)904-7735</t>
  </si>
  <si>
    <t>Robert Besermin</t>
  </si>
  <si>
    <t>570-817-0533</t>
  </si>
  <si>
    <t>chaseeva2345@yahoo.com</t>
  </si>
  <si>
    <t xml:space="preserve">Chase Evangelista </t>
  </si>
  <si>
    <t>570-335-8430</t>
  </si>
  <si>
    <t>kim.mecca@gmail.com</t>
  </si>
  <si>
    <t xml:space="preserve">Kim Mecca </t>
  </si>
  <si>
    <t>Jose Ortiz</t>
  </si>
  <si>
    <t>570 540 8649</t>
  </si>
  <si>
    <t>Nate Thomas</t>
  </si>
  <si>
    <t>tfarrell1381@gmail.com</t>
  </si>
  <si>
    <t xml:space="preserve">Steve </t>
  </si>
  <si>
    <t>570 706 6619</t>
  </si>
  <si>
    <t>Chris Marianelli</t>
  </si>
  <si>
    <t>Scott Hendserson</t>
  </si>
  <si>
    <t>570-594-2901</t>
  </si>
  <si>
    <t>Jim Mican</t>
  </si>
  <si>
    <t>570-937-9020</t>
  </si>
  <si>
    <t>tsromovski@gmail.com</t>
  </si>
  <si>
    <t>Anthony Sromovski</t>
  </si>
  <si>
    <t>Joann Pezal</t>
  </si>
  <si>
    <t>272 280 1383</t>
  </si>
  <si>
    <t>kyle.dittus@gmail.com</t>
  </si>
  <si>
    <t>Kyle dittus</t>
  </si>
  <si>
    <t>Linda Mlodzieski</t>
  </si>
  <si>
    <t>570-687-8028</t>
  </si>
  <si>
    <t>Dustin Bowen</t>
  </si>
  <si>
    <t>test@gmail.com</t>
  </si>
  <si>
    <t>ssorrells21@gmail.com</t>
  </si>
  <si>
    <t>ba</t>
  </si>
  <si>
    <t>Dave Klassner</t>
  </si>
  <si>
    <t xml:space="preserve">surprise for Tim </t>
  </si>
  <si>
    <t>570-690-6589</t>
  </si>
  <si>
    <t>Amy</t>
  </si>
  <si>
    <t>millermike18@aol.com</t>
  </si>
  <si>
    <t>Michael Miller</t>
  </si>
  <si>
    <t>570-815-7586</t>
  </si>
  <si>
    <t>William Kennedy</t>
  </si>
  <si>
    <t>570-687-4578</t>
  </si>
  <si>
    <t xml:space="preserve">Chris Santopietro </t>
  </si>
  <si>
    <t>Scott Betson</t>
  </si>
  <si>
    <t>570-267-7853</t>
  </si>
  <si>
    <t>Jonathan Ottone</t>
  </si>
  <si>
    <t>570-335-5366</t>
  </si>
  <si>
    <t>Jon sawicki</t>
  </si>
  <si>
    <t>Danielle Knittle</t>
  </si>
  <si>
    <t>908 328 5809</t>
  </si>
  <si>
    <t>570 815 6918</t>
  </si>
  <si>
    <t>tcalpin@iw404.org</t>
  </si>
  <si>
    <t>Tommy Calpin</t>
  </si>
  <si>
    <t>thepierced16987@gmail.com</t>
  </si>
  <si>
    <t xml:space="preserve">Brad dutter </t>
  </si>
  <si>
    <t>570-6874329</t>
  </si>
  <si>
    <t>Mike Evans</t>
  </si>
  <si>
    <t>570-413-3944</t>
  </si>
  <si>
    <t>zcorum2012@gmail.com</t>
  </si>
  <si>
    <t>Zach Corum</t>
  </si>
  <si>
    <t>Jim</t>
  </si>
  <si>
    <t>(570)-445-7882</t>
  </si>
  <si>
    <t>Wayne Martin</t>
  </si>
  <si>
    <t>570-871-1442</t>
  </si>
  <si>
    <t>Eddie Boroski</t>
  </si>
  <si>
    <t>twheeler@elitenepa.com</t>
  </si>
  <si>
    <t>Thomas Wheeler</t>
  </si>
  <si>
    <t>Curt Sonneburg</t>
  </si>
  <si>
    <t>Scott Holtzman</t>
  </si>
  <si>
    <t>570 760 1439</t>
  </si>
  <si>
    <t>Richie Lei</t>
  </si>
  <si>
    <t>570 915 1026</t>
  </si>
  <si>
    <t>Christiana Gerbehrt</t>
  </si>
  <si>
    <t>Pasquale Dabbraccio</t>
  </si>
  <si>
    <t>marshallwrd@gmail.com</t>
  </si>
  <si>
    <t>(570) 665-2522</t>
  </si>
  <si>
    <t>stock</t>
  </si>
  <si>
    <t>to replace the one from Brunswick</t>
  </si>
  <si>
    <t xml:space="preserve">Jade Hoakes </t>
  </si>
  <si>
    <t>Motiv 2-pack</t>
  </si>
  <si>
    <t>appt 1/4/26</t>
  </si>
  <si>
    <t xml:space="preserve">Valley </t>
  </si>
  <si>
    <t>Tanya</t>
  </si>
  <si>
    <t>Chris Tirpak</t>
  </si>
  <si>
    <t>Austin Goble</t>
  </si>
  <si>
    <t>Invoiced but not received</t>
  </si>
  <si>
    <t>Jon Born</t>
  </si>
  <si>
    <t>C68103</t>
  </si>
  <si>
    <t>570-504-4611</t>
  </si>
  <si>
    <t>Kenny Delacastillo</t>
  </si>
  <si>
    <t>Matthew Lynott</t>
  </si>
  <si>
    <t>pd - yellow grip &amp; orng slug</t>
  </si>
  <si>
    <t>Steve Schott's sister</t>
  </si>
  <si>
    <t>Michael Marianelli</t>
  </si>
  <si>
    <t>Allen Phellps</t>
  </si>
  <si>
    <t>SO472766</t>
  </si>
  <si>
    <t>Beverly B (Kaiden)</t>
  </si>
  <si>
    <t>570-335-3045</t>
  </si>
  <si>
    <t>SO473316</t>
  </si>
  <si>
    <t>570-677-2392</t>
  </si>
  <si>
    <t>via phone</t>
  </si>
  <si>
    <t>Paul Beudoin Sr</t>
  </si>
  <si>
    <t>Valley customer</t>
  </si>
  <si>
    <t>Jill Dworak</t>
  </si>
  <si>
    <t>570-417-7370</t>
  </si>
  <si>
    <t>Heather McTague</t>
  </si>
  <si>
    <t>570-846-5023</t>
  </si>
  <si>
    <t>SO474846</t>
  </si>
  <si>
    <t>Cathy Wargo</t>
  </si>
  <si>
    <t>570-983-9857</t>
  </si>
  <si>
    <t>Jojo Pica</t>
  </si>
  <si>
    <t>Ryan Kelly</t>
  </si>
  <si>
    <t>SO475829</t>
  </si>
  <si>
    <t>O'Neil, Carl</t>
  </si>
  <si>
    <t>570-604-5730</t>
  </si>
  <si>
    <t>John Hamilton</t>
  </si>
  <si>
    <t>C60002</t>
  </si>
  <si>
    <t>phone order</t>
  </si>
  <si>
    <t>Lemoncelli</t>
  </si>
  <si>
    <t>570-815-7090</t>
  </si>
  <si>
    <t>South - paid in full</t>
  </si>
  <si>
    <t>Erica Black</t>
  </si>
  <si>
    <t>570-313-0006</t>
  </si>
  <si>
    <t>Valley - paid in full</t>
  </si>
  <si>
    <t>Sharif Wright</t>
  </si>
  <si>
    <t>510-921-1685</t>
  </si>
  <si>
    <t>Stacie Sutton</t>
  </si>
  <si>
    <t>Tim Tratthen</t>
  </si>
  <si>
    <t>SO478596</t>
  </si>
  <si>
    <t>Jon Gay</t>
  </si>
  <si>
    <t>845-768-8638</t>
  </si>
  <si>
    <t>Greg Matyevich</t>
  </si>
  <si>
    <t>Christina Jollimore</t>
  </si>
  <si>
    <t>Mike Smith</t>
  </si>
  <si>
    <t>570-780-5974</t>
  </si>
  <si>
    <t>Nick Unger</t>
  </si>
  <si>
    <t>SO479642</t>
  </si>
  <si>
    <t>Theresa Dihardo</t>
  </si>
  <si>
    <t>718-309-6974</t>
  </si>
  <si>
    <t>SO481432</t>
  </si>
  <si>
    <t>570-267-6102</t>
  </si>
  <si>
    <t>one for Valley</t>
  </si>
  <si>
    <t>Jean Gallagher</t>
  </si>
  <si>
    <t>646-645-2566</t>
  </si>
  <si>
    <t>Zoe Zurcher</t>
  </si>
  <si>
    <t>760-577-8581</t>
  </si>
  <si>
    <t>Kerri Zurcher</t>
  </si>
  <si>
    <t>Chuck Bertani</t>
  </si>
  <si>
    <t>845-741-3397</t>
  </si>
  <si>
    <t>SO481742</t>
  </si>
  <si>
    <t>Kim Griffiths</t>
  </si>
  <si>
    <t>Kim Adamiak</t>
  </si>
  <si>
    <t>570-499-8746</t>
  </si>
  <si>
    <t>570-687-7757</t>
  </si>
  <si>
    <t>Alice Foley</t>
  </si>
  <si>
    <t>Lory Plushanski</t>
  </si>
  <si>
    <t>570-665-8891</t>
  </si>
  <si>
    <t>Paid In Full</t>
  </si>
  <si>
    <t>Bill Bienicki</t>
  </si>
  <si>
    <t>570-445-0338</t>
  </si>
  <si>
    <t>SO482913</t>
  </si>
  <si>
    <t>Jim Thompson</t>
  </si>
  <si>
    <t>570-578-8226</t>
  </si>
  <si>
    <t>2 to Valley</t>
  </si>
  <si>
    <t>5 blue &amp; 5 grey/black</t>
  </si>
  <si>
    <t>Steve Schwing</t>
  </si>
  <si>
    <t>570-591-0377</t>
  </si>
  <si>
    <t>Margaret Jollimore</t>
  </si>
  <si>
    <t>727-460-9320</t>
  </si>
  <si>
    <t>Marianelli, Michael</t>
  </si>
  <si>
    <t>570-690-9747</t>
  </si>
  <si>
    <t>C61348</t>
  </si>
  <si>
    <t>Johnson, Steve</t>
  </si>
  <si>
    <t>570-470-1718</t>
  </si>
  <si>
    <t>Chet Haverstrike</t>
  </si>
  <si>
    <t>SO484320</t>
  </si>
  <si>
    <t>Andrew Kisner</t>
  </si>
  <si>
    <t>Robert Troy</t>
  </si>
  <si>
    <t>570-904-4693</t>
  </si>
  <si>
    <t>Tom Morley</t>
  </si>
  <si>
    <t>Richie Anderson</t>
  </si>
  <si>
    <t>570-540-1849</t>
  </si>
  <si>
    <t>Curt Sonnenberg</t>
  </si>
  <si>
    <t>570-499-1821</t>
  </si>
  <si>
    <t>Kara Poremba</t>
  </si>
  <si>
    <t>570-352-8064</t>
  </si>
  <si>
    <t>for Valley 9/14/25</t>
  </si>
  <si>
    <t>622057 (2)</t>
  </si>
  <si>
    <t>570-878-7655</t>
  </si>
  <si>
    <t>Tommy Schwing</t>
  </si>
  <si>
    <t>Ryan Keveson</t>
  </si>
  <si>
    <t>845-701-2145</t>
  </si>
  <si>
    <t>SO486595</t>
  </si>
  <si>
    <t>Bethany Frank</t>
  </si>
  <si>
    <t>913-240-7772</t>
  </si>
  <si>
    <t>Kyle Nepa</t>
  </si>
  <si>
    <t>570-575-6518</t>
  </si>
  <si>
    <t>Valley - needs to be fitted</t>
  </si>
  <si>
    <t>Christiana Gebhardt</t>
  </si>
  <si>
    <t>Rebecca Sullivan</t>
  </si>
  <si>
    <t>570-278-9210</t>
  </si>
  <si>
    <t>Trucker</t>
  </si>
  <si>
    <t>SO487065</t>
  </si>
  <si>
    <t>John Afford</t>
  </si>
  <si>
    <t>609-828-3415</t>
  </si>
  <si>
    <t>Andrew Kistner</t>
  </si>
  <si>
    <t>Valley - appt 10/1</t>
  </si>
  <si>
    <t>John Novello</t>
  </si>
  <si>
    <t>570-540-1051</t>
  </si>
  <si>
    <t>Paid In Full - appt 10/21</t>
  </si>
  <si>
    <t>Laura Spencer</t>
  </si>
  <si>
    <t>916-335-1792</t>
  </si>
  <si>
    <t>Dave Sawkiki</t>
  </si>
  <si>
    <t>570-702-4797</t>
  </si>
  <si>
    <t>Dom Siciliano</t>
  </si>
  <si>
    <t>570-499-3090</t>
  </si>
  <si>
    <t>Alice Kuhn</t>
  </si>
  <si>
    <t>570-591-7938</t>
  </si>
  <si>
    <t>Valley - for her daughter</t>
  </si>
  <si>
    <t>April Genovese</t>
  </si>
  <si>
    <t>570-904-9570</t>
  </si>
  <si>
    <t>Audrey Bauer - appt 10/11</t>
  </si>
  <si>
    <t>Ethan - appt 10/11</t>
  </si>
  <si>
    <t>Gavin - appt 10/11</t>
  </si>
  <si>
    <t>1 size up on thumb 10/6</t>
  </si>
  <si>
    <t>Ethan</t>
  </si>
  <si>
    <t>Chris Gursky</t>
  </si>
  <si>
    <t>570-575-1298</t>
  </si>
  <si>
    <t>Tom Shields</t>
  </si>
  <si>
    <t>570-466-8178</t>
  </si>
  <si>
    <t>fit and drill - appt 10/8</t>
  </si>
  <si>
    <t>Bryce Phillips</t>
  </si>
  <si>
    <t>570-561-7708</t>
  </si>
  <si>
    <t>Valley - paid in full - appt 10/6</t>
  </si>
  <si>
    <t>Kuhn, David</t>
  </si>
  <si>
    <t>570-878-4914</t>
  </si>
  <si>
    <t>appt 10/16</t>
  </si>
  <si>
    <t>Mican, Jim</t>
  </si>
  <si>
    <t>Bomba, Ed</t>
  </si>
  <si>
    <t>570-947-4596</t>
  </si>
  <si>
    <t>Boraski, Eddie</t>
  </si>
  <si>
    <t>O'Neil, Carl A</t>
  </si>
  <si>
    <t>272-207-8694</t>
  </si>
  <si>
    <t>Beaudoin, Paul Jr</t>
  </si>
  <si>
    <t>570-766-3017</t>
  </si>
  <si>
    <t>Walsh, Emma</t>
  </si>
  <si>
    <t>Unger, Chase</t>
  </si>
  <si>
    <t>Jarosh, Michael</t>
  </si>
  <si>
    <t>570-262-7520</t>
  </si>
  <si>
    <t>Valley -for her son</t>
  </si>
  <si>
    <t>Gilgallon, Pat</t>
  </si>
  <si>
    <t>570-650-0115</t>
  </si>
  <si>
    <t>Mike Angerson</t>
  </si>
  <si>
    <t>570-357-6165</t>
  </si>
  <si>
    <t>appt 9/30</t>
  </si>
  <si>
    <t>570-430-8421</t>
  </si>
  <si>
    <t>father Eric phone #</t>
  </si>
  <si>
    <t>Kellee Thelman</t>
  </si>
  <si>
    <t>Barbara Kelczewski</t>
  </si>
  <si>
    <t>570-503-0855</t>
  </si>
  <si>
    <t>Victoria McCoy</t>
  </si>
  <si>
    <t>570-815-0833</t>
  </si>
  <si>
    <t>Valley - Paid Sabrina (mom)</t>
  </si>
  <si>
    <t>Dan Granahan</t>
  </si>
  <si>
    <t>570-840-3796</t>
  </si>
  <si>
    <t>gavin - appt 10/11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</si>
</sst>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(###) ###-####"/>
    <numFmt numFmtId="165" formatCode="M/d/yyyy"/>
    <numFmt numFmtId="166" formatCode="m/d/yyyy h:mm:ss"/>
    <numFmt numFmtId="167" formatCode="m/d/yy"/>
    <numFmt numFmtId="168" formatCode="yyyy-mm-dd"/>
    <numFmt numFmtId="169" formatCode="&quot;$&quot;#,##0.00"/>
    <numFmt numFmtId="170" formatCode="&quot;$&quot;#,##0"/>
    <numFmt numFmtId="171" formatCode="h:mm am/pm"/>
    <numFmt numFmtId="172" formatCode="h:mm:ss am/pm"/>
    <numFmt numFmtId="173" formatCode="m/d"/>
    <numFmt numFmtId="174" formatCode="m/d/yyyy"/>
    <numFmt numFmtId="175" formatCode="m/d/yy h:mm"/>
    <numFmt numFmtId="176" formatCode="m/d/yy h:mm am/pm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FFFFFF"/>
      <name val="Arial"/>
      <scheme val="minor"/>
    </font>
    <font>
      <color theme="0"/>
      <name val="Arial"/>
      <scheme val="minor"/>
    </font>
    <font>
      <b/>
      <color theme="1"/>
      <name val="Arial"/>
      <scheme val="minor"/>
    </font>
    <font>
      <sz val="35.0"/>
      <color theme="1"/>
      <name val="Arial"/>
      <scheme val="minor"/>
    </font>
    <font>
      <sz val="11.0"/>
      <color theme="1"/>
      <name val="Calibri"/>
    </font>
    <font>
      <color theme="1"/>
      <name val="Calibri"/>
    </font>
    <font>
      <b/>
      <color theme="1"/>
      <name val="Arial"/>
    </font>
    <font>
      <color rgb="FF434343"/>
      <name val="Roboto"/>
    </font>
    <font>
      <sz val="11.0"/>
      <color rgb="FF434343"/>
      <name val="Calibri"/>
    </font>
    <font>
      <color rgb="FF434343"/>
      <name val="Arial"/>
    </font>
    <font>
      <color rgb="FFFFFFFF"/>
      <name val="Roboto"/>
    </font>
    <font>
      <sz val="11.0"/>
      <color rgb="FF434343"/>
      <name val="Roboto"/>
    </font>
    <font>
      <color theme="1"/>
      <name val="Roboto"/>
    </font>
    <font>
      <sz val="11.0"/>
      <color rgb="FFFFE599"/>
      <name val="Calibri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8F9FA"/>
        <bgColor rgb="FFF8F9FA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F4CCCC"/>
      </left>
      <right style="thin">
        <color rgb="FF442F65"/>
      </right>
      <top style="thin">
        <color rgb="FFF4CCCC"/>
      </top>
      <bottom style="thin">
        <color rgb="FFF4CCCC"/>
      </bottom>
    </border>
    <border>
      <left style="thin">
        <color rgb="FF442F65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4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4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vertical="bottom"/>
    </xf>
    <xf borderId="0" fillId="0" fontId="2" numFmtId="165" xfId="0" applyAlignment="1" applyFont="1" applyNumberFormat="1">
      <alignment readingOrder="0" vertical="bottom"/>
    </xf>
    <xf borderId="0" fillId="0" fontId="2" numFmtId="14" xfId="0" applyAlignment="1" applyFont="1" applyNumberFormat="1">
      <alignment readingOrder="0" vertical="bottom"/>
    </xf>
    <xf borderId="1" fillId="2" fontId="3" numFmtId="0" xfId="0" applyAlignment="1" applyBorder="1" applyFill="1" applyFont="1">
      <alignment horizontal="left" readingOrder="0" shrinkToFit="0" vertical="center" wrapText="0"/>
    </xf>
    <xf borderId="1" fillId="2" fontId="4" numFmtId="0" xfId="0" applyAlignment="1" applyBorder="1" applyFill="1" applyFont="1">
      <alignment horizontal="left" readingOrder="0" shrinkToFit="0" vertical="center" wrapText="0"/>
    </xf>
    <xf borderId="1" fillId="2" fontId="3" numFmtId="0" xfId="0" applyAlignment="1" applyBorder="1" applyFill="1" applyFont="1">
      <alignment horizontal="left" readingOrder="0" shrinkToFit="0" vertical="center" wrapText="1"/>
    </xf>
    <xf borderId="1" fillId="2" fontId="4" numFmtId="0" xfId="0" applyAlignment="1" applyBorder="1" applyFill="1" applyFont="1">
      <alignment horizontal="left" readingOrder="0" shrinkToFit="0" vertical="center" wrapText="1"/>
    </xf>
    <xf borderId="1" fillId="2" fontId="3" numFmtId="0" xfId="0" applyAlignment="1" applyBorder="1" applyFill="1" applyFont="1">
      <alignment horizontal="left" readingOrder="0" shrinkToFit="0" vertical="center" wrapText="0"/>
    </xf>
    <xf borderId="1" fillId="2" fontId="3" numFmtId="49" xfId="0" applyAlignment="1" applyBorder="1" applyFill="1" applyFont="1" applyNumberFormat="1">
      <alignment horizontal="left" readingOrder="0" shrinkToFit="0" vertical="center" wrapText="0"/>
    </xf>
    <xf borderId="1" fillId="2" fontId="4" numFmtId="0" xfId="0" applyAlignment="1" applyBorder="1" applyFill="1" applyFont="1">
      <alignment horizontal="left" readingOrder="0" shrinkToFit="0" vertical="center" wrapText="0"/>
    </xf>
    <xf borderId="1" fillId="2" fontId="4" numFmtId="0" xfId="0" applyAlignment="1" applyBorder="1" applyFill="1" applyFont="1">
      <alignment horizontal="center" readingOrder="0" shrinkToFit="0" vertical="center" wrapText="0"/>
    </xf>
    <xf borderId="0" fillId="0" fontId="1" numFmtId="168" xfId="0" applyAlignment="1" applyFont="1" applyNumberFormat="1">
      <alignment readingOrder="0"/>
    </xf>
    <xf borderId="1" fillId="2" fontId="3" numFmtId="0" xfId="0" applyAlignment="1" applyBorder="1" applyFill="1" applyFont="1">
      <alignment horizontal="center" readingOrder="0" shrinkToFit="0" vertical="center" wrapText="0"/>
    </xf>
    <xf borderId="1" fillId="3" fontId="1" numFmtId="0" xfId="0" applyAlignment="1" applyBorder="1" applyFill="1" applyFont="1">
      <alignment readingOrder="0" shrinkToFit="0" vertical="center" wrapText="0"/>
    </xf>
    <xf borderId="0" fillId="0" fontId="1" numFmtId="164" xfId="0" applyFont="1" applyNumberFormat="1"/>
    <xf borderId="1" fillId="3" fontId="2" numFmtId="0" xfId="0" applyAlignment="1" applyBorder="1" applyFill="1" applyFont="1">
      <alignment readingOrder="0"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readingOrder="0" shrinkToFit="0" vertical="bottom" wrapText="1"/>
    </xf>
    <xf borderId="1" fillId="3" fontId="2" numFmtId="0" xfId="0" applyAlignment="1" applyBorder="1" applyFill="1" applyFont="1">
      <alignment shrinkToFit="0" vertical="bottom" wrapText="1"/>
    </xf>
    <xf borderId="1" fillId="3" fontId="2" numFmtId="167" xfId="0" applyAlignment="1" applyBorder="1" applyFill="1" applyFont="1" applyNumberFormat="1">
      <alignment readingOrder="0"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1" fillId="3" fontId="2" numFmtId="0" xfId="0" applyAlignment="1" applyBorder="1" applyFill="1" applyFont="1">
      <alignment horizontal="center" readingOrder="0" shrinkToFit="0" vertical="bottom" wrapText="0"/>
    </xf>
    <xf borderId="1" fillId="3" fontId="2" numFmtId="0" xfId="0" applyAlignment="1" applyBorder="1" applyFill="1" applyFont="1">
      <alignment horizontal="center" shrinkToFit="0" vertical="bottom" wrapText="0"/>
    </xf>
    <xf borderId="0" fillId="0" fontId="2" numFmtId="164" xfId="0" applyAlignment="1" applyFont="1" applyNumberFormat="1">
      <alignment vertical="bottom"/>
    </xf>
    <xf borderId="1" fillId="3" fontId="1" numFmtId="166" xfId="0" applyAlignment="1" applyBorder="1" applyFill="1" applyFont="1" applyNumberFormat="1">
      <alignment readingOrder="0" shrinkToFit="0" vertical="center" wrapText="0"/>
    </xf>
    <xf borderId="0" fillId="0" fontId="1" numFmtId="165" xfId="0" applyFont="1" applyNumberFormat="1"/>
    <xf borderId="0" fillId="0" fontId="1" numFmtId="166" xfId="0" applyFont="1" applyNumberFormat="1"/>
    <xf borderId="0" fillId="0" fontId="1" numFmtId="0" xfId="0" applyFont="1"/>
    <xf borderId="0" fillId="3" fontId="5" numFmtId="0" xfId="0" applyAlignment="1" applyFill="1" applyFont="1">
      <alignment horizontal="center" readingOrder="0"/>
    </xf>
    <xf borderId="0" fillId="0" fontId="6" numFmtId="0" xfId="0" applyAlignment="1" applyFont="1">
      <alignment horizontal="center" readingOrder="0" vertical="center"/>
    </xf>
    <xf borderId="0" fillId="3" fontId="5" numFmtId="164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3" fontId="5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0" fontId="1" numFmtId="0" xfId="0" applyFont="1"/>
    <xf borderId="0" fillId="0" fontId="1" numFmtId="164" xfId="0" applyFont="1" applyNumberFormat="1"/>
    <xf borderId="0" fillId="0" fontId="1" numFmtId="167" xfId="0" applyFont="1" applyNumberFormat="1"/>
    <xf borderId="0" fillId="0" fontId="1" numFmtId="14" xfId="0" applyFont="1" applyNumberFormat="1"/>
    <xf borderId="0" fillId="0" fontId="1" numFmtId="169" xfId="0" applyFont="1" applyNumberFormat="1"/>
    <xf borderId="0" fillId="0" fontId="1" numFmtId="1" xfId="0" applyFont="1" applyNumberFormat="1"/>
    <xf borderId="0" fillId="0" fontId="1" numFmtId="164" xfId="0" applyAlignment="1" applyFont="1" applyNumberFormat="1">
      <alignment readingOrder="0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shrinkToFit="0" vertical="bottom" wrapText="1"/>
    </xf>
    <xf borderId="0" fillId="0" fontId="7" numFmtId="0" xfId="0" applyAlignment="1" applyFont="1">
      <alignment horizontal="center" shrinkToFit="0" wrapText="1"/>
    </xf>
    <xf borderId="0" fillId="0" fontId="7" numFmtId="14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vertical="bottom"/>
    </xf>
    <xf borderId="0" fillId="0" fontId="7" numFmtId="169" xfId="0" applyAlignment="1" applyFont="1" applyNumberFormat="1">
      <alignment horizontal="center" vertical="bottom"/>
    </xf>
    <xf borderId="0" fillId="0" fontId="7" numFmtId="1" xfId="0" applyAlignment="1" applyFont="1" applyNumberFormat="1">
      <alignment horizontal="center" vertical="bottom"/>
    </xf>
    <xf borderId="0" fillId="0" fontId="7" numFmtId="1" xfId="0" applyAlignment="1" applyFont="1" applyNumberFormat="1">
      <alignment vertical="bottom"/>
    </xf>
    <xf borderId="0" fillId="0" fontId="7" numFmtId="169" xfId="0" applyAlignment="1" applyFont="1" applyNumberFormat="1">
      <alignment horizontal="center" readingOrder="0" vertical="bottom"/>
    </xf>
    <xf borderId="0" fillId="0" fontId="7" numFmtId="169" xfId="0" applyAlignment="1" applyFont="1" applyNumberFormat="1">
      <alignment vertical="bottom"/>
    </xf>
    <xf borderId="0" fillId="0" fontId="7" numFmtId="169" xfId="0" applyAlignment="1" applyFont="1" applyNumberFormat="1">
      <alignment horizontal="center"/>
    </xf>
    <xf borderId="0" fillId="0" fontId="7" numFmtId="14" xfId="0" applyAlignment="1" applyFont="1" applyNumberFormat="1">
      <alignment horizontal="center" vertical="bottom"/>
    </xf>
    <xf borderId="0" fillId="0" fontId="8" numFmtId="0" xfId="0" applyAlignment="1" applyFont="1">
      <alignment shrinkToFit="0" vertical="bottom" wrapText="1"/>
    </xf>
    <xf borderId="0" fillId="0" fontId="8" numFmtId="0" xfId="0" applyAlignment="1" applyFont="1">
      <alignment horizontal="center" vertical="bottom"/>
    </xf>
    <xf borderId="0" fillId="0" fontId="8" numFmtId="14" xfId="0" applyAlignment="1" applyFont="1" applyNumberFormat="1">
      <alignment horizontal="center" vertical="bottom"/>
    </xf>
    <xf borderId="0" fillId="0" fontId="8" numFmtId="1" xfId="0" applyAlignment="1" applyFont="1" applyNumberFormat="1">
      <alignment horizontal="center" shrinkToFit="0" vertical="bottom" wrapText="1"/>
    </xf>
    <xf borderId="0" fillId="0" fontId="8" numFmtId="169" xfId="0" applyAlignment="1" applyFont="1" applyNumberFormat="1">
      <alignment horizontal="center" shrinkToFit="0" vertical="bottom" wrapText="1"/>
    </xf>
    <xf borderId="0" fillId="0" fontId="8" numFmtId="0" xfId="0" applyAlignment="1" applyFont="1">
      <alignment horizontal="center" readingOrder="0" vertical="bottom"/>
    </xf>
    <xf borderId="0" fillId="0" fontId="8" numFmtId="0" xfId="0" applyAlignment="1" applyFont="1">
      <alignment horizontal="center" shrinkToFit="0" vertical="bottom" wrapText="1"/>
    </xf>
    <xf borderId="0" fillId="0" fontId="8" numFmtId="0" xfId="0" applyAlignment="1" applyFont="1">
      <alignment horizontal="center" shrinkToFit="0" wrapText="1"/>
    </xf>
    <xf borderId="0" fillId="0" fontId="8" numFmtId="169" xfId="0" applyAlignment="1" applyFont="1" applyNumberFormat="1">
      <alignment horizontal="center" vertical="bottom"/>
    </xf>
    <xf borderId="0" fillId="0" fontId="7" numFmtId="0" xfId="0" applyAlignment="1" applyFont="1">
      <alignment readingOrder="0" vertical="bottom"/>
    </xf>
    <xf borderId="0" fillId="0" fontId="7" numFmtId="14" xfId="0" applyAlignment="1" applyFont="1" applyNumberFormat="1">
      <alignment vertical="bottom"/>
    </xf>
    <xf borderId="1" fillId="3" fontId="2" numFmtId="0" xfId="0" applyAlignment="1" applyBorder="1" applyFill="1" applyFont="1">
      <alignment shrinkToFit="0" vertical="bottom" wrapText="0"/>
    </xf>
    <xf borderId="0" fillId="0" fontId="7" numFmtId="0" xfId="0" applyFont="1"/>
    <xf borderId="1" fillId="3" fontId="2" numFmtId="170" xfId="0" applyAlignment="1" applyBorder="1" applyFill="1" applyFont="1" applyNumberFormat="1">
      <alignment readingOrder="0" shrinkToFit="0" vertical="bottom" wrapText="1"/>
    </xf>
    <xf borderId="1" fillId="3" fontId="9" numFmtId="167" xfId="0" applyAlignment="1" applyBorder="1" applyFill="1" applyFont="1" applyNumberFormat="1">
      <alignment readingOrder="0" shrinkToFit="0" vertical="bottom" wrapText="0"/>
    </xf>
    <xf borderId="1" fillId="3" fontId="9" numFmtId="0" xfId="0" applyAlignment="1" applyBorder="1" applyFill="1" applyFont="1">
      <alignment shrinkToFit="0" vertical="bottom" wrapText="0"/>
    </xf>
    <xf borderId="1" fillId="3" fontId="9" numFmtId="0" xfId="0" applyAlignment="1" applyBorder="1" applyFill="1" applyFont="1">
      <alignment readingOrder="0" shrinkToFit="0" vertical="bottom" wrapText="0"/>
    </xf>
    <xf borderId="0" fillId="0" fontId="1" numFmtId="171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71" xfId="0" applyAlignment="1" applyFont="1" applyNumberFormat="1">
      <alignment vertical="bottom"/>
    </xf>
    <xf borderId="0" fillId="0" fontId="1" numFmtId="49" xfId="0" applyFont="1" applyNumberFormat="1"/>
    <xf borderId="0" fillId="0" fontId="1" numFmtId="171" xfId="0" applyFont="1" applyNumberFormat="1"/>
    <xf borderId="0" fillId="0" fontId="1" numFmtId="14" xfId="0" applyFont="1" applyNumberFormat="1"/>
    <xf borderId="0" fillId="0" fontId="2" numFmtId="164" xfId="0" applyAlignment="1" applyFont="1" applyNumberFormat="1">
      <alignment readingOrder="0" vertical="bottom"/>
    </xf>
    <xf borderId="0" fillId="0" fontId="2" numFmtId="171" xfId="0" applyAlignment="1" applyFont="1" applyNumberFormat="1">
      <alignment readingOrder="0" vertical="bottom"/>
    </xf>
    <xf borderId="0" fillId="0" fontId="1" numFmtId="172" xfId="0" applyFont="1" applyNumberFormat="1"/>
    <xf borderId="0" fillId="0" fontId="2" numFmtId="165" xfId="0" applyAlignment="1" applyFont="1" applyNumberFormat="1">
      <alignment horizontal="right" readingOrder="0" vertical="bottom"/>
    </xf>
    <xf borderId="0" fillId="0" fontId="2" numFmtId="171" xfId="0" applyAlignment="1" applyFont="1" applyNumberFormat="1">
      <alignment horizontal="right" readingOrder="0" vertical="bottom"/>
    </xf>
    <xf borderId="0" fillId="0" fontId="2" numFmtId="172" xfId="0" applyAlignment="1" applyFont="1" applyNumberFormat="1">
      <alignment horizontal="right" vertical="bottom"/>
    </xf>
    <xf borderId="0" fillId="0" fontId="1" numFmtId="172" xfId="0" applyAlignment="1" applyFont="1" applyNumberFormat="1">
      <alignment readingOrder="0"/>
    </xf>
    <xf borderId="0" fillId="3" fontId="9" numFmtId="0" xfId="0" applyAlignment="1" applyFill="1" applyFont="1">
      <alignment horizontal="center" vertical="bottom"/>
    </xf>
    <xf borderId="0" fillId="3" fontId="9" numFmtId="0" xfId="0" applyAlignment="1" applyFill="1" applyFont="1">
      <alignment horizontal="center" vertical="bottom"/>
    </xf>
    <xf borderId="1" fillId="0" fontId="1" numFmtId="164" xfId="0" applyAlignment="1" applyBorder="1" applyFont="1" applyNumberFormat="1">
      <alignment readingOrder="0"/>
    </xf>
    <xf borderId="0" fillId="5" fontId="1" numFmtId="173" xfId="0" applyAlignment="1" applyFill="1" applyFont="1" applyNumberFormat="1">
      <alignment readingOrder="0"/>
    </xf>
    <xf borderId="0" fillId="5" fontId="1" numFmtId="171" xfId="0" applyAlignment="1" applyFill="1" applyFont="1" applyNumberFormat="1">
      <alignment readingOrder="0"/>
    </xf>
    <xf borderId="0" fillId="3" fontId="2" numFmtId="0" xfId="0" applyAlignment="1" applyFill="1" applyFont="1">
      <alignment readingOrder="0" vertical="bottom"/>
    </xf>
    <xf borderId="0" fillId="5" fontId="1" numFmtId="0" xfId="0" applyFill="1" applyFont="1"/>
    <xf borderId="0" fillId="3" fontId="1" numFmtId="173" xfId="0" applyFill="1" applyFont="1" applyNumberFormat="1"/>
    <xf borderId="0" fillId="5" fontId="1" numFmtId="0" xfId="0" applyAlignment="1" applyFill="1" applyFont="1">
      <alignment readingOrder="0"/>
    </xf>
    <xf borderId="0" fillId="3" fontId="1" numFmtId="173" xfId="0" applyAlignment="1" applyFill="1" applyFont="1" applyNumberFormat="1">
      <alignment readingOrder="0"/>
    </xf>
    <xf borderId="0" fillId="0" fontId="2" numFmtId="14" xfId="0" applyAlignment="1" applyFont="1" applyNumberFormat="1">
      <alignment vertical="bottom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3" fontId="9" numFmtId="14" xfId="0" applyAlignment="1" applyFill="1" applyFont="1" applyNumberFormat="1">
      <alignment horizontal="center" vertical="bottom"/>
    </xf>
    <xf borderId="0" fillId="4" fontId="9" numFmtId="14" xfId="0" applyAlignment="1" applyFill="1" applyFont="1" applyNumberFormat="1">
      <alignment horizontal="center" vertical="bottom"/>
    </xf>
    <xf borderId="0" fillId="3" fontId="7" numFmtId="0" xfId="0" applyAlignment="1" applyFill="1" applyFont="1">
      <alignment horizontal="center" vertical="bottom"/>
    </xf>
    <xf borderId="0" fillId="4" fontId="7" numFmtId="14" xfId="0" applyAlignment="1" applyFill="1" applyFont="1" applyNumberFormat="1">
      <alignment horizontal="center" vertical="bottom"/>
    </xf>
    <xf borderId="0" fillId="3" fontId="7" numFmtId="0" xfId="0" applyAlignment="1" applyFill="1" applyFont="1">
      <alignment horizontal="center" shrinkToFit="0" vertical="bottom" wrapText="1"/>
    </xf>
    <xf borderId="0" fillId="4" fontId="7" numFmtId="14" xfId="0" applyAlignment="1" applyFill="1" applyFont="1" applyNumberFormat="1">
      <alignment horizontal="right" vertical="bottom"/>
    </xf>
    <xf borderId="0" fillId="6" fontId="7" numFmtId="0" xfId="0" applyAlignment="1" applyFill="1" applyFont="1">
      <alignment horizontal="center" vertical="bottom"/>
    </xf>
    <xf borderId="0" fillId="6" fontId="2" numFmtId="14" xfId="0" applyAlignment="1" applyFill="1" applyFont="1" applyNumberFormat="1">
      <alignment vertical="bottom"/>
    </xf>
    <xf borderId="1" fillId="2" fontId="4" numFmtId="0" xfId="0" applyAlignment="1" applyBorder="1" applyFill="1" applyFont="1">
      <alignment horizontal="left" readingOrder="0" shrinkToFit="0" vertical="center" wrapText="1"/>
    </xf>
    <xf borderId="1" fillId="2" fontId="4" numFmtId="49" xfId="0" applyAlignment="1" applyBorder="1" applyFill="1" applyFont="1" applyNumberFormat="1">
      <alignment horizontal="left" readingOrder="0" shrinkToFit="0" vertical="center" wrapText="0"/>
    </xf>
    <xf borderId="0" fillId="2" fontId="4" numFmtId="0" xfId="0" applyAlignment="1" applyFill="1" applyFont="1">
      <alignment horizontal="center" readingOrder="0" shrinkToFit="0" vertical="center" wrapText="0"/>
    </xf>
    <xf borderId="0" fillId="2" fontId="2" numFmtId="0" xfId="0" applyAlignment="1" applyFill="1" applyFont="1">
      <alignment readingOrder="0" vertical="bottom"/>
    </xf>
    <xf borderId="0" fillId="2" fontId="2" numFmtId="0" xfId="0" applyAlignment="1" applyFill="1" applyFont="1">
      <alignment vertical="bottom"/>
    </xf>
    <xf borderId="1" fillId="3" fontId="10" numFmtId="0" xfId="0" applyAlignment="1" applyBorder="1" applyFill="1" applyFont="1">
      <alignment shrinkToFit="0" wrapText="0"/>
    </xf>
    <xf borderId="1" fillId="3" fontId="11" numFmtId="0" xfId="0" applyAlignment="1" applyBorder="1" applyFill="1" applyFont="1">
      <alignment shrinkToFit="0" vertical="bottom" wrapText="1"/>
    </xf>
    <xf borderId="1" fillId="3" fontId="11" numFmtId="0" xfId="0" applyAlignment="1" applyBorder="1" applyFill="1" applyFont="1">
      <alignment horizontal="center" shrinkToFit="0" vertical="bottom" wrapText="0"/>
    </xf>
    <xf borderId="1" fillId="3" fontId="11" numFmtId="0" xfId="0" applyAlignment="1" applyBorder="1" applyFill="1" applyFont="1">
      <alignment horizontal="center" shrinkToFit="0" vertical="bottom" wrapText="0"/>
    </xf>
    <xf borderId="1" fillId="3" fontId="11" numFmtId="0" xfId="0" applyAlignment="1" applyBorder="1" applyFill="1" applyFont="1">
      <alignment horizontal="center" shrinkToFit="0" vertical="bottom" wrapText="1"/>
    </xf>
    <xf borderId="1" fillId="3" fontId="2" numFmtId="0" xfId="0" applyAlignment="1" applyBorder="1" applyFill="1" applyFont="1">
      <alignment vertical="bottom"/>
    </xf>
    <xf borderId="1" fillId="3" fontId="11" numFmtId="0" xfId="0" applyAlignment="1" applyBorder="1" applyFill="1" applyFont="1">
      <alignment horizontal="center" shrinkToFit="0" vertical="bottom" wrapText="1"/>
    </xf>
    <xf borderId="1" fillId="3" fontId="11" numFmtId="167" xfId="0" applyAlignment="1" applyBorder="1" applyFill="1" applyFont="1" applyNumberFormat="1">
      <alignment horizontal="center" shrinkToFit="0" vertical="bottom" wrapText="1"/>
    </xf>
    <xf borderId="1" fillId="3" fontId="2" numFmtId="167" xfId="0" applyAlignment="1" applyBorder="1" applyFill="1" applyFont="1" applyNumberFormat="1">
      <alignment vertical="bottom"/>
    </xf>
    <xf borderId="1" fillId="3" fontId="11" numFmtId="0" xfId="0" applyAlignment="1" applyBorder="1" applyFill="1" applyFont="1">
      <alignment horizontal="right" shrinkToFit="0" vertical="bottom" wrapText="1"/>
    </xf>
    <xf borderId="1" fillId="3" fontId="10" numFmtId="0" xfId="0" applyAlignment="1" applyBorder="1" applyFill="1" applyFont="1">
      <alignment horizontal="center" shrinkToFit="0" wrapText="0"/>
    </xf>
    <xf borderId="2" fillId="3" fontId="2" numFmtId="0" xfId="0" applyBorder="1" applyFill="1" applyFont="1"/>
    <xf borderId="3" fillId="3" fontId="2" numFmtId="0" xfId="0" applyBorder="1" applyFill="1" applyFont="1"/>
    <xf borderId="0" fillId="3" fontId="7" numFmtId="0" xfId="0" applyAlignment="1" applyFill="1" applyFont="1">
      <alignment vertical="bottom"/>
    </xf>
    <xf borderId="1" fillId="3" fontId="1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vertical="bottom"/>
    </xf>
    <xf borderId="1" fillId="3" fontId="2" numFmtId="14" xfId="0" applyAlignment="1" applyBorder="1" applyFill="1" applyFont="1" applyNumberFormat="1">
      <alignment vertical="bottom"/>
    </xf>
    <xf borderId="1" fillId="3" fontId="2" numFmtId="168" xfId="0" applyAlignment="1" applyBorder="1" applyFill="1" applyFont="1" applyNumberFormat="1">
      <alignment vertical="bottom"/>
    </xf>
    <xf borderId="1" fillId="3" fontId="11" numFmtId="167" xfId="0" applyAlignment="1" applyBorder="1" applyFill="1" applyFont="1" applyNumberFormat="1">
      <alignment horizontal="center" shrinkToFit="0" vertical="bottom" wrapText="0"/>
    </xf>
    <xf borderId="1" fillId="3" fontId="11" numFmtId="0" xfId="0" applyAlignment="1" applyBorder="1" applyFill="1" applyFont="1">
      <alignment horizontal="right" shrinkToFit="0" vertical="bottom" wrapText="0"/>
    </xf>
    <xf borderId="3" fillId="3" fontId="2" numFmtId="0" xfId="0" applyBorder="1" applyFill="1" applyFont="1"/>
    <xf borderId="1" fillId="3" fontId="10" numFmtId="0" xfId="0" applyAlignment="1" applyBorder="1" applyFill="1" applyFont="1">
      <alignment shrinkToFit="0" wrapText="0"/>
    </xf>
    <xf borderId="2" fillId="3" fontId="2" numFmtId="0" xfId="0" applyBorder="1" applyFill="1" applyFont="1"/>
    <xf borderId="1" fillId="3" fontId="11" numFmtId="0" xfId="0" applyAlignment="1" applyBorder="1" applyFill="1" applyFont="1">
      <alignment shrinkToFit="0" vertical="bottom" wrapText="1"/>
    </xf>
    <xf borderId="1" fillId="3" fontId="12" numFmtId="0" xfId="0" applyAlignment="1" applyBorder="1" applyFill="1" applyFont="1">
      <alignment shrinkToFit="0" vertical="bottom" wrapText="0"/>
    </xf>
    <xf borderId="1" fillId="3" fontId="12" numFmtId="0" xfId="0" applyAlignment="1" applyBorder="1" applyFill="1" applyFont="1">
      <alignment shrinkToFit="0" vertical="bottom" wrapText="0"/>
    </xf>
    <xf borderId="1" fillId="3" fontId="12" numFmtId="0" xfId="0" applyAlignment="1" applyBorder="1" applyFill="1" applyFont="1">
      <alignment shrinkToFit="0" vertical="bottom" wrapText="1"/>
    </xf>
    <xf borderId="1" fillId="3" fontId="12" numFmtId="14" xfId="0" applyAlignment="1" applyBorder="1" applyFill="1" applyFont="1" applyNumberFormat="1">
      <alignment horizontal="right" shrinkToFit="0" vertical="bottom" wrapText="0"/>
    </xf>
    <xf borderId="1" fillId="3" fontId="12" numFmtId="0" xfId="0" applyAlignment="1" applyBorder="1" applyFill="1" applyFont="1">
      <alignment horizontal="right" shrinkToFit="0" vertical="bottom" wrapText="0"/>
    </xf>
    <xf borderId="1" fillId="3" fontId="12" numFmtId="0" xfId="0" applyAlignment="1" applyBorder="1" applyFill="1" applyFont="1">
      <alignment horizontal="right" shrinkToFit="0" vertical="bottom" wrapText="0"/>
    </xf>
    <xf borderId="1" fillId="3" fontId="12" numFmtId="0" xfId="0" applyAlignment="1" applyBorder="1" applyFill="1" applyFont="1">
      <alignment horizontal="center" shrinkToFit="0" vertical="bottom" wrapText="0"/>
    </xf>
    <xf borderId="2" fillId="3" fontId="2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vertical="bottom"/>
    </xf>
    <xf borderId="3" fillId="3" fontId="2" numFmtId="0" xfId="0" applyAlignment="1" applyBorder="1" applyFill="1" applyFont="1">
      <alignment vertical="bottom"/>
    </xf>
    <xf borderId="1" fillId="3" fontId="11" numFmtId="0" xfId="0" applyAlignment="1" applyBorder="1" applyFill="1" applyFont="1">
      <alignment shrinkToFit="0" vertical="bottom" wrapText="0"/>
    </xf>
    <xf borderId="0" fillId="3" fontId="2" numFmtId="174" xfId="0" applyAlignment="1" applyFill="1" applyFont="1" applyNumberFormat="1">
      <alignment horizontal="center" vertical="bottom"/>
    </xf>
    <xf borderId="0" fillId="3" fontId="2" numFmtId="14" xfId="0" applyAlignment="1" applyFill="1" applyFont="1" applyNumberFormat="1">
      <alignment horizontal="center" vertical="bottom"/>
    </xf>
    <xf borderId="1" fillId="3" fontId="2" numFmtId="14" xfId="0" applyAlignment="1" applyBorder="1" applyFill="1" applyFont="1" applyNumberFormat="1">
      <alignment vertical="bottom"/>
    </xf>
    <xf borderId="1" fillId="3" fontId="12" numFmtId="1" xfId="0" applyAlignment="1" applyBorder="1" applyFill="1" applyFont="1" applyNumberFormat="1">
      <alignment horizontal="right" shrinkToFit="0" vertical="bottom" wrapText="0"/>
    </xf>
    <xf borderId="1" fillId="3" fontId="11" numFmtId="174" xfId="0" applyAlignment="1" applyBorder="1" applyFill="1" applyFont="1" applyNumberFormat="1">
      <alignment horizontal="center" shrinkToFit="0" vertical="bottom" wrapText="0"/>
    </xf>
    <xf borderId="1" fillId="3" fontId="2" numFmtId="174" xfId="0" applyAlignment="1" applyBorder="1" applyFill="1" applyFont="1" applyNumberFormat="1">
      <alignment vertical="bottom"/>
    </xf>
    <xf borderId="0" fillId="3" fontId="2" numFmtId="167" xfId="0" applyAlignment="1" applyFill="1" applyFont="1" applyNumberFormat="1">
      <alignment horizontal="center" vertical="bottom"/>
    </xf>
    <xf borderId="0" fillId="0" fontId="1" numFmtId="0" xfId="0" applyAlignment="1" applyFont="1">
      <alignment readingOrder="0" shrinkToFit="0" vertical="center" wrapText="0"/>
    </xf>
    <xf borderId="0" fillId="3" fontId="2" numFmtId="14" xfId="0" applyAlignment="1" applyFill="1" applyFont="1" applyNumberFormat="1">
      <alignment horizontal="center" vertical="bottom"/>
    </xf>
    <xf borderId="0" fillId="3" fontId="9" numFmtId="0" xfId="0" applyAlignment="1" applyFill="1" applyFont="1">
      <alignment horizontal="center" readingOrder="0" vertical="bottom"/>
    </xf>
    <xf borderId="0" fillId="3" fontId="9" numFmtId="164" xfId="0" applyAlignment="1" applyFill="1" applyFont="1" applyNumberFormat="1">
      <alignment horizontal="center" vertical="bottom"/>
    </xf>
    <xf borderId="0" fillId="3" fontId="2" numFmtId="0" xfId="0" applyAlignment="1" applyFill="1" applyFont="1">
      <alignment vertical="bottom"/>
    </xf>
    <xf borderId="0" fillId="4" fontId="9" numFmtId="0" xfId="0" applyAlignment="1" applyFill="1" applyFont="1">
      <alignment horizontal="center" vertical="bottom"/>
    </xf>
    <xf borderId="0" fillId="4" fontId="9" numFmtId="169" xfId="0" applyAlignment="1" applyFill="1" applyFont="1" applyNumberFormat="1">
      <alignment horizontal="center" vertical="bottom"/>
    </xf>
    <xf borderId="0" fillId="3" fontId="2" numFmtId="14" xfId="0" applyAlignment="1" applyFill="1" applyFont="1" applyNumberFormat="1">
      <alignment vertical="bottom"/>
    </xf>
    <xf borderId="0" fillId="4" fontId="9" numFmtId="1" xfId="0" applyAlignment="1" applyFill="1" applyFont="1" applyNumberFormat="1">
      <alignment horizontal="center" vertical="bottom"/>
    </xf>
    <xf borderId="0" fillId="3" fontId="2" numFmtId="0" xfId="0" applyAlignment="1" applyFill="1" applyFont="1">
      <alignment vertical="bottom"/>
    </xf>
    <xf borderId="1" fillId="2" fontId="13" numFmtId="0" xfId="0" applyAlignment="1" applyBorder="1" applyFill="1" applyFont="1">
      <alignment shrinkToFit="0" wrapText="1"/>
    </xf>
    <xf borderId="1" fillId="2" fontId="13" numFmtId="14" xfId="0" applyAlignment="1" applyBorder="1" applyFill="1" applyFont="1" applyNumberFormat="1">
      <alignment shrinkToFit="0" wrapText="0"/>
    </xf>
    <xf borderId="1" fillId="6" fontId="11" numFmtId="0" xfId="0" applyAlignment="1" applyBorder="1" applyFill="1" applyFont="1">
      <alignment horizontal="center" shrinkToFit="0" vertical="bottom" wrapText="1"/>
    </xf>
    <xf borderId="1" fillId="6" fontId="11" numFmtId="167" xfId="0" applyAlignment="1" applyBorder="1" applyFill="1" applyFont="1" applyNumberFormat="1">
      <alignment horizontal="center" shrinkToFit="0" vertical="bottom" wrapText="1"/>
    </xf>
    <xf borderId="1" fillId="6" fontId="11" numFmtId="167" xfId="0" applyAlignment="1" applyBorder="1" applyFill="1" applyFont="1" applyNumberFormat="1">
      <alignment horizontal="center" shrinkToFit="0" vertical="bottom" wrapText="0"/>
    </xf>
    <xf borderId="0" fillId="3" fontId="7" numFmtId="0" xfId="0" applyAlignment="1" applyFill="1" applyFont="1">
      <alignment readingOrder="0" shrinkToFit="0" vertical="bottom" wrapText="1"/>
    </xf>
    <xf borderId="0" fillId="3" fontId="7" numFmtId="0" xfId="0" applyAlignment="1" applyFill="1" applyFont="1">
      <alignment horizontal="center" readingOrder="0" vertical="bottom"/>
    </xf>
    <xf borderId="1" fillId="6" fontId="12" numFmtId="0" xfId="0" applyAlignment="1" applyBorder="1" applyFill="1" applyFont="1">
      <alignment shrinkToFit="0" vertical="bottom" wrapText="1"/>
    </xf>
    <xf borderId="1" fillId="6" fontId="12" numFmtId="14" xfId="0" applyAlignment="1" applyBorder="1" applyFill="1" applyFont="1" applyNumberFormat="1">
      <alignment horizontal="right" shrinkToFit="0" vertical="bottom" wrapText="0"/>
    </xf>
    <xf borderId="0" fillId="3" fontId="1" numFmtId="0" xfId="0" applyAlignment="1" applyFill="1" applyFont="1">
      <alignment horizontal="center"/>
    </xf>
    <xf borderId="0" fillId="3" fontId="1" numFmtId="174" xfId="0" applyAlignment="1" applyFill="1" applyFont="1" applyNumberFormat="1">
      <alignment horizontal="center" readingOrder="0"/>
    </xf>
    <xf borderId="0" fillId="4" fontId="7" numFmtId="174" xfId="0" applyAlignment="1" applyFill="1" applyFont="1" applyNumberFormat="1">
      <alignment horizontal="center" readingOrder="0" vertical="bottom"/>
    </xf>
    <xf borderId="1" fillId="6" fontId="11" numFmtId="174" xfId="0" applyAlignment="1" applyBorder="1" applyFill="1" applyFont="1" applyNumberFormat="1">
      <alignment horizontal="center" shrinkToFit="0" vertical="bottom" wrapText="0"/>
    </xf>
    <xf borderId="0" fillId="4" fontId="7" numFmtId="0" xfId="0" applyAlignment="1" applyFill="1" applyFont="1">
      <alignment horizontal="center" readingOrder="0" vertical="bottom"/>
    </xf>
    <xf borderId="0" fillId="4" fontId="1" numFmtId="0" xfId="0" applyAlignment="1" applyFill="1" applyFont="1">
      <alignment horizontal="center" readingOrder="0"/>
    </xf>
    <xf borderId="0" fillId="4" fontId="1" numFmtId="169" xfId="0" applyAlignment="1" applyFill="1" applyFont="1" applyNumberFormat="1">
      <alignment readingOrder="0"/>
    </xf>
    <xf borderId="0" fillId="4" fontId="7" numFmtId="1" xfId="0" applyAlignment="1" applyFill="1" applyFont="1" applyNumberFormat="1">
      <alignment horizontal="center" vertical="bottom"/>
    </xf>
    <xf borderId="0" fillId="4" fontId="7" numFmtId="0" xfId="0" applyAlignment="1" applyFill="1" applyFont="1">
      <alignment horizontal="center" vertical="bottom"/>
    </xf>
    <xf borderId="0" fillId="3" fontId="7" numFmtId="0" xfId="0" applyAlignment="1" applyFill="1" applyFont="1">
      <alignment readingOrder="0" vertical="bottom"/>
    </xf>
    <xf borderId="0" fillId="3" fontId="7" numFmtId="0" xfId="0" applyAlignment="1" applyFill="1" applyFont="1">
      <alignment horizontal="center" readingOrder="0" shrinkToFit="0" vertical="bottom" wrapText="1"/>
    </xf>
    <xf borderId="0" fillId="3" fontId="7" numFmtId="0" xfId="0" applyAlignment="1" applyFill="1" applyFont="1">
      <alignment horizontal="center" readingOrder="0" shrinkToFit="0" wrapText="1"/>
    </xf>
    <xf borderId="0" fillId="4" fontId="7" numFmtId="1" xfId="0" applyAlignment="1" applyFill="1" applyFont="1" applyNumberFormat="1">
      <alignment horizontal="center" readingOrder="0" vertical="bottom"/>
    </xf>
    <xf borderId="0" fillId="3" fontId="1" numFmtId="14" xfId="0" applyAlignment="1" applyFill="1" applyFont="1" applyNumberFormat="1">
      <alignment horizontal="center" readingOrder="0"/>
    </xf>
    <xf borderId="0" fillId="4" fontId="7" numFmtId="14" xfId="0" applyAlignment="1" applyFill="1" applyFont="1" applyNumberFormat="1">
      <alignment horizontal="center" readingOrder="0" vertical="bottom"/>
    </xf>
    <xf borderId="0" fillId="3" fontId="1" numFmtId="0" xfId="0" applyAlignment="1" applyFill="1" applyFont="1">
      <alignment horizontal="center" readingOrder="0"/>
    </xf>
    <xf borderId="1" fillId="6" fontId="11" numFmtId="174" xfId="0" applyAlignment="1" applyBorder="1" applyFill="1" applyFont="1" applyNumberFormat="1">
      <alignment horizontal="center" shrinkToFit="0" vertical="bottom" wrapText="1"/>
    </xf>
    <xf borderId="1" fillId="7" fontId="12" numFmtId="0" xfId="0" applyAlignment="1" applyBorder="1" applyFill="1" applyFont="1">
      <alignment shrinkToFit="0" vertical="bottom" wrapText="1"/>
    </xf>
    <xf borderId="1" fillId="7" fontId="12" numFmtId="14" xfId="0" applyAlignment="1" applyBorder="1" applyFill="1" applyFont="1" applyNumberFormat="1">
      <alignment horizontal="right" shrinkToFit="0" vertical="bottom" wrapText="0"/>
    </xf>
    <xf borderId="1" fillId="7" fontId="11" numFmtId="0" xfId="0" applyAlignment="1" applyBorder="1" applyFill="1" applyFont="1">
      <alignment horizontal="center" shrinkToFit="0" vertical="bottom" wrapText="1"/>
    </xf>
    <xf borderId="1" fillId="7" fontId="11" numFmtId="167" xfId="0" applyAlignment="1" applyBorder="1" applyFill="1" applyFont="1" applyNumberFormat="1">
      <alignment horizontal="center" shrinkToFit="0" vertical="bottom" wrapText="1"/>
    </xf>
    <xf borderId="1" fillId="6" fontId="10" numFmtId="0" xfId="0" applyAlignment="1" applyBorder="1" applyFill="1" applyFont="1">
      <alignment horizontal="center" shrinkToFit="0" vertical="bottom" wrapText="1"/>
    </xf>
    <xf borderId="1" fillId="6" fontId="10" numFmtId="174" xfId="0" applyAlignment="1" applyBorder="1" applyFill="1" applyFont="1" applyNumberFormat="1">
      <alignment horizontal="center" shrinkToFit="0" vertical="bottom" wrapText="0"/>
    </xf>
    <xf borderId="1" fillId="6" fontId="14" numFmtId="0" xfId="0" applyAlignment="1" applyBorder="1" applyFill="1" applyFont="1">
      <alignment horizontal="center" shrinkToFit="0" vertical="bottom" wrapText="1"/>
    </xf>
    <xf borderId="1" fillId="6" fontId="14" numFmtId="174" xfId="0" applyAlignment="1" applyBorder="1" applyFill="1" applyFont="1" applyNumberFormat="1">
      <alignment horizontal="center" shrinkToFit="0" vertical="bottom" wrapText="0"/>
    </xf>
    <xf borderId="1" fillId="6" fontId="12" numFmtId="0" xfId="0" applyAlignment="1" applyBorder="1" applyFill="1" applyFont="1">
      <alignment horizontal="center" shrinkToFit="0" vertical="bottom" wrapText="1"/>
    </xf>
    <xf borderId="1" fillId="6" fontId="12" numFmtId="174" xfId="0" applyAlignment="1" applyBorder="1" applyFill="1" applyFont="1" applyNumberFormat="1">
      <alignment horizontal="center" shrinkToFit="0" vertical="bottom" wrapText="0"/>
    </xf>
    <xf borderId="1" fillId="6" fontId="14" numFmtId="167" xfId="0" applyAlignment="1" applyBorder="1" applyFill="1" applyFont="1" applyNumberFormat="1">
      <alignment horizontal="center" shrinkToFit="0" vertical="bottom" wrapText="0"/>
    </xf>
    <xf borderId="1" fillId="3" fontId="11" numFmtId="174" xfId="0" applyAlignment="1" applyBorder="1" applyFill="1" applyFont="1" applyNumberFormat="1">
      <alignment horizontal="center" shrinkToFit="0" vertical="bottom" wrapText="1"/>
    </xf>
    <xf borderId="0" fillId="4" fontId="7" numFmtId="174" xfId="0" applyAlignment="1" applyFill="1" applyFont="1" applyNumberFormat="1">
      <alignment readingOrder="0" vertical="bottom"/>
    </xf>
    <xf borderId="0" fillId="4" fontId="7" numFmtId="0" xfId="0" applyAlignment="1" applyFill="1" applyFont="1">
      <alignment readingOrder="0" vertical="bottom"/>
    </xf>
    <xf borderId="0" fillId="4" fontId="7" numFmtId="0" xfId="0" applyAlignment="1" applyFill="1" applyFont="1">
      <alignment vertical="bottom"/>
    </xf>
    <xf borderId="0" fillId="4" fontId="7" numFmtId="14" xfId="0" applyAlignment="1" applyFill="1" applyFont="1" applyNumberFormat="1">
      <alignment readingOrder="0" vertical="bottom"/>
    </xf>
    <xf borderId="1" fillId="7" fontId="2" numFmtId="0" xfId="0" applyBorder="1" applyFill="1" applyFont="1"/>
    <xf borderId="1" fillId="7" fontId="12" numFmtId="0" xfId="0" applyAlignment="1" applyBorder="1" applyFill="1" applyFont="1">
      <alignment shrinkToFit="0" vertical="bottom" wrapText="0"/>
    </xf>
    <xf borderId="1" fillId="7" fontId="2" numFmtId="0" xfId="0" applyAlignment="1" applyBorder="1" applyFill="1" applyFont="1">
      <alignment vertical="bottom"/>
    </xf>
    <xf borderId="1" fillId="7" fontId="12" numFmtId="0" xfId="0" applyAlignment="1" applyBorder="1" applyFill="1" applyFont="1">
      <alignment shrinkToFit="0" vertical="bottom" wrapText="0"/>
    </xf>
    <xf borderId="1" fillId="7" fontId="12" numFmtId="0" xfId="0" applyAlignment="1" applyBorder="1" applyFill="1" applyFont="1">
      <alignment shrinkToFit="0" vertical="bottom" wrapText="1"/>
    </xf>
    <xf borderId="1" fillId="7" fontId="2" numFmtId="0" xfId="0" applyAlignment="1" applyBorder="1" applyFill="1" applyFont="1">
      <alignment vertical="bottom"/>
    </xf>
    <xf borderId="1" fillId="7" fontId="2" numFmtId="14" xfId="0" applyAlignment="1" applyBorder="1" applyFill="1" applyFont="1" applyNumberFormat="1">
      <alignment vertical="bottom"/>
    </xf>
    <xf borderId="1" fillId="7" fontId="12" numFmtId="0" xfId="0" applyAlignment="1" applyBorder="1" applyFill="1" applyFont="1">
      <alignment horizontal="right" shrinkToFit="0" vertical="bottom" wrapText="0"/>
    </xf>
    <xf borderId="1" fillId="7" fontId="12" numFmtId="0" xfId="0" applyAlignment="1" applyBorder="1" applyFill="1" applyFont="1">
      <alignment horizontal="right" shrinkToFit="0" vertical="bottom" wrapText="0"/>
    </xf>
    <xf borderId="1" fillId="7" fontId="10" numFmtId="0" xfId="0" applyAlignment="1" applyBorder="1" applyFill="1" applyFont="1">
      <alignment horizontal="center" shrinkToFit="0" vertical="bottom" wrapText="1"/>
    </xf>
    <xf borderId="1" fillId="7" fontId="11" numFmtId="0" xfId="0" applyAlignment="1" applyBorder="1" applyFill="1" applyFont="1">
      <alignment horizontal="center" shrinkToFit="0" vertical="bottom" wrapText="0"/>
    </xf>
    <xf borderId="1" fillId="7" fontId="10" numFmtId="174" xfId="0" applyAlignment="1" applyBorder="1" applyFill="1" applyFont="1" applyNumberFormat="1">
      <alignment horizontal="center" shrinkToFit="0" vertical="bottom" wrapText="0"/>
    </xf>
    <xf borderId="1" fillId="7" fontId="10" numFmtId="0" xfId="0" applyAlignment="1" applyBorder="1" applyFill="1" applyFont="1">
      <alignment horizontal="center" shrinkToFit="0" wrapText="0"/>
    </xf>
    <xf borderId="2" fillId="7" fontId="2" numFmtId="0" xfId="0" applyBorder="1" applyFill="1" applyFont="1"/>
    <xf borderId="2" fillId="7" fontId="2" numFmtId="0" xfId="0" applyBorder="1" applyFill="1" applyFont="1"/>
    <xf borderId="3" fillId="7" fontId="2" numFmtId="0" xfId="0" applyBorder="1" applyFill="1" applyFont="1"/>
    <xf borderId="1" fillId="7" fontId="11" numFmtId="0" xfId="0" applyAlignment="1" applyBorder="1" applyFill="1" applyFont="1">
      <alignment shrinkToFit="0" vertical="bottom" wrapText="0"/>
    </xf>
    <xf borderId="1" fillId="7" fontId="11" numFmtId="0" xfId="0" applyAlignment="1" applyBorder="1" applyFill="1" applyFont="1">
      <alignment horizontal="center" shrinkToFit="0" vertical="bottom" wrapText="1"/>
    </xf>
    <xf borderId="1" fillId="7" fontId="2" numFmtId="167" xfId="0" applyAlignment="1" applyBorder="1" applyFill="1" applyFont="1" applyNumberFormat="1">
      <alignment vertical="bottom"/>
    </xf>
    <xf borderId="1" fillId="7" fontId="11" numFmtId="0" xfId="0" applyAlignment="1" applyBorder="1" applyFill="1" applyFont="1">
      <alignment horizontal="right" shrinkToFit="0" vertical="bottom" wrapText="1"/>
    </xf>
    <xf borderId="1" fillId="6" fontId="10" numFmtId="167" xfId="0" applyAlignment="1" applyBorder="1" applyFill="1" applyFont="1" applyNumberFormat="1">
      <alignment horizontal="center" shrinkToFit="0" vertical="bottom" wrapText="0"/>
    </xf>
    <xf borderId="1" fillId="7" fontId="10" numFmtId="0" xfId="0" applyAlignment="1" applyBorder="1" applyFill="1" applyFont="1">
      <alignment shrinkToFit="0" wrapText="0"/>
    </xf>
    <xf borderId="1" fillId="6" fontId="12" numFmtId="167" xfId="0" applyAlignment="1" applyBorder="1" applyFill="1" applyFont="1" applyNumberFormat="1">
      <alignment horizontal="right" shrinkToFit="0" vertical="bottom" wrapText="0"/>
    </xf>
    <xf borderId="1" fillId="7" fontId="11" numFmtId="174" xfId="0" applyAlignment="1" applyBorder="1" applyFill="1" applyFont="1" applyNumberFormat="1">
      <alignment horizontal="center" shrinkToFit="0" vertical="bottom" wrapText="0"/>
    </xf>
    <xf borderId="1" fillId="7" fontId="2" numFmtId="174" xfId="0" applyAlignment="1" applyBorder="1" applyFill="1" applyFont="1" applyNumberFormat="1">
      <alignment vertical="bottom"/>
    </xf>
    <xf borderId="1" fillId="7" fontId="11" numFmtId="0" xfId="0" applyAlignment="1" applyBorder="1" applyFill="1" applyFont="1">
      <alignment horizontal="right" shrinkToFit="0" vertical="bottom" wrapText="0"/>
    </xf>
    <xf borderId="1" fillId="6" fontId="12" numFmtId="174" xfId="0" applyAlignment="1" applyBorder="1" applyFill="1" applyFont="1" applyNumberFormat="1">
      <alignment horizontal="right" shrinkToFit="0" vertical="bottom" wrapText="0"/>
    </xf>
    <xf borderId="2" fillId="7" fontId="11" numFmtId="0" xfId="0" applyAlignment="1" applyBorder="1" applyFill="1" applyFont="1">
      <alignment horizontal="center" shrinkToFit="0" vertical="bottom" wrapText="0"/>
    </xf>
    <xf borderId="2" fillId="7" fontId="10" numFmtId="0" xfId="0" applyAlignment="1" applyBorder="1" applyFill="1" applyFont="1">
      <alignment horizontal="center" shrinkToFit="0" wrapText="0"/>
    </xf>
    <xf borderId="1" fillId="7" fontId="11" numFmtId="0" xfId="0" applyAlignment="1" applyBorder="1" applyFill="1" applyFont="1">
      <alignment shrinkToFit="0" vertical="bottom" wrapText="1"/>
    </xf>
    <xf borderId="1" fillId="7" fontId="11" numFmtId="0" xfId="0" applyAlignment="1" applyBorder="1" applyFill="1" applyFont="1">
      <alignment shrinkToFit="0" vertical="bottom" wrapText="1"/>
    </xf>
    <xf borderId="1" fillId="7" fontId="2" numFmtId="168" xfId="0" applyAlignment="1" applyBorder="1" applyFill="1" applyFont="1" applyNumberFormat="1">
      <alignment vertical="bottom"/>
    </xf>
    <xf borderId="1" fillId="7" fontId="11" numFmtId="174" xfId="0" applyAlignment="1" applyBorder="1" applyFill="1" applyFont="1" applyNumberFormat="1">
      <alignment horizontal="center" shrinkToFit="0" vertical="bottom" wrapText="1"/>
    </xf>
    <xf borderId="1" fillId="7" fontId="11" numFmtId="0" xfId="0" applyAlignment="1" applyBorder="1" applyFill="1" applyFont="1">
      <alignment horizontal="center" shrinkToFit="0" vertical="bottom" wrapText="0"/>
    </xf>
    <xf borderId="2" fillId="7" fontId="11" numFmtId="0" xfId="0" applyAlignment="1" applyBorder="1" applyFill="1" applyFont="1">
      <alignment horizontal="center" shrinkToFit="0" vertical="bottom" wrapText="0"/>
    </xf>
    <xf borderId="1" fillId="6" fontId="12" numFmtId="167" xfId="0" applyAlignment="1" applyBorder="1" applyFill="1" applyFont="1" applyNumberFormat="1">
      <alignment horizontal="center" shrinkToFit="0" vertical="bottom" wrapText="0"/>
    </xf>
    <xf borderId="1" fillId="7" fontId="10" numFmtId="0" xfId="0" applyAlignment="1" applyBorder="1" applyFill="1" applyFont="1">
      <alignment shrinkToFit="0" vertical="bottom" wrapText="0"/>
    </xf>
    <xf borderId="1" fillId="7" fontId="10" numFmtId="0" xfId="0" applyAlignment="1" applyBorder="1" applyFill="1" applyFont="1">
      <alignment horizontal="center" shrinkToFit="0" vertical="bottom" wrapText="0"/>
    </xf>
    <xf borderId="1" fillId="7" fontId="10" numFmtId="0" xfId="0" applyAlignment="1" applyBorder="1" applyFill="1" applyFont="1">
      <alignment horizontal="center" shrinkToFit="0" vertical="bottom" wrapText="1"/>
    </xf>
    <xf borderId="1" fillId="7" fontId="10" numFmtId="0" xfId="0" applyAlignment="1" applyBorder="1" applyFill="1" applyFont="1">
      <alignment horizontal="right" shrinkToFit="0" vertical="bottom" wrapText="0"/>
    </xf>
    <xf borderId="1" fillId="7" fontId="14" numFmtId="0" xfId="0" applyAlignment="1" applyBorder="1" applyFill="1" applyFont="1">
      <alignment shrinkToFit="0" vertical="bottom" wrapText="0"/>
    </xf>
    <xf borderId="1" fillId="7" fontId="14" numFmtId="0" xfId="0" applyAlignment="1" applyBorder="1" applyFill="1" applyFont="1">
      <alignment horizontal="center" shrinkToFit="0" vertical="bottom" wrapText="0"/>
    </xf>
    <xf borderId="1" fillId="7" fontId="14" numFmtId="0" xfId="0" applyAlignment="1" applyBorder="1" applyFill="1" applyFont="1">
      <alignment horizontal="center" shrinkToFit="0" vertical="bottom" wrapText="1"/>
    </xf>
    <xf borderId="1" fillId="7" fontId="14" numFmtId="174" xfId="0" applyAlignment="1" applyBorder="1" applyFill="1" applyFont="1" applyNumberFormat="1">
      <alignment horizontal="center" shrinkToFit="0" vertical="bottom" wrapText="0"/>
    </xf>
    <xf borderId="1" fillId="7" fontId="14" numFmtId="0" xfId="0" applyAlignment="1" applyBorder="1" applyFill="1" applyFont="1">
      <alignment horizontal="right" shrinkToFit="0" vertical="bottom" wrapText="0"/>
    </xf>
    <xf borderId="1" fillId="6" fontId="10" numFmtId="0" xfId="0" applyAlignment="1" applyBorder="1" applyFill="1" applyFont="1">
      <alignment shrinkToFit="0" vertical="bottom" wrapText="1"/>
    </xf>
    <xf borderId="1" fillId="7" fontId="11" numFmtId="0" xfId="0" applyAlignment="1" applyBorder="1" applyFill="1" applyFont="1">
      <alignment shrinkToFit="0" vertical="bottom" wrapText="0"/>
    </xf>
    <xf borderId="1" fillId="7" fontId="14" numFmtId="167" xfId="0" applyAlignment="1" applyBorder="1" applyFill="1" applyFont="1" applyNumberFormat="1">
      <alignment horizontal="center" shrinkToFit="0" vertical="bottom" wrapText="0"/>
    </xf>
    <xf borderId="1" fillId="7" fontId="12" numFmtId="167" xfId="0" applyAlignment="1" applyBorder="1" applyFill="1" applyFont="1" applyNumberFormat="1">
      <alignment horizontal="right" shrinkToFit="0" vertical="bottom" wrapText="0"/>
    </xf>
    <xf borderId="0" fillId="0" fontId="2" numFmtId="167" xfId="0" applyAlignment="1" applyFont="1" applyNumberFormat="1">
      <alignment horizontal="right" vertical="bottom"/>
    </xf>
    <xf borderId="3" fillId="7" fontId="2" numFmtId="14" xfId="0" applyBorder="1" applyFill="1" applyFont="1" applyNumberFormat="1"/>
    <xf borderId="1" fillId="7" fontId="2" numFmtId="175" xfId="0" applyAlignment="1" applyBorder="1" applyFill="1" applyFont="1" applyNumberFormat="1">
      <alignment vertical="bottom"/>
    </xf>
    <xf borderId="1" fillId="7" fontId="12" numFmtId="0" xfId="0" applyAlignment="1" applyBorder="1" applyFill="1" applyFont="1">
      <alignment horizontal="center" shrinkToFit="0" vertical="bottom" wrapText="1"/>
    </xf>
    <xf borderId="1" fillId="7" fontId="12" numFmtId="174" xfId="0" applyAlignment="1" applyBorder="1" applyFill="1" applyFont="1" applyNumberFormat="1">
      <alignment horizontal="center" shrinkToFit="0" vertical="bottom" wrapText="0"/>
    </xf>
    <xf borderId="1" fillId="7" fontId="12" numFmtId="0" xfId="0" applyAlignment="1" applyBorder="1" applyFill="1" applyFont="1">
      <alignment horizontal="center" shrinkToFit="0" vertical="bottom" wrapText="0"/>
    </xf>
    <xf borderId="1" fillId="5" fontId="12" numFmtId="0" xfId="0" applyAlignment="1" applyBorder="1" applyFill="1" applyFont="1">
      <alignment shrinkToFit="0" vertical="bottom" wrapText="0"/>
    </xf>
    <xf borderId="0" fillId="3" fontId="15" numFmtId="0" xfId="0" applyAlignment="1" applyFill="1" applyFont="1">
      <alignment readingOrder="0" shrinkToFit="0" wrapText="1"/>
    </xf>
    <xf borderId="1" fillId="7" fontId="10" numFmtId="0" xfId="0" applyAlignment="1" applyBorder="1" applyFill="1" applyFont="1">
      <alignment shrinkToFit="0" vertical="bottom" wrapText="0"/>
    </xf>
    <xf borderId="0" fillId="3" fontId="15" numFmtId="0" xfId="0" applyAlignment="1" applyFill="1" applyFont="1">
      <alignment horizontal="center" readingOrder="0" shrinkToFit="0" wrapText="1"/>
    </xf>
    <xf borderId="1" fillId="7" fontId="14" numFmtId="0" xfId="0" applyAlignment="1" applyBorder="1" applyFill="1" applyFont="1">
      <alignment shrinkToFit="0" vertical="bottom" wrapText="0"/>
    </xf>
    <xf borderId="1" fillId="2" fontId="13" numFmtId="0" xfId="0" applyAlignment="1" applyBorder="1" applyFill="1" applyFont="1">
      <alignment shrinkToFit="0" wrapText="0"/>
    </xf>
    <xf borderId="1" fillId="3" fontId="12" numFmtId="0" xfId="0" applyAlignment="1" applyBorder="1" applyFill="1" applyFont="1">
      <alignment shrinkToFit="0" vertical="bottom" wrapText="1"/>
    </xf>
    <xf borderId="1" fillId="3" fontId="12" numFmtId="167" xfId="0" applyAlignment="1" applyBorder="1" applyFill="1" applyFont="1" applyNumberFormat="1">
      <alignment horizontal="right" shrinkToFit="0" vertical="bottom" wrapText="0"/>
    </xf>
    <xf borderId="0" fillId="4" fontId="1" numFmtId="0" xfId="0" applyAlignment="1" applyFill="1" applyFont="1">
      <alignment horizontal="center"/>
    </xf>
    <xf borderId="0" fillId="4" fontId="1" numFmtId="169" xfId="0" applyFill="1" applyFont="1" applyNumberFormat="1"/>
    <xf borderId="1" fillId="3" fontId="2" numFmtId="0" xfId="0" applyAlignment="1" applyBorder="1" applyFill="1" applyFont="1">
      <alignment shrinkToFit="0" vertical="bottom" wrapText="1"/>
    </xf>
    <xf borderId="1" fillId="5" fontId="12" numFmtId="0" xfId="0" applyAlignment="1" applyBorder="1" applyFill="1" applyFont="1">
      <alignment shrinkToFit="0" vertical="bottom" wrapText="1"/>
    </xf>
    <xf borderId="1" fillId="5" fontId="2" numFmtId="0" xfId="0" applyAlignment="1" applyBorder="1" applyFill="1" applyFont="1">
      <alignment vertical="bottom"/>
    </xf>
    <xf borderId="0" fillId="3" fontId="7" numFmtId="14" xfId="0" applyAlignment="1" applyFill="1" applyFont="1" applyNumberFormat="1">
      <alignment horizontal="center" vertical="bottom"/>
    </xf>
    <xf borderId="1" fillId="7" fontId="11" numFmtId="167" xfId="0" applyAlignment="1" applyBorder="1" applyFill="1" applyFont="1" applyNumberFormat="1">
      <alignment horizontal="center" shrinkToFit="0" vertical="bottom" wrapText="0"/>
    </xf>
    <xf borderId="0" fillId="3" fontId="1" numFmtId="167" xfId="0" applyAlignment="1" applyFill="1" applyFont="1" applyNumberFormat="1">
      <alignment horizontal="center" readingOrder="0"/>
    </xf>
    <xf borderId="1" fillId="7" fontId="11" numFmtId="168" xfId="0" applyAlignment="1" applyBorder="1" applyFill="1" applyFont="1" applyNumberFormat="1">
      <alignment horizontal="center" shrinkToFit="0" vertical="bottom" wrapText="1"/>
    </xf>
    <xf borderId="1" fillId="7" fontId="11" numFmtId="176" xfId="0" applyAlignment="1" applyBorder="1" applyFill="1" applyFont="1" applyNumberFormat="1">
      <alignment horizontal="center" shrinkToFit="0" vertical="bottom" wrapText="0"/>
    </xf>
    <xf borderId="0" fillId="3" fontId="7" numFmtId="14" xfId="0" applyAlignment="1" applyFill="1" applyFont="1" applyNumberFormat="1">
      <alignment readingOrder="0" vertical="bottom"/>
    </xf>
    <xf borderId="0" fillId="3" fontId="7" numFmtId="174" xfId="0" applyAlignment="1" applyFill="1" applyFont="1" applyNumberFormat="1">
      <alignment horizontal="center" readingOrder="0" vertical="bottom"/>
    </xf>
    <xf borderId="2" fillId="7" fontId="2" numFmtId="0" xfId="0" applyAlignment="1" applyBorder="1" applyFill="1" applyFont="1">
      <alignment vertical="bottom"/>
    </xf>
    <xf borderId="0" fillId="3" fontId="7" numFmtId="175" xfId="0" applyAlignment="1" applyFill="1" applyFont="1" applyNumberFormat="1">
      <alignment horizontal="center" readingOrder="0" vertical="bottom"/>
    </xf>
    <xf borderId="1" fillId="7" fontId="14" numFmtId="0" xfId="0" applyAlignment="1" applyBorder="1" applyFill="1" applyFont="1">
      <alignment horizontal="center" shrinkToFit="0" vertical="bottom" wrapText="1"/>
    </xf>
    <xf borderId="0" fillId="3" fontId="15" numFmtId="0" xfId="0" applyAlignment="1" applyFill="1" applyFont="1">
      <alignment readingOrder="0" vertical="bottom"/>
    </xf>
    <xf borderId="0" fillId="3" fontId="15" numFmtId="0" xfId="0" applyAlignment="1" applyFill="1" applyFont="1">
      <alignment horizontal="center"/>
    </xf>
    <xf borderId="2" fillId="7" fontId="10" numFmtId="0" xfId="0" applyAlignment="1" applyBorder="1" applyFill="1" applyFont="1">
      <alignment horizontal="center" shrinkToFit="0" wrapText="0"/>
    </xf>
    <xf borderId="0" fillId="3" fontId="15" numFmtId="0" xfId="0" applyAlignment="1" applyFill="1" applyFont="1">
      <alignment horizontal="center" vertical="bottom"/>
    </xf>
    <xf borderId="1" fillId="7" fontId="10" numFmtId="0" xfId="0" applyAlignment="1" applyBorder="1" applyFill="1" applyFont="1">
      <alignment shrinkToFit="0" wrapText="0"/>
    </xf>
    <xf borderId="1" fillId="7" fontId="11" numFmtId="14" xfId="0" applyAlignment="1" applyBorder="1" applyFill="1" applyFont="1" applyNumberFormat="1">
      <alignment horizontal="center" shrinkToFit="0" vertical="bottom" wrapText="0"/>
    </xf>
    <xf borderId="1" fillId="7" fontId="14" numFmtId="14" xfId="0" applyAlignment="1" applyBorder="1" applyFill="1" applyFont="1" applyNumberFormat="1">
      <alignment horizontal="center" shrinkToFit="0" vertical="bottom" wrapText="0"/>
    </xf>
    <xf borderId="1" fillId="7" fontId="10" numFmtId="167" xfId="0" applyAlignment="1" applyBorder="1" applyFill="1" applyFont="1" applyNumberFormat="1">
      <alignment horizontal="center" shrinkToFit="0" vertical="bottom" wrapText="0"/>
    </xf>
    <xf borderId="1" fillId="7" fontId="10" numFmtId="14" xfId="0" applyAlignment="1" applyBorder="1" applyFill="1" applyFont="1" applyNumberFormat="1">
      <alignment horizontal="center" shrinkToFit="0" vertical="bottom" wrapText="0"/>
    </xf>
    <xf borderId="1" fillId="7" fontId="12" numFmtId="174" xfId="0" applyAlignment="1" applyBorder="1" applyFill="1" applyFont="1" applyNumberFormat="1">
      <alignment horizontal="right" shrinkToFit="0" vertical="bottom" wrapText="0"/>
    </xf>
    <xf borderId="1" fillId="7" fontId="12" numFmtId="14" xfId="0" applyAlignment="1" applyBorder="1" applyFill="1" applyFont="1" applyNumberFormat="1">
      <alignment horizontal="right" shrinkToFit="0" vertical="bottom" wrapText="0"/>
    </xf>
    <xf borderId="2" fillId="7" fontId="11" numFmtId="169" xfId="0" applyAlignment="1" applyBorder="1" applyFill="1" applyFont="1" applyNumberFormat="1">
      <alignment horizontal="center" shrinkToFit="0" vertical="bottom" wrapText="0"/>
    </xf>
    <xf borderId="2" fillId="7" fontId="10" numFmtId="169" xfId="0" applyAlignment="1" applyBorder="1" applyFill="1" applyFont="1" applyNumberFormat="1">
      <alignment horizontal="center" shrinkToFit="0" wrapText="0"/>
    </xf>
    <xf borderId="1" fillId="7" fontId="2" numFmtId="169" xfId="0" applyAlignment="1" applyBorder="1" applyFill="1" applyFont="1" applyNumberFormat="1">
      <alignment vertical="bottom"/>
    </xf>
    <xf borderId="0" fillId="4" fontId="16" numFmtId="169" xfId="0" applyAlignment="1" applyFill="1" applyFont="1" applyNumberFormat="1">
      <alignment horizontal="center" readingOrder="0" shrinkToFit="0" vertical="bottom" wrapText="0"/>
    </xf>
    <xf borderId="0" fillId="3" fontId="7" numFmtId="176" xfId="0" applyAlignment="1" applyFill="1" applyFont="1" applyNumberFormat="1">
      <alignment horizontal="center" readingOrder="0" vertical="bottom"/>
    </xf>
    <xf borderId="0" fillId="3" fontId="7" numFmtId="167" xfId="0" applyAlignment="1" applyFill="1" applyFont="1" applyNumberFormat="1">
      <alignment horizontal="center" readingOrder="0" vertical="bottom"/>
    </xf>
    <xf borderId="1" fillId="7" fontId="10" numFmtId="169" xfId="0" applyAlignment="1" applyBorder="1" applyFill="1" applyFont="1" applyNumberFormat="1">
      <alignment horizontal="center" shrinkToFit="0" vertical="bottom" wrapText="0"/>
    </xf>
    <xf borderId="1" fillId="7" fontId="12" numFmtId="167" xfId="0" applyAlignment="1" applyBorder="1" applyFill="1" applyFont="1" applyNumberFormat="1">
      <alignment horizontal="center" shrinkToFit="0" vertical="bottom" wrapText="0"/>
    </xf>
    <xf borderId="0" fillId="3" fontId="7" numFmtId="0" xfId="0" applyAlignment="1" applyFill="1" applyFont="1">
      <alignment horizontal="left" readingOrder="0" vertical="bottom"/>
    </xf>
    <xf borderId="0" fillId="3" fontId="1" numFmtId="14" xfId="0" applyAlignment="1" applyFill="1" applyFont="1" applyNumberFormat="1">
      <alignment readingOrder="0"/>
    </xf>
    <xf borderId="1" fillId="7" fontId="10" numFmtId="0" xfId="0" applyAlignment="1" applyBorder="1" applyFill="1" applyFont="1">
      <alignment horizontal="center" shrinkToFit="0" vertical="bottom" wrapText="0"/>
    </xf>
    <xf borderId="0" fillId="3" fontId="1" numFmtId="14" xfId="0" applyAlignment="1" applyFill="1" applyFont="1" applyNumberFormat="1">
      <alignment horizontal="center" readingOrder="0"/>
    </xf>
    <xf borderId="1" fillId="7" fontId="14" numFmtId="0" xfId="0" applyAlignment="1" applyBorder="1" applyFill="1" applyFont="1">
      <alignment horizontal="center" shrinkToFit="0" vertical="bottom" wrapText="0"/>
    </xf>
    <xf borderId="1" fillId="7" fontId="14" numFmtId="169" xfId="0" applyAlignment="1" applyBorder="1" applyFill="1" applyFont="1" applyNumberFormat="1">
      <alignment horizontal="center" shrinkToFit="0" vertical="bottom" wrapText="0"/>
    </xf>
    <xf borderId="0" fillId="3" fontId="15" numFmtId="0" xfId="0" applyAlignment="1" applyFill="1" applyFont="1">
      <alignment horizontal="center" shrinkToFit="0" wrapText="1"/>
    </xf>
    <xf borderId="1" fillId="7" fontId="10" numFmtId="0" xfId="0" applyAlignment="1" applyBorder="1" applyFill="1" applyFont="1">
      <alignment horizontal="right" shrinkToFit="0" vertical="bottom" wrapText="0"/>
    </xf>
    <xf borderId="1" fillId="7" fontId="10" numFmtId="0" xfId="0" applyAlignment="1" applyBorder="1" applyFill="1" applyFont="1">
      <alignment shrinkToFit="0" vertical="bottom" wrapText="1"/>
    </xf>
    <xf borderId="0" fillId="3" fontId="7" numFmtId="0" xfId="0" applyAlignment="1" applyFill="1" applyFont="1">
      <alignment shrinkToFit="0" vertical="bottom" wrapText="1"/>
    </xf>
    <xf borderId="0" fillId="3" fontId="2" numFmtId="0" xfId="0" applyAlignment="1" applyFill="1" applyFont="1">
      <alignment horizontal="center" vertical="bottom"/>
    </xf>
    <xf borderId="0" fillId="3" fontId="7" numFmtId="0" xfId="0" applyAlignment="1" applyFill="1" applyFont="1">
      <alignment horizontal="center" vertical="bottom"/>
    </xf>
    <xf borderId="0" fillId="4" fontId="7" numFmtId="0" xfId="0" applyAlignment="1" applyFill="1" applyFont="1">
      <alignment horizontal="center" vertical="bottom"/>
    </xf>
    <xf borderId="0" fillId="4" fontId="2" numFmtId="0" xfId="0" applyAlignment="1" applyFill="1" applyFont="1">
      <alignment horizontal="center" vertical="bottom"/>
    </xf>
    <xf borderId="0" fillId="4" fontId="2" numFmtId="169" xfId="0" applyAlignment="1" applyFill="1" applyFont="1" applyNumberFormat="1">
      <alignment horizontal="right" vertical="bottom"/>
    </xf>
    <xf borderId="0" fillId="4" fontId="2" numFmtId="0" xfId="0" applyAlignment="1" applyFill="1" applyFont="1">
      <alignment vertical="bottom"/>
    </xf>
    <xf borderId="0" fillId="3" fontId="2" numFmtId="0" xfId="0" applyAlignment="1" applyFill="1" applyFont="1">
      <alignment horizontal="center" vertical="bottom"/>
    </xf>
    <xf borderId="1" fillId="7" fontId="2" numFmtId="166" xfId="0" applyBorder="1" applyFill="1" applyFont="1" applyNumberFormat="1"/>
    <xf borderId="0" fillId="4" fontId="2" numFmtId="0" xfId="0" applyAlignment="1" applyFill="1" applyFont="1">
      <alignment readingOrder="0" vertical="bottom"/>
    </xf>
    <xf borderId="2" fillId="7" fontId="10" numFmtId="0" xfId="0" applyAlignment="1" applyBorder="1" applyFill="1" applyFont="1">
      <alignment shrinkToFit="0" wrapText="0"/>
    </xf>
    <xf borderId="0" fillId="3" fontId="7" numFmtId="0" xfId="0" applyAlignment="1" applyFill="1" applyFont="1">
      <alignment horizontal="center" shrinkToFit="0" vertical="bottom" wrapText="1"/>
    </xf>
    <xf borderId="0" fillId="4" fontId="2" numFmtId="0" xfId="0" applyAlignment="1" applyFill="1" applyFont="1">
      <alignment horizontal="center" vertical="bottom"/>
    </xf>
    <xf borderId="0" fillId="3" fontId="2" numFmtId="14" xfId="0" applyAlignment="1" applyFill="1" applyFont="1" applyNumberFormat="1">
      <alignment horizontal="center" readingOrder="0" vertical="bottom"/>
    </xf>
    <xf borderId="0" fillId="3" fontId="2" numFmtId="167" xfId="0" applyAlignment="1" applyFill="1" applyFont="1" applyNumberFormat="1">
      <alignment vertical="bottom"/>
    </xf>
    <xf borderId="0" fillId="4" fontId="2" numFmtId="14" xfId="0" applyAlignment="1" applyFill="1" applyFont="1" applyNumberFormat="1">
      <alignment readingOrder="0" vertical="bottom"/>
    </xf>
    <xf borderId="1" fillId="7" fontId="2" numFmtId="0" xfId="0" applyBorder="1" applyFill="1" applyFont="1"/>
    <xf borderId="0" fillId="4" fontId="2" numFmtId="0" xfId="0" applyAlignment="1" applyFill="1" applyFont="1">
      <alignment horizontal="center" readingOrder="0" vertical="bottom"/>
    </xf>
    <xf borderId="0" fillId="4" fontId="2" numFmtId="169" xfId="0" applyAlignment="1" applyFill="1" applyFont="1" applyNumberFormat="1">
      <alignment readingOrder="0" vertical="bottom"/>
    </xf>
    <xf borderId="0" fillId="4" fontId="2" numFmtId="1" xfId="0" applyAlignment="1" applyFill="1" applyFont="1" applyNumberFormat="1">
      <alignment readingOrder="0" vertical="bottom"/>
    </xf>
    <xf borderId="1" fillId="7" fontId="10" numFmtId="166" xfId="0" applyAlignment="1" applyBorder="1" applyFill="1" applyFont="1" applyNumberFormat="1">
      <alignment horizontal="right" shrinkToFit="0" wrapText="0"/>
    </xf>
    <xf borderId="0" fillId="3" fontId="7" numFmtId="0" xfId="0" applyAlignment="1" applyFill="1" applyFont="1">
      <alignment shrinkToFit="0" vertical="bottom" wrapText="1"/>
    </xf>
    <xf borderId="0" fillId="3" fontId="2" numFmtId="0" xfId="0" applyAlignment="1" applyFill="1" applyFont="1">
      <alignment horizontal="center" readingOrder="0" vertical="bottom"/>
    </xf>
    <xf borderId="1" fillId="7" fontId="12" numFmtId="0" xfId="0" applyAlignment="1" applyBorder="1" applyFill="1" applyFont="1">
      <alignment horizontal="right" shrinkToFit="0" vertical="bottom" wrapText="0"/>
    </xf>
    <xf borderId="0" fillId="3" fontId="2" numFmtId="167" xfId="0" applyAlignment="1" applyFill="1" applyFont="1" applyNumberFormat="1">
      <alignment horizontal="center" readingOrder="0" vertical="bottom"/>
    </xf>
    <xf borderId="0" fillId="4" fontId="2" numFmtId="167" xfId="0" applyAlignment="1" applyFill="1" applyFont="1" applyNumberFormat="1">
      <alignment readingOrder="0" vertical="bottom"/>
    </xf>
    <xf borderId="1" fillId="7" fontId="12" numFmtId="0" xfId="0" applyAlignment="1" applyBorder="1" applyFill="1" applyFont="1">
      <alignment horizontal="center" shrinkToFit="0" vertical="bottom" wrapText="0"/>
    </xf>
    <xf borderId="3" fillId="7" fontId="2" numFmtId="0" xfId="0" applyAlignment="1" applyBorder="1" applyFill="1" applyFont="1">
      <alignment vertical="bottom"/>
    </xf>
    <xf borderId="0" fillId="4" fontId="7" numFmtId="169" xfId="0" applyAlignment="1" applyFill="1" applyFont="1" applyNumberFormat="1">
      <alignment readingOrder="0" vertical="bottom"/>
    </xf>
    <xf borderId="0" fillId="3" fontId="7" numFmtId="169" xfId="0" applyAlignment="1" applyFill="1" applyFont="1" applyNumberFormat="1">
      <alignment horizontal="center" vertical="bottom"/>
    </xf>
    <xf borderId="0" fillId="3" fontId="7" numFmtId="169" xfId="0" applyAlignment="1" applyFill="1" applyFont="1" applyNumberFormat="1">
      <alignment horizontal="center" readingOrder="0" vertical="bottom"/>
    </xf>
    <xf borderId="0" fillId="3" fontId="1" numFmtId="174" xfId="0" applyAlignment="1" applyFill="1" applyFont="1" applyNumberFormat="1">
      <alignment readingOrder="0"/>
    </xf>
    <xf borderId="1" fillId="7" fontId="12" numFmtId="166" xfId="0" applyAlignment="1" applyBorder="1" applyFill="1" applyFont="1" applyNumberFormat="1">
      <alignment shrinkToFit="0" vertical="bottom" wrapText="0"/>
    </xf>
    <xf borderId="1" fillId="7" fontId="2" numFmtId="0" xfId="0" applyAlignment="1" applyBorder="1" applyFill="1" applyFont="1">
      <alignment vertical="bottom"/>
    </xf>
    <xf borderId="1" fillId="7" fontId="2" numFmtId="166" xfId="0" applyAlignment="1" applyBorder="1" applyFill="1" applyFont="1" applyNumberFormat="1">
      <alignment vertical="bottom"/>
    </xf>
    <xf borderId="0" fillId="4" fontId="7" numFmtId="1" xfId="0" applyAlignment="1" applyFill="1" applyFont="1" applyNumberFormat="1">
      <alignment readingOrder="0" vertical="bottom"/>
    </xf>
    <xf borderId="0" fillId="4" fontId="7" numFmtId="167" xfId="0" applyAlignment="1" applyFill="1" applyFont="1" applyNumberFormat="1">
      <alignment readingOrder="0" vertical="bottom"/>
    </xf>
    <xf borderId="4" fillId="7" fontId="2" numFmtId="0" xfId="0" applyBorder="1" applyFill="1" applyFont="1"/>
    <xf borderId="0" fillId="0" fontId="17" numFmtId="0" xfId="0" applyAlignment="1" applyFont="1">
      <alignment readingOrder="0" shrinkToFit="0" vertical="bottom" wrapText="1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169" xfId="0" applyAlignment="1" applyFont="1" applyNumberFormat="1">
      <alignment vertical="bottom"/>
    </xf>
    <xf borderId="0" fillId="0" fontId="1" numFmtId="0" xfId="0" applyAlignment="1" applyFont="1">
      <alignment horizontal="center"/>
    </xf>
    <xf borderId="0" fillId="3" fontId="1" numFmtId="168" xfId="0" applyAlignment="1" applyFill="1" applyFont="1" applyNumberFormat="1">
      <alignment readingOrder="0"/>
    </xf>
    <xf borderId="5" fillId="8" fontId="10" numFmtId="0" xfId="0" applyAlignment="1" applyBorder="1" applyFill="1" applyFont="1">
      <alignment shrinkToFit="0" wrapText="0"/>
    </xf>
    <xf borderId="0" fillId="4" fontId="7" numFmtId="169" xfId="0" applyAlignment="1" applyFill="1" applyFont="1" applyNumberFormat="1">
      <alignment vertical="bottom"/>
    </xf>
    <xf borderId="0" fillId="4" fontId="7" numFmtId="1" xfId="0" applyAlignment="1" applyFill="1" applyFont="1" applyNumberFormat="1">
      <alignment vertical="bottom"/>
    </xf>
    <xf borderId="0" fillId="3" fontId="7" numFmtId="0" xfId="0" applyAlignment="1" applyFill="1" applyFont="1">
      <alignment readingOrder="0" vertical="bottom"/>
    </xf>
    <xf borderId="0" fillId="3" fontId="7" numFmtId="0" xfId="0" applyAlignment="1" applyFill="1" applyFont="1">
      <alignment horizontal="center" readingOrder="0" vertical="bottom"/>
    </xf>
    <xf borderId="0" fillId="3" fontId="7" numFmtId="0" xfId="0" applyAlignment="1" applyFill="1" applyFont="1">
      <alignment horizontal="center" readingOrder="0" vertical="bottom"/>
    </xf>
    <xf borderId="0" fillId="4" fontId="1" numFmtId="0" xfId="0" applyAlignment="1" applyFill="1" applyFont="1">
      <alignment readingOrder="0"/>
    </xf>
    <xf borderId="0" fillId="4" fontId="7" numFmtId="169" xfId="0" applyAlignment="1" applyFill="1" applyFont="1" applyNumberFormat="1">
      <alignment horizontal="center" readingOrder="0" vertical="bottom"/>
    </xf>
    <xf borderId="0" fillId="4" fontId="1" numFmtId="0" xfId="0" applyFill="1" applyFont="1"/>
    <xf borderId="0" fillId="4" fontId="7" numFmtId="14" xfId="0" applyAlignment="1" applyFill="1" applyFont="1" applyNumberFormat="1">
      <alignment vertical="bottom"/>
    </xf>
    <xf borderId="0" fillId="3" fontId="15" numFmtId="0" xfId="0" applyAlignment="1" applyFill="1" applyFont="1">
      <alignment shrinkToFit="0" wrapText="1"/>
    </xf>
    <xf borderId="0" fillId="3" fontId="15" numFmtId="0" xfId="0" applyAlignment="1" applyFill="1" applyFont="1">
      <alignment vertical="bottom"/>
    </xf>
    <xf borderId="0" fillId="3" fontId="15" numFmtId="0" xfId="0" applyAlignment="1" applyFill="1" applyFont="1">
      <alignment horizontal="center" readingOrder="0"/>
    </xf>
    <xf borderId="0" fillId="3" fontId="15" numFmtId="0" xfId="0" applyAlignment="1" applyFill="1" applyFont="1">
      <alignment horizontal="center" readingOrder="0" vertical="bottom"/>
    </xf>
    <xf borderId="0" fillId="4" fontId="7" numFmtId="169" xfId="0" applyAlignment="1" applyFill="1" applyFont="1" applyNumberFormat="1">
      <alignment horizontal="center" vertical="bottom"/>
    </xf>
    <xf borderId="0" fillId="3" fontId="7" numFmtId="0" xfId="0" applyAlignment="1" applyFill="1" applyFont="1">
      <alignment horizontal="center" shrinkToFit="0" wrapText="1"/>
    </xf>
    <xf borderId="0" fillId="4" fontId="7" numFmtId="169" xfId="0" applyAlignment="1" applyFill="1" applyFont="1" applyNumberFormat="1">
      <alignment vertical="bottom"/>
    </xf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horizontal="center" readingOrder="0" vertical="bottom"/>
    </xf>
    <xf borderId="0" fillId="0" fontId="17" numFmtId="0" xfId="0" applyAlignment="1" applyFont="1">
      <alignment horizontal="center" readingOrder="0"/>
    </xf>
    <xf borderId="0" fillId="0" fontId="17" numFmtId="14" xfId="0" applyAlignment="1" applyFont="1" applyNumberFormat="1">
      <alignment readingOrder="0"/>
    </xf>
    <xf borderId="0" fillId="0" fontId="7" numFmtId="0" xfId="0" applyAlignment="1" applyFont="1">
      <alignment horizontal="center" readingOrder="0" vertical="bottom"/>
    </xf>
    <xf borderId="0" fillId="3" fontId="7" numFmtId="0" xfId="0" applyAlignment="1" applyFill="1" applyFont="1">
      <alignment readingOrder="0" vertical="bottom"/>
    </xf>
    <xf borderId="0" fillId="3" fontId="7" numFmtId="168" xfId="0" applyAlignment="1" applyFill="1" applyFont="1" applyNumberFormat="1">
      <alignment readingOrder="0"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tableStyles count="37">
    <tableStyle count="4" pivot="0" name="Shop Order Ledg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p Order Listing 2026 Q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op Order Listing 2026 Q1-style 2">
      <tableStyleElement dxfId="2" type="firstRowStripe"/>
      <tableStyleElement dxfId="3" type="secondRowStripe"/>
    </tableStyle>
    <tableStyle count="2" pivot="0" name="Shop Order Listing 2026 Q1-style 3">
      <tableStyleElement dxfId="2" type="firstRowStripe"/>
      <tableStyleElement dxfId="3" type="secondRowStripe"/>
    </tableStyle>
    <tableStyle count="2" pivot="0" name="Shop Order Listing 2026 Q1-style 4">
      <tableStyleElement dxfId="2" type="firstRowStripe"/>
      <tableStyleElement dxfId="3" type="secondRowStripe"/>
    </tableStyle>
    <tableStyle count="2" pivot="0" name="Shop Order Listing 2026 Q1-style 5">
      <tableStyleElement dxfId="2" type="firstRowStripe"/>
      <tableStyleElement dxfId="3" type="secondRowStripe"/>
    </tableStyle>
    <tableStyle count="2" pivot="0" name="Shop Order Listing 2026 Q1-style 6">
      <tableStyleElement dxfId="2" type="firstRowStripe"/>
      <tableStyleElement dxfId="3" type="secondRowStripe"/>
    </tableStyle>
    <tableStyle count="2" pivot="0" name="Shop Order Listing 2026 Q1-style 7">
      <tableStyleElement dxfId="3" type="firstRowStripe"/>
      <tableStyleElement dxfId="2" type="secondRowStripe"/>
    </tableStyle>
    <tableStyle count="2" pivot="0" name="Shop Order Listing 2026 Q1-style 8">
      <tableStyleElement dxfId="3" type="firstRowStripe"/>
      <tableStyleElement dxfId="2" type="secondRowStripe"/>
    </tableStyle>
    <tableStyle count="2" pivot="0" name="Shop Order Listing 2026 Q1-style 9">
      <tableStyleElement dxfId="3" type="firstRowStripe"/>
      <tableStyleElement dxfId="2" type="secondRowStripe"/>
    </tableStyle>
    <tableStyle count="2" pivot="0" name="Shop Order Listing 2026 Q1-style 10">
      <tableStyleElement dxfId="3" type="firstRowStripe"/>
      <tableStyleElement dxfId="2" type="secondRowStripe"/>
    </tableStyle>
    <tableStyle count="2" pivot="0" name="Shop Order Listing 2026 Q1-style 11">
      <tableStyleElement dxfId="3" type="firstRowStripe"/>
      <tableStyleElement dxfId="2" type="secondRowStripe"/>
    </tableStyle>
    <tableStyle count="2" pivot="0" name="Shop Order Listing 2026 Q1-style 12">
      <tableStyleElement dxfId="3" type="firstRowStripe"/>
      <tableStyleElement dxfId="2" type="secondRowStripe"/>
    </tableStyle>
    <tableStyle count="2" pivot="0" name="Shop Order Listing 2026 Q1-style 13">
      <tableStyleElement dxfId="3" type="firstRowStripe"/>
      <tableStyleElement dxfId="2" type="secondRowStripe"/>
    </tableStyle>
    <tableStyle count="2" pivot="0" name="Shop Order Listing 2026 Q1-style 14">
      <tableStyleElement dxfId="3" type="firstRowStripe"/>
      <tableStyleElement dxfId="2" type="secondRowStripe"/>
    </tableStyle>
    <tableStyle count="2" pivot="0" name="Shop Order Listing 2026 Q1-style 15">
      <tableStyleElement dxfId="3" type="firstRowStripe"/>
      <tableStyleElement dxfId="2" type="secondRowStripe"/>
    </tableStyle>
    <tableStyle count="2" pivot="0" name="Shop Order Listing 2026 Q1-style 16">
      <tableStyleElement dxfId="3" type="firstRowStripe"/>
      <tableStyleElement dxfId="2" type="secondRowStripe"/>
    </tableStyle>
    <tableStyle count="2" pivot="0" name="Shop Order Listing 2026 Q1-style 17">
      <tableStyleElement dxfId="3" type="firstRowStripe"/>
      <tableStyleElement dxfId="2" type="secondRowStripe"/>
    </tableStyle>
    <tableStyle count="2" pivot="0" name="Shop Order Listing 2026 Q1-style 18">
      <tableStyleElement dxfId="3" type="firstRowStripe"/>
      <tableStyleElement dxfId="2" type="secondRowStripe"/>
    </tableStyle>
    <tableStyle count="2" pivot="0" name="Shop Order Listing 2026 Q1-style 19">
      <tableStyleElement dxfId="3" type="firstRowStripe"/>
      <tableStyleElement dxfId="2" type="secondRowStripe"/>
    </tableStyle>
    <tableStyle count="2" pivot="0" name="Shop Order Listing 2026 Q1-style 20">
      <tableStyleElement dxfId="3" type="firstRowStripe"/>
      <tableStyleElement dxfId="2" type="secondRowStripe"/>
    </tableStyle>
    <tableStyle count="2" pivot="0" name="Shop Order Listing 2026 Q1-style 21">
      <tableStyleElement dxfId="2" type="firstRowStripe"/>
      <tableStyleElement dxfId="3" type="secondRowStripe"/>
    </tableStyle>
    <tableStyle count="2" pivot="0" name="Shop Order Listing 2026 Q1-style 22">
      <tableStyleElement dxfId="2" type="firstRowStripe"/>
      <tableStyleElement dxfId="3" type="secondRowStripe"/>
    </tableStyle>
    <tableStyle count="2" pivot="0" name="Shop Order Listing 2026 Q1-style 23">
      <tableStyleElement dxfId="2" type="firstRowStripe"/>
      <tableStyleElement dxfId="3" type="secondRowStripe"/>
    </tableStyle>
    <tableStyle count="2" pivot="0" name="Shop Order Listing 2026 Q1-style 24">
      <tableStyleElement dxfId="2" type="firstRowStripe"/>
      <tableStyleElement dxfId="3" type="secondRowStripe"/>
    </tableStyle>
    <tableStyle count="2" pivot="0" name="Shop Order Listing 2026 Q1-style 25">
      <tableStyleElement dxfId="2" type="firstRowStripe"/>
      <tableStyleElement dxfId="3" type="secondRowStripe"/>
    </tableStyle>
    <tableStyle count="2" pivot="0" name="Shop Order Listing 2026 Q1-style 26">
      <tableStyleElement dxfId="3" type="firstRowStripe"/>
      <tableStyleElement dxfId="2" type="secondRowStripe"/>
    </tableStyle>
    <tableStyle count="2" pivot="0" name="Shop Order Listing 2026 Q1-style 27">
      <tableStyleElement dxfId="3" type="firstRowStripe"/>
      <tableStyleElement dxfId="2" type="secondRowStripe"/>
    </tableStyle>
    <tableStyle count="2" pivot="0" name="Shop Order Listing 2026 Q1-style 28">
      <tableStyleElement dxfId="3" type="firstRowStripe"/>
      <tableStyleElement dxfId="2" type="secondRowStripe"/>
    </tableStyle>
    <tableStyle count="2" pivot="0" name="Shop Order Listing 2026 Q1-style 29">
      <tableStyleElement dxfId="2" type="firstRowStripe"/>
      <tableStyleElement dxfId="3" type="secondRowStripe"/>
    </tableStyle>
    <tableStyle count="2" pivot="0" name="Shop Order Listing 2026 Q1-style 30">
      <tableStyleElement dxfId="2" type="firstRowStripe"/>
      <tableStyleElement dxfId="3" type="secondRowStripe"/>
    </tableStyle>
    <tableStyle count="2" pivot="0" name="Shop Order Listing 2026 Q1-style 31">
      <tableStyleElement dxfId="3" type="firstRowStripe"/>
      <tableStyleElement dxfId="2" type="secondRowStripe"/>
    </tableStyle>
    <tableStyle count="2" pivot="0" name="Shop Order Listing 2026 Q1-style 32">
      <tableStyleElement dxfId="2" type="firstRowStripe"/>
      <tableStyleElement dxfId="3" type="secondRowStripe"/>
    </tableStyle>
    <tableStyle count="2" pivot="0" name="Shop Order Listing 2025 Q4-style">
      <tableStyleElement dxfId="3" type="firstRowStripe"/>
      <tableStyleElement dxfId="2" type="secondRowStripe"/>
    </tableStyle>
    <tableStyle count="2" pivot="0" name="Shop Order Listing 2025 Q4-style 2">
      <tableStyleElement dxfId="3" type="firstRowStripe"/>
      <tableStyleElement dxfId="2" type="secondRowStripe"/>
    </tableStyle>
    <tableStyle count="2" pivot="0" name="Shop Order Listing 2025 Q4-style 3">
      <tableStyleElement dxfId="2" type="firstRowStripe"/>
      <tableStyleElement dxfId="3" type="secondRowStripe"/>
    </tableStyle>
    <tableStyle count="2" pivot="0" name="Shop Order Listing 2025 Q4-style 4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0</xdr:row>
      <xdr:rowOff>9525</xdr:rowOff>
    </xdr:from>
    <xdr:ext cx="2324100" cy="581025"/>
    <xdr:sp>
      <xdr:nvSpPr>
        <xdr:cNvPr id="3" name="Shape 3"/>
        <xdr:cNvSpPr/>
      </xdr:nvSpPr>
      <xdr:spPr>
        <a:xfrm>
          <a:off x="2163150" y="843550"/>
          <a:ext cx="3867600" cy="954300"/>
        </a:xfrm>
        <a:prstGeom prst="roundRect">
          <a:avLst>
            <a:gd fmla="val 16667" name="adj"/>
          </a:avLst>
        </a:prstGeom>
        <a:solidFill>
          <a:srgbClr val="B4A7D6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100"/>
            <a:t>Sort Appointments By Date</a:t>
          </a:r>
          <a:endParaRPr sz="21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962025</xdr:colOff>
      <xdr:row>20</xdr:row>
      <xdr:rowOff>19050</xdr:rowOff>
    </xdr:from>
    <xdr:ext cx="3609975" cy="838200"/>
    <xdr:sp>
      <xdr:nvSpPr>
        <xdr:cNvPr id="4" name="Shape 4"/>
        <xdr:cNvSpPr/>
      </xdr:nvSpPr>
      <xdr:spPr>
        <a:xfrm>
          <a:off x="2230075" y="1015225"/>
          <a:ext cx="3594600" cy="8235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Click to generate Facebook Post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1099" displayName="Form_Responses" name="Form_Responses" id="1">
  <tableColumns count="18">
    <tableColumn name="Timestamp" id="1"/>
    <tableColumn name="Email Address" id="2"/>
    <tableColumn name="Please enter your full name" id="3"/>
    <tableColumn name="Please enter your phone number" id="4"/>
    <tableColumn name="Order Location" id="5"/>
    <tableColumn name="Pickup Location" id="6"/>
    <tableColumn name="Please enter the item you would like to order." id="7"/>
    <tableColumn name="Do you need to be fitted for your ball or do we have your specs on file" id="8"/>
    <tableColumn name="Notes" id="9"/>
    <tableColumn name="Shop Order Date" id="10"/>
    <tableColumn name="-Empty-" id="11"/>
    <tableColumn name="Supplier" id="12"/>
    <tableColumn name="Order #" id="13"/>
    <tableColumn name="Price" id="14"/>
    <tableColumn name="Invoice #" id="15"/>
    <tableColumn name="Customer Paid" id="16"/>
    <tableColumn name="Order Out The Door" id="17"/>
    <tableColumn name="Ordered from?" id="18"/>
  </tableColumns>
  <tableStyleInfo name="Shop Order Ledger-style" showColumnStripes="0" showFirstColumn="1" showLastColumn="1" showRowStripes="1"/>
</table>
</file>

<file path=xl/tables/table2.xml><?xml version="1.0" encoding="utf-8"?>
<table xmlns="http://schemas.openxmlformats.org/spreadsheetml/2006/main" headerRowCount="0" ref="A1:T1" displayName="Table1" name="Table1" id="2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Shop Order Listing 2026 Q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B4:C5" displayName="Table_1" name="Table_1" id="3">
  <tableColumns count="2">
    <tableColumn name="Column1" id="1"/>
    <tableColumn name="Column2" id="2"/>
  </tableColumns>
  <tableStyleInfo name="Shop Order Listing 2026 Q1-style 2" showColumnStripes="0" showFirstColumn="1" showLastColumn="1" showRowStripes="1"/>
</table>
</file>

<file path=xl/tables/table4.xml><?xml version="1.0" encoding="utf-8"?>
<table xmlns="http://schemas.openxmlformats.org/spreadsheetml/2006/main" headerRowCount="0" ref="E4:G5" displayName="Table_2" name="Table_2" id="4">
  <tableColumns count="3">
    <tableColumn name="Column1" id="1"/>
    <tableColumn name="Column2" id="2"/>
    <tableColumn name="Column3" id="3"/>
  </tableColumns>
  <tableStyleInfo name="Shop Order Listing 2026 Q1-style 3" showColumnStripes="0" showFirstColumn="1" showLastColumn="1" showRowStripes="1"/>
</table>
</file>

<file path=xl/tables/table5.xml><?xml version="1.0" encoding="utf-8"?>
<table xmlns="http://schemas.openxmlformats.org/spreadsheetml/2006/main" headerRowCount="0" ref="B6:C15" displayName="Table_3" name="Table_3" id="5">
  <tableColumns count="2">
    <tableColumn name="Column1" id="1"/>
    <tableColumn name="Column2" id="2"/>
  </tableColumns>
  <tableStyleInfo name="Shop Order Listing 2026 Q1-style 4" showColumnStripes="0" showFirstColumn="1" showLastColumn="1" showRowStripes="1"/>
</table>
</file>

<file path=xl/tables/table6.xml><?xml version="1.0" encoding="utf-8"?>
<table xmlns="http://schemas.openxmlformats.org/spreadsheetml/2006/main" headerRowCount="0" ref="E6:G7" displayName="Table_4" name="Table_4" id="6">
  <tableColumns count="3">
    <tableColumn name="Column1" id="1"/>
    <tableColumn name="Column2" id="2"/>
    <tableColumn name="Column3" id="3"/>
  </tableColumns>
  <tableStyleInfo name="Shop Order Listing 2026 Q1-style 5" showColumnStripes="0" showFirstColumn="1" showLastColumn="1" showRowStripes="1"/>
</table>
</file>

<file path=xl/tables/table7.xml><?xml version="1.0" encoding="utf-8"?>
<table xmlns="http://schemas.openxmlformats.org/spreadsheetml/2006/main" headerRowCount="0" ref="E12:G12" displayName="Table_5" name="Table_5" id="7">
  <tableColumns count="3">
    <tableColumn name="Column1" id="1"/>
    <tableColumn name="Column2" id="2"/>
    <tableColumn name="Column3" id="3"/>
  </tableColumns>
  <tableStyleInfo name="Shop Order Listing 2026 Q1-style 6" showColumnStripes="0" showFirstColumn="1" showLastColumn="1" showRowStripes="1"/>
</table>
</file>

<file path=xl/tables/table8.xml><?xml version="1.0" encoding="utf-8"?>
<table xmlns="http://schemas.openxmlformats.org/spreadsheetml/2006/main" headerRowCount="0" ref="E13:G13" displayName="Table_6" name="Table_6" id="8">
  <tableColumns count="3">
    <tableColumn name="Column1" id="1"/>
    <tableColumn name="Column2" id="2"/>
    <tableColumn name="Column3" id="3"/>
  </tableColumns>
  <tableStyleInfo name="Shop Order Listing 2026 Q1-style 7" showColumnStripes="0" showFirstColumn="1" showLastColumn="1" showRowStripes="1"/>
</table>
</file>

<file path=xl/tables/table9.xml><?xml version="1.0" encoding="utf-8"?>
<table xmlns="http://schemas.openxmlformats.org/spreadsheetml/2006/main" headerRowCount="0" ref="E14:G28" displayName="Table_7" name="Table_7" id="9">
  <tableColumns count="3">
    <tableColumn name="Column1" id="1"/>
    <tableColumn name="Column2" id="2"/>
    <tableColumn name="Column3" id="3"/>
  </tableColumns>
  <tableStyleInfo name="Shop Order Listing 2026 Q1-style 8" showColumnStripes="0" showFirstColumn="1" showLastColumn="1" showRowStripes="1"/>
</table>
</file>

<file path=xl/tables/table10.xml><?xml version="1.0" encoding="utf-8"?>
<table xmlns="http://schemas.openxmlformats.org/spreadsheetml/2006/main" headerRowCount="0" ref="B16:D28" displayName="Table_8" name="Table_8" id="10">
  <tableColumns count="3">
    <tableColumn name="Column1" id="1"/>
    <tableColumn name="Column2" id="2"/>
    <tableColumn name="Column3" id="3"/>
  </tableColumns>
  <tableStyleInfo name="Shop Order Listing 2026 Q1-style 9" showColumnStripes="0" showFirstColumn="1" showLastColumn="1" showRowStripes="1"/>
</table>
</file>

<file path=xl/tables/table11.xml><?xml version="1.0" encoding="utf-8"?>
<table xmlns="http://schemas.openxmlformats.org/spreadsheetml/2006/main" headerRowCount="0" ref="B29:D30" displayName="Table_9" name="Table_9" id="11">
  <tableColumns count="3">
    <tableColumn name="Column1" id="1"/>
    <tableColumn name="Column2" id="2"/>
    <tableColumn name="Column3" id="3"/>
  </tableColumns>
  <tableStyleInfo name="Shop Order Listing 2026 Q1-style 10" showColumnStripes="0" showFirstColumn="1" showLastColumn="1" showRowStripes="1"/>
</table>
</file>

<file path=xl/tables/table12.xml><?xml version="1.0" encoding="utf-8"?>
<table xmlns="http://schemas.openxmlformats.org/spreadsheetml/2006/main" headerRowCount="0" ref="E29:G30" displayName="Table_10" name="Table_10" id="12">
  <tableColumns count="3">
    <tableColumn name="Column1" id="1"/>
    <tableColumn name="Column2" id="2"/>
    <tableColumn name="Column3" id="3"/>
  </tableColumns>
  <tableStyleInfo name="Shop Order Listing 2026 Q1-style 11" showColumnStripes="0" showFirstColumn="1" showLastColumn="1" showRowStripes="1"/>
</table>
</file>

<file path=xl/tables/table13.xml><?xml version="1.0" encoding="utf-8"?>
<table xmlns="http://schemas.openxmlformats.org/spreadsheetml/2006/main" headerRowCount="0" ref="B31:D31" displayName="Table_11" name="Table_11" id="13">
  <tableColumns count="3">
    <tableColumn name="Column1" id="1"/>
    <tableColumn name="Column2" id="2"/>
    <tableColumn name="Column3" id="3"/>
  </tableColumns>
  <tableStyleInfo name="Shop Order Listing 2026 Q1-style 12" showColumnStripes="0" showFirstColumn="1" showLastColumn="1" showRowStripes="1"/>
</table>
</file>

<file path=xl/tables/table14.xml><?xml version="1.0" encoding="utf-8"?>
<table xmlns="http://schemas.openxmlformats.org/spreadsheetml/2006/main" headerRowCount="0" ref="E31:G31" displayName="Table_12" name="Table_12" id="14">
  <tableColumns count="3">
    <tableColumn name="Column1" id="1"/>
    <tableColumn name="Column2" id="2"/>
    <tableColumn name="Column3" id="3"/>
  </tableColumns>
  <tableStyleInfo name="Shop Order Listing 2026 Q1-style 13" showColumnStripes="0" showFirstColumn="1" showLastColumn="1" showRowStripes="1"/>
</table>
</file>

<file path=xl/tables/table15.xml><?xml version="1.0" encoding="utf-8"?>
<table xmlns="http://schemas.openxmlformats.org/spreadsheetml/2006/main" headerRowCount="0" ref="B32:D38" displayName="Table_13" name="Table_13" id="15">
  <tableColumns count="3">
    <tableColumn name="Column1" id="1"/>
    <tableColumn name="Column2" id="2"/>
    <tableColumn name="Column3" id="3"/>
  </tableColumns>
  <tableStyleInfo name="Shop Order Listing 2026 Q1-style 14" showColumnStripes="0" showFirstColumn="1" showLastColumn="1" showRowStripes="1"/>
</table>
</file>

<file path=xl/tables/table16.xml><?xml version="1.0" encoding="utf-8"?>
<table xmlns="http://schemas.openxmlformats.org/spreadsheetml/2006/main" headerRowCount="0" ref="E32:G38" displayName="Table_14" name="Table_14" id="16">
  <tableColumns count="3">
    <tableColumn name="Column1" id="1"/>
    <tableColumn name="Column2" id="2"/>
    <tableColumn name="Column3" id="3"/>
  </tableColumns>
  <tableStyleInfo name="Shop Order Listing 2026 Q1-style 15" showColumnStripes="0" showFirstColumn="1" showLastColumn="1" showRowStripes="1"/>
</table>
</file>

<file path=xl/tables/table17.xml><?xml version="1.0" encoding="utf-8"?>
<table xmlns="http://schemas.openxmlformats.org/spreadsheetml/2006/main" headerRowCount="0" ref="B39:D88" displayName="Table_15" name="Table_15" id="17">
  <tableColumns count="3">
    <tableColumn name="Column1" id="1"/>
    <tableColumn name="Column2" id="2"/>
    <tableColumn name="Column3" id="3"/>
  </tableColumns>
  <tableStyleInfo name="Shop Order Listing 2026 Q1-style 16" showColumnStripes="0" showFirstColumn="1" showLastColumn="1" showRowStripes="1"/>
</table>
</file>

<file path=xl/tables/table18.xml><?xml version="1.0" encoding="utf-8"?>
<table xmlns="http://schemas.openxmlformats.org/spreadsheetml/2006/main" headerRowCount="0" ref="E39:G88" displayName="Table_16" name="Table_16" id="18">
  <tableColumns count="3">
    <tableColumn name="Column1" id="1"/>
    <tableColumn name="Column2" id="2"/>
    <tableColumn name="Column3" id="3"/>
  </tableColumns>
  <tableStyleInfo name="Shop Order Listing 2026 Q1-style 17" showColumnStripes="0" showFirstColumn="1" showLastColumn="1" showRowStripes="1"/>
</table>
</file>

<file path=xl/tables/table19.xml><?xml version="1.0" encoding="utf-8"?>
<table xmlns="http://schemas.openxmlformats.org/spreadsheetml/2006/main" headerRowCount="0" ref="B89:D90" displayName="Table_17" name="Table_17" id="19">
  <tableColumns count="3">
    <tableColumn name="Column1" id="1"/>
    <tableColumn name="Column2" id="2"/>
    <tableColumn name="Column3" id="3"/>
  </tableColumns>
  <tableStyleInfo name="Shop Order Listing 2026 Q1-style 18" showColumnStripes="0" showFirstColumn="1" showLastColumn="1" showRowStripes="1"/>
</table>
</file>

<file path=xl/tables/table20.xml><?xml version="1.0" encoding="utf-8"?>
<table xmlns="http://schemas.openxmlformats.org/spreadsheetml/2006/main" headerRowCount="0" ref="E89:G94" displayName="Table_18" name="Table_18" id="20">
  <tableColumns count="3">
    <tableColumn name="Column1" id="1"/>
    <tableColumn name="Column2" id="2"/>
    <tableColumn name="Column3" id="3"/>
  </tableColumns>
  <tableStyleInfo name="Shop Order Listing 2026 Q1-style 19" showColumnStripes="0" showFirstColumn="1" showLastColumn="1" showRowStripes="1"/>
</table>
</file>

<file path=xl/tables/table21.xml><?xml version="1.0" encoding="utf-8"?>
<table xmlns="http://schemas.openxmlformats.org/spreadsheetml/2006/main" headerRowCount="0" ref="B91:D91" displayName="Table_19" name="Table_19" id="21">
  <tableColumns count="3">
    <tableColumn name="Column1" id="1"/>
    <tableColumn name="Column2" id="2"/>
    <tableColumn name="Column3" id="3"/>
  </tableColumns>
  <tableStyleInfo name="Shop Order Listing 2026 Q1-style 20" showColumnStripes="0" showFirstColumn="1" showLastColumn="1" showRowStripes="1"/>
</table>
</file>

<file path=xl/tables/table22.xml><?xml version="1.0" encoding="utf-8"?>
<table xmlns="http://schemas.openxmlformats.org/spreadsheetml/2006/main" headerRowCount="0" ref="B92:D96" displayName="Table_20" name="Table_20" id="22">
  <tableColumns count="3">
    <tableColumn name="Column1" id="1"/>
    <tableColumn name="Column2" id="2"/>
    <tableColumn name="Column3" id="3"/>
  </tableColumns>
  <tableStyleInfo name="Shop Order Listing 2026 Q1-style 21" showColumnStripes="0" showFirstColumn="1" showLastColumn="1" showRowStripes="1"/>
</table>
</file>

<file path=xl/tables/table23.xml><?xml version="1.0" encoding="utf-8"?>
<table xmlns="http://schemas.openxmlformats.org/spreadsheetml/2006/main" headerRowCount="0" ref="B102:D199" displayName="Table_21" name="Table_21" id="23">
  <tableColumns count="3">
    <tableColumn name="Column1" id="1"/>
    <tableColumn name="Column2" id="2"/>
    <tableColumn name="Column3" id="3"/>
  </tableColumns>
  <tableStyleInfo name="Shop Order Listing 2026 Q1-style 22" showColumnStripes="0" showFirstColumn="1" showLastColumn="1" showRowStripes="1"/>
</table>
</file>

<file path=xl/tables/table24.xml><?xml version="1.0" encoding="utf-8"?>
<table xmlns="http://schemas.openxmlformats.org/spreadsheetml/2006/main" headerRowCount="0" ref="E102:G173" displayName="Table_22" name="Table_22" id="24">
  <tableColumns count="3">
    <tableColumn name="Column1" id="1"/>
    <tableColumn name="Column2" id="2"/>
    <tableColumn name="Column3" id="3"/>
  </tableColumns>
  <tableStyleInfo name="Shop Order Listing 2026 Q1-style 23" showColumnStripes="0" showFirstColumn="1" showLastColumn="1" showRowStripes="1"/>
</table>
</file>

<file path=xl/tables/table25.xml><?xml version="1.0" encoding="utf-8"?>
<table xmlns="http://schemas.openxmlformats.org/spreadsheetml/2006/main" headerRowCount="0" ref="E174:M189" displayName="Table_23" name="Table_23" id="2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op Order Listing 2026 Q1-style 24" showColumnStripes="0" showFirstColumn="1" showLastColumn="1" showRowStripes="1"/>
</table>
</file>

<file path=xl/tables/table26.xml><?xml version="1.0" encoding="utf-8"?>
<table xmlns="http://schemas.openxmlformats.org/spreadsheetml/2006/main" headerRowCount="0" ref="E190:O192" displayName="Table_24" name="Table_24" id="2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op Order Listing 2026 Q1-style 25" showColumnStripes="0" showFirstColumn="1" showLastColumn="1" showRowStripes="1"/>
</table>
</file>

<file path=xl/tables/table27.xml><?xml version="1.0" encoding="utf-8"?>
<table xmlns="http://schemas.openxmlformats.org/spreadsheetml/2006/main" headerRowCount="0" ref="B200:D267" displayName="Table_25" name="Table_25" id="27">
  <tableColumns count="3">
    <tableColumn name="Column1" id="1"/>
    <tableColumn name="Column2" id="2"/>
    <tableColumn name="Column3" id="3"/>
  </tableColumns>
  <tableStyleInfo name="Shop Order Listing 2026 Q1-style 26" showColumnStripes="0" showFirstColumn="1" showLastColumn="1" showRowStripes="1"/>
</table>
</file>

<file path=xl/tables/table28.xml><?xml version="1.0" encoding="utf-8"?>
<table xmlns="http://schemas.openxmlformats.org/spreadsheetml/2006/main" headerRowCount="0" ref="E200:O200" displayName="Table_26" name="Table_26" id="2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hop Order Listing 2026 Q1-style 27" showColumnStripes="0" showFirstColumn="1" showLastColumn="1" showRowStripes="1"/>
</table>
</file>

<file path=xl/tables/table29.xml><?xml version="1.0" encoding="utf-8"?>
<table xmlns="http://schemas.openxmlformats.org/spreadsheetml/2006/main" headerRowCount="0" ref="Q204:S204" displayName="Table_27" name="Table_27" id="29">
  <tableColumns count="3">
    <tableColumn name="Column1" id="1"/>
    <tableColumn name="Column2" id="2"/>
    <tableColumn name="Column3" id="3"/>
  </tableColumns>
  <tableStyleInfo name="Shop Order Listing 2026 Q1-style 28" showColumnStripes="0" showFirstColumn="1" showLastColumn="1" showRowStripes="1"/>
</table>
</file>

<file path=xl/tables/table30.xml><?xml version="1.0" encoding="utf-8"?>
<table xmlns="http://schemas.openxmlformats.org/spreadsheetml/2006/main" headerRowCount="0" ref="E211:F267" displayName="Table_28" name="Table_28" id="30">
  <tableColumns count="2">
    <tableColumn name="Column1" id="1"/>
    <tableColumn name="Column2" id="2"/>
  </tableColumns>
  <tableStyleInfo name="Shop Order Listing 2026 Q1-style 29" showColumnStripes="0" showFirstColumn="1" showLastColumn="1" showRowStripes="1"/>
</table>
</file>

<file path=xl/tables/table31.xml><?xml version="1.0" encoding="utf-8"?>
<table xmlns="http://schemas.openxmlformats.org/spreadsheetml/2006/main" headerRowCount="0" ref="B271:E338" displayName="Table_29" name="Table_29" id="31">
  <tableColumns count="4">
    <tableColumn name="Column1" id="1"/>
    <tableColumn name="Column2" id="2"/>
    <tableColumn name="Column3" id="3"/>
    <tableColumn name="Column4" id="4"/>
  </tableColumns>
  <tableStyleInfo name="Shop Order Listing 2026 Q1-style 30" showColumnStripes="0" showFirstColumn="1" showLastColumn="1" showRowStripes="1"/>
</table>
</file>

<file path=xl/tables/table32.xml><?xml version="1.0" encoding="utf-8"?>
<table xmlns="http://schemas.openxmlformats.org/spreadsheetml/2006/main" headerRowCount="0" ref="F273:F275" displayName="Table_30" name="Table_30" id="32">
  <tableColumns count="1">
    <tableColumn name="Column1" id="1"/>
  </tableColumns>
  <tableStyleInfo name="Shop Order Listing 2026 Q1-style 31" showColumnStripes="0" showFirstColumn="1" showLastColumn="1" showRowStripes="1"/>
</table>
</file>

<file path=xl/tables/table33.xml><?xml version="1.0" encoding="utf-8"?>
<table xmlns="http://schemas.openxmlformats.org/spreadsheetml/2006/main" headerRowCount="0" ref="F299:F338" displayName="Table_31" name="Table_31" id="33">
  <tableColumns count="1">
    <tableColumn name="Column1" id="1"/>
  </tableColumns>
  <tableStyleInfo name="Shop Order Listing 2026 Q1-style 32" showColumnStripes="0" showFirstColumn="1" showLastColumn="1" showRowStripes="1"/>
</table>
</file>

<file path=xl/tables/table34.xml><?xml version="1.0" encoding="utf-8"?>
<table xmlns="http://schemas.openxmlformats.org/spreadsheetml/2006/main" headerRowCount="0" ref="B389:C389" displayName="Table_32" name="Table_32" id="34">
  <tableColumns count="2">
    <tableColumn name="Column1" id="1"/>
    <tableColumn name="Column2" id="2"/>
  </tableColumns>
  <tableStyleInfo name="Shop Order Listing 2025 Q4-style" showColumnStripes="0" showFirstColumn="1" showLastColumn="1" showRowStripes="1"/>
</table>
</file>

<file path=xl/tables/table35.xml><?xml version="1.0" encoding="utf-8"?>
<table xmlns="http://schemas.openxmlformats.org/spreadsheetml/2006/main" headerRowCount="0" ref="B391:C391" displayName="Table_33" name="Table_33" id="35">
  <tableColumns count="2">
    <tableColumn name="Column1" id="1"/>
    <tableColumn name="Column2" id="2"/>
  </tableColumns>
  <tableStyleInfo name="Shop Order Listing 2025 Q4-style 2" showColumnStripes="0" showFirstColumn="1" showLastColumn="1" showRowStripes="1"/>
</table>
</file>

<file path=xl/tables/table36.xml><?xml version="1.0" encoding="utf-8"?>
<table xmlns="http://schemas.openxmlformats.org/spreadsheetml/2006/main" headerRowCount="0" ref="B397:C406" displayName="Table_34" name="Table_34" id="36">
  <tableColumns count="2">
    <tableColumn name="Column1" id="1"/>
    <tableColumn name="Column2" id="2"/>
  </tableColumns>
  <tableStyleInfo name="Shop Order Listing 2025 Q4-style 3" showColumnStripes="0" showFirstColumn="1" showLastColumn="1" showRowStripes="1"/>
</table>
</file>

<file path=xl/tables/table37.xml><?xml version="1.0" encoding="utf-8"?>
<table xmlns="http://schemas.openxmlformats.org/spreadsheetml/2006/main" headerRowCount="0" ref="E397:F399" displayName="Table_35" name="Table_35" id="37">
  <tableColumns count="2">
    <tableColumn name="Column1" id="1"/>
    <tableColumn name="Column2" id="2"/>
  </tableColumns>
  <tableStyleInfo name="Shop Order Listing 2025 Q4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table" Target="../tables/table8.xml"/><Relationship Id="rId62" Type="http://schemas.openxmlformats.org/officeDocument/2006/relationships/table" Target="../tables/table30.xml"/><Relationship Id="rId61" Type="http://schemas.openxmlformats.org/officeDocument/2006/relationships/table" Target="../tables/table29.xml"/><Relationship Id="rId42" Type="http://schemas.openxmlformats.org/officeDocument/2006/relationships/table" Target="../tables/table10.xml"/><Relationship Id="rId64" Type="http://schemas.openxmlformats.org/officeDocument/2006/relationships/table" Target="../tables/table32.xml"/><Relationship Id="rId41" Type="http://schemas.openxmlformats.org/officeDocument/2006/relationships/table" Target="../tables/table9.xml"/><Relationship Id="rId63" Type="http://schemas.openxmlformats.org/officeDocument/2006/relationships/table" Target="../tables/table31.xml"/><Relationship Id="rId44" Type="http://schemas.openxmlformats.org/officeDocument/2006/relationships/table" Target="../tables/table12.xml"/><Relationship Id="rId43" Type="http://schemas.openxmlformats.org/officeDocument/2006/relationships/table" Target="../tables/table11.xml"/><Relationship Id="rId65" Type="http://schemas.openxmlformats.org/officeDocument/2006/relationships/table" Target="../tables/table33.xml"/><Relationship Id="rId46" Type="http://schemas.openxmlformats.org/officeDocument/2006/relationships/table" Target="../tables/table14.xml"/><Relationship Id="rId45" Type="http://schemas.openxmlformats.org/officeDocument/2006/relationships/table" Target="../tables/table13.xml"/><Relationship Id="rId60" Type="http://schemas.openxmlformats.org/officeDocument/2006/relationships/table" Target="../tables/table28.xml"/><Relationship Id="rId1" Type="http://schemas.openxmlformats.org/officeDocument/2006/relationships/drawing" Target="../drawings/drawing13.xml"/><Relationship Id="rId48" Type="http://schemas.openxmlformats.org/officeDocument/2006/relationships/table" Target="../tables/table16.xml"/><Relationship Id="rId47" Type="http://schemas.openxmlformats.org/officeDocument/2006/relationships/table" Target="../tables/table15.xml"/><Relationship Id="rId49" Type="http://schemas.openxmlformats.org/officeDocument/2006/relationships/table" Target="../tables/table17.xml"/><Relationship Id="rId51" Type="http://schemas.openxmlformats.org/officeDocument/2006/relationships/table" Target="../tables/table19.xml"/><Relationship Id="rId50" Type="http://schemas.openxmlformats.org/officeDocument/2006/relationships/table" Target="../tables/table18.xml"/><Relationship Id="rId53" Type="http://schemas.openxmlformats.org/officeDocument/2006/relationships/table" Target="../tables/table21.xml"/><Relationship Id="rId52" Type="http://schemas.openxmlformats.org/officeDocument/2006/relationships/table" Target="../tables/table20.xml"/><Relationship Id="rId55" Type="http://schemas.openxmlformats.org/officeDocument/2006/relationships/table" Target="../tables/table23.xml"/><Relationship Id="rId54" Type="http://schemas.openxmlformats.org/officeDocument/2006/relationships/table" Target="../tables/table22.xml"/><Relationship Id="rId35" Type="http://schemas.openxmlformats.org/officeDocument/2006/relationships/table" Target="../tables/table3.xml"/><Relationship Id="rId57" Type="http://schemas.openxmlformats.org/officeDocument/2006/relationships/table" Target="../tables/table25.xml"/><Relationship Id="rId34" Type="http://schemas.openxmlformats.org/officeDocument/2006/relationships/table" Target="../tables/table2.xml"/><Relationship Id="rId56" Type="http://schemas.openxmlformats.org/officeDocument/2006/relationships/table" Target="../tables/table24.xml"/><Relationship Id="rId37" Type="http://schemas.openxmlformats.org/officeDocument/2006/relationships/table" Target="../tables/table5.xml"/><Relationship Id="rId59" Type="http://schemas.openxmlformats.org/officeDocument/2006/relationships/table" Target="../tables/table27.xml"/><Relationship Id="rId36" Type="http://schemas.openxmlformats.org/officeDocument/2006/relationships/table" Target="../tables/table4.xml"/><Relationship Id="rId58" Type="http://schemas.openxmlformats.org/officeDocument/2006/relationships/table" Target="../tables/table26.xml"/><Relationship Id="rId39" Type="http://schemas.openxmlformats.org/officeDocument/2006/relationships/table" Target="../tables/table7.xml"/><Relationship Id="rId38" Type="http://schemas.openxmlformats.org/officeDocument/2006/relationships/table" Target="../tables/table6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9" Type="http://schemas.openxmlformats.org/officeDocument/2006/relationships/table" Target="../tables/table37.xml"/><Relationship Id="rId6" Type="http://schemas.openxmlformats.org/officeDocument/2006/relationships/table" Target="../tables/table34.xml"/><Relationship Id="rId7" Type="http://schemas.openxmlformats.org/officeDocument/2006/relationships/table" Target="../tables/table35.xml"/><Relationship Id="rId8" Type="http://schemas.openxmlformats.org/officeDocument/2006/relationships/table" Target="../tables/table36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75"/>
  <cols>
    <col customWidth="1" min="1" max="1" width="16.75"/>
    <col customWidth="1" min="2" max="2" width="4.25"/>
    <col customWidth="1" min="3" max="3" width="19.5"/>
    <col customWidth="1" min="4" max="4" width="12.63"/>
    <col customWidth="1" min="5" max="5" width="7.75"/>
    <col customWidth="1" min="6" max="6" width="8.38"/>
    <col customWidth="1" min="7" max="7" width="37.38"/>
    <col customWidth="1" min="8" max="9" width="18.88"/>
    <col customWidth="1" min="10" max="11" width="12.0"/>
    <col customWidth="1" min="12" max="13" width="11.5"/>
    <col customWidth="1" min="14" max="14" width="12.63"/>
    <col customWidth="1" min="15" max="15" width="12.25"/>
    <col customWidth="1" min="16" max="18" width="18.88"/>
  </cols>
  <sheetData>
    <row r="1" ht="22.5" customHeight="1">
      <c r="A1" s="16" t="s">
        <v>66</v>
      </c>
      <c r="B1" s="17" t="s">
        <v>7</v>
      </c>
      <c r="C1" s="17" t="s">
        <v>11</v>
      </c>
      <c r="D1" s="17" t="s">
        <v>13</v>
      </c>
      <c r="E1" s="17" t="s">
        <v>15</v>
      </c>
      <c r="F1" s="17" t="s">
        <v>18</v>
      </c>
      <c r="G1" s="18" t="s">
        <v>20</v>
      </c>
      <c r="H1" s="19" t="s">
        <v>21</v>
      </c>
      <c r="I1" s="19" t="s">
        <v>22</v>
      </c>
      <c r="J1" s="20" t="s">
        <v>23</v>
      </c>
      <c r="K1" s="21" t="s">
        <v>86</v>
      </c>
      <c r="L1" s="22" t="s">
        <v>25</v>
      </c>
      <c r="M1" s="22" t="s">
        <v>26</v>
      </c>
      <c r="N1" s="22" t="s">
        <v>27</v>
      </c>
      <c r="O1" s="22" t="s">
        <v>28</v>
      </c>
      <c r="P1" s="23" t="s">
        <v>12</v>
      </c>
      <c r="Q1" s="23" t="s">
        <v>29</v>
      </c>
      <c r="R1" s="25" t="s">
        <v>97</v>
      </c>
    </row>
    <row r="2" ht="22.5" customHeight="1">
      <c r="A2" s="26"/>
      <c r="B2" s="26"/>
      <c r="C2" s="28" t="s">
        <v>53</v>
      </c>
      <c r="D2" s="29"/>
      <c r="E2" s="28" t="s">
        <v>64</v>
      </c>
      <c r="F2" s="28" t="s">
        <v>64</v>
      </c>
      <c r="G2" s="30" t="s">
        <v>101</v>
      </c>
      <c r="H2" s="31"/>
      <c r="I2" s="31"/>
      <c r="J2" s="32">
        <v>46170.0</v>
      </c>
      <c r="K2" s="33"/>
      <c r="L2" s="28" t="s">
        <v>38</v>
      </c>
      <c r="M2" s="28">
        <v>543601.0</v>
      </c>
      <c r="N2" s="34">
        <v>8.84</v>
      </c>
      <c r="O2" s="28">
        <v>694964.0</v>
      </c>
      <c r="P2" s="35" t="s">
        <v>59</v>
      </c>
      <c r="Q2" s="35" t="s">
        <v>59</v>
      </c>
      <c r="R2" s="36"/>
    </row>
    <row r="3" ht="22.5" customHeight="1">
      <c r="A3" s="38"/>
      <c r="B3" s="26"/>
      <c r="C3" s="28" t="s">
        <v>53</v>
      </c>
      <c r="D3" s="29"/>
      <c r="E3" s="28" t="s">
        <v>41</v>
      </c>
      <c r="F3" s="28" t="s">
        <v>41</v>
      </c>
      <c r="G3" s="30" t="s">
        <v>127</v>
      </c>
      <c r="H3" s="31"/>
      <c r="I3" s="31"/>
      <c r="J3" s="32">
        <v>46170.0</v>
      </c>
      <c r="K3" s="33"/>
      <c r="L3" s="28" t="s">
        <v>38</v>
      </c>
      <c r="M3" s="28">
        <v>543601.0</v>
      </c>
      <c r="N3" s="34">
        <v>13.3</v>
      </c>
      <c r="O3" s="28">
        <v>694964.0</v>
      </c>
      <c r="P3" s="35" t="s">
        <v>59</v>
      </c>
      <c r="Q3" s="35" t="s">
        <v>59</v>
      </c>
      <c r="R3" s="36"/>
    </row>
    <row r="4" ht="22.5" customHeight="1">
      <c r="A4" s="38"/>
      <c r="B4" s="26"/>
      <c r="C4" s="28" t="s">
        <v>142</v>
      </c>
      <c r="D4" s="28" t="s">
        <v>143</v>
      </c>
      <c r="E4" s="28" t="s">
        <v>35</v>
      </c>
      <c r="F4" s="28" t="s">
        <v>35</v>
      </c>
      <c r="G4" s="30" t="s">
        <v>146</v>
      </c>
      <c r="H4" s="31"/>
      <c r="I4" s="31"/>
      <c r="J4" s="32">
        <v>46170.0</v>
      </c>
      <c r="K4" s="33"/>
      <c r="L4" s="28" t="s">
        <v>38</v>
      </c>
      <c r="M4" s="28">
        <v>543601.0</v>
      </c>
      <c r="N4" s="34">
        <v>156.51</v>
      </c>
      <c r="O4" s="28">
        <v>694964.0</v>
      </c>
      <c r="P4" s="35" t="s">
        <v>43</v>
      </c>
      <c r="Q4" s="35" t="s">
        <v>43</v>
      </c>
      <c r="R4" s="36"/>
    </row>
    <row r="5" ht="22.5" customHeight="1">
      <c r="A5" s="38"/>
      <c r="B5" s="26"/>
      <c r="C5" s="28" t="s">
        <v>155</v>
      </c>
      <c r="D5" s="29"/>
      <c r="E5" s="28" t="s">
        <v>41</v>
      </c>
      <c r="F5" s="28" t="s">
        <v>41</v>
      </c>
      <c r="G5" s="30" t="s">
        <v>146</v>
      </c>
      <c r="H5" s="31"/>
      <c r="I5" s="31"/>
      <c r="J5" s="32">
        <v>46170.0</v>
      </c>
      <c r="K5" s="33"/>
      <c r="L5" s="28" t="s">
        <v>38</v>
      </c>
      <c r="M5" s="28">
        <v>543601.0</v>
      </c>
      <c r="N5" s="34">
        <v>156.51</v>
      </c>
      <c r="O5" s="28">
        <v>694964.0</v>
      </c>
      <c r="P5" s="35" t="s">
        <v>43</v>
      </c>
      <c r="Q5" s="35" t="s">
        <v>43</v>
      </c>
      <c r="R5" s="36"/>
    </row>
    <row r="6" ht="22.5" customHeight="1">
      <c r="A6" s="38"/>
      <c r="B6" s="26"/>
      <c r="C6" s="28" t="s">
        <v>53</v>
      </c>
      <c r="D6" s="29"/>
      <c r="E6" s="28" t="s">
        <v>35</v>
      </c>
      <c r="F6" s="28" t="s">
        <v>35</v>
      </c>
      <c r="G6" s="30" t="s">
        <v>171</v>
      </c>
      <c r="H6" s="31"/>
      <c r="I6" s="31"/>
      <c r="J6" s="32">
        <v>46170.0</v>
      </c>
      <c r="K6" s="33"/>
      <c r="L6" s="28" t="s">
        <v>38</v>
      </c>
      <c r="M6" s="28">
        <v>543601.0</v>
      </c>
      <c r="N6" s="34">
        <v>42.47</v>
      </c>
      <c r="O6" s="28">
        <v>694964.0</v>
      </c>
      <c r="P6" s="35" t="s">
        <v>59</v>
      </c>
      <c r="Q6" s="35" t="s">
        <v>59</v>
      </c>
      <c r="R6" s="36"/>
    </row>
    <row r="7" ht="22.5" customHeight="1">
      <c r="A7" s="38"/>
      <c r="B7" s="26"/>
      <c r="C7" s="28" t="s">
        <v>53</v>
      </c>
      <c r="D7" s="29"/>
      <c r="E7" s="28" t="s">
        <v>35</v>
      </c>
      <c r="F7" s="28" t="s">
        <v>35</v>
      </c>
      <c r="G7" s="30" t="s">
        <v>184</v>
      </c>
      <c r="H7" s="31"/>
      <c r="I7" s="31"/>
      <c r="J7" s="32">
        <v>46170.0</v>
      </c>
      <c r="K7" s="33"/>
      <c r="L7" s="28" t="s">
        <v>38</v>
      </c>
      <c r="M7" s="28">
        <v>543601.0</v>
      </c>
      <c r="N7" s="34">
        <v>8.17</v>
      </c>
      <c r="O7" s="28">
        <v>694964.0</v>
      </c>
      <c r="P7" s="35" t="s">
        <v>59</v>
      </c>
      <c r="Q7" s="35" t="s">
        <v>59</v>
      </c>
      <c r="R7" s="36"/>
    </row>
    <row r="8" ht="22.5" customHeight="1">
      <c r="A8" s="38"/>
      <c r="B8" s="26"/>
      <c r="C8" s="28" t="s">
        <v>53</v>
      </c>
      <c r="D8" s="29"/>
      <c r="E8" s="28" t="s">
        <v>35</v>
      </c>
      <c r="F8" s="28" t="s">
        <v>35</v>
      </c>
      <c r="G8" s="30" t="s">
        <v>193</v>
      </c>
      <c r="H8" s="31"/>
      <c r="I8" s="31"/>
      <c r="J8" s="32">
        <v>46170.0</v>
      </c>
      <c r="K8" s="33"/>
      <c r="L8" s="28" t="s">
        <v>38</v>
      </c>
      <c r="M8" s="28">
        <v>543601.0</v>
      </c>
      <c r="N8" s="34">
        <v>8.98</v>
      </c>
      <c r="O8" s="28">
        <v>694964.0</v>
      </c>
      <c r="P8" s="35" t="s">
        <v>59</v>
      </c>
      <c r="Q8" s="35" t="s">
        <v>59</v>
      </c>
      <c r="R8" s="35"/>
    </row>
    <row r="9" ht="22.5" customHeight="1">
      <c r="A9" s="38"/>
      <c r="B9" s="26"/>
      <c r="C9" s="28" t="s">
        <v>53</v>
      </c>
      <c r="D9" s="29"/>
      <c r="E9" s="28" t="s">
        <v>64</v>
      </c>
      <c r="F9" s="28" t="s">
        <v>64</v>
      </c>
      <c r="G9" s="30" t="s">
        <v>203</v>
      </c>
      <c r="H9" s="31"/>
      <c r="I9" s="31"/>
      <c r="J9" s="32">
        <v>46170.0</v>
      </c>
      <c r="K9" s="33"/>
      <c r="L9" s="28" t="s">
        <v>38</v>
      </c>
      <c r="M9" s="28">
        <v>543601.0</v>
      </c>
      <c r="N9" s="34">
        <v>8.12</v>
      </c>
      <c r="O9" s="28">
        <v>694964.0</v>
      </c>
      <c r="P9" s="35" t="s">
        <v>59</v>
      </c>
      <c r="Q9" s="35" t="s">
        <v>59</v>
      </c>
      <c r="R9" s="36"/>
    </row>
    <row r="10" ht="22.5" customHeight="1">
      <c r="A10" s="38"/>
      <c r="B10" s="26"/>
      <c r="C10" s="28" t="s">
        <v>53</v>
      </c>
      <c r="D10" s="29"/>
      <c r="E10" s="28" t="s">
        <v>41</v>
      </c>
      <c r="F10" s="28" t="s">
        <v>41</v>
      </c>
      <c r="G10" s="30" t="s">
        <v>211</v>
      </c>
      <c r="H10" s="31"/>
      <c r="I10" s="31"/>
      <c r="J10" s="32">
        <v>46170.0</v>
      </c>
      <c r="K10" s="33"/>
      <c r="L10" s="28" t="s">
        <v>38</v>
      </c>
      <c r="M10" s="28">
        <v>543601.0</v>
      </c>
      <c r="N10" s="34">
        <v>10.55</v>
      </c>
      <c r="O10" s="28">
        <v>694964.0</v>
      </c>
      <c r="P10" s="35" t="s">
        <v>59</v>
      </c>
      <c r="Q10" s="35" t="s">
        <v>59</v>
      </c>
      <c r="R10" s="36"/>
    </row>
    <row r="11" ht="22.5" customHeight="1">
      <c r="A11" s="38"/>
      <c r="B11" s="26"/>
      <c r="C11" s="28" t="s">
        <v>53</v>
      </c>
      <c r="D11" s="29"/>
      <c r="E11" s="28" t="s">
        <v>41</v>
      </c>
      <c r="F11" s="28" t="s">
        <v>41</v>
      </c>
      <c r="G11" s="30" t="s">
        <v>219</v>
      </c>
      <c r="H11" s="31"/>
      <c r="I11" s="31"/>
      <c r="J11" s="32">
        <v>46170.0</v>
      </c>
      <c r="K11" s="33"/>
      <c r="L11" s="28" t="s">
        <v>38</v>
      </c>
      <c r="M11" s="28">
        <v>543601.0</v>
      </c>
      <c r="N11" s="34">
        <v>10.55</v>
      </c>
      <c r="O11" s="28">
        <v>694964.0</v>
      </c>
      <c r="P11" s="35" t="s">
        <v>59</v>
      </c>
      <c r="Q11" s="35" t="s">
        <v>59</v>
      </c>
      <c r="R11" s="36"/>
    </row>
    <row r="12" ht="22.5" customHeight="1">
      <c r="A12" s="38"/>
      <c r="B12" s="26"/>
      <c r="C12" s="28" t="s">
        <v>53</v>
      </c>
      <c r="D12" s="29"/>
      <c r="E12" s="28" t="s">
        <v>41</v>
      </c>
      <c r="F12" s="28" t="s">
        <v>41</v>
      </c>
      <c r="G12" s="30" t="s">
        <v>228</v>
      </c>
      <c r="H12" s="31"/>
      <c r="I12" s="31"/>
      <c r="J12" s="32">
        <v>46170.0</v>
      </c>
      <c r="K12" s="33"/>
      <c r="L12" s="28" t="s">
        <v>38</v>
      </c>
      <c r="M12" s="28">
        <v>543601.0</v>
      </c>
      <c r="N12" s="34">
        <v>160.17</v>
      </c>
      <c r="O12" s="28">
        <v>694964.0</v>
      </c>
      <c r="P12" s="35" t="s">
        <v>59</v>
      </c>
      <c r="Q12" s="35" t="s">
        <v>59</v>
      </c>
      <c r="R12" s="36"/>
    </row>
    <row r="13" ht="22.5" customHeight="1">
      <c r="A13" s="38"/>
      <c r="B13" s="26"/>
      <c r="C13" s="28" t="s">
        <v>53</v>
      </c>
      <c r="D13" s="29"/>
      <c r="E13" s="28" t="s">
        <v>41</v>
      </c>
      <c r="F13" s="28" t="s">
        <v>41</v>
      </c>
      <c r="G13" s="30" t="s">
        <v>238</v>
      </c>
      <c r="H13" s="31"/>
      <c r="I13" s="31"/>
      <c r="J13" s="32">
        <v>46175.0</v>
      </c>
      <c r="K13" s="33"/>
      <c r="L13" s="28" t="s">
        <v>38</v>
      </c>
      <c r="M13" s="28">
        <v>544554.0</v>
      </c>
      <c r="N13" s="34">
        <v>95.62</v>
      </c>
      <c r="O13" s="28">
        <v>696278.0</v>
      </c>
      <c r="P13" s="35" t="s">
        <v>59</v>
      </c>
      <c r="Q13" s="35" t="s">
        <v>59</v>
      </c>
      <c r="R13" s="36"/>
    </row>
    <row r="14" ht="22.5" customHeight="1">
      <c r="A14" s="38"/>
      <c r="B14" s="26"/>
      <c r="C14" s="28" t="s">
        <v>53</v>
      </c>
      <c r="D14" s="29"/>
      <c r="E14" s="28" t="s">
        <v>35</v>
      </c>
      <c r="F14" s="28" t="s">
        <v>35</v>
      </c>
      <c r="G14" s="30" t="s">
        <v>228</v>
      </c>
      <c r="H14" s="31"/>
      <c r="I14" s="31"/>
      <c r="J14" s="32">
        <v>46175.0</v>
      </c>
      <c r="K14" s="33"/>
      <c r="L14" s="28" t="s">
        <v>38</v>
      </c>
      <c r="M14" s="28">
        <v>544554.0</v>
      </c>
      <c r="N14" s="34">
        <v>160.17</v>
      </c>
      <c r="O14" s="28">
        <v>696278.0</v>
      </c>
      <c r="P14" s="35" t="s">
        <v>59</v>
      </c>
      <c r="Q14" s="35" t="s">
        <v>59</v>
      </c>
      <c r="R14" s="36"/>
    </row>
    <row r="15" ht="22.5" customHeight="1">
      <c r="A15" s="38">
        <v>46170.76242892361</v>
      </c>
      <c r="B15" s="26"/>
      <c r="C15" s="28" t="s">
        <v>250</v>
      </c>
      <c r="D15" s="28">
        <v>2.017381769E9</v>
      </c>
      <c r="E15" s="28" t="s">
        <v>35</v>
      </c>
      <c r="F15" s="28" t="s">
        <v>35</v>
      </c>
      <c r="G15" s="30" t="s">
        <v>255</v>
      </c>
      <c r="H15" s="31"/>
      <c r="I15" s="30" t="s">
        <v>257</v>
      </c>
      <c r="J15" s="32">
        <v>46175.0</v>
      </c>
      <c r="K15" s="33"/>
      <c r="L15" s="28" t="s">
        <v>38</v>
      </c>
      <c r="M15" s="28">
        <v>544554.0</v>
      </c>
      <c r="N15" s="34">
        <v>37.43</v>
      </c>
      <c r="O15" s="28">
        <v>696278.0</v>
      </c>
      <c r="P15" s="35" t="s">
        <v>59</v>
      </c>
      <c r="Q15" s="35" t="s">
        <v>59</v>
      </c>
      <c r="R15" s="36"/>
    </row>
    <row r="16" ht="22.5" customHeight="1">
      <c r="A16" s="38">
        <v>46170.76242892361</v>
      </c>
      <c r="B16" s="26"/>
      <c r="C16" s="28" t="s">
        <v>250</v>
      </c>
      <c r="D16" s="28">
        <v>2.017381769E9</v>
      </c>
      <c r="E16" s="28" t="s">
        <v>35</v>
      </c>
      <c r="F16" s="28" t="s">
        <v>35</v>
      </c>
      <c r="G16" s="30" t="s">
        <v>266</v>
      </c>
      <c r="H16" s="31"/>
      <c r="I16" s="30"/>
      <c r="J16" s="32">
        <v>46175.0</v>
      </c>
      <c r="K16" s="33"/>
      <c r="L16" s="28" t="s">
        <v>38</v>
      </c>
      <c r="M16" s="28">
        <v>544554.0</v>
      </c>
      <c r="N16" s="34">
        <v>37.43</v>
      </c>
      <c r="O16" s="28">
        <v>696278.0</v>
      </c>
      <c r="P16" s="35" t="s">
        <v>43</v>
      </c>
      <c r="Q16" s="35" t="s">
        <v>43</v>
      </c>
      <c r="R16" s="36"/>
    </row>
    <row r="17" ht="22.5" customHeight="1">
      <c r="A17" s="38"/>
      <c r="B17" s="26"/>
      <c r="C17" s="28" t="s">
        <v>273</v>
      </c>
      <c r="D17" s="28" t="s">
        <v>274</v>
      </c>
      <c r="E17" s="28" t="s">
        <v>35</v>
      </c>
      <c r="F17" s="28" t="s">
        <v>35</v>
      </c>
      <c r="G17" s="30" t="s">
        <v>146</v>
      </c>
      <c r="H17" s="31"/>
      <c r="I17" s="31"/>
      <c r="J17" s="32">
        <v>46175.0</v>
      </c>
      <c r="K17" s="33"/>
      <c r="L17" s="28" t="s">
        <v>38</v>
      </c>
      <c r="M17" s="28">
        <v>544554.0</v>
      </c>
      <c r="N17" s="34">
        <v>156.51</v>
      </c>
      <c r="O17" s="28">
        <v>696278.0</v>
      </c>
      <c r="P17" s="35" t="s">
        <v>43</v>
      </c>
      <c r="Q17" s="35" t="s">
        <v>43</v>
      </c>
      <c r="R17" s="36"/>
    </row>
    <row r="18" ht="22.5" customHeight="1">
      <c r="A18" s="38"/>
      <c r="B18" s="26"/>
      <c r="C18" s="28" t="s">
        <v>53</v>
      </c>
      <c r="D18" s="29"/>
      <c r="E18" s="28" t="s">
        <v>35</v>
      </c>
      <c r="F18" s="28" t="s">
        <v>35</v>
      </c>
      <c r="G18" s="30" t="s">
        <v>244</v>
      </c>
      <c r="H18" s="31"/>
      <c r="I18" s="31"/>
      <c r="J18" s="32">
        <v>46175.0</v>
      </c>
      <c r="K18" s="33"/>
      <c r="L18" s="28" t="s">
        <v>38</v>
      </c>
      <c r="M18" s="28">
        <v>544554.0</v>
      </c>
      <c r="N18" s="34">
        <v>42.47</v>
      </c>
      <c r="O18" s="28">
        <v>696278.0</v>
      </c>
      <c r="P18" s="35" t="s">
        <v>59</v>
      </c>
      <c r="Q18" s="35" t="s">
        <v>59</v>
      </c>
      <c r="R18" s="36"/>
    </row>
    <row r="19" ht="22.5" customHeight="1">
      <c r="A19" s="38"/>
      <c r="B19" s="26"/>
      <c r="C19" s="28" t="s">
        <v>53</v>
      </c>
      <c r="D19" s="29"/>
      <c r="E19" s="28" t="s">
        <v>35</v>
      </c>
      <c r="F19" s="28" t="s">
        <v>35</v>
      </c>
      <c r="G19" s="30" t="s">
        <v>294</v>
      </c>
      <c r="H19" s="31"/>
      <c r="I19" s="31"/>
      <c r="J19" s="32">
        <v>46175.0</v>
      </c>
      <c r="K19" s="33"/>
      <c r="L19" s="28" t="s">
        <v>38</v>
      </c>
      <c r="M19" s="28">
        <v>544554.0</v>
      </c>
      <c r="N19" s="34">
        <v>42.47</v>
      </c>
      <c r="O19" s="28">
        <v>696278.0</v>
      </c>
      <c r="P19" s="35" t="s">
        <v>59</v>
      </c>
      <c r="Q19" s="35" t="s">
        <v>59</v>
      </c>
      <c r="R19" s="36"/>
    </row>
    <row r="20" ht="22.5" customHeight="1">
      <c r="A20" s="38"/>
      <c r="B20" s="26"/>
      <c r="C20" s="28" t="s">
        <v>53</v>
      </c>
      <c r="D20" s="29"/>
      <c r="E20" s="28" t="s">
        <v>35</v>
      </c>
      <c r="F20" s="28" t="s">
        <v>35</v>
      </c>
      <c r="G20" s="30" t="s">
        <v>61</v>
      </c>
      <c r="H20" s="31"/>
      <c r="I20" s="31"/>
      <c r="J20" s="32">
        <v>46175.0</v>
      </c>
      <c r="K20" s="33"/>
      <c r="L20" s="28" t="s">
        <v>38</v>
      </c>
      <c r="M20" s="28">
        <v>544554.0</v>
      </c>
      <c r="N20" s="34">
        <v>42.47</v>
      </c>
      <c r="O20" s="28">
        <v>696278.0</v>
      </c>
      <c r="P20" s="35" t="s">
        <v>59</v>
      </c>
      <c r="Q20" s="35" t="s">
        <v>59</v>
      </c>
      <c r="R20" s="36"/>
    </row>
    <row r="21" ht="22.5" customHeight="1">
      <c r="A21" s="38"/>
      <c r="B21" s="26"/>
      <c r="C21" s="28" t="s">
        <v>53</v>
      </c>
      <c r="D21" s="29"/>
      <c r="E21" s="28" t="s">
        <v>35</v>
      </c>
      <c r="F21" s="28" t="s">
        <v>35</v>
      </c>
      <c r="G21" s="30" t="s">
        <v>309</v>
      </c>
      <c r="H21" s="31"/>
      <c r="I21" s="31"/>
      <c r="J21" s="32">
        <v>46175.0</v>
      </c>
      <c r="K21" s="33"/>
      <c r="L21" s="28" t="s">
        <v>38</v>
      </c>
      <c r="M21" s="28">
        <v>544554.0</v>
      </c>
      <c r="N21" s="34">
        <v>17.2</v>
      </c>
      <c r="O21" s="28">
        <v>696278.0</v>
      </c>
      <c r="P21" s="35" t="s">
        <v>59</v>
      </c>
      <c r="Q21" s="35" t="s">
        <v>59</v>
      </c>
      <c r="R21" s="36"/>
    </row>
    <row r="22" ht="22.5" customHeight="1">
      <c r="A22" s="38"/>
      <c r="B22" s="26"/>
      <c r="C22" s="28" t="s">
        <v>53</v>
      </c>
      <c r="D22" s="29"/>
      <c r="E22" s="28" t="s">
        <v>35</v>
      </c>
      <c r="F22" s="28" t="s">
        <v>35</v>
      </c>
      <c r="G22" s="30" t="s">
        <v>322</v>
      </c>
      <c r="H22" s="31"/>
      <c r="I22" s="31"/>
      <c r="J22" s="32">
        <v>46175.0</v>
      </c>
      <c r="K22" s="33"/>
      <c r="L22" s="28" t="s">
        <v>38</v>
      </c>
      <c r="M22" s="28">
        <v>544554.0</v>
      </c>
      <c r="N22" s="34">
        <v>17.2</v>
      </c>
      <c r="O22" s="28">
        <v>696278.0</v>
      </c>
      <c r="P22" s="35" t="s">
        <v>59</v>
      </c>
      <c r="Q22" s="35" t="s">
        <v>59</v>
      </c>
      <c r="R22" s="36"/>
    </row>
    <row r="23" ht="22.5" customHeight="1">
      <c r="A23" s="38"/>
      <c r="B23" s="26"/>
      <c r="C23" s="28" t="s">
        <v>53</v>
      </c>
      <c r="D23" s="29"/>
      <c r="E23" s="28" t="s">
        <v>35</v>
      </c>
      <c r="F23" s="28" t="s">
        <v>35</v>
      </c>
      <c r="G23" s="30" t="s">
        <v>328</v>
      </c>
      <c r="H23" s="31"/>
      <c r="I23" s="31"/>
      <c r="J23" s="32">
        <v>46175.0</v>
      </c>
      <c r="K23" s="33"/>
      <c r="L23" s="28" t="s">
        <v>38</v>
      </c>
      <c r="M23" s="28">
        <v>544554.0</v>
      </c>
      <c r="N23" s="34">
        <v>156.51</v>
      </c>
      <c r="O23" s="28">
        <v>696278.0</v>
      </c>
      <c r="P23" s="35" t="s">
        <v>59</v>
      </c>
      <c r="Q23" s="35" t="s">
        <v>59</v>
      </c>
      <c r="R23" s="36"/>
    </row>
    <row r="24" ht="22.5" customHeight="1">
      <c r="A24" s="38"/>
      <c r="B24" s="26"/>
      <c r="C24" s="28" t="s">
        <v>334</v>
      </c>
      <c r="D24" s="28">
        <v>2.019945474E9</v>
      </c>
      <c r="E24" s="28" t="s">
        <v>41</v>
      </c>
      <c r="F24" s="28" t="s">
        <v>41</v>
      </c>
      <c r="G24" s="30" t="s">
        <v>336</v>
      </c>
      <c r="H24" s="31"/>
      <c r="I24" s="31"/>
      <c r="J24" s="32">
        <v>46181.0</v>
      </c>
      <c r="K24" s="33"/>
      <c r="L24" s="28" t="s">
        <v>38</v>
      </c>
      <c r="M24" s="28">
        <v>545602.0</v>
      </c>
      <c r="N24" s="34">
        <v>156.51</v>
      </c>
      <c r="O24" s="28">
        <v>697391.0</v>
      </c>
      <c r="P24" s="35" t="s">
        <v>59</v>
      </c>
      <c r="Q24" s="35" t="s">
        <v>59</v>
      </c>
      <c r="R24" s="36"/>
    </row>
    <row r="25" ht="22.5" customHeight="1">
      <c r="A25" s="38">
        <v>46178.80789429398</v>
      </c>
      <c r="B25" s="26"/>
      <c r="C25" s="28" t="s">
        <v>279</v>
      </c>
      <c r="D25" s="28">
        <v>5.708990219E9</v>
      </c>
      <c r="E25" s="28" t="s">
        <v>35</v>
      </c>
      <c r="F25" s="28" t="s">
        <v>35</v>
      </c>
      <c r="G25" s="30" t="s">
        <v>345</v>
      </c>
      <c r="H25" s="31"/>
      <c r="I25" s="31"/>
      <c r="J25" s="28" t="s">
        <v>350</v>
      </c>
      <c r="K25" s="33"/>
      <c r="L25" s="28" t="s">
        <v>38</v>
      </c>
      <c r="M25" s="28">
        <v>545602.0</v>
      </c>
      <c r="N25" s="34">
        <v>156.51</v>
      </c>
      <c r="O25" s="28">
        <v>697391.0</v>
      </c>
      <c r="P25" s="35" t="s">
        <v>43</v>
      </c>
      <c r="Q25" s="35" t="s">
        <v>43</v>
      </c>
      <c r="R25" s="36"/>
    </row>
    <row r="26" ht="22.5" customHeight="1">
      <c r="A26" s="38">
        <v>46179.44060700231</v>
      </c>
      <c r="B26" s="26" t="s">
        <v>357</v>
      </c>
      <c r="C26" s="28" t="s">
        <v>358</v>
      </c>
      <c r="D26" s="28">
        <v>2.672183294E9</v>
      </c>
      <c r="E26" s="28" t="s">
        <v>41</v>
      </c>
      <c r="F26" s="28" t="s">
        <v>41</v>
      </c>
      <c r="G26" s="30" t="s">
        <v>361</v>
      </c>
      <c r="H26" s="30"/>
      <c r="I26" s="31"/>
      <c r="J26" s="32">
        <v>46181.0</v>
      </c>
      <c r="K26" s="33"/>
      <c r="L26" s="28" t="s">
        <v>38</v>
      </c>
      <c r="M26" s="28">
        <v>545602.0</v>
      </c>
      <c r="N26" s="34">
        <v>42.47</v>
      </c>
      <c r="O26" s="28">
        <v>697391.0</v>
      </c>
      <c r="P26" s="35" t="s">
        <v>43</v>
      </c>
      <c r="Q26" s="35" t="s">
        <v>43</v>
      </c>
      <c r="R26" s="36"/>
    </row>
    <row r="27" ht="22.5" customHeight="1">
      <c r="A27" s="38"/>
      <c r="B27" s="26"/>
      <c r="C27" s="28" t="s">
        <v>53</v>
      </c>
      <c r="D27" s="29"/>
      <c r="E27" s="28" t="s">
        <v>35</v>
      </c>
      <c r="F27" s="28" t="s">
        <v>35</v>
      </c>
      <c r="G27" s="30" t="s">
        <v>379</v>
      </c>
      <c r="H27" s="31"/>
      <c r="I27" s="31"/>
      <c r="J27" s="32">
        <v>46181.0</v>
      </c>
      <c r="K27" s="33"/>
      <c r="L27" s="28" t="s">
        <v>38</v>
      </c>
      <c r="M27" s="28">
        <v>545602.0</v>
      </c>
      <c r="N27" s="34">
        <v>144.35</v>
      </c>
      <c r="O27" s="28">
        <v>699230.0</v>
      </c>
      <c r="P27" s="35" t="s">
        <v>59</v>
      </c>
      <c r="Q27" s="35" t="s">
        <v>59</v>
      </c>
      <c r="R27" s="36"/>
    </row>
    <row r="28" ht="22.5" customHeight="1">
      <c r="A28" s="38"/>
      <c r="B28" s="26"/>
      <c r="C28" s="28" t="s">
        <v>385</v>
      </c>
      <c r="D28" s="28" t="s">
        <v>386</v>
      </c>
      <c r="E28" s="28" t="s">
        <v>35</v>
      </c>
      <c r="F28" s="28" t="s">
        <v>35</v>
      </c>
      <c r="G28" s="30" t="s">
        <v>387</v>
      </c>
      <c r="H28" s="31"/>
      <c r="I28" s="31"/>
      <c r="J28" s="32">
        <v>46181.0</v>
      </c>
      <c r="K28" s="33"/>
      <c r="L28" s="28" t="s">
        <v>38</v>
      </c>
      <c r="M28" s="28">
        <v>545602.0</v>
      </c>
      <c r="N28" s="34">
        <v>114.0</v>
      </c>
      <c r="O28" s="28">
        <v>697391.0</v>
      </c>
      <c r="P28" s="35" t="s">
        <v>43</v>
      </c>
      <c r="Q28" s="35" t="s">
        <v>43</v>
      </c>
      <c r="R28" s="36"/>
    </row>
    <row r="29" ht="22.5" customHeight="1">
      <c r="A29" s="38"/>
      <c r="B29" s="26"/>
      <c r="C29" s="28" t="s">
        <v>394</v>
      </c>
      <c r="D29" s="28"/>
      <c r="E29" s="28"/>
      <c r="F29" s="28"/>
      <c r="G29" s="30" t="s">
        <v>398</v>
      </c>
      <c r="H29" s="31"/>
      <c r="I29" s="30" t="s">
        <v>399</v>
      </c>
      <c r="J29" s="32">
        <v>46181.0</v>
      </c>
      <c r="K29" s="33"/>
      <c r="L29" s="28" t="s">
        <v>38</v>
      </c>
      <c r="M29" s="28">
        <v>545203.0</v>
      </c>
      <c r="N29" s="34">
        <v>77.93</v>
      </c>
      <c r="O29" s="28">
        <v>697008.0</v>
      </c>
      <c r="P29" s="35" t="s">
        <v>59</v>
      </c>
      <c r="Q29" s="35" t="s">
        <v>59</v>
      </c>
      <c r="R29" s="36"/>
    </row>
    <row r="30" ht="22.5" customHeight="1">
      <c r="A30" s="38"/>
      <c r="B30" s="26"/>
      <c r="C30" s="28" t="s">
        <v>76</v>
      </c>
      <c r="D30" s="29"/>
      <c r="E30" s="29"/>
      <c r="F30" s="29"/>
      <c r="G30" s="30" t="s">
        <v>398</v>
      </c>
      <c r="H30" s="31"/>
      <c r="I30" s="30" t="s">
        <v>399</v>
      </c>
      <c r="J30" s="32">
        <v>46181.0</v>
      </c>
      <c r="K30" s="33"/>
      <c r="L30" s="28" t="s">
        <v>38</v>
      </c>
      <c r="M30" s="28">
        <v>545203.0</v>
      </c>
      <c r="N30" s="34">
        <v>77.93</v>
      </c>
      <c r="O30" s="28">
        <v>697008.0</v>
      </c>
      <c r="P30" s="35" t="s">
        <v>59</v>
      </c>
      <c r="Q30" s="35" t="s">
        <v>59</v>
      </c>
      <c r="R30" s="36"/>
    </row>
    <row r="31" ht="22.5" customHeight="1">
      <c r="A31" s="38"/>
      <c r="B31" s="26"/>
      <c r="C31" s="28" t="s">
        <v>412</v>
      </c>
      <c r="D31" s="28" t="s">
        <v>413</v>
      </c>
      <c r="E31" s="28"/>
      <c r="F31" s="28"/>
      <c r="G31" s="30" t="s">
        <v>398</v>
      </c>
      <c r="H31" s="31"/>
      <c r="I31" s="30" t="s">
        <v>399</v>
      </c>
      <c r="J31" s="32">
        <v>46181.0</v>
      </c>
      <c r="K31" s="33"/>
      <c r="L31" s="28" t="s">
        <v>38</v>
      </c>
      <c r="M31" s="28">
        <v>545203.0</v>
      </c>
      <c r="N31" s="34">
        <v>77.93</v>
      </c>
      <c r="O31" s="28">
        <v>697008.0</v>
      </c>
      <c r="P31" s="35" t="s">
        <v>43</v>
      </c>
      <c r="Q31" s="35" t="s">
        <v>43</v>
      </c>
      <c r="R31" s="36"/>
    </row>
    <row r="32" ht="22.5" customHeight="1">
      <c r="A32" s="38"/>
      <c r="B32" s="26"/>
      <c r="C32" s="28" t="s">
        <v>53</v>
      </c>
      <c r="D32" s="29"/>
      <c r="E32" s="28" t="s">
        <v>41</v>
      </c>
      <c r="F32" s="28" t="s">
        <v>41</v>
      </c>
      <c r="G32" s="30" t="s">
        <v>429</v>
      </c>
      <c r="H32" s="31"/>
      <c r="I32" s="31"/>
      <c r="J32" s="32">
        <v>46184.0</v>
      </c>
      <c r="K32" s="33"/>
      <c r="L32" s="28" t="s">
        <v>38</v>
      </c>
      <c r="M32" s="28">
        <v>546175.0</v>
      </c>
      <c r="N32" s="34">
        <v>105.36</v>
      </c>
      <c r="O32" s="33"/>
      <c r="P32" s="35" t="s">
        <v>59</v>
      </c>
      <c r="Q32" s="35" t="s">
        <v>59</v>
      </c>
      <c r="R32" s="36"/>
    </row>
    <row r="33" ht="22.5" customHeight="1">
      <c r="A33" s="38"/>
      <c r="B33" s="26"/>
      <c r="C33" s="28" t="s">
        <v>53</v>
      </c>
      <c r="D33" s="29"/>
      <c r="E33" s="28" t="s">
        <v>41</v>
      </c>
      <c r="F33" s="28" t="s">
        <v>41</v>
      </c>
      <c r="G33" s="30" t="s">
        <v>441</v>
      </c>
      <c r="H33" s="31"/>
      <c r="I33" s="31"/>
      <c r="J33" s="32">
        <v>46184.0</v>
      </c>
      <c r="K33" s="33"/>
      <c r="L33" s="28" t="s">
        <v>38</v>
      </c>
      <c r="M33" s="28">
        <v>546175.0</v>
      </c>
      <c r="N33" s="34">
        <v>132.15</v>
      </c>
      <c r="O33" s="33"/>
      <c r="P33" s="35" t="s">
        <v>59</v>
      </c>
      <c r="Q33" s="35" t="s">
        <v>59</v>
      </c>
      <c r="R33" s="36"/>
    </row>
    <row r="34" ht="22.5" customHeight="1">
      <c r="A34" s="38"/>
      <c r="B34" s="26"/>
      <c r="C34" s="28" t="s">
        <v>53</v>
      </c>
      <c r="D34" s="29"/>
      <c r="E34" s="28" t="s">
        <v>41</v>
      </c>
      <c r="F34" s="28" t="s">
        <v>41</v>
      </c>
      <c r="G34" s="30" t="s">
        <v>449</v>
      </c>
      <c r="H34" s="31"/>
      <c r="I34" s="31"/>
      <c r="J34" s="32">
        <v>46184.0</v>
      </c>
      <c r="K34" s="33"/>
      <c r="L34" s="28" t="s">
        <v>38</v>
      </c>
      <c r="M34" s="28">
        <v>546175.0</v>
      </c>
      <c r="N34" s="34">
        <v>5.46</v>
      </c>
      <c r="O34" s="33"/>
      <c r="P34" s="35" t="s">
        <v>59</v>
      </c>
      <c r="Q34" s="35" t="s">
        <v>59</v>
      </c>
      <c r="R34" s="36"/>
    </row>
    <row r="35" ht="22.5" customHeight="1">
      <c r="A35" s="38">
        <v>46183.46621940972</v>
      </c>
      <c r="B35" s="26" t="s">
        <v>457</v>
      </c>
      <c r="C35" s="28" t="s">
        <v>460</v>
      </c>
      <c r="D35" s="28">
        <v>5.70980312E9</v>
      </c>
      <c r="E35" s="28" t="s">
        <v>41</v>
      </c>
      <c r="F35" s="28" t="s">
        <v>41</v>
      </c>
      <c r="G35" s="30" t="s">
        <v>464</v>
      </c>
      <c r="H35" s="30" t="s">
        <v>37</v>
      </c>
      <c r="I35" s="31"/>
      <c r="J35" s="32">
        <v>46184.0</v>
      </c>
      <c r="K35" s="33"/>
      <c r="L35" s="28" t="s">
        <v>38</v>
      </c>
      <c r="M35" s="28">
        <v>546175.0</v>
      </c>
      <c r="N35" s="34">
        <v>62.75</v>
      </c>
      <c r="O35" s="33"/>
      <c r="P35" s="35" t="s">
        <v>43</v>
      </c>
      <c r="Q35" s="35" t="s">
        <v>43</v>
      </c>
      <c r="R35" s="36"/>
    </row>
    <row r="36" ht="22.5" customHeight="1">
      <c r="A36" s="38"/>
      <c r="B36" s="26"/>
      <c r="C36" s="28" t="s">
        <v>472</v>
      </c>
      <c r="D36" s="28" t="s">
        <v>473</v>
      </c>
      <c r="E36" s="28" t="s">
        <v>41</v>
      </c>
      <c r="F36" s="28" t="s">
        <v>41</v>
      </c>
      <c r="G36" s="30" t="s">
        <v>146</v>
      </c>
      <c r="H36" s="31"/>
      <c r="I36" s="31"/>
      <c r="J36" s="32">
        <v>46184.0</v>
      </c>
      <c r="K36" s="33"/>
      <c r="L36" s="28" t="s">
        <v>38</v>
      </c>
      <c r="M36" s="28">
        <v>546175.0</v>
      </c>
      <c r="N36" s="34">
        <v>156.51</v>
      </c>
      <c r="O36" s="33"/>
      <c r="P36" s="35" t="s">
        <v>43</v>
      </c>
      <c r="Q36" s="35" t="s">
        <v>43</v>
      </c>
      <c r="R36" s="36"/>
    </row>
    <row r="37" ht="22.5" customHeight="1">
      <c r="A37" s="38">
        <v>46183.927631203704</v>
      </c>
      <c r="B37" s="26" t="s">
        <v>475</v>
      </c>
      <c r="C37" s="28" t="s">
        <v>476</v>
      </c>
      <c r="D37" s="28" t="s">
        <v>477</v>
      </c>
      <c r="E37" s="28" t="s">
        <v>35</v>
      </c>
      <c r="F37" s="28" t="s">
        <v>35</v>
      </c>
      <c r="G37" s="30" t="s">
        <v>479</v>
      </c>
      <c r="H37" s="30" t="s">
        <v>37</v>
      </c>
      <c r="I37" s="31"/>
      <c r="J37" s="32">
        <v>46184.0</v>
      </c>
      <c r="K37" s="33"/>
      <c r="L37" s="28" t="s">
        <v>38</v>
      </c>
      <c r="M37" s="28">
        <v>546175.0</v>
      </c>
      <c r="N37" s="34">
        <v>95.62</v>
      </c>
      <c r="O37" s="33"/>
      <c r="P37" s="35" t="s">
        <v>43</v>
      </c>
      <c r="Q37" s="35" t="s">
        <v>43</v>
      </c>
      <c r="R37" s="36"/>
    </row>
    <row r="38" ht="22.5" customHeight="1">
      <c r="A38" s="38"/>
      <c r="B38" s="26"/>
      <c r="C38" s="28" t="s">
        <v>53</v>
      </c>
      <c r="D38" s="29"/>
      <c r="E38" s="28" t="s">
        <v>35</v>
      </c>
      <c r="F38" s="28" t="s">
        <v>35</v>
      </c>
      <c r="G38" s="30" t="s">
        <v>486</v>
      </c>
      <c r="H38" s="31"/>
      <c r="I38" s="31"/>
      <c r="J38" s="32">
        <v>46184.0</v>
      </c>
      <c r="K38" s="33"/>
      <c r="L38" s="28" t="s">
        <v>38</v>
      </c>
      <c r="M38" s="28">
        <v>546175.0</v>
      </c>
      <c r="N38" s="34">
        <v>42.47</v>
      </c>
      <c r="O38" s="33"/>
      <c r="P38" s="35" t="s">
        <v>59</v>
      </c>
      <c r="Q38" s="35" t="s">
        <v>59</v>
      </c>
      <c r="R38" s="36"/>
    </row>
    <row r="39" ht="22.5" customHeight="1">
      <c r="A39" s="38"/>
      <c r="B39" s="26"/>
      <c r="C39" s="28" t="s">
        <v>53</v>
      </c>
      <c r="D39" s="29"/>
      <c r="E39" s="29"/>
      <c r="F39" s="29"/>
      <c r="G39" s="30" t="s">
        <v>501</v>
      </c>
      <c r="H39" s="31"/>
      <c r="I39" s="31"/>
      <c r="J39" s="32">
        <v>46184.0</v>
      </c>
      <c r="K39" s="33"/>
      <c r="L39" s="28" t="s">
        <v>38</v>
      </c>
      <c r="M39" s="28">
        <v>546175.0</v>
      </c>
      <c r="N39" s="34">
        <v>20.9</v>
      </c>
      <c r="O39" s="33"/>
      <c r="P39" s="35" t="s">
        <v>59</v>
      </c>
      <c r="Q39" s="35" t="s">
        <v>59</v>
      </c>
      <c r="R39" s="36"/>
    </row>
    <row r="40" ht="22.5" customHeight="1">
      <c r="A40" s="38"/>
      <c r="B40" s="26"/>
      <c r="C40" s="28" t="s">
        <v>53</v>
      </c>
      <c r="D40" s="29"/>
      <c r="E40" s="29"/>
      <c r="F40" s="29"/>
      <c r="G40" s="30" t="s">
        <v>519</v>
      </c>
      <c r="H40" s="31"/>
      <c r="I40" s="31"/>
      <c r="J40" s="32">
        <v>46195.0</v>
      </c>
      <c r="K40" s="33"/>
      <c r="L40" s="28" t="s">
        <v>69</v>
      </c>
      <c r="M40" s="28">
        <v>5.00354704E8</v>
      </c>
      <c r="N40" s="34">
        <v>0.99</v>
      </c>
      <c r="O40" s="33"/>
      <c r="P40" s="35" t="s">
        <v>59</v>
      </c>
      <c r="Q40" s="35" t="s">
        <v>59</v>
      </c>
      <c r="R40" s="36"/>
    </row>
    <row r="41" ht="22.5" customHeight="1">
      <c r="A41" s="38"/>
      <c r="B41" s="26"/>
      <c r="C41" s="28" t="s">
        <v>53</v>
      </c>
      <c r="D41" s="29"/>
      <c r="E41" s="29"/>
      <c r="F41" s="29"/>
      <c r="G41" s="30" t="s">
        <v>71</v>
      </c>
      <c r="H41" s="31"/>
      <c r="I41" s="31"/>
      <c r="J41" s="32">
        <v>46195.0</v>
      </c>
      <c r="K41" s="33"/>
      <c r="L41" s="28" t="s">
        <v>69</v>
      </c>
      <c r="M41" s="28">
        <v>5.00354704E8</v>
      </c>
      <c r="N41" s="34">
        <v>0.99</v>
      </c>
      <c r="O41" s="33"/>
      <c r="P41" s="35" t="s">
        <v>59</v>
      </c>
      <c r="Q41" s="35" t="s">
        <v>59</v>
      </c>
      <c r="R41" s="36"/>
    </row>
    <row r="42" ht="22.5" customHeight="1">
      <c r="A42" s="38"/>
      <c r="B42" s="26"/>
      <c r="C42" s="28" t="s">
        <v>53</v>
      </c>
      <c r="D42" s="29"/>
      <c r="E42" s="29"/>
      <c r="F42" s="29"/>
      <c r="G42" s="30" t="s">
        <v>526</v>
      </c>
      <c r="H42" s="31"/>
      <c r="I42" s="31"/>
      <c r="J42" s="32">
        <v>46195.0</v>
      </c>
      <c r="K42" s="33"/>
      <c r="L42" s="28" t="s">
        <v>69</v>
      </c>
      <c r="M42" s="28">
        <v>5.00354704E8</v>
      </c>
      <c r="N42" s="34">
        <v>0.99</v>
      </c>
      <c r="O42" s="33"/>
      <c r="P42" s="35" t="s">
        <v>59</v>
      </c>
      <c r="Q42" s="35" t="s">
        <v>59</v>
      </c>
      <c r="R42" s="36"/>
    </row>
    <row r="43" ht="22.5" customHeight="1">
      <c r="A43" s="38"/>
      <c r="B43" s="26"/>
      <c r="C43" s="28" t="s">
        <v>53</v>
      </c>
      <c r="D43" s="29"/>
      <c r="E43" s="29"/>
      <c r="F43" s="29"/>
      <c r="G43" s="30" t="s">
        <v>527</v>
      </c>
      <c r="H43" s="31"/>
      <c r="I43" s="31"/>
      <c r="J43" s="32">
        <v>46195.0</v>
      </c>
      <c r="K43" s="33"/>
      <c r="L43" s="28" t="s">
        <v>69</v>
      </c>
      <c r="M43" s="28">
        <v>5.00354704E8</v>
      </c>
      <c r="N43" s="34">
        <v>0.99</v>
      </c>
      <c r="O43" s="33"/>
      <c r="P43" s="35" t="s">
        <v>59</v>
      </c>
      <c r="Q43" s="35" t="s">
        <v>59</v>
      </c>
      <c r="R43" s="36"/>
    </row>
    <row r="44" ht="22.5" customHeight="1">
      <c r="A44" s="38"/>
      <c r="B44" s="26"/>
      <c r="C44" s="28" t="s">
        <v>53</v>
      </c>
      <c r="D44" s="29"/>
      <c r="E44" s="29"/>
      <c r="F44" s="29"/>
      <c r="G44" s="30" t="s">
        <v>528</v>
      </c>
      <c r="H44" s="31"/>
      <c r="I44" s="31"/>
      <c r="J44" s="32">
        <v>46195.0</v>
      </c>
      <c r="K44" s="33"/>
      <c r="L44" s="28" t="s">
        <v>69</v>
      </c>
      <c r="M44" s="28">
        <v>5.00354704E8</v>
      </c>
      <c r="N44" s="34">
        <v>0.99</v>
      </c>
      <c r="O44" s="33"/>
      <c r="P44" s="35" t="s">
        <v>59</v>
      </c>
      <c r="Q44" s="35" t="s">
        <v>59</v>
      </c>
      <c r="R44" s="36"/>
    </row>
    <row r="45" ht="22.5" customHeight="1">
      <c r="A45" s="38"/>
      <c r="B45" s="26"/>
      <c r="C45" s="28" t="s">
        <v>53</v>
      </c>
      <c r="D45" s="29"/>
      <c r="E45" s="29"/>
      <c r="F45" s="29"/>
      <c r="G45" s="30" t="s">
        <v>529</v>
      </c>
      <c r="H45" s="31"/>
      <c r="I45" s="31"/>
      <c r="J45" s="32">
        <v>46195.0</v>
      </c>
      <c r="K45" s="33"/>
      <c r="L45" s="28" t="s">
        <v>69</v>
      </c>
      <c r="M45" s="28">
        <v>5.00354704E8</v>
      </c>
      <c r="N45" s="34">
        <v>0.99</v>
      </c>
      <c r="O45" s="33"/>
      <c r="P45" s="35" t="s">
        <v>59</v>
      </c>
      <c r="Q45" s="35" t="s">
        <v>59</v>
      </c>
      <c r="R45" s="36"/>
    </row>
    <row r="46" ht="22.5" customHeight="1">
      <c r="A46" s="38"/>
      <c r="B46" s="26"/>
      <c r="C46" s="28" t="s">
        <v>53</v>
      </c>
      <c r="D46" s="29"/>
      <c r="E46" s="28"/>
      <c r="F46" s="28"/>
      <c r="G46" s="30" t="s">
        <v>530</v>
      </c>
      <c r="H46" s="31"/>
      <c r="I46" s="31"/>
      <c r="J46" s="32">
        <v>46195.0</v>
      </c>
      <c r="K46" s="33"/>
      <c r="L46" s="28" t="s">
        <v>69</v>
      </c>
      <c r="M46" s="28">
        <v>5.00354704E8</v>
      </c>
      <c r="N46" s="34">
        <v>0.99</v>
      </c>
      <c r="O46" s="33"/>
      <c r="P46" s="35" t="s">
        <v>59</v>
      </c>
      <c r="Q46" s="35" t="s">
        <v>59</v>
      </c>
      <c r="R46" s="36"/>
    </row>
    <row r="47" ht="22.5" customHeight="1">
      <c r="A47" s="38"/>
      <c r="B47" s="26"/>
      <c r="C47" s="28" t="s">
        <v>53</v>
      </c>
      <c r="D47" s="29"/>
      <c r="E47" s="28"/>
      <c r="F47" s="28"/>
      <c r="G47" s="30" t="s">
        <v>531</v>
      </c>
      <c r="H47" s="31"/>
      <c r="I47" s="31"/>
      <c r="J47" s="32">
        <v>46195.0</v>
      </c>
      <c r="K47" s="33"/>
      <c r="L47" s="28" t="s">
        <v>69</v>
      </c>
      <c r="M47" s="28">
        <v>5.00354704E8</v>
      </c>
      <c r="N47" s="34">
        <v>0.99</v>
      </c>
      <c r="O47" s="33"/>
      <c r="P47" s="35" t="s">
        <v>59</v>
      </c>
      <c r="Q47" s="35" t="s">
        <v>59</v>
      </c>
      <c r="R47" s="36"/>
    </row>
    <row r="48" ht="22.5" customHeight="1">
      <c r="A48" s="38"/>
      <c r="B48" s="26"/>
      <c r="C48" s="28" t="s">
        <v>53</v>
      </c>
      <c r="D48" s="29"/>
      <c r="E48" s="28" t="s">
        <v>35</v>
      </c>
      <c r="F48" s="28" t="s">
        <v>35</v>
      </c>
      <c r="G48" s="30" t="s">
        <v>534</v>
      </c>
      <c r="H48" s="31"/>
      <c r="I48" s="31"/>
      <c r="J48" s="32">
        <v>46195.0</v>
      </c>
      <c r="K48" s="33"/>
      <c r="L48" s="28" t="s">
        <v>69</v>
      </c>
      <c r="M48" s="28">
        <v>5.00354704E8</v>
      </c>
      <c r="N48" s="34">
        <v>3.51</v>
      </c>
      <c r="O48" s="33"/>
      <c r="P48" s="35" t="s">
        <v>59</v>
      </c>
      <c r="Q48" s="35" t="s">
        <v>59</v>
      </c>
      <c r="R48" s="36"/>
    </row>
    <row r="49" ht="22.5" customHeight="1">
      <c r="A49" s="38"/>
      <c r="B49" s="26"/>
      <c r="C49" s="28" t="s">
        <v>53</v>
      </c>
      <c r="D49" s="29"/>
      <c r="E49" s="29"/>
      <c r="F49" s="29"/>
      <c r="G49" s="30" t="s">
        <v>543</v>
      </c>
      <c r="H49" s="30"/>
      <c r="I49" s="30"/>
      <c r="J49" s="32">
        <v>46195.0</v>
      </c>
      <c r="K49" s="33"/>
      <c r="L49" s="28" t="s">
        <v>69</v>
      </c>
      <c r="M49" s="28">
        <v>5.00354704E8</v>
      </c>
      <c r="N49" s="34">
        <v>8.04</v>
      </c>
      <c r="O49" s="33"/>
      <c r="P49" s="35" t="s">
        <v>59</v>
      </c>
      <c r="Q49" s="35" t="s">
        <v>59</v>
      </c>
      <c r="R49" s="36"/>
    </row>
    <row r="50" ht="22.5" customHeight="1">
      <c r="A50" s="38"/>
      <c r="B50" s="26"/>
      <c r="C50" s="28" t="s">
        <v>53</v>
      </c>
      <c r="D50" s="28"/>
      <c r="E50" s="28"/>
      <c r="F50" s="28"/>
      <c r="G50" s="30" t="s">
        <v>544</v>
      </c>
      <c r="H50" s="30"/>
      <c r="I50" s="30"/>
      <c r="J50" s="32">
        <v>46195.0</v>
      </c>
      <c r="K50" s="33"/>
      <c r="L50" s="28" t="s">
        <v>69</v>
      </c>
      <c r="M50" s="28">
        <v>5.00354704E8</v>
      </c>
      <c r="N50" s="34">
        <v>14.17</v>
      </c>
      <c r="O50" s="33"/>
      <c r="P50" s="35" t="s">
        <v>59</v>
      </c>
      <c r="Q50" s="35" t="s">
        <v>59</v>
      </c>
      <c r="R50" s="36"/>
    </row>
    <row r="51" ht="22.5" customHeight="1">
      <c r="A51" s="38"/>
      <c r="B51" s="26"/>
      <c r="C51" s="28" t="s">
        <v>53</v>
      </c>
      <c r="D51" s="28"/>
      <c r="E51" s="28"/>
      <c r="F51" s="28"/>
      <c r="G51" s="30" t="s">
        <v>545</v>
      </c>
      <c r="H51" s="30"/>
      <c r="I51" s="30"/>
      <c r="J51" s="32">
        <v>46195.0</v>
      </c>
      <c r="K51" s="33"/>
      <c r="L51" s="28" t="s">
        <v>69</v>
      </c>
      <c r="M51" s="28">
        <v>5.00354704E8</v>
      </c>
      <c r="N51" s="34">
        <v>12.13</v>
      </c>
      <c r="O51" s="33"/>
      <c r="P51" s="35" t="s">
        <v>59</v>
      </c>
      <c r="Q51" s="35" t="s">
        <v>59</v>
      </c>
      <c r="R51" s="36"/>
    </row>
    <row r="52" ht="22.5" customHeight="1">
      <c r="A52" s="38"/>
      <c r="B52" s="26"/>
      <c r="C52" s="28" t="s">
        <v>53</v>
      </c>
      <c r="D52" s="28"/>
      <c r="E52" s="28"/>
      <c r="F52" s="28"/>
      <c r="G52" s="30" t="s">
        <v>546</v>
      </c>
      <c r="H52" s="30"/>
      <c r="I52" s="30"/>
      <c r="J52" s="32">
        <v>46195.0</v>
      </c>
      <c r="K52" s="33"/>
      <c r="L52" s="28" t="s">
        <v>69</v>
      </c>
      <c r="M52" s="28">
        <v>5.00354704E8</v>
      </c>
      <c r="N52" s="34">
        <v>3.07</v>
      </c>
      <c r="O52" s="33"/>
      <c r="P52" s="35" t="s">
        <v>59</v>
      </c>
      <c r="Q52" s="35" t="s">
        <v>59</v>
      </c>
      <c r="R52" s="36"/>
    </row>
    <row r="53" ht="22.5" customHeight="1">
      <c r="A53" s="38"/>
      <c r="B53" s="26"/>
      <c r="C53" s="28" t="s">
        <v>432</v>
      </c>
      <c r="D53" s="28" t="s">
        <v>433</v>
      </c>
      <c r="E53" s="28" t="s">
        <v>35</v>
      </c>
      <c r="F53" s="28" t="s">
        <v>35</v>
      </c>
      <c r="G53" s="30" t="s">
        <v>547</v>
      </c>
      <c r="H53" s="30" t="s">
        <v>435</v>
      </c>
      <c r="I53" s="30" t="s">
        <v>548</v>
      </c>
      <c r="J53" s="32">
        <v>46195.0</v>
      </c>
      <c r="K53" s="33"/>
      <c r="L53" s="28" t="s">
        <v>38</v>
      </c>
      <c r="M53" s="28">
        <v>547821.0</v>
      </c>
      <c r="N53" s="34">
        <v>131.43</v>
      </c>
      <c r="O53" s="28">
        <v>699969.0</v>
      </c>
      <c r="P53" s="35" t="s">
        <v>43</v>
      </c>
      <c r="Q53" s="35" t="s">
        <v>43</v>
      </c>
      <c r="R53" s="36"/>
    </row>
    <row r="54" ht="22.5" customHeight="1">
      <c r="A54" s="38"/>
      <c r="B54" s="26"/>
      <c r="C54" s="28" t="s">
        <v>53</v>
      </c>
      <c r="D54" s="29"/>
      <c r="E54" s="28" t="s">
        <v>41</v>
      </c>
      <c r="F54" s="28" t="s">
        <v>41</v>
      </c>
      <c r="G54" s="30" t="s">
        <v>335</v>
      </c>
      <c r="H54" s="31"/>
      <c r="I54" s="31"/>
      <c r="J54" s="32">
        <v>46195.0</v>
      </c>
      <c r="K54" s="33"/>
      <c r="L54" s="28" t="s">
        <v>38</v>
      </c>
      <c r="M54" s="28">
        <v>547821.0</v>
      </c>
      <c r="N54" s="34">
        <v>156.51</v>
      </c>
      <c r="O54" s="28">
        <v>699969.0</v>
      </c>
      <c r="P54" s="35" t="s">
        <v>59</v>
      </c>
      <c r="Q54" s="35" t="s">
        <v>59</v>
      </c>
      <c r="R54" s="36"/>
    </row>
    <row r="55" ht="22.5" customHeight="1">
      <c r="A55" s="38">
        <v>46190.82828104167</v>
      </c>
      <c r="B55" s="26"/>
      <c r="C55" s="28" t="s">
        <v>549</v>
      </c>
      <c r="D55" s="28">
        <v>5.706509745E9</v>
      </c>
      <c r="E55" s="28" t="s">
        <v>35</v>
      </c>
      <c r="F55" s="28" t="s">
        <v>35</v>
      </c>
      <c r="G55" s="30" t="s">
        <v>550</v>
      </c>
      <c r="H55" s="31"/>
      <c r="I55" s="31"/>
      <c r="J55" s="32">
        <v>46195.0</v>
      </c>
      <c r="K55" s="33"/>
      <c r="L55" s="28" t="s">
        <v>38</v>
      </c>
      <c r="M55" s="28">
        <v>547821.0</v>
      </c>
      <c r="N55" s="34">
        <v>107.83</v>
      </c>
      <c r="O55" s="28">
        <v>699969.0</v>
      </c>
      <c r="P55" s="35" t="s">
        <v>43</v>
      </c>
      <c r="Q55" s="35" t="s">
        <v>43</v>
      </c>
      <c r="R55" s="36"/>
    </row>
    <row r="56" ht="22.5" customHeight="1">
      <c r="A56" s="38"/>
      <c r="B56" s="26"/>
      <c r="C56" s="28" t="s">
        <v>258</v>
      </c>
      <c r="D56" s="28" t="s">
        <v>551</v>
      </c>
      <c r="E56" s="28" t="s">
        <v>41</v>
      </c>
      <c r="F56" s="28" t="s">
        <v>41</v>
      </c>
      <c r="G56" s="30" t="s">
        <v>552</v>
      </c>
      <c r="H56" s="31"/>
      <c r="I56" s="30" t="s">
        <v>257</v>
      </c>
      <c r="J56" s="32">
        <v>46195.0</v>
      </c>
      <c r="K56" s="33"/>
      <c r="L56" s="28" t="s">
        <v>38</v>
      </c>
      <c r="M56" s="28">
        <v>547821.0</v>
      </c>
      <c r="N56" s="34">
        <v>37.43</v>
      </c>
      <c r="O56" s="28">
        <v>699969.0</v>
      </c>
      <c r="P56" s="35" t="s">
        <v>59</v>
      </c>
      <c r="Q56" s="35" t="s">
        <v>59</v>
      </c>
      <c r="R56" s="36"/>
    </row>
    <row r="57" ht="22.5" customHeight="1">
      <c r="A57" s="38"/>
      <c r="B57" s="26"/>
      <c r="C57" s="28" t="s">
        <v>258</v>
      </c>
      <c r="D57" s="28" t="s">
        <v>551</v>
      </c>
      <c r="E57" s="28" t="s">
        <v>41</v>
      </c>
      <c r="F57" s="28" t="s">
        <v>41</v>
      </c>
      <c r="G57" s="30" t="s">
        <v>553</v>
      </c>
      <c r="H57" s="31"/>
      <c r="I57" s="30"/>
      <c r="J57" s="32">
        <v>46195.0</v>
      </c>
      <c r="K57" s="33"/>
      <c r="L57" s="28" t="s">
        <v>38</v>
      </c>
      <c r="M57" s="28">
        <v>547821.0</v>
      </c>
      <c r="N57" s="34">
        <v>37.43</v>
      </c>
      <c r="O57" s="28">
        <v>699969.0</v>
      </c>
      <c r="P57" s="35" t="s">
        <v>43</v>
      </c>
      <c r="Q57" s="35" t="s">
        <v>43</v>
      </c>
      <c r="R57" s="36"/>
    </row>
    <row r="58" ht="22.5" customHeight="1">
      <c r="A58" s="38"/>
      <c r="B58" s="26"/>
      <c r="C58" s="28" t="s">
        <v>53</v>
      </c>
      <c r="D58" s="28"/>
      <c r="E58" s="28" t="s">
        <v>35</v>
      </c>
      <c r="F58" s="28" t="s">
        <v>35</v>
      </c>
      <c r="G58" s="30" t="s">
        <v>234</v>
      </c>
      <c r="H58" s="30"/>
      <c r="I58" s="31"/>
      <c r="J58" s="32">
        <v>46195.0</v>
      </c>
      <c r="K58" s="33"/>
      <c r="L58" s="28" t="s">
        <v>38</v>
      </c>
      <c r="M58" s="28">
        <v>547821.0</v>
      </c>
      <c r="N58" s="34">
        <v>152.86</v>
      </c>
      <c r="O58" s="28">
        <v>699969.0</v>
      </c>
      <c r="P58" s="35" t="s">
        <v>59</v>
      </c>
      <c r="Q58" s="35" t="s">
        <v>59</v>
      </c>
      <c r="R58" s="36"/>
    </row>
    <row r="59" ht="22.5" customHeight="1">
      <c r="A59" s="38">
        <v>46194.634723298615</v>
      </c>
      <c r="B59" s="26" t="s">
        <v>562</v>
      </c>
      <c r="C59" s="28" t="s">
        <v>563</v>
      </c>
      <c r="D59" s="28">
        <v>5.706162426E9</v>
      </c>
      <c r="E59" s="28" t="s">
        <v>35</v>
      </c>
      <c r="F59" s="28" t="s">
        <v>35</v>
      </c>
      <c r="G59" s="30" t="s">
        <v>565</v>
      </c>
      <c r="H59" s="30" t="s">
        <v>37</v>
      </c>
      <c r="I59" s="31"/>
      <c r="J59" s="32">
        <v>46195.0</v>
      </c>
      <c r="K59" s="33"/>
      <c r="L59" s="28" t="s">
        <v>38</v>
      </c>
      <c r="M59" s="28">
        <v>547821.0</v>
      </c>
      <c r="N59" s="34">
        <v>144.35</v>
      </c>
      <c r="O59" s="28">
        <v>699969.0</v>
      </c>
      <c r="P59" s="35" t="s">
        <v>43</v>
      </c>
      <c r="Q59" s="35" t="s">
        <v>43</v>
      </c>
      <c r="R59" s="36"/>
    </row>
    <row r="60" ht="22.5" customHeight="1">
      <c r="A60" s="38">
        <v>46194.634723298615</v>
      </c>
      <c r="B60" s="26" t="s">
        <v>562</v>
      </c>
      <c r="C60" s="28" t="s">
        <v>563</v>
      </c>
      <c r="D60" s="28">
        <v>5.706162426E9</v>
      </c>
      <c r="E60" s="28" t="s">
        <v>35</v>
      </c>
      <c r="F60" s="28" t="s">
        <v>35</v>
      </c>
      <c r="G60" s="30" t="s">
        <v>570</v>
      </c>
      <c r="H60" s="30" t="s">
        <v>37</v>
      </c>
      <c r="I60" s="31"/>
      <c r="J60" s="32">
        <v>46195.0</v>
      </c>
      <c r="K60" s="33"/>
      <c r="L60" s="28" t="s">
        <v>38</v>
      </c>
      <c r="M60" s="28">
        <v>547821.0</v>
      </c>
      <c r="N60" s="34">
        <v>71.25</v>
      </c>
      <c r="O60" s="28">
        <v>699969.0</v>
      </c>
      <c r="P60" s="35" t="s">
        <v>43</v>
      </c>
      <c r="Q60" s="35" t="s">
        <v>43</v>
      </c>
      <c r="R60" s="36"/>
    </row>
    <row r="61" ht="22.5" customHeight="1">
      <c r="A61" s="38"/>
      <c r="B61" s="26"/>
      <c r="C61" s="28" t="s">
        <v>53</v>
      </c>
      <c r="D61" s="29"/>
      <c r="E61" s="28" t="s">
        <v>41</v>
      </c>
      <c r="F61" s="28" t="s">
        <v>41</v>
      </c>
      <c r="G61" s="30" t="s">
        <v>328</v>
      </c>
      <c r="H61" s="31"/>
      <c r="I61" s="31"/>
      <c r="J61" s="32">
        <v>46195.0</v>
      </c>
      <c r="K61" s="33"/>
      <c r="L61" s="28" t="s">
        <v>38</v>
      </c>
      <c r="M61" s="28">
        <v>547821.0</v>
      </c>
      <c r="N61" s="34">
        <v>156.51</v>
      </c>
      <c r="O61" s="28">
        <v>699969.0</v>
      </c>
      <c r="P61" s="35" t="s">
        <v>59</v>
      </c>
      <c r="Q61" s="35" t="s">
        <v>59</v>
      </c>
      <c r="R61" s="36"/>
    </row>
    <row r="62" ht="22.5" customHeight="1">
      <c r="A62" s="38"/>
      <c r="B62" s="26"/>
      <c r="C62" s="28" t="s">
        <v>53</v>
      </c>
      <c r="D62" s="28"/>
      <c r="E62" s="28"/>
      <c r="F62" s="28"/>
      <c r="G62" s="30" t="s">
        <v>586</v>
      </c>
      <c r="H62" s="30"/>
      <c r="I62" s="31"/>
      <c r="J62" s="32">
        <v>46196.0</v>
      </c>
      <c r="K62" s="33"/>
      <c r="L62" s="28" t="s">
        <v>347</v>
      </c>
      <c r="M62" s="28" t="s">
        <v>591</v>
      </c>
      <c r="N62" s="34">
        <v>95.4</v>
      </c>
      <c r="O62" s="28">
        <v>7445072.0</v>
      </c>
      <c r="P62" s="35" t="s">
        <v>59</v>
      </c>
      <c r="Q62" s="35" t="s">
        <v>59</v>
      </c>
      <c r="R62" s="35"/>
    </row>
    <row r="63" ht="22.5" customHeight="1">
      <c r="A63" s="38"/>
      <c r="B63" s="26"/>
      <c r="C63" s="28" t="s">
        <v>53</v>
      </c>
      <c r="D63" s="28"/>
      <c r="E63" s="28"/>
      <c r="F63" s="28"/>
      <c r="G63" s="30" t="s">
        <v>598</v>
      </c>
      <c r="H63" s="30"/>
      <c r="I63" s="31"/>
      <c r="J63" s="32">
        <v>46196.0</v>
      </c>
      <c r="K63" s="33"/>
      <c r="L63" s="28" t="s">
        <v>347</v>
      </c>
      <c r="M63" s="28" t="s">
        <v>591</v>
      </c>
      <c r="N63" s="34">
        <v>95.4</v>
      </c>
      <c r="O63" s="28">
        <v>7445072.0</v>
      </c>
      <c r="P63" s="35" t="s">
        <v>59</v>
      </c>
      <c r="Q63" s="35" t="s">
        <v>59</v>
      </c>
      <c r="R63" s="35"/>
    </row>
    <row r="64" ht="22.5" customHeight="1">
      <c r="A64" s="38"/>
      <c r="B64" s="26"/>
      <c r="C64" s="28" t="s">
        <v>53</v>
      </c>
      <c r="D64" s="28"/>
      <c r="E64" s="28"/>
      <c r="F64" s="28"/>
      <c r="G64" s="30" t="s">
        <v>605</v>
      </c>
      <c r="H64" s="30"/>
      <c r="I64" s="30" t="s">
        <v>139</v>
      </c>
      <c r="J64" s="32">
        <v>46196.0</v>
      </c>
      <c r="K64" s="33"/>
      <c r="L64" s="28" t="s">
        <v>347</v>
      </c>
      <c r="M64" s="28" t="s">
        <v>591</v>
      </c>
      <c r="N64" s="34">
        <v>95.4</v>
      </c>
      <c r="O64" s="33"/>
      <c r="P64" s="35" t="s">
        <v>59</v>
      </c>
      <c r="Q64" s="35" t="s">
        <v>59</v>
      </c>
      <c r="R64" s="35"/>
    </row>
    <row r="65" ht="22.5" customHeight="1">
      <c r="A65" s="38"/>
      <c r="B65" s="26"/>
      <c r="C65" s="28" t="s">
        <v>53</v>
      </c>
      <c r="D65" s="28"/>
      <c r="E65" s="28"/>
      <c r="F65" s="28"/>
      <c r="G65" s="30" t="s">
        <v>613</v>
      </c>
      <c r="H65" s="30"/>
      <c r="I65" s="31"/>
      <c r="J65" s="32">
        <v>46196.0</v>
      </c>
      <c r="K65" s="33"/>
      <c r="L65" s="28" t="s">
        <v>347</v>
      </c>
      <c r="M65" s="28" t="s">
        <v>591</v>
      </c>
      <c r="N65" s="34">
        <v>95.4</v>
      </c>
      <c r="O65" s="28">
        <v>7445072.0</v>
      </c>
      <c r="P65" s="35" t="s">
        <v>59</v>
      </c>
      <c r="Q65" s="35" t="s">
        <v>59</v>
      </c>
      <c r="R65" s="35"/>
    </row>
    <row r="66" ht="22.5" customHeight="1">
      <c r="A66" s="38"/>
      <c r="B66" s="26"/>
      <c r="C66" s="28" t="s">
        <v>53</v>
      </c>
      <c r="D66" s="28"/>
      <c r="E66" s="28"/>
      <c r="F66" s="28"/>
      <c r="G66" s="30" t="s">
        <v>622</v>
      </c>
      <c r="H66" s="30"/>
      <c r="I66" s="31"/>
      <c r="J66" s="32">
        <v>46198.0</v>
      </c>
      <c r="K66" s="33"/>
      <c r="L66" s="28" t="s">
        <v>347</v>
      </c>
      <c r="M66" s="28" t="s">
        <v>627</v>
      </c>
      <c r="N66" s="34">
        <v>100.0</v>
      </c>
      <c r="O66" s="28">
        <v>7445641.0</v>
      </c>
      <c r="P66" s="35" t="s">
        <v>59</v>
      </c>
      <c r="Q66" s="35" t="s">
        <v>59</v>
      </c>
      <c r="R66" s="35"/>
    </row>
    <row r="67" ht="22.5" customHeight="1">
      <c r="A67" s="38"/>
      <c r="B67" s="26"/>
      <c r="C67" s="28" t="s">
        <v>53</v>
      </c>
      <c r="D67" s="28"/>
      <c r="E67" s="28"/>
      <c r="F67" s="28"/>
      <c r="G67" s="30" t="s">
        <v>634</v>
      </c>
      <c r="H67" s="30"/>
      <c r="I67" s="31"/>
      <c r="J67" s="32">
        <v>46198.0</v>
      </c>
      <c r="K67" s="33"/>
      <c r="L67" s="28" t="s">
        <v>347</v>
      </c>
      <c r="M67" s="28" t="s">
        <v>627</v>
      </c>
      <c r="N67" s="34">
        <v>100.0</v>
      </c>
      <c r="O67" s="28">
        <v>7445641.0</v>
      </c>
      <c r="P67" s="35" t="s">
        <v>59</v>
      </c>
      <c r="Q67" s="35" t="s">
        <v>59</v>
      </c>
      <c r="R67" s="35"/>
    </row>
    <row r="68" ht="22.5" customHeight="1">
      <c r="A68" s="38"/>
      <c r="B68" s="26"/>
      <c r="C68" s="28" t="s">
        <v>53</v>
      </c>
      <c r="D68" s="28"/>
      <c r="E68" s="28"/>
      <c r="F68" s="28"/>
      <c r="G68" s="30" t="s">
        <v>638</v>
      </c>
      <c r="H68" s="30"/>
      <c r="I68" s="31"/>
      <c r="J68" s="32">
        <v>46198.0</v>
      </c>
      <c r="K68" s="33"/>
      <c r="L68" s="28" t="s">
        <v>347</v>
      </c>
      <c r="M68" s="28" t="s">
        <v>627</v>
      </c>
      <c r="N68" s="34">
        <v>100.0</v>
      </c>
      <c r="O68" s="28">
        <v>7445641.0</v>
      </c>
      <c r="P68" s="35" t="s">
        <v>59</v>
      </c>
      <c r="Q68" s="35" t="s">
        <v>59</v>
      </c>
      <c r="R68" s="35"/>
    </row>
    <row r="69" ht="22.5" customHeight="1">
      <c r="A69" s="38"/>
      <c r="B69" s="26"/>
      <c r="C69" s="28" t="s">
        <v>53</v>
      </c>
      <c r="D69" s="28"/>
      <c r="E69" s="28"/>
      <c r="F69" s="28"/>
      <c r="G69" s="30" t="s">
        <v>645</v>
      </c>
      <c r="H69" s="30"/>
      <c r="I69" s="31"/>
      <c r="J69" s="32">
        <v>46198.0</v>
      </c>
      <c r="K69" s="33"/>
      <c r="L69" s="28" t="s">
        <v>347</v>
      </c>
      <c r="M69" s="28" t="s">
        <v>627</v>
      </c>
      <c r="N69" s="34">
        <v>100.0</v>
      </c>
      <c r="O69" s="28">
        <v>7445641.0</v>
      </c>
      <c r="P69" s="35" t="s">
        <v>59</v>
      </c>
      <c r="Q69" s="35" t="s">
        <v>59</v>
      </c>
      <c r="R69" s="35"/>
    </row>
    <row r="70" ht="22.5" customHeight="1">
      <c r="A70" s="38">
        <v>46195.76840842592</v>
      </c>
      <c r="B70" s="26" t="s">
        <v>382</v>
      </c>
      <c r="C70" s="28" t="s">
        <v>651</v>
      </c>
      <c r="D70" s="28">
        <v>2.67772437E9</v>
      </c>
      <c r="E70" s="28" t="s">
        <v>41</v>
      </c>
      <c r="F70" s="28" t="s">
        <v>41</v>
      </c>
      <c r="G70" s="30" t="s">
        <v>653</v>
      </c>
      <c r="H70" s="30" t="s">
        <v>37</v>
      </c>
      <c r="I70" s="31"/>
      <c r="J70" s="32">
        <v>46198.0</v>
      </c>
      <c r="K70" s="33"/>
      <c r="L70" s="28" t="s">
        <v>38</v>
      </c>
      <c r="M70" s="28">
        <v>548400.0</v>
      </c>
      <c r="N70" s="34">
        <v>71.25</v>
      </c>
      <c r="O70" s="33"/>
      <c r="P70" s="35" t="s">
        <v>43</v>
      </c>
      <c r="Q70" s="35" t="s">
        <v>43</v>
      </c>
      <c r="R70" s="35"/>
    </row>
    <row r="71" ht="22.5" customHeight="1">
      <c r="A71" s="38"/>
      <c r="B71" s="26"/>
      <c r="C71" s="28" t="s">
        <v>53</v>
      </c>
      <c r="D71" s="29"/>
      <c r="E71" s="28" t="s">
        <v>41</v>
      </c>
      <c r="F71" s="28" t="s">
        <v>41</v>
      </c>
      <c r="G71" s="30" t="s">
        <v>234</v>
      </c>
      <c r="H71" s="31"/>
      <c r="I71" s="31"/>
      <c r="J71" s="32">
        <v>46198.0</v>
      </c>
      <c r="K71" s="33"/>
      <c r="L71" s="28" t="s">
        <v>38</v>
      </c>
      <c r="M71" s="28">
        <v>548400.0</v>
      </c>
      <c r="N71" s="34">
        <v>152.86</v>
      </c>
      <c r="O71" s="33"/>
      <c r="P71" s="35" t="s">
        <v>59</v>
      </c>
      <c r="Q71" s="35" t="s">
        <v>59</v>
      </c>
      <c r="R71" s="36"/>
    </row>
    <row r="72" ht="22.5" customHeight="1">
      <c r="A72" s="38"/>
      <c r="B72" s="26"/>
      <c r="C72" s="28" t="s">
        <v>53</v>
      </c>
      <c r="D72" s="29"/>
      <c r="E72" s="28" t="s">
        <v>35</v>
      </c>
      <c r="F72" s="28" t="s">
        <v>35</v>
      </c>
      <c r="G72" s="30" t="s">
        <v>328</v>
      </c>
      <c r="H72" s="31"/>
      <c r="I72" s="31"/>
      <c r="J72" s="32">
        <v>46198.0</v>
      </c>
      <c r="K72" s="33"/>
      <c r="L72" s="28" t="s">
        <v>38</v>
      </c>
      <c r="M72" s="28">
        <v>548400.0</v>
      </c>
      <c r="N72" s="34">
        <v>156.51</v>
      </c>
      <c r="O72" s="33"/>
      <c r="P72" s="35" t="s">
        <v>59</v>
      </c>
      <c r="Q72" s="35" t="s">
        <v>59</v>
      </c>
      <c r="R72" s="36"/>
    </row>
    <row r="73" ht="22.5" customHeight="1">
      <c r="A73" s="38"/>
      <c r="B73" s="26"/>
      <c r="C73" s="28" t="s">
        <v>53</v>
      </c>
      <c r="D73" s="29"/>
      <c r="E73" s="28" t="s">
        <v>64</v>
      </c>
      <c r="F73" s="28" t="s">
        <v>64</v>
      </c>
      <c r="G73" s="30" t="s">
        <v>671</v>
      </c>
      <c r="H73" s="31"/>
      <c r="I73" s="31"/>
      <c r="J73" s="32">
        <v>46198.0</v>
      </c>
      <c r="K73" s="33"/>
      <c r="L73" s="28" t="s">
        <v>38</v>
      </c>
      <c r="M73" s="28">
        <v>548400.0</v>
      </c>
      <c r="N73" s="34">
        <v>12.87</v>
      </c>
      <c r="O73" s="33"/>
      <c r="P73" s="35" t="s">
        <v>59</v>
      </c>
      <c r="Q73" s="35" t="s">
        <v>59</v>
      </c>
      <c r="R73" s="36"/>
    </row>
    <row r="74" ht="22.5" customHeight="1">
      <c r="A74" s="38"/>
      <c r="B74" s="26"/>
      <c r="C74" s="28" t="s">
        <v>53</v>
      </c>
      <c r="D74" s="29"/>
      <c r="E74" s="28" t="s">
        <v>35</v>
      </c>
      <c r="F74" s="28" t="s">
        <v>35</v>
      </c>
      <c r="G74" s="30" t="s">
        <v>565</v>
      </c>
      <c r="H74" s="31"/>
      <c r="I74" s="31"/>
      <c r="J74" s="32">
        <v>46198.0</v>
      </c>
      <c r="K74" s="33"/>
      <c r="L74" s="28" t="s">
        <v>38</v>
      </c>
      <c r="M74" s="28">
        <v>548400.0</v>
      </c>
      <c r="N74" s="34">
        <v>144.35</v>
      </c>
      <c r="O74" s="33"/>
      <c r="P74" s="35" t="s">
        <v>59</v>
      </c>
      <c r="Q74" s="35" t="s">
        <v>59</v>
      </c>
      <c r="R74" s="36"/>
    </row>
    <row r="75" ht="22.5" customHeight="1">
      <c r="A75" s="38"/>
      <c r="B75" s="26"/>
      <c r="C75" s="28" t="s">
        <v>53</v>
      </c>
      <c r="D75" s="29"/>
      <c r="E75" s="28" t="s">
        <v>41</v>
      </c>
      <c r="F75" s="28" t="s">
        <v>41</v>
      </c>
      <c r="G75" s="30" t="s">
        <v>414</v>
      </c>
      <c r="H75" s="31"/>
      <c r="I75" s="31"/>
      <c r="J75" s="32">
        <v>46198.0</v>
      </c>
      <c r="K75" s="33"/>
      <c r="L75" s="28" t="s">
        <v>38</v>
      </c>
      <c r="M75" s="28">
        <v>548400.0</v>
      </c>
      <c r="N75" s="34">
        <v>14.82</v>
      </c>
      <c r="O75" s="33"/>
      <c r="P75" s="35" t="s">
        <v>59</v>
      </c>
      <c r="Q75" s="35" t="s">
        <v>59</v>
      </c>
      <c r="R75" s="36"/>
    </row>
    <row r="76" ht="22.5" customHeight="1">
      <c r="A76" s="38"/>
      <c r="B76" s="26"/>
      <c r="C76" s="28" t="s">
        <v>53</v>
      </c>
      <c r="D76" s="29"/>
      <c r="E76" s="29"/>
      <c r="F76" s="29"/>
      <c r="G76" s="30" t="s">
        <v>700</v>
      </c>
      <c r="H76" s="31"/>
      <c r="I76" s="31"/>
      <c r="J76" s="32">
        <v>46198.0</v>
      </c>
      <c r="K76" s="33"/>
      <c r="L76" s="28" t="s">
        <v>38</v>
      </c>
      <c r="M76" s="28">
        <v>548400.0</v>
      </c>
      <c r="N76" s="34">
        <v>6.03</v>
      </c>
      <c r="O76" s="33"/>
      <c r="P76" s="35" t="s">
        <v>59</v>
      </c>
      <c r="Q76" s="35" t="s">
        <v>59</v>
      </c>
      <c r="R76" s="36"/>
    </row>
    <row r="77" ht="22.5" customHeight="1">
      <c r="A77" s="38">
        <v>46198.76153164352</v>
      </c>
      <c r="B77" s="26" t="s">
        <v>710</v>
      </c>
      <c r="C77" s="28" t="s">
        <v>711</v>
      </c>
      <c r="D77" s="28" t="s">
        <v>712</v>
      </c>
      <c r="E77" s="28" t="s">
        <v>35</v>
      </c>
      <c r="F77" s="28" t="s">
        <v>35</v>
      </c>
      <c r="G77" s="30" t="s">
        <v>716</v>
      </c>
      <c r="H77" s="30" t="s">
        <v>48</v>
      </c>
      <c r="I77" s="31"/>
      <c r="J77" s="32">
        <v>46203.0</v>
      </c>
      <c r="K77" s="33"/>
      <c r="L77" s="28" t="s">
        <v>38</v>
      </c>
      <c r="M77" s="28">
        <v>549073.0</v>
      </c>
      <c r="N77" s="34">
        <v>156.51</v>
      </c>
      <c r="O77" s="28">
        <v>701409.0</v>
      </c>
      <c r="P77" s="35" t="s">
        <v>43</v>
      </c>
      <c r="Q77" s="35" t="s">
        <v>43</v>
      </c>
      <c r="R77" s="36"/>
    </row>
    <row r="78" ht="22.5" customHeight="1">
      <c r="A78" s="38">
        <v>46202.850899490746</v>
      </c>
      <c r="B78" s="26" t="s">
        <v>723</v>
      </c>
      <c r="C78" s="28" t="s">
        <v>472</v>
      </c>
      <c r="D78" s="28" t="s">
        <v>473</v>
      </c>
      <c r="E78" s="28" t="s">
        <v>41</v>
      </c>
      <c r="F78" s="28" t="s">
        <v>41</v>
      </c>
      <c r="G78" s="30" t="s">
        <v>729</v>
      </c>
      <c r="H78" s="30" t="s">
        <v>111</v>
      </c>
      <c r="I78" s="31"/>
      <c r="J78" s="32">
        <v>46203.0</v>
      </c>
      <c r="K78" s="33"/>
      <c r="L78" s="28" t="s">
        <v>38</v>
      </c>
      <c r="M78" s="33"/>
      <c r="N78" s="34">
        <v>156.51</v>
      </c>
      <c r="O78" s="28">
        <v>701409.0</v>
      </c>
      <c r="P78" s="35" t="s">
        <v>43</v>
      </c>
      <c r="Q78" s="35" t="s">
        <v>43</v>
      </c>
      <c r="R78" s="36"/>
    </row>
    <row r="79" ht="22.5" customHeight="1">
      <c r="A79" s="38"/>
      <c r="B79" s="26"/>
      <c r="C79" s="28" t="s">
        <v>738</v>
      </c>
      <c r="D79" s="29"/>
      <c r="E79" s="28" t="s">
        <v>35</v>
      </c>
      <c r="F79" s="28" t="s">
        <v>35</v>
      </c>
      <c r="G79" s="30" t="s">
        <v>741</v>
      </c>
      <c r="H79" s="31"/>
      <c r="I79" s="31"/>
      <c r="J79" s="32">
        <v>46203.0</v>
      </c>
      <c r="K79" s="33"/>
      <c r="L79" s="28" t="s">
        <v>38</v>
      </c>
      <c r="M79" s="33"/>
      <c r="N79" s="34">
        <v>50.11</v>
      </c>
      <c r="O79" s="28">
        <v>701409.0</v>
      </c>
      <c r="P79" s="35" t="s">
        <v>43</v>
      </c>
      <c r="Q79" s="35" t="s">
        <v>43</v>
      </c>
      <c r="R79" s="36"/>
    </row>
    <row r="80" ht="22.5" customHeight="1">
      <c r="A80" s="38">
        <v>46202.85253523148</v>
      </c>
      <c r="B80" s="26" t="s">
        <v>107</v>
      </c>
      <c r="C80" s="28" t="s">
        <v>641</v>
      </c>
      <c r="D80" s="28" t="s">
        <v>277</v>
      </c>
      <c r="E80" s="28" t="s">
        <v>41</v>
      </c>
      <c r="F80" s="28" t="s">
        <v>41</v>
      </c>
      <c r="G80" s="30" t="s">
        <v>328</v>
      </c>
      <c r="H80" s="30" t="s">
        <v>37</v>
      </c>
      <c r="I80" s="31"/>
      <c r="J80" s="32">
        <v>46203.0</v>
      </c>
      <c r="K80" s="33"/>
      <c r="L80" s="28" t="s">
        <v>38</v>
      </c>
      <c r="M80" s="33"/>
      <c r="N80" s="34">
        <v>156.51</v>
      </c>
      <c r="O80" s="28">
        <v>701409.0</v>
      </c>
      <c r="P80" s="35" t="s">
        <v>43</v>
      </c>
      <c r="Q80" s="35" t="s">
        <v>43</v>
      </c>
      <c r="R80" s="36"/>
    </row>
    <row r="81" ht="22.5" customHeight="1">
      <c r="A81" s="38"/>
      <c r="B81" s="26"/>
      <c r="C81" s="28" t="s">
        <v>763</v>
      </c>
      <c r="D81" s="29"/>
      <c r="E81" s="28" t="s">
        <v>41</v>
      </c>
      <c r="F81" s="28" t="s">
        <v>41</v>
      </c>
      <c r="G81" s="30" t="s">
        <v>767</v>
      </c>
      <c r="H81" s="30" t="s">
        <v>37</v>
      </c>
      <c r="I81" s="31"/>
      <c r="J81" s="32">
        <v>46203.0</v>
      </c>
      <c r="K81" s="33"/>
      <c r="L81" s="28" t="s">
        <v>38</v>
      </c>
      <c r="M81" s="33"/>
      <c r="N81" s="34">
        <v>107.83</v>
      </c>
      <c r="O81" s="28">
        <v>701409.0</v>
      </c>
      <c r="P81" s="35" t="s">
        <v>43</v>
      </c>
      <c r="Q81" s="35" t="s">
        <v>43</v>
      </c>
      <c r="R81" s="36"/>
    </row>
    <row r="82" ht="22.5" customHeight="1">
      <c r="A82" s="38">
        <v>46198.88182871528</v>
      </c>
      <c r="B82" s="26" t="s">
        <v>783</v>
      </c>
      <c r="C82" s="28" t="s">
        <v>787</v>
      </c>
      <c r="D82" s="28">
        <v>8.458076799E9</v>
      </c>
      <c r="E82" s="28" t="s">
        <v>35</v>
      </c>
      <c r="F82" s="28" t="s">
        <v>35</v>
      </c>
      <c r="G82" s="30" t="s">
        <v>791</v>
      </c>
      <c r="H82" s="30" t="s">
        <v>37</v>
      </c>
      <c r="I82" s="31"/>
      <c r="J82" s="32">
        <v>46210.0</v>
      </c>
      <c r="K82" s="33"/>
      <c r="L82" s="28" t="s">
        <v>38</v>
      </c>
      <c r="M82" s="28">
        <v>550243.0</v>
      </c>
      <c r="N82" s="34">
        <v>96.85</v>
      </c>
      <c r="O82" s="28">
        <v>702837.0</v>
      </c>
      <c r="P82" s="35" t="s">
        <v>43</v>
      </c>
      <c r="Q82" s="35" t="s">
        <v>43</v>
      </c>
      <c r="R82" s="36"/>
    </row>
    <row r="83" ht="22.5" customHeight="1">
      <c r="A83" s="38"/>
      <c r="B83" s="26"/>
      <c r="C83" s="28" t="s">
        <v>801</v>
      </c>
      <c r="D83" s="29"/>
      <c r="E83" s="29"/>
      <c r="F83" s="29"/>
      <c r="G83" s="28" t="s">
        <v>804</v>
      </c>
      <c r="H83" s="31"/>
      <c r="I83" s="31"/>
      <c r="J83" s="32">
        <v>46210.0</v>
      </c>
      <c r="K83" s="33"/>
      <c r="L83" s="28" t="s">
        <v>38</v>
      </c>
      <c r="M83" s="28">
        <v>550243.0</v>
      </c>
      <c r="N83" s="34">
        <v>82.22</v>
      </c>
      <c r="O83" s="28">
        <v>702837.0</v>
      </c>
      <c r="P83" s="35"/>
      <c r="Q83" s="35" t="s">
        <v>43</v>
      </c>
      <c r="R83" s="36"/>
    </row>
    <row r="84" ht="22.5" customHeight="1">
      <c r="A84" s="38"/>
      <c r="B84" s="26"/>
      <c r="C84" s="28" t="s">
        <v>801</v>
      </c>
      <c r="D84" s="29"/>
      <c r="E84" s="29"/>
      <c r="F84" s="29"/>
      <c r="G84" s="30" t="s">
        <v>823</v>
      </c>
      <c r="H84" s="31"/>
      <c r="I84" s="31"/>
      <c r="J84" s="32">
        <v>46210.0</v>
      </c>
      <c r="K84" s="33"/>
      <c r="L84" s="28" t="s">
        <v>38</v>
      </c>
      <c r="M84" s="28">
        <v>550243.0</v>
      </c>
      <c r="N84" s="34">
        <v>113.91</v>
      </c>
      <c r="O84" s="28">
        <v>702837.0</v>
      </c>
      <c r="P84" s="35"/>
      <c r="Q84" s="35" t="s">
        <v>43</v>
      </c>
      <c r="R84" s="36"/>
    </row>
    <row r="85" ht="22.5" customHeight="1">
      <c r="A85" s="38">
        <v>46205.757691377315</v>
      </c>
      <c r="B85" s="26" t="s">
        <v>382</v>
      </c>
      <c r="C85" s="28" t="s">
        <v>279</v>
      </c>
      <c r="D85" s="28">
        <v>5.708990219E9</v>
      </c>
      <c r="E85" s="28" t="s">
        <v>35</v>
      </c>
      <c r="F85" s="28" t="s">
        <v>35</v>
      </c>
      <c r="G85" s="30" t="s">
        <v>834</v>
      </c>
      <c r="H85" s="30" t="s">
        <v>37</v>
      </c>
      <c r="I85" s="31"/>
      <c r="J85" s="32">
        <v>46210.0</v>
      </c>
      <c r="K85" s="33"/>
      <c r="L85" s="28" t="s">
        <v>38</v>
      </c>
      <c r="M85" s="28">
        <v>550243.0</v>
      </c>
      <c r="N85" s="34">
        <v>77.43</v>
      </c>
      <c r="O85" s="28">
        <v>702837.0</v>
      </c>
      <c r="P85" s="35" t="s">
        <v>43</v>
      </c>
      <c r="Q85" s="35" t="s">
        <v>43</v>
      </c>
      <c r="R85" s="35"/>
    </row>
    <row r="86" ht="22.5" customHeight="1">
      <c r="A86" s="38"/>
      <c r="B86" s="26"/>
      <c r="C86" s="28" t="s">
        <v>53</v>
      </c>
      <c r="D86" s="28"/>
      <c r="E86" s="28" t="s">
        <v>35</v>
      </c>
      <c r="F86" s="28" t="s">
        <v>35</v>
      </c>
      <c r="G86" s="30" t="s">
        <v>401</v>
      </c>
      <c r="H86" s="30"/>
      <c r="I86" s="31"/>
      <c r="J86" s="32">
        <v>46210.0</v>
      </c>
      <c r="K86" s="33"/>
      <c r="L86" s="28" t="s">
        <v>38</v>
      </c>
      <c r="M86" s="28">
        <v>550243.0</v>
      </c>
      <c r="N86" s="34">
        <v>3.56</v>
      </c>
      <c r="O86" s="28">
        <v>702837.0</v>
      </c>
      <c r="P86" s="35" t="s">
        <v>59</v>
      </c>
      <c r="Q86" s="35" t="s">
        <v>59</v>
      </c>
      <c r="R86" s="36"/>
    </row>
    <row r="87" ht="22.5" customHeight="1">
      <c r="A87" s="38">
        <v>46209.77643356481</v>
      </c>
      <c r="B87" s="26" t="s">
        <v>382</v>
      </c>
      <c r="C87" s="28" t="s">
        <v>864</v>
      </c>
      <c r="D87" s="28">
        <v>5.708150689E9</v>
      </c>
      <c r="E87" s="28" t="s">
        <v>35</v>
      </c>
      <c r="F87" s="28" t="s">
        <v>35</v>
      </c>
      <c r="G87" s="30" t="s">
        <v>867</v>
      </c>
      <c r="H87" s="30" t="s">
        <v>37</v>
      </c>
      <c r="I87" s="31"/>
      <c r="J87" s="32">
        <v>46210.0</v>
      </c>
      <c r="K87" s="33"/>
      <c r="L87" s="28" t="s">
        <v>38</v>
      </c>
      <c r="M87" s="28">
        <v>550243.0</v>
      </c>
      <c r="N87" s="34">
        <v>50.11</v>
      </c>
      <c r="O87" s="28">
        <v>702837.0</v>
      </c>
      <c r="P87" s="35" t="s">
        <v>43</v>
      </c>
      <c r="Q87" s="35" t="s">
        <v>43</v>
      </c>
      <c r="R87" s="36"/>
    </row>
    <row r="88" ht="22.5" customHeight="1">
      <c r="A88" s="38">
        <v>46210.15024179398</v>
      </c>
      <c r="B88" s="26" t="s">
        <v>881</v>
      </c>
      <c r="C88" s="28" t="s">
        <v>73</v>
      </c>
      <c r="D88" s="28">
        <v>5.707024266E9</v>
      </c>
      <c r="E88" s="28" t="s">
        <v>35</v>
      </c>
      <c r="F88" s="28" t="s">
        <v>35</v>
      </c>
      <c r="G88" s="30" t="s">
        <v>884</v>
      </c>
      <c r="H88" s="30"/>
      <c r="I88" s="31"/>
      <c r="J88" s="32">
        <v>46210.0</v>
      </c>
      <c r="K88" s="33"/>
      <c r="L88" s="28" t="s">
        <v>38</v>
      </c>
      <c r="M88" s="28">
        <v>550243.0</v>
      </c>
      <c r="N88" s="34">
        <v>93.67</v>
      </c>
      <c r="O88" s="28">
        <v>702837.0</v>
      </c>
      <c r="P88" s="35" t="s">
        <v>43</v>
      </c>
      <c r="Q88" s="35" t="s">
        <v>43</v>
      </c>
      <c r="R88" s="36"/>
    </row>
    <row r="89" ht="22.5" customHeight="1">
      <c r="A89" s="38"/>
      <c r="B89" s="26"/>
      <c r="C89" s="28" t="s">
        <v>73</v>
      </c>
      <c r="D89" s="28">
        <v>5.707024266E9</v>
      </c>
      <c r="E89" s="28" t="s">
        <v>35</v>
      </c>
      <c r="F89" s="28" t="s">
        <v>35</v>
      </c>
      <c r="G89" s="30" t="s">
        <v>903</v>
      </c>
      <c r="H89" s="30" t="s">
        <v>37</v>
      </c>
      <c r="I89" s="31"/>
      <c r="J89" s="32">
        <v>46210.0</v>
      </c>
      <c r="K89" s="33"/>
      <c r="L89" s="28" t="s">
        <v>38</v>
      </c>
      <c r="M89" s="28">
        <v>550243.0</v>
      </c>
      <c r="N89" s="34">
        <v>146.78</v>
      </c>
      <c r="O89" s="28">
        <v>705311.0</v>
      </c>
      <c r="P89" s="35"/>
      <c r="Q89" s="36"/>
      <c r="R89" s="36"/>
    </row>
    <row r="90" ht="22.5" customHeight="1">
      <c r="A90" s="38">
        <v>46205.812118125</v>
      </c>
      <c r="B90" s="26" t="s">
        <v>419</v>
      </c>
      <c r="C90" s="28" t="s">
        <v>420</v>
      </c>
      <c r="D90" s="28" t="s">
        <v>421</v>
      </c>
      <c r="E90" s="28" t="s">
        <v>35</v>
      </c>
      <c r="F90" s="28" t="s">
        <v>35</v>
      </c>
      <c r="G90" s="30" t="s">
        <v>605</v>
      </c>
      <c r="H90" s="30" t="s">
        <v>48</v>
      </c>
      <c r="I90" s="31"/>
      <c r="J90" s="32">
        <v>46216.0</v>
      </c>
      <c r="K90" s="33"/>
      <c r="L90" s="28" t="s">
        <v>38</v>
      </c>
      <c r="M90" s="28">
        <v>551075.0</v>
      </c>
      <c r="N90" s="34">
        <v>134.62</v>
      </c>
      <c r="O90" s="28">
        <v>703607.0</v>
      </c>
      <c r="P90" s="35" t="s">
        <v>59</v>
      </c>
      <c r="Q90" s="35" t="s">
        <v>59</v>
      </c>
      <c r="R90" s="36"/>
    </row>
    <row r="91" ht="22.5" customHeight="1">
      <c r="A91" s="38">
        <v>46206.475603796294</v>
      </c>
      <c r="B91" s="26" t="s">
        <v>382</v>
      </c>
      <c r="C91" s="28" t="s">
        <v>937</v>
      </c>
      <c r="D91" s="28">
        <v>5.70986463E9</v>
      </c>
      <c r="E91" s="28" t="s">
        <v>41</v>
      </c>
      <c r="F91" s="28" t="s">
        <v>41</v>
      </c>
      <c r="G91" s="30" t="s">
        <v>943</v>
      </c>
      <c r="H91" s="30" t="s">
        <v>111</v>
      </c>
      <c r="I91" s="31"/>
      <c r="J91" s="32">
        <v>46216.0</v>
      </c>
      <c r="K91" s="33"/>
      <c r="L91" s="28" t="s">
        <v>38</v>
      </c>
      <c r="M91" s="28">
        <v>551075.0</v>
      </c>
      <c r="N91" s="34">
        <v>138.27</v>
      </c>
      <c r="O91" s="28">
        <v>703607.0</v>
      </c>
      <c r="P91" s="35" t="s">
        <v>43</v>
      </c>
      <c r="Q91" s="35" t="s">
        <v>43</v>
      </c>
      <c r="R91" s="35"/>
    </row>
    <row r="92" ht="22.5" customHeight="1">
      <c r="A92" s="38">
        <v>46206.85595975694</v>
      </c>
      <c r="B92" s="26" t="s">
        <v>953</v>
      </c>
      <c r="C92" s="28" t="s">
        <v>956</v>
      </c>
      <c r="D92" s="28">
        <v>5.708622147E9</v>
      </c>
      <c r="E92" s="28" t="s">
        <v>41</v>
      </c>
      <c r="F92" s="28" t="s">
        <v>41</v>
      </c>
      <c r="G92" s="30" t="s">
        <v>958</v>
      </c>
      <c r="H92" s="30" t="s">
        <v>37</v>
      </c>
      <c r="I92" s="31"/>
      <c r="J92" s="32">
        <v>46216.0</v>
      </c>
      <c r="K92" s="33"/>
      <c r="L92" s="28" t="s">
        <v>38</v>
      </c>
      <c r="M92" s="28">
        <v>551075.0</v>
      </c>
      <c r="N92" s="34">
        <v>134.62</v>
      </c>
      <c r="O92" s="28">
        <v>703607.0</v>
      </c>
      <c r="P92" s="35" t="s">
        <v>43</v>
      </c>
      <c r="Q92" s="35" t="s">
        <v>43</v>
      </c>
      <c r="R92" s="36"/>
    </row>
    <row r="93" ht="22.5" customHeight="1">
      <c r="A93" s="38">
        <v>46212.79020949074</v>
      </c>
      <c r="B93" s="26" t="s">
        <v>382</v>
      </c>
      <c r="C93" s="28" t="s">
        <v>976</v>
      </c>
      <c r="D93" s="28"/>
      <c r="E93" s="28" t="s">
        <v>35</v>
      </c>
      <c r="F93" s="28" t="s">
        <v>35</v>
      </c>
      <c r="G93" s="30" t="s">
        <v>983</v>
      </c>
      <c r="H93" s="30" t="s">
        <v>37</v>
      </c>
      <c r="I93" s="30"/>
      <c r="J93" s="32">
        <v>46216.0</v>
      </c>
      <c r="K93" s="33"/>
      <c r="L93" s="28" t="s">
        <v>38</v>
      </c>
      <c r="M93" s="28">
        <v>551075.0</v>
      </c>
      <c r="N93" s="34">
        <v>162.59</v>
      </c>
      <c r="O93" s="28">
        <v>703607.0</v>
      </c>
      <c r="P93" s="35" t="s">
        <v>43</v>
      </c>
      <c r="Q93" s="35" t="s">
        <v>43</v>
      </c>
      <c r="R93" s="35"/>
    </row>
    <row r="94" ht="22.5" customHeight="1">
      <c r="A94" s="38"/>
      <c r="B94" s="26"/>
      <c r="C94" s="28" t="s">
        <v>522</v>
      </c>
      <c r="D94" s="28"/>
      <c r="E94" s="28" t="s">
        <v>41</v>
      </c>
      <c r="F94" s="28" t="s">
        <v>41</v>
      </c>
      <c r="G94" s="30" t="s">
        <v>1002</v>
      </c>
      <c r="H94" s="30"/>
      <c r="I94" s="31"/>
      <c r="J94" s="32">
        <v>46216.0</v>
      </c>
      <c r="K94" s="33"/>
      <c r="L94" s="28" t="s">
        <v>38</v>
      </c>
      <c r="M94" s="28">
        <v>551239.0</v>
      </c>
      <c r="N94" s="34">
        <v>61.28</v>
      </c>
      <c r="O94" s="28">
        <v>703878.0</v>
      </c>
      <c r="P94" s="35" t="s">
        <v>43</v>
      </c>
      <c r="Q94" s="35" t="s">
        <v>43</v>
      </c>
      <c r="R94" s="35"/>
    </row>
    <row r="95" ht="22.5" customHeight="1">
      <c r="A95" s="38"/>
      <c r="B95" s="26"/>
      <c r="C95" s="28" t="s">
        <v>152</v>
      </c>
      <c r="D95" s="28"/>
      <c r="E95" s="28" t="s">
        <v>41</v>
      </c>
      <c r="F95" s="28" t="s">
        <v>41</v>
      </c>
      <c r="G95" s="30" t="s">
        <v>1013</v>
      </c>
      <c r="H95" s="30"/>
      <c r="I95" s="31"/>
      <c r="J95" s="32">
        <v>46216.0</v>
      </c>
      <c r="K95" s="33"/>
      <c r="L95" s="28" t="s">
        <v>38</v>
      </c>
      <c r="M95" s="28">
        <v>551251.0</v>
      </c>
      <c r="N95" s="34">
        <v>104.45</v>
      </c>
      <c r="O95" s="28">
        <v>703903.0</v>
      </c>
      <c r="P95" s="35" t="s">
        <v>43</v>
      </c>
      <c r="Q95" s="35" t="s">
        <v>43</v>
      </c>
      <c r="R95" s="35"/>
    </row>
    <row r="96" ht="22.5" customHeight="1">
      <c r="A96" s="38"/>
      <c r="B96" s="26"/>
      <c r="C96" s="28" t="s">
        <v>53</v>
      </c>
      <c r="D96" s="28"/>
      <c r="E96" s="28"/>
      <c r="F96" s="28"/>
      <c r="G96" s="30" t="s">
        <v>1025</v>
      </c>
      <c r="H96" s="30"/>
      <c r="I96" s="31"/>
      <c r="J96" s="32">
        <v>46216.0</v>
      </c>
      <c r="K96" s="33"/>
      <c r="L96" s="28" t="s">
        <v>69</v>
      </c>
      <c r="M96" s="28">
        <v>5.00360578E8</v>
      </c>
      <c r="N96" s="34">
        <v>8.04</v>
      </c>
      <c r="O96" s="28">
        <v>7.0035645E8</v>
      </c>
      <c r="P96" s="35" t="s">
        <v>59</v>
      </c>
      <c r="Q96" s="35" t="s">
        <v>59</v>
      </c>
      <c r="R96" s="35"/>
    </row>
    <row r="97" ht="22.5" customHeight="1">
      <c r="A97" s="38"/>
      <c r="B97" s="26"/>
      <c r="C97" s="28" t="s">
        <v>53</v>
      </c>
      <c r="D97" s="28"/>
      <c r="E97" s="28"/>
      <c r="F97" s="28"/>
      <c r="G97" s="30" t="s">
        <v>1040</v>
      </c>
      <c r="H97" s="30"/>
      <c r="I97" s="31"/>
      <c r="J97" s="32">
        <v>46216.0</v>
      </c>
      <c r="K97" s="33"/>
      <c r="L97" s="28" t="s">
        <v>69</v>
      </c>
      <c r="M97" s="28">
        <v>5.00360578E8</v>
      </c>
      <c r="N97" s="34">
        <v>9.06</v>
      </c>
      <c r="O97" s="28">
        <v>7.0035645E8</v>
      </c>
      <c r="P97" s="35" t="s">
        <v>59</v>
      </c>
      <c r="Q97" s="35" t="s">
        <v>59</v>
      </c>
      <c r="R97" s="35"/>
    </row>
    <row r="98" ht="22.5" customHeight="1">
      <c r="A98" s="38"/>
      <c r="B98" s="26"/>
      <c r="C98" s="28" t="s">
        <v>53</v>
      </c>
      <c r="D98" s="28"/>
      <c r="E98" s="28"/>
      <c r="F98" s="28"/>
      <c r="G98" s="30" t="s">
        <v>1052</v>
      </c>
      <c r="H98" s="30"/>
      <c r="I98" s="31"/>
      <c r="J98" s="32">
        <v>46216.0</v>
      </c>
      <c r="K98" s="33"/>
      <c r="L98" s="28" t="s">
        <v>69</v>
      </c>
      <c r="M98" s="28">
        <v>5.00360578E8</v>
      </c>
      <c r="N98" s="34">
        <v>3.51</v>
      </c>
      <c r="O98" s="28">
        <v>7.0035645E8</v>
      </c>
      <c r="P98" s="35" t="s">
        <v>59</v>
      </c>
      <c r="Q98" s="35" t="s">
        <v>59</v>
      </c>
      <c r="R98" s="35"/>
    </row>
    <row r="99" ht="22.5" customHeight="1">
      <c r="A99" s="38"/>
      <c r="B99" s="26"/>
      <c r="C99" s="28" t="s">
        <v>53</v>
      </c>
      <c r="D99" s="28"/>
      <c r="E99" s="28"/>
      <c r="F99" s="28"/>
      <c r="G99" s="30" t="s">
        <v>1063</v>
      </c>
      <c r="H99" s="30"/>
      <c r="I99" s="31"/>
      <c r="J99" s="32">
        <v>46216.0</v>
      </c>
      <c r="K99" s="33"/>
      <c r="L99" s="28" t="s">
        <v>69</v>
      </c>
      <c r="M99" s="28">
        <v>5.00360578E8</v>
      </c>
      <c r="N99" s="34">
        <v>0.99</v>
      </c>
      <c r="O99" s="28">
        <v>7.0035645E8</v>
      </c>
      <c r="P99" s="35" t="s">
        <v>59</v>
      </c>
      <c r="Q99" s="35" t="s">
        <v>59</v>
      </c>
      <c r="R99" s="35"/>
    </row>
    <row r="100" ht="22.5" customHeight="1">
      <c r="A100" s="38"/>
      <c r="B100" s="26"/>
      <c r="C100" s="28" t="s">
        <v>53</v>
      </c>
      <c r="D100" s="28"/>
      <c r="E100" s="28"/>
      <c r="F100" s="28"/>
      <c r="G100" s="30" t="s">
        <v>1075</v>
      </c>
      <c r="H100" s="30"/>
      <c r="I100" s="31"/>
      <c r="J100" s="32">
        <v>46217.0</v>
      </c>
      <c r="K100" s="33"/>
      <c r="L100" s="28" t="s">
        <v>1080</v>
      </c>
      <c r="M100" s="28" t="s">
        <v>1081</v>
      </c>
      <c r="N100" s="81"/>
      <c r="O100" s="33"/>
      <c r="P100" s="35" t="s">
        <v>59</v>
      </c>
      <c r="Q100" s="35" t="s">
        <v>59</v>
      </c>
      <c r="R100" s="35"/>
    </row>
    <row r="101" ht="22.5" customHeight="1">
      <c r="A101" s="38"/>
      <c r="B101" s="26"/>
      <c r="C101" s="28" t="s">
        <v>53</v>
      </c>
      <c r="D101" s="28"/>
      <c r="E101" s="28"/>
      <c r="F101" s="28"/>
      <c r="G101" s="30" t="s">
        <v>1091</v>
      </c>
      <c r="H101" s="30"/>
      <c r="I101" s="31"/>
      <c r="J101" s="32">
        <v>46217.0</v>
      </c>
      <c r="K101" s="33"/>
      <c r="L101" s="28" t="s">
        <v>1080</v>
      </c>
      <c r="M101" s="28" t="s">
        <v>1081</v>
      </c>
      <c r="N101" s="81"/>
      <c r="O101" s="33"/>
      <c r="P101" s="35" t="s">
        <v>59</v>
      </c>
      <c r="Q101" s="35" t="s">
        <v>59</v>
      </c>
      <c r="R101" s="35"/>
    </row>
    <row r="102" ht="22.5" customHeight="1">
      <c r="A102" s="38"/>
      <c r="B102" s="26"/>
      <c r="C102" s="28" t="s">
        <v>53</v>
      </c>
      <c r="D102" s="29"/>
      <c r="E102" s="28"/>
      <c r="F102" s="28"/>
      <c r="G102" s="30" t="s">
        <v>1109</v>
      </c>
      <c r="H102" s="31"/>
      <c r="I102" s="31"/>
      <c r="J102" s="32">
        <v>46217.0</v>
      </c>
      <c r="K102" s="33"/>
      <c r="L102" s="28" t="s">
        <v>1080</v>
      </c>
      <c r="M102" s="28" t="s">
        <v>1081</v>
      </c>
      <c r="N102" s="81"/>
      <c r="O102" s="33"/>
      <c r="P102" s="35" t="s">
        <v>59</v>
      </c>
      <c r="Q102" s="35" t="s">
        <v>59</v>
      </c>
      <c r="R102" s="36"/>
    </row>
    <row r="103" ht="22.5" customHeight="1">
      <c r="A103" s="38"/>
      <c r="B103" s="26"/>
      <c r="C103" s="28" t="s">
        <v>53</v>
      </c>
      <c r="D103" s="29"/>
      <c r="E103" s="29"/>
      <c r="F103" s="29"/>
      <c r="G103" s="30" t="s">
        <v>1117</v>
      </c>
      <c r="H103" s="31"/>
      <c r="I103" s="31"/>
      <c r="J103" s="32">
        <v>46217.0</v>
      </c>
      <c r="K103" s="33"/>
      <c r="L103" s="28" t="s">
        <v>1080</v>
      </c>
      <c r="M103" s="28" t="s">
        <v>1081</v>
      </c>
      <c r="N103" s="81"/>
      <c r="O103" s="33"/>
      <c r="P103" s="35" t="s">
        <v>59</v>
      </c>
      <c r="Q103" s="35" t="s">
        <v>59</v>
      </c>
      <c r="R103" s="36"/>
    </row>
    <row r="104" ht="22.5" customHeight="1">
      <c r="A104" s="38"/>
      <c r="B104" s="26"/>
      <c r="C104" s="28" t="s">
        <v>53</v>
      </c>
      <c r="D104" s="29"/>
      <c r="E104" s="29"/>
      <c r="F104" s="29"/>
      <c r="G104" s="30" t="s">
        <v>1138</v>
      </c>
      <c r="H104" s="31"/>
      <c r="I104" s="31"/>
      <c r="J104" s="32">
        <v>46217.0</v>
      </c>
      <c r="K104" s="33"/>
      <c r="L104" s="28" t="s">
        <v>1080</v>
      </c>
      <c r="M104" s="28" t="s">
        <v>1081</v>
      </c>
      <c r="N104" s="81"/>
      <c r="O104" s="33"/>
      <c r="P104" s="35" t="s">
        <v>59</v>
      </c>
      <c r="Q104" s="35" t="s">
        <v>59</v>
      </c>
      <c r="R104" s="36"/>
    </row>
    <row r="105" ht="22.5" customHeight="1">
      <c r="A105" s="38"/>
      <c r="B105" s="26"/>
      <c r="C105" s="28" t="s">
        <v>53</v>
      </c>
      <c r="D105" s="29"/>
      <c r="E105" s="29"/>
      <c r="F105" s="29"/>
      <c r="G105" s="30" t="s">
        <v>1147</v>
      </c>
      <c r="H105" s="31"/>
      <c r="I105" s="31"/>
      <c r="J105" s="32">
        <v>46217.0</v>
      </c>
      <c r="K105" s="33"/>
      <c r="L105" s="28" t="s">
        <v>1080</v>
      </c>
      <c r="M105" s="28" t="s">
        <v>1081</v>
      </c>
      <c r="N105" s="81"/>
      <c r="O105" s="33"/>
      <c r="P105" s="35" t="s">
        <v>59</v>
      </c>
      <c r="Q105" s="35" t="s">
        <v>59</v>
      </c>
      <c r="R105" s="36"/>
    </row>
    <row r="106" ht="22.5" customHeight="1">
      <c r="A106" s="38"/>
      <c r="B106" s="26"/>
      <c r="C106" s="28" t="s">
        <v>53</v>
      </c>
      <c r="D106" s="29"/>
      <c r="E106" s="29"/>
      <c r="F106" s="29"/>
      <c r="G106" s="30" t="s">
        <v>1157</v>
      </c>
      <c r="H106" s="31"/>
      <c r="I106" s="31"/>
      <c r="J106" s="32">
        <v>46217.0</v>
      </c>
      <c r="K106" s="33"/>
      <c r="L106" s="28" t="s">
        <v>1080</v>
      </c>
      <c r="M106" s="28" t="s">
        <v>1081</v>
      </c>
      <c r="N106" s="81"/>
      <c r="O106" s="33"/>
      <c r="P106" s="35" t="s">
        <v>59</v>
      </c>
      <c r="Q106" s="35" t="s">
        <v>59</v>
      </c>
      <c r="R106" s="36"/>
    </row>
    <row r="107" ht="22.5" customHeight="1">
      <c r="A107" s="38"/>
      <c r="B107" s="26"/>
      <c r="C107" s="28" t="s">
        <v>53</v>
      </c>
      <c r="D107" s="29"/>
      <c r="E107" s="29"/>
      <c r="F107" s="29"/>
      <c r="G107" s="30" t="s">
        <v>1166</v>
      </c>
      <c r="H107" s="31"/>
      <c r="I107" s="31"/>
      <c r="J107" s="32">
        <v>46217.0</v>
      </c>
      <c r="K107" s="33"/>
      <c r="L107" s="28" t="s">
        <v>1080</v>
      </c>
      <c r="M107" s="28" t="s">
        <v>1081</v>
      </c>
      <c r="N107" s="81"/>
      <c r="O107" s="33"/>
      <c r="P107" s="35" t="s">
        <v>59</v>
      </c>
      <c r="Q107" s="35" t="s">
        <v>59</v>
      </c>
      <c r="R107" s="36"/>
    </row>
    <row r="108" ht="22.5" customHeight="1">
      <c r="A108" s="38"/>
      <c r="B108" s="26"/>
      <c r="C108" s="28" t="s">
        <v>53</v>
      </c>
      <c r="D108" s="29"/>
      <c r="E108" s="29"/>
      <c r="F108" s="29"/>
      <c r="G108" s="30" t="s">
        <v>1180</v>
      </c>
      <c r="H108" s="31"/>
      <c r="I108" s="31"/>
      <c r="J108" s="32">
        <v>46217.0</v>
      </c>
      <c r="K108" s="33"/>
      <c r="L108" s="28" t="s">
        <v>1080</v>
      </c>
      <c r="M108" s="28" t="s">
        <v>1081</v>
      </c>
      <c r="N108" s="81"/>
      <c r="O108" s="33"/>
      <c r="P108" s="35" t="s">
        <v>59</v>
      </c>
      <c r="Q108" s="35" t="s">
        <v>59</v>
      </c>
      <c r="R108" s="36"/>
    </row>
    <row r="109" ht="22.5" customHeight="1">
      <c r="A109" s="38"/>
      <c r="B109" s="26"/>
      <c r="C109" s="28" t="s">
        <v>53</v>
      </c>
      <c r="D109" s="29"/>
      <c r="E109" s="29"/>
      <c r="F109" s="29"/>
      <c r="G109" s="30" t="s">
        <v>1187</v>
      </c>
      <c r="H109" s="31"/>
      <c r="I109" s="31"/>
      <c r="J109" s="32">
        <v>46217.0</v>
      </c>
      <c r="K109" s="33"/>
      <c r="L109" s="28" t="s">
        <v>1080</v>
      </c>
      <c r="M109" s="28" t="s">
        <v>1081</v>
      </c>
      <c r="N109" s="81"/>
      <c r="O109" s="33"/>
      <c r="P109" s="35" t="s">
        <v>59</v>
      </c>
      <c r="Q109" s="35" t="s">
        <v>59</v>
      </c>
      <c r="R109" s="36"/>
    </row>
    <row r="110" ht="22.5" customHeight="1">
      <c r="A110" s="38"/>
      <c r="B110" s="26"/>
      <c r="C110" s="28" t="s">
        <v>53</v>
      </c>
      <c r="D110" s="29"/>
      <c r="E110" s="29"/>
      <c r="F110" s="29"/>
      <c r="G110" s="30" t="s">
        <v>1192</v>
      </c>
      <c r="H110" s="30"/>
      <c r="I110" s="31"/>
      <c r="J110" s="32">
        <v>46217.0</v>
      </c>
      <c r="K110" s="33"/>
      <c r="L110" s="28" t="s">
        <v>1080</v>
      </c>
      <c r="M110" s="28" t="s">
        <v>1081</v>
      </c>
      <c r="N110" s="81"/>
      <c r="O110" s="33"/>
      <c r="P110" s="35" t="s">
        <v>59</v>
      </c>
      <c r="Q110" s="35" t="s">
        <v>59</v>
      </c>
      <c r="R110" s="36"/>
    </row>
    <row r="111" ht="22.5" customHeight="1">
      <c r="A111" s="38"/>
      <c r="B111" s="26"/>
      <c r="C111" s="28" t="s">
        <v>53</v>
      </c>
      <c r="D111" s="28"/>
      <c r="E111" s="28"/>
      <c r="F111" s="28"/>
      <c r="G111" s="30" t="s">
        <v>1197</v>
      </c>
      <c r="H111" s="30"/>
      <c r="I111" s="31"/>
      <c r="J111" s="32">
        <v>46217.0</v>
      </c>
      <c r="K111" s="33"/>
      <c r="L111" s="28" t="s">
        <v>1080</v>
      </c>
      <c r="M111" s="28" t="s">
        <v>1081</v>
      </c>
      <c r="N111" s="81"/>
      <c r="O111" s="33"/>
      <c r="P111" s="35" t="s">
        <v>59</v>
      </c>
      <c r="Q111" s="35" t="s">
        <v>59</v>
      </c>
      <c r="R111" s="36"/>
    </row>
    <row r="112" ht="22.5" customHeight="1">
      <c r="A112" s="38"/>
      <c r="B112" s="26"/>
      <c r="C112" s="28" t="s">
        <v>53</v>
      </c>
      <c r="D112" s="29"/>
      <c r="E112" s="28"/>
      <c r="F112" s="28"/>
      <c r="G112" s="30" t="s">
        <v>1209</v>
      </c>
      <c r="H112" s="31"/>
      <c r="I112" s="31"/>
      <c r="J112" s="32">
        <v>46217.0</v>
      </c>
      <c r="K112" s="33"/>
      <c r="L112" s="28" t="s">
        <v>1080</v>
      </c>
      <c r="M112" s="28" t="s">
        <v>1081</v>
      </c>
      <c r="N112" s="81"/>
      <c r="O112" s="33"/>
      <c r="P112" s="35" t="s">
        <v>59</v>
      </c>
      <c r="Q112" s="35" t="s">
        <v>59</v>
      </c>
      <c r="R112" s="36"/>
    </row>
    <row r="113" ht="22.5" customHeight="1">
      <c r="A113" s="38"/>
      <c r="B113" s="26"/>
      <c r="C113" s="28" t="s">
        <v>53</v>
      </c>
      <c r="D113" s="28"/>
      <c r="E113" s="28"/>
      <c r="F113" s="28"/>
      <c r="G113" s="30" t="s">
        <v>1214</v>
      </c>
      <c r="H113" s="30"/>
      <c r="I113" s="31"/>
      <c r="J113" s="32">
        <v>46217.0</v>
      </c>
      <c r="K113" s="33"/>
      <c r="L113" s="28" t="s">
        <v>1080</v>
      </c>
      <c r="M113" s="28" t="s">
        <v>1081</v>
      </c>
      <c r="N113" s="81"/>
      <c r="O113" s="33"/>
      <c r="P113" s="35" t="s">
        <v>59</v>
      </c>
      <c r="Q113" s="35" t="s">
        <v>59</v>
      </c>
      <c r="R113" s="35"/>
    </row>
    <row r="114" ht="22.5" customHeight="1">
      <c r="A114" s="38"/>
      <c r="B114" s="26"/>
      <c r="C114" s="28" t="s">
        <v>53</v>
      </c>
      <c r="D114" s="29"/>
      <c r="E114" s="29"/>
      <c r="F114" s="29"/>
      <c r="G114" s="30" t="s">
        <v>1216</v>
      </c>
      <c r="H114" s="31"/>
      <c r="I114" s="31"/>
      <c r="J114" s="32">
        <v>46217.0</v>
      </c>
      <c r="K114" s="33"/>
      <c r="L114" s="28" t="s">
        <v>1080</v>
      </c>
      <c r="M114" s="28" t="s">
        <v>1081</v>
      </c>
      <c r="N114" s="81"/>
      <c r="O114" s="33"/>
      <c r="P114" s="35" t="s">
        <v>59</v>
      </c>
      <c r="Q114" s="35" t="s">
        <v>59</v>
      </c>
      <c r="R114" s="36"/>
    </row>
    <row r="115" ht="22.5" customHeight="1">
      <c r="A115" s="38"/>
      <c r="B115" s="26"/>
      <c r="C115" s="28" t="s">
        <v>53</v>
      </c>
      <c r="D115" s="29"/>
      <c r="E115" s="29"/>
      <c r="F115" s="29"/>
      <c r="G115" s="30" t="s">
        <v>1217</v>
      </c>
      <c r="H115" s="31"/>
      <c r="I115" s="31"/>
      <c r="J115" s="32">
        <v>46217.0</v>
      </c>
      <c r="K115" s="33"/>
      <c r="L115" s="28" t="s">
        <v>1080</v>
      </c>
      <c r="M115" s="28" t="s">
        <v>1081</v>
      </c>
      <c r="N115" s="81"/>
      <c r="O115" s="33"/>
      <c r="P115" s="35" t="s">
        <v>59</v>
      </c>
      <c r="Q115" s="35" t="s">
        <v>59</v>
      </c>
      <c r="R115" s="36"/>
    </row>
    <row r="116" ht="22.5" customHeight="1">
      <c r="A116" s="38"/>
      <c r="B116" s="26"/>
      <c r="C116" s="28" t="s">
        <v>53</v>
      </c>
      <c r="D116" s="29"/>
      <c r="E116" s="29"/>
      <c r="F116" s="29"/>
      <c r="G116" s="30" t="s">
        <v>1218</v>
      </c>
      <c r="H116" s="31"/>
      <c r="I116" s="31"/>
      <c r="J116" s="32">
        <v>46217.0</v>
      </c>
      <c r="K116" s="33"/>
      <c r="L116" s="28" t="s">
        <v>1080</v>
      </c>
      <c r="M116" s="28" t="s">
        <v>1081</v>
      </c>
      <c r="N116" s="81"/>
      <c r="O116" s="33"/>
      <c r="P116" s="35" t="s">
        <v>59</v>
      </c>
      <c r="Q116" s="35" t="s">
        <v>59</v>
      </c>
      <c r="R116" s="36"/>
    </row>
    <row r="117" ht="22.5" customHeight="1">
      <c r="A117" s="38"/>
      <c r="B117" s="26"/>
      <c r="C117" s="28" t="s">
        <v>53</v>
      </c>
      <c r="D117" s="28"/>
      <c r="E117" s="28"/>
      <c r="F117" s="28"/>
      <c r="G117" s="30" t="s">
        <v>1219</v>
      </c>
      <c r="H117" s="30"/>
      <c r="I117" s="31"/>
      <c r="J117" s="32">
        <v>46217.0</v>
      </c>
      <c r="K117" s="33"/>
      <c r="L117" s="28" t="s">
        <v>1080</v>
      </c>
      <c r="M117" s="28" t="s">
        <v>1081</v>
      </c>
      <c r="N117" s="81"/>
      <c r="O117" s="33"/>
      <c r="P117" s="35" t="s">
        <v>59</v>
      </c>
      <c r="Q117" s="35" t="s">
        <v>59</v>
      </c>
      <c r="R117" s="36"/>
    </row>
    <row r="118" ht="22.5" customHeight="1">
      <c r="A118" s="38">
        <v>46216.71471965278</v>
      </c>
      <c r="B118" s="26" t="s">
        <v>382</v>
      </c>
      <c r="C118" s="28" t="s">
        <v>1220</v>
      </c>
      <c r="D118" s="28">
        <v>5.703316013E9</v>
      </c>
      <c r="E118" s="28" t="s">
        <v>41</v>
      </c>
      <c r="F118" s="28" t="s">
        <v>41</v>
      </c>
      <c r="G118" s="30" t="s">
        <v>1221</v>
      </c>
      <c r="H118" s="30" t="s">
        <v>37</v>
      </c>
      <c r="I118" s="31"/>
      <c r="J118" s="32">
        <v>46221.0</v>
      </c>
      <c r="K118" s="33"/>
      <c r="L118" s="28" t="s">
        <v>38</v>
      </c>
      <c r="M118" s="28">
        <v>551913.0</v>
      </c>
      <c r="N118" s="34">
        <v>60.9</v>
      </c>
      <c r="O118" s="28">
        <v>704879.0</v>
      </c>
      <c r="P118" s="35" t="s">
        <v>43</v>
      </c>
      <c r="Q118" s="35" t="s">
        <v>43</v>
      </c>
      <c r="R118" s="36"/>
    </row>
    <row r="119" ht="22.5" customHeight="1">
      <c r="A119" s="38"/>
      <c r="B119" s="26"/>
      <c r="C119" s="28" t="s">
        <v>1222</v>
      </c>
      <c r="D119" s="29"/>
      <c r="E119" s="28" t="s">
        <v>35</v>
      </c>
      <c r="F119" s="28" t="s">
        <v>35</v>
      </c>
      <c r="G119" s="30" t="s">
        <v>1223</v>
      </c>
      <c r="H119" s="30" t="s">
        <v>37</v>
      </c>
      <c r="I119" s="31"/>
      <c r="J119" s="32">
        <v>46221.0</v>
      </c>
      <c r="K119" s="33"/>
      <c r="L119" s="28" t="s">
        <v>38</v>
      </c>
      <c r="M119" s="28">
        <v>551913.0</v>
      </c>
      <c r="N119" s="34">
        <v>82.23</v>
      </c>
      <c r="O119" s="28">
        <v>704879.0</v>
      </c>
      <c r="P119" s="35" t="s">
        <v>43</v>
      </c>
      <c r="Q119" s="35" t="s">
        <v>43</v>
      </c>
      <c r="R119" s="36"/>
    </row>
    <row r="120" ht="22.5" customHeight="1">
      <c r="A120" s="38">
        <v>46217.41478091435</v>
      </c>
      <c r="B120" s="26" t="s">
        <v>382</v>
      </c>
      <c r="C120" s="28" t="s">
        <v>1120</v>
      </c>
      <c r="D120" s="28">
        <v>5.706650818E9</v>
      </c>
      <c r="E120" s="28" t="s">
        <v>35</v>
      </c>
      <c r="F120" s="28" t="s">
        <v>35</v>
      </c>
      <c r="G120" s="30" t="s">
        <v>1224</v>
      </c>
      <c r="H120" s="30" t="s">
        <v>111</v>
      </c>
      <c r="I120" s="31"/>
      <c r="J120" s="32">
        <v>46221.0</v>
      </c>
      <c r="K120" s="33"/>
      <c r="L120" s="28" t="s">
        <v>38</v>
      </c>
      <c r="M120" s="28">
        <v>551913.0</v>
      </c>
      <c r="N120" s="34">
        <v>162.59</v>
      </c>
      <c r="O120" s="28">
        <v>704879.0</v>
      </c>
      <c r="P120" s="35" t="s">
        <v>43</v>
      </c>
      <c r="Q120" s="35" t="s">
        <v>43</v>
      </c>
      <c r="R120" s="36"/>
    </row>
    <row r="121" ht="22.5" customHeight="1">
      <c r="A121" s="38">
        <v>46218.870476400465</v>
      </c>
      <c r="B121" s="26" t="s">
        <v>382</v>
      </c>
      <c r="C121" s="28" t="s">
        <v>1225</v>
      </c>
      <c r="D121" s="28" t="s">
        <v>1226</v>
      </c>
      <c r="E121" s="28" t="s">
        <v>35</v>
      </c>
      <c r="F121" s="28" t="s">
        <v>35</v>
      </c>
      <c r="G121" s="30" t="s">
        <v>1227</v>
      </c>
      <c r="H121" s="30" t="s">
        <v>111</v>
      </c>
      <c r="I121" s="31"/>
      <c r="J121" s="32">
        <v>46221.0</v>
      </c>
      <c r="K121" s="33"/>
      <c r="L121" s="28" t="s">
        <v>38</v>
      </c>
      <c r="M121" s="28">
        <v>551913.0</v>
      </c>
      <c r="N121" s="34">
        <v>132.15</v>
      </c>
      <c r="O121" s="28">
        <v>704879.0</v>
      </c>
      <c r="P121" s="35" t="s">
        <v>43</v>
      </c>
      <c r="Q121" s="35" t="s">
        <v>43</v>
      </c>
      <c r="R121" s="35"/>
    </row>
    <row r="122" ht="22.5" customHeight="1">
      <c r="A122" s="38">
        <v>46219.376284502316</v>
      </c>
      <c r="B122" s="26" t="s">
        <v>382</v>
      </c>
      <c r="C122" s="28" t="s">
        <v>1228</v>
      </c>
      <c r="D122" s="28" t="s">
        <v>1229</v>
      </c>
      <c r="E122" s="28" t="s">
        <v>35</v>
      </c>
      <c r="F122" s="28" t="s">
        <v>35</v>
      </c>
      <c r="G122" s="30" t="s">
        <v>1230</v>
      </c>
      <c r="H122" s="30" t="s">
        <v>111</v>
      </c>
      <c r="I122" s="30" t="s">
        <v>1231</v>
      </c>
      <c r="J122" s="32">
        <v>46221.0</v>
      </c>
      <c r="K122" s="33"/>
      <c r="L122" s="28" t="s">
        <v>38</v>
      </c>
      <c r="M122" s="28">
        <v>551913.0</v>
      </c>
      <c r="N122" s="34">
        <v>82.22</v>
      </c>
      <c r="O122" s="28">
        <v>704879.0</v>
      </c>
      <c r="P122" s="35" t="s">
        <v>59</v>
      </c>
      <c r="Q122" s="35" t="s">
        <v>59</v>
      </c>
      <c r="R122" s="35"/>
    </row>
    <row r="123" ht="22.5" customHeight="1">
      <c r="A123" s="38">
        <v>46219.37728729167</v>
      </c>
      <c r="B123" s="26" t="s">
        <v>382</v>
      </c>
      <c r="C123" s="28" t="s">
        <v>513</v>
      </c>
      <c r="D123" s="28" t="s">
        <v>1232</v>
      </c>
      <c r="E123" s="28" t="s">
        <v>35</v>
      </c>
      <c r="F123" s="28" t="s">
        <v>35</v>
      </c>
      <c r="G123" s="30" t="s">
        <v>1233</v>
      </c>
      <c r="H123" s="30" t="s">
        <v>37</v>
      </c>
      <c r="I123" s="31"/>
      <c r="J123" s="32">
        <v>46221.0</v>
      </c>
      <c r="K123" s="33"/>
      <c r="L123" s="28" t="s">
        <v>38</v>
      </c>
      <c r="M123" s="28">
        <v>551913.0</v>
      </c>
      <c r="N123" s="34">
        <v>144.35</v>
      </c>
      <c r="O123" s="28">
        <v>704879.0</v>
      </c>
      <c r="P123" s="35" t="s">
        <v>43</v>
      </c>
      <c r="Q123" s="35" t="s">
        <v>43</v>
      </c>
      <c r="R123" s="35"/>
    </row>
    <row r="124" ht="22.5" customHeight="1">
      <c r="A124" s="38"/>
      <c r="B124" s="26"/>
      <c r="C124" s="28" t="s">
        <v>53</v>
      </c>
      <c r="D124" s="28"/>
      <c r="E124" s="28" t="s">
        <v>41</v>
      </c>
      <c r="F124" s="28" t="s">
        <v>41</v>
      </c>
      <c r="G124" s="30" t="s">
        <v>1234</v>
      </c>
      <c r="H124" s="30"/>
      <c r="I124" s="31"/>
      <c r="J124" s="32">
        <v>46231.0</v>
      </c>
      <c r="K124" s="33"/>
      <c r="L124" s="28" t="s">
        <v>820</v>
      </c>
      <c r="M124" s="33"/>
      <c r="N124" s="81"/>
      <c r="O124" s="33"/>
      <c r="P124" s="35" t="s">
        <v>59</v>
      </c>
      <c r="Q124" s="35" t="s">
        <v>59</v>
      </c>
      <c r="R124" s="36"/>
    </row>
    <row r="125" ht="22.5" customHeight="1">
      <c r="A125" s="38"/>
      <c r="B125" s="26"/>
      <c r="C125" s="28" t="s">
        <v>53</v>
      </c>
      <c r="D125" s="28"/>
      <c r="E125" s="28" t="s">
        <v>41</v>
      </c>
      <c r="F125" s="28" t="s">
        <v>41</v>
      </c>
      <c r="G125" s="30" t="s">
        <v>1235</v>
      </c>
      <c r="H125" s="30"/>
      <c r="I125" s="31"/>
      <c r="J125" s="32">
        <v>46231.0</v>
      </c>
      <c r="K125" s="33"/>
      <c r="L125" s="28" t="s">
        <v>820</v>
      </c>
      <c r="M125" s="33"/>
      <c r="N125" s="81"/>
      <c r="O125" s="33"/>
      <c r="P125" s="35" t="s">
        <v>59</v>
      </c>
      <c r="Q125" s="35" t="s">
        <v>59</v>
      </c>
      <c r="R125" s="36"/>
    </row>
    <row r="126" ht="22.5" customHeight="1">
      <c r="A126" s="38">
        <v>46215.808345983794</v>
      </c>
      <c r="B126" s="26" t="s">
        <v>382</v>
      </c>
      <c r="C126" s="28" t="s">
        <v>76</v>
      </c>
      <c r="D126" s="28">
        <v>5.70766821E9</v>
      </c>
      <c r="E126" s="28" t="s">
        <v>35</v>
      </c>
      <c r="F126" s="28" t="s">
        <v>35</v>
      </c>
      <c r="G126" s="30" t="s">
        <v>1234</v>
      </c>
      <c r="H126" s="30" t="s">
        <v>37</v>
      </c>
      <c r="I126" s="31"/>
      <c r="J126" s="32">
        <v>46233.0</v>
      </c>
      <c r="K126" s="33"/>
      <c r="L126" s="28" t="s">
        <v>38</v>
      </c>
      <c r="M126" s="28">
        <v>553740.0</v>
      </c>
      <c r="N126" s="34">
        <v>146.78</v>
      </c>
      <c r="O126" s="28">
        <v>706881.0</v>
      </c>
      <c r="P126" s="35" t="s">
        <v>59</v>
      </c>
      <c r="Q126" s="35" t="s">
        <v>59</v>
      </c>
      <c r="R126" s="36"/>
    </row>
    <row r="127" ht="22.5" customHeight="1">
      <c r="A127" s="38">
        <v>46226.54316888889</v>
      </c>
      <c r="B127" s="26" t="s">
        <v>382</v>
      </c>
      <c r="C127" s="28" t="s">
        <v>1236</v>
      </c>
      <c r="D127" s="28">
        <v>5.70936987E9</v>
      </c>
      <c r="E127" s="28" t="s">
        <v>35</v>
      </c>
      <c r="F127" s="28" t="s">
        <v>35</v>
      </c>
      <c r="G127" s="30" t="s">
        <v>1235</v>
      </c>
      <c r="H127" s="30" t="s">
        <v>37</v>
      </c>
      <c r="I127" s="31"/>
      <c r="J127" s="32">
        <v>46233.0</v>
      </c>
      <c r="K127" s="33"/>
      <c r="L127" s="28" t="s">
        <v>38</v>
      </c>
      <c r="M127" s="28">
        <v>553740.0</v>
      </c>
      <c r="N127" s="34">
        <v>134.62</v>
      </c>
      <c r="O127" s="28">
        <v>706881.0</v>
      </c>
      <c r="P127" s="35"/>
      <c r="Q127" s="36"/>
      <c r="R127" s="35"/>
    </row>
    <row r="128" ht="22.5" customHeight="1">
      <c r="A128" s="38">
        <v>46230.550392951394</v>
      </c>
      <c r="B128" s="26"/>
      <c r="C128" s="28" t="s">
        <v>1237</v>
      </c>
      <c r="D128" s="28" t="s">
        <v>1238</v>
      </c>
      <c r="E128" s="28" t="s">
        <v>35</v>
      </c>
      <c r="F128" s="28" t="s">
        <v>35</v>
      </c>
      <c r="G128" s="30" t="s">
        <v>1239</v>
      </c>
      <c r="H128" s="30" t="s">
        <v>111</v>
      </c>
      <c r="I128" s="31"/>
      <c r="J128" s="32">
        <v>46233.0</v>
      </c>
      <c r="K128" s="33"/>
      <c r="L128" s="28" t="s">
        <v>38</v>
      </c>
      <c r="M128" s="28">
        <v>553740.0</v>
      </c>
      <c r="N128" s="34">
        <v>152.86</v>
      </c>
      <c r="O128" s="28">
        <v>706881.0</v>
      </c>
      <c r="P128" s="35" t="s">
        <v>43</v>
      </c>
      <c r="Q128" s="35" t="s">
        <v>43</v>
      </c>
      <c r="R128" s="36"/>
    </row>
    <row r="129" ht="22.5" customHeight="1">
      <c r="A129" s="38"/>
      <c r="B129" s="26"/>
      <c r="C129" s="28" t="s">
        <v>53</v>
      </c>
      <c r="D129" s="29"/>
      <c r="E129" s="28" t="s">
        <v>41</v>
      </c>
      <c r="F129" s="28" t="s">
        <v>41</v>
      </c>
      <c r="G129" s="30" t="s">
        <v>1240</v>
      </c>
      <c r="H129" s="31"/>
      <c r="I129" s="31"/>
      <c r="J129" s="32">
        <v>46233.0</v>
      </c>
      <c r="K129" s="33"/>
      <c r="L129" s="28" t="s">
        <v>38</v>
      </c>
      <c r="M129" s="28">
        <v>553740.0</v>
      </c>
      <c r="N129" s="34">
        <v>42.47</v>
      </c>
      <c r="O129" s="28">
        <v>706881.0</v>
      </c>
      <c r="P129" s="35" t="s">
        <v>59</v>
      </c>
      <c r="Q129" s="35" t="s">
        <v>59</v>
      </c>
      <c r="R129" s="36"/>
    </row>
    <row r="130" ht="22.5" customHeight="1">
      <c r="A130" s="38"/>
      <c r="B130" s="26"/>
      <c r="C130" s="28" t="s">
        <v>53</v>
      </c>
      <c r="D130" s="29"/>
      <c r="E130" s="28" t="s">
        <v>41</v>
      </c>
      <c r="F130" s="28" t="s">
        <v>41</v>
      </c>
      <c r="G130" s="30" t="s">
        <v>1241</v>
      </c>
      <c r="H130" s="31"/>
      <c r="I130" s="31"/>
      <c r="J130" s="32">
        <v>46233.0</v>
      </c>
      <c r="K130" s="33"/>
      <c r="L130" s="28" t="s">
        <v>38</v>
      </c>
      <c r="M130" s="28">
        <v>553740.0</v>
      </c>
      <c r="N130" s="34">
        <v>42.47</v>
      </c>
      <c r="O130" s="28">
        <v>706881.0</v>
      </c>
      <c r="P130" s="35" t="s">
        <v>59</v>
      </c>
      <c r="Q130" s="35" t="s">
        <v>59</v>
      </c>
      <c r="R130" s="36"/>
    </row>
    <row r="131" ht="22.5" customHeight="1">
      <c r="A131" s="38"/>
      <c r="B131" s="26"/>
      <c r="C131" s="28" t="s">
        <v>53</v>
      </c>
      <c r="D131" s="29"/>
      <c r="E131" s="28" t="s">
        <v>64</v>
      </c>
      <c r="F131" s="28" t="s">
        <v>64</v>
      </c>
      <c r="G131" s="30" t="s">
        <v>598</v>
      </c>
      <c r="H131" s="31"/>
      <c r="I131" s="31"/>
      <c r="J131" s="32">
        <v>46233.0</v>
      </c>
      <c r="K131" s="33"/>
      <c r="L131" s="28" t="s">
        <v>38</v>
      </c>
      <c r="M131" s="28">
        <v>553740.0</v>
      </c>
      <c r="N131" s="34">
        <v>99.28</v>
      </c>
      <c r="O131" s="28">
        <v>706881.0</v>
      </c>
      <c r="P131" s="35" t="s">
        <v>59</v>
      </c>
      <c r="Q131" s="35" t="s">
        <v>59</v>
      </c>
      <c r="R131" s="36"/>
    </row>
    <row r="132" ht="22.5" customHeight="1">
      <c r="A132" s="38"/>
      <c r="B132" s="26"/>
      <c r="C132" s="28" t="s">
        <v>53</v>
      </c>
      <c r="D132" s="29"/>
      <c r="E132" s="28" t="s">
        <v>41</v>
      </c>
      <c r="F132" s="28" t="s">
        <v>41</v>
      </c>
      <c r="G132" s="30" t="s">
        <v>1242</v>
      </c>
      <c r="H132" s="31"/>
      <c r="I132" s="31"/>
      <c r="J132" s="32">
        <v>46233.0</v>
      </c>
      <c r="K132" s="33"/>
      <c r="L132" s="28" t="s">
        <v>38</v>
      </c>
      <c r="M132" s="28">
        <v>553740.0</v>
      </c>
      <c r="N132" s="34">
        <v>17.2</v>
      </c>
      <c r="O132" s="28">
        <v>706881.0</v>
      </c>
      <c r="P132" s="35" t="s">
        <v>59</v>
      </c>
      <c r="Q132" s="35" t="s">
        <v>59</v>
      </c>
      <c r="R132" s="36"/>
    </row>
    <row r="133" ht="22.5" customHeight="1">
      <c r="A133" s="38"/>
      <c r="B133" s="26"/>
      <c r="C133" s="28" t="s">
        <v>53</v>
      </c>
      <c r="D133" s="29"/>
      <c r="E133" s="28" t="s">
        <v>41</v>
      </c>
      <c r="F133" s="28" t="s">
        <v>41</v>
      </c>
      <c r="G133" s="30" t="s">
        <v>883</v>
      </c>
      <c r="H133" s="31"/>
      <c r="I133" s="31"/>
      <c r="J133" s="32">
        <v>46233.0</v>
      </c>
      <c r="K133" s="33"/>
      <c r="L133" s="28" t="s">
        <v>38</v>
      </c>
      <c r="M133" s="28">
        <v>553740.0</v>
      </c>
      <c r="N133" s="34">
        <v>17.2</v>
      </c>
      <c r="O133" s="28">
        <v>706881.0</v>
      </c>
      <c r="P133" s="35" t="s">
        <v>59</v>
      </c>
      <c r="Q133" s="35" t="s">
        <v>59</v>
      </c>
      <c r="R133" s="36"/>
    </row>
    <row r="134" ht="22.5" customHeight="1">
      <c r="A134" s="38"/>
      <c r="B134" s="26"/>
      <c r="C134" s="28" t="s">
        <v>53</v>
      </c>
      <c r="D134" s="29"/>
      <c r="E134" s="28" t="s">
        <v>41</v>
      </c>
      <c r="F134" s="28" t="s">
        <v>41</v>
      </c>
      <c r="G134" s="30" t="s">
        <v>322</v>
      </c>
      <c r="H134" s="31"/>
      <c r="I134" s="31"/>
      <c r="J134" s="32">
        <v>46233.0</v>
      </c>
      <c r="K134" s="33"/>
      <c r="L134" s="28" t="s">
        <v>38</v>
      </c>
      <c r="M134" s="28">
        <v>553740.0</v>
      </c>
      <c r="N134" s="34">
        <v>17.2</v>
      </c>
      <c r="O134" s="28">
        <v>706881.0</v>
      </c>
      <c r="P134" s="35" t="s">
        <v>59</v>
      </c>
      <c r="Q134" s="35" t="s">
        <v>59</v>
      </c>
      <c r="R134" s="36"/>
    </row>
    <row r="135" ht="22.5" customHeight="1">
      <c r="A135" s="38"/>
      <c r="B135" s="26"/>
      <c r="C135" s="28" t="s">
        <v>1228</v>
      </c>
      <c r="D135" s="28" t="s">
        <v>1229</v>
      </c>
      <c r="E135" s="28" t="s">
        <v>35</v>
      </c>
      <c r="F135" s="28" t="s">
        <v>35</v>
      </c>
      <c r="G135" s="30" t="s">
        <v>844</v>
      </c>
      <c r="H135" s="30" t="s">
        <v>111</v>
      </c>
      <c r="I135" s="31"/>
      <c r="J135" s="32">
        <v>46233.0</v>
      </c>
      <c r="K135" s="33"/>
      <c r="L135" s="28" t="s">
        <v>38</v>
      </c>
      <c r="M135" s="28">
        <v>553740.0</v>
      </c>
      <c r="N135" s="34">
        <v>99.28</v>
      </c>
      <c r="O135" s="28">
        <v>706881.0</v>
      </c>
      <c r="P135" s="35" t="s">
        <v>43</v>
      </c>
      <c r="Q135" s="35" t="s">
        <v>43</v>
      </c>
      <c r="R135" s="36"/>
    </row>
    <row r="136" ht="22.5" customHeight="1">
      <c r="A136" s="38">
        <v>46219.37585835648</v>
      </c>
      <c r="B136" s="26" t="s">
        <v>382</v>
      </c>
      <c r="C136" s="28" t="s">
        <v>1243</v>
      </c>
      <c r="D136" s="28">
        <v>5.70604514E9</v>
      </c>
      <c r="E136" s="28" t="s">
        <v>35</v>
      </c>
      <c r="F136" s="28" t="s">
        <v>35</v>
      </c>
      <c r="G136" s="30" t="s">
        <v>1244</v>
      </c>
      <c r="H136" s="30" t="s">
        <v>37</v>
      </c>
      <c r="I136" s="30" t="s">
        <v>1245</v>
      </c>
      <c r="J136" s="32">
        <v>46240.0</v>
      </c>
      <c r="K136" s="33"/>
      <c r="L136" s="28" t="s">
        <v>38</v>
      </c>
      <c r="M136" s="28">
        <v>554819.0</v>
      </c>
      <c r="N136" s="34">
        <v>167.96</v>
      </c>
      <c r="O136" s="28">
        <v>708534.0</v>
      </c>
      <c r="P136" s="35" t="s">
        <v>43</v>
      </c>
      <c r="Q136" s="35" t="s">
        <v>43</v>
      </c>
      <c r="R136" s="36"/>
    </row>
    <row r="137" ht="22.5" customHeight="1">
      <c r="A137" s="38">
        <v>46233.66251340278</v>
      </c>
      <c r="B137" s="26" t="s">
        <v>382</v>
      </c>
      <c r="C137" s="28" t="s">
        <v>1246</v>
      </c>
      <c r="D137" s="28">
        <v>5.708150911E9</v>
      </c>
      <c r="E137" s="28" t="s">
        <v>41</v>
      </c>
      <c r="F137" s="28" t="s">
        <v>41</v>
      </c>
      <c r="G137" s="30" t="s">
        <v>1247</v>
      </c>
      <c r="H137" s="30" t="s">
        <v>111</v>
      </c>
      <c r="I137" s="31"/>
      <c r="J137" s="32">
        <v>46240.0</v>
      </c>
      <c r="K137" s="33"/>
      <c r="L137" s="28" t="s">
        <v>38</v>
      </c>
      <c r="M137" s="28">
        <v>554819.0</v>
      </c>
      <c r="N137" s="34">
        <v>162.59</v>
      </c>
      <c r="O137" s="28">
        <v>708534.0</v>
      </c>
      <c r="P137" s="35" t="s">
        <v>43</v>
      </c>
      <c r="Q137" s="35" t="s">
        <v>43</v>
      </c>
      <c r="R137" s="35"/>
    </row>
    <row r="138" ht="22.5" customHeight="1">
      <c r="A138" s="38">
        <v>46233.84298267361</v>
      </c>
      <c r="B138" s="26" t="s">
        <v>382</v>
      </c>
      <c r="C138" s="28" t="s">
        <v>1248</v>
      </c>
      <c r="D138" s="28">
        <v>5.708151026E9</v>
      </c>
      <c r="E138" s="28" t="s">
        <v>41</v>
      </c>
      <c r="F138" s="28" t="s">
        <v>41</v>
      </c>
      <c r="G138" s="30" t="s">
        <v>1249</v>
      </c>
      <c r="H138" s="30" t="s">
        <v>37</v>
      </c>
      <c r="I138" s="31"/>
      <c r="J138" s="32">
        <v>46240.0</v>
      </c>
      <c r="K138" s="33"/>
      <c r="L138" s="28" t="s">
        <v>38</v>
      </c>
      <c r="M138" s="28">
        <v>554819.0</v>
      </c>
      <c r="N138" s="34">
        <v>135.8</v>
      </c>
      <c r="O138" s="28">
        <v>708534.0</v>
      </c>
      <c r="P138" s="35"/>
      <c r="Q138" s="36"/>
      <c r="R138" s="35"/>
    </row>
    <row r="139" ht="22.5" customHeight="1">
      <c r="A139" s="38">
        <v>46233.85833315972</v>
      </c>
      <c r="B139" s="26"/>
      <c r="C139" s="28" t="s">
        <v>1250</v>
      </c>
      <c r="D139" s="28" t="s">
        <v>1251</v>
      </c>
      <c r="E139" s="28" t="s">
        <v>41</v>
      </c>
      <c r="F139" s="28" t="s">
        <v>41</v>
      </c>
      <c r="G139" s="30" t="s">
        <v>1252</v>
      </c>
      <c r="H139" s="30" t="s">
        <v>48</v>
      </c>
      <c r="I139" s="31"/>
      <c r="J139" s="32">
        <v>46240.0</v>
      </c>
      <c r="K139" s="33"/>
      <c r="L139" s="28" t="s">
        <v>38</v>
      </c>
      <c r="M139" s="28">
        <v>554819.0</v>
      </c>
      <c r="N139" s="34">
        <v>175.75</v>
      </c>
      <c r="O139" s="28">
        <v>708534.0</v>
      </c>
      <c r="P139" s="35" t="s">
        <v>43</v>
      </c>
      <c r="Q139" s="35" t="s">
        <v>43</v>
      </c>
      <c r="R139" s="36"/>
    </row>
    <row r="140" ht="22.5" customHeight="1">
      <c r="A140" s="38">
        <v>46237.86669646991</v>
      </c>
      <c r="B140" s="26" t="s">
        <v>382</v>
      </c>
      <c r="C140" s="28" t="s">
        <v>1253</v>
      </c>
      <c r="D140" s="29"/>
      <c r="E140" s="28" t="s">
        <v>35</v>
      </c>
      <c r="F140" s="28" t="s">
        <v>35</v>
      </c>
      <c r="G140" s="30" t="s">
        <v>1254</v>
      </c>
      <c r="H140" s="30" t="s">
        <v>111</v>
      </c>
      <c r="I140" s="31"/>
      <c r="J140" s="32">
        <v>46240.0</v>
      </c>
      <c r="K140" s="33"/>
      <c r="L140" s="28" t="s">
        <v>38</v>
      </c>
      <c r="M140" s="28">
        <v>554819.0</v>
      </c>
      <c r="N140" s="34">
        <v>50.11</v>
      </c>
      <c r="O140" s="28">
        <v>708534.0</v>
      </c>
      <c r="P140" s="35" t="s">
        <v>43</v>
      </c>
      <c r="Q140" s="35" t="s">
        <v>43</v>
      </c>
      <c r="R140" s="35" t="s">
        <v>1255</v>
      </c>
    </row>
    <row r="141" ht="22.5" customHeight="1">
      <c r="A141" s="38">
        <v>46238.83471922454</v>
      </c>
      <c r="B141" s="26" t="s">
        <v>1256</v>
      </c>
      <c r="C141" s="28" t="s">
        <v>1257</v>
      </c>
      <c r="D141" s="28" t="s">
        <v>1258</v>
      </c>
      <c r="E141" s="28" t="s">
        <v>35</v>
      </c>
      <c r="F141" s="28" t="s">
        <v>35</v>
      </c>
      <c r="G141" s="30" t="s">
        <v>1259</v>
      </c>
      <c r="H141" s="30" t="s">
        <v>111</v>
      </c>
      <c r="I141" s="30"/>
      <c r="J141" s="32">
        <v>46240.0</v>
      </c>
      <c r="K141" s="33"/>
      <c r="L141" s="28" t="s">
        <v>38</v>
      </c>
      <c r="M141" s="28">
        <v>554819.0</v>
      </c>
      <c r="N141" s="34">
        <v>146.78</v>
      </c>
      <c r="O141" s="28">
        <v>708534.0</v>
      </c>
      <c r="P141" s="35" t="s">
        <v>43</v>
      </c>
      <c r="Q141" s="35" t="s">
        <v>43</v>
      </c>
      <c r="R141" s="36"/>
    </row>
    <row r="142" ht="22.5" customHeight="1">
      <c r="A142" s="38"/>
      <c r="B142" s="26"/>
      <c r="C142" s="28" t="s">
        <v>137</v>
      </c>
      <c r="D142" s="28">
        <v>2.019066445E9</v>
      </c>
      <c r="E142" s="28" t="s">
        <v>41</v>
      </c>
      <c r="F142" s="28" t="s">
        <v>41</v>
      </c>
      <c r="G142" s="30" t="s">
        <v>1260</v>
      </c>
      <c r="H142" s="31"/>
      <c r="I142" s="31"/>
      <c r="J142" s="32">
        <v>46240.0</v>
      </c>
      <c r="K142" s="33"/>
      <c r="L142" s="28" t="s">
        <v>38</v>
      </c>
      <c r="M142" s="28">
        <v>554819.0</v>
      </c>
      <c r="N142" s="34">
        <v>162.59</v>
      </c>
      <c r="O142" s="28">
        <v>708534.0</v>
      </c>
      <c r="P142" s="35"/>
      <c r="Q142" s="35"/>
      <c r="R142" s="36"/>
    </row>
    <row r="143" ht="22.5" customHeight="1">
      <c r="A143" s="38"/>
      <c r="B143" s="26"/>
      <c r="C143" s="28" t="s">
        <v>53</v>
      </c>
      <c r="D143" s="29"/>
      <c r="E143" s="28" t="s">
        <v>41</v>
      </c>
      <c r="F143" s="28" t="s">
        <v>41</v>
      </c>
      <c r="G143" s="30" t="s">
        <v>1261</v>
      </c>
      <c r="H143" s="31"/>
      <c r="I143" s="30" t="s">
        <v>1262</v>
      </c>
      <c r="J143" s="32">
        <v>46244.0</v>
      </c>
      <c r="K143" s="33"/>
      <c r="L143" s="28" t="s">
        <v>38</v>
      </c>
      <c r="M143" s="28">
        <v>555433.0</v>
      </c>
      <c r="N143" s="34">
        <v>156.51</v>
      </c>
      <c r="O143" s="28">
        <v>710465.0</v>
      </c>
      <c r="P143" s="35" t="s">
        <v>59</v>
      </c>
      <c r="Q143" s="35" t="s">
        <v>59</v>
      </c>
      <c r="R143" s="36"/>
    </row>
    <row r="144" ht="22.5" customHeight="1">
      <c r="A144" s="38"/>
      <c r="B144" s="26"/>
      <c r="C144" s="28" t="s">
        <v>279</v>
      </c>
      <c r="D144" s="29"/>
      <c r="E144" s="28" t="s">
        <v>41</v>
      </c>
      <c r="F144" s="28" t="s">
        <v>41</v>
      </c>
      <c r="G144" s="30" t="s">
        <v>1263</v>
      </c>
      <c r="H144" s="31"/>
      <c r="I144" s="30" t="s">
        <v>1262</v>
      </c>
      <c r="J144" s="32">
        <v>46244.0</v>
      </c>
      <c r="K144" s="33"/>
      <c r="L144" s="28" t="s">
        <v>38</v>
      </c>
      <c r="M144" s="28">
        <v>555433.0</v>
      </c>
      <c r="N144" s="34">
        <v>156.51</v>
      </c>
      <c r="O144" s="28">
        <v>710465.0</v>
      </c>
      <c r="P144" s="35"/>
      <c r="Q144" s="36"/>
      <c r="R144" s="36"/>
    </row>
    <row r="145" ht="22.5" customHeight="1">
      <c r="A145" s="38"/>
      <c r="B145" s="26"/>
      <c r="C145" s="28" t="s">
        <v>1264</v>
      </c>
      <c r="D145" s="28"/>
      <c r="E145" s="28" t="s">
        <v>41</v>
      </c>
      <c r="F145" s="28" t="s">
        <v>41</v>
      </c>
      <c r="G145" s="30" t="s">
        <v>1265</v>
      </c>
      <c r="H145" s="31"/>
      <c r="I145" s="30" t="s">
        <v>1262</v>
      </c>
      <c r="J145" s="32">
        <v>46244.0</v>
      </c>
      <c r="K145" s="33"/>
      <c r="L145" s="28" t="s">
        <v>38</v>
      </c>
      <c r="M145" s="28">
        <v>555433.0</v>
      </c>
      <c r="N145" s="34">
        <v>156.51</v>
      </c>
      <c r="O145" s="28">
        <v>710465.0</v>
      </c>
      <c r="P145" s="35" t="s">
        <v>43</v>
      </c>
      <c r="Q145" s="35" t="s">
        <v>43</v>
      </c>
      <c r="R145" s="36"/>
    </row>
    <row r="146" ht="22.5" customHeight="1">
      <c r="A146" s="38"/>
      <c r="B146" s="26"/>
      <c r="C146" s="28" t="s">
        <v>53</v>
      </c>
      <c r="D146" s="28"/>
      <c r="E146" s="28" t="s">
        <v>41</v>
      </c>
      <c r="F146" s="28" t="s">
        <v>41</v>
      </c>
      <c r="G146" s="30" t="s">
        <v>1265</v>
      </c>
      <c r="H146" s="31"/>
      <c r="I146" s="30" t="s">
        <v>1262</v>
      </c>
      <c r="J146" s="32">
        <v>46244.0</v>
      </c>
      <c r="K146" s="33"/>
      <c r="L146" s="28" t="s">
        <v>38</v>
      </c>
      <c r="M146" s="28">
        <v>555433.0</v>
      </c>
      <c r="N146" s="34">
        <v>156.51</v>
      </c>
      <c r="O146" s="28">
        <v>710465.0</v>
      </c>
      <c r="P146" s="35" t="s">
        <v>59</v>
      </c>
      <c r="Q146" s="35" t="s">
        <v>59</v>
      </c>
      <c r="R146" s="36"/>
    </row>
    <row r="147" ht="22.5" customHeight="1">
      <c r="A147" s="38"/>
      <c r="B147" s="26"/>
      <c r="C147" s="28" t="s">
        <v>1266</v>
      </c>
      <c r="D147" s="29"/>
      <c r="E147" s="28" t="s">
        <v>41</v>
      </c>
      <c r="F147" s="28" t="s">
        <v>41</v>
      </c>
      <c r="G147" s="30" t="s">
        <v>1267</v>
      </c>
      <c r="H147" s="31"/>
      <c r="I147" s="30" t="s">
        <v>1268</v>
      </c>
      <c r="J147" s="32">
        <v>46244.0</v>
      </c>
      <c r="K147" s="33"/>
      <c r="L147" s="28" t="s">
        <v>38</v>
      </c>
      <c r="M147" s="28">
        <v>555433.0</v>
      </c>
      <c r="N147" s="34">
        <v>132.15</v>
      </c>
      <c r="O147" s="28">
        <v>710465.0</v>
      </c>
      <c r="P147" s="35"/>
      <c r="Q147" s="36"/>
      <c r="R147" s="36"/>
    </row>
    <row r="148" ht="22.5" customHeight="1">
      <c r="A148" s="38"/>
      <c r="B148" s="26"/>
      <c r="C148" s="28" t="s">
        <v>1266</v>
      </c>
      <c r="D148" s="29"/>
      <c r="E148" s="28" t="s">
        <v>41</v>
      </c>
      <c r="F148" s="28" t="s">
        <v>41</v>
      </c>
      <c r="G148" s="30" t="s">
        <v>1269</v>
      </c>
      <c r="H148" s="31"/>
      <c r="I148" s="30" t="s">
        <v>1268</v>
      </c>
      <c r="J148" s="32">
        <v>46244.0</v>
      </c>
      <c r="K148" s="33"/>
      <c r="L148" s="28" t="s">
        <v>38</v>
      </c>
      <c r="M148" s="28">
        <v>555433.0</v>
      </c>
      <c r="N148" s="34">
        <v>135.8</v>
      </c>
      <c r="O148" s="28">
        <v>710465.0</v>
      </c>
      <c r="P148" s="35"/>
      <c r="Q148" s="36"/>
      <c r="R148" s="36"/>
    </row>
    <row r="149" ht="22.5" customHeight="1">
      <c r="A149" s="38"/>
      <c r="B149" s="26"/>
      <c r="C149" s="28" t="s">
        <v>1270</v>
      </c>
      <c r="D149" s="29"/>
      <c r="E149" s="28" t="s">
        <v>41</v>
      </c>
      <c r="F149" s="28" t="s">
        <v>41</v>
      </c>
      <c r="G149" s="30" t="s">
        <v>1271</v>
      </c>
      <c r="H149" s="31"/>
      <c r="I149" s="30" t="s">
        <v>1262</v>
      </c>
      <c r="J149" s="32">
        <v>46244.0</v>
      </c>
      <c r="K149" s="33"/>
      <c r="L149" s="28" t="s">
        <v>38</v>
      </c>
      <c r="M149" s="28">
        <v>555433.0</v>
      </c>
      <c r="N149" s="34">
        <v>156.51</v>
      </c>
      <c r="O149" s="28">
        <v>710465.0</v>
      </c>
      <c r="P149" s="35" t="s">
        <v>43</v>
      </c>
      <c r="Q149" s="35" t="s">
        <v>43</v>
      </c>
      <c r="R149" s="36"/>
    </row>
    <row r="150" ht="22.5" customHeight="1">
      <c r="A150" s="38"/>
      <c r="B150" s="26"/>
      <c r="C150" s="28" t="s">
        <v>334</v>
      </c>
      <c r="D150" s="29"/>
      <c r="E150" s="28" t="s">
        <v>41</v>
      </c>
      <c r="F150" s="28" t="s">
        <v>41</v>
      </c>
      <c r="G150" s="30" t="s">
        <v>605</v>
      </c>
      <c r="H150" s="31"/>
      <c r="I150" s="30" t="s">
        <v>1268</v>
      </c>
      <c r="J150" s="32">
        <v>46244.0</v>
      </c>
      <c r="K150" s="33"/>
      <c r="L150" s="28" t="s">
        <v>38</v>
      </c>
      <c r="M150" s="28">
        <v>555433.0</v>
      </c>
      <c r="N150" s="34">
        <v>134.62</v>
      </c>
      <c r="O150" s="28">
        <v>710465.0</v>
      </c>
      <c r="P150" s="35" t="s">
        <v>43</v>
      </c>
      <c r="Q150" s="35" t="s">
        <v>43</v>
      </c>
      <c r="R150" s="36"/>
    </row>
    <row r="151" ht="22.5" customHeight="1">
      <c r="A151" s="38"/>
      <c r="B151" s="26"/>
      <c r="C151" s="28" t="s">
        <v>1272</v>
      </c>
      <c r="D151" s="29"/>
      <c r="E151" s="28" t="s">
        <v>41</v>
      </c>
      <c r="F151" s="28" t="s">
        <v>41</v>
      </c>
      <c r="G151" s="30" t="s">
        <v>605</v>
      </c>
      <c r="H151" s="31"/>
      <c r="I151" s="30" t="s">
        <v>1268</v>
      </c>
      <c r="J151" s="32">
        <v>46244.0</v>
      </c>
      <c r="K151" s="33"/>
      <c r="L151" s="28" t="s">
        <v>38</v>
      </c>
      <c r="M151" s="28">
        <v>555433.0</v>
      </c>
      <c r="N151" s="34">
        <v>134.62</v>
      </c>
      <c r="O151" s="28">
        <v>710465.0</v>
      </c>
      <c r="P151" s="35" t="s">
        <v>43</v>
      </c>
      <c r="Q151" s="35" t="s">
        <v>43</v>
      </c>
      <c r="R151" s="36"/>
    </row>
    <row r="152" ht="22.5" customHeight="1">
      <c r="A152" s="38"/>
      <c r="B152" s="26"/>
      <c r="C152" s="28" t="s">
        <v>1273</v>
      </c>
      <c r="D152" s="29"/>
      <c r="E152" s="28" t="s">
        <v>41</v>
      </c>
      <c r="F152" s="28" t="s">
        <v>41</v>
      </c>
      <c r="G152" s="30" t="s">
        <v>605</v>
      </c>
      <c r="H152" s="31"/>
      <c r="I152" s="30" t="s">
        <v>1268</v>
      </c>
      <c r="J152" s="32">
        <v>46244.0</v>
      </c>
      <c r="K152" s="33"/>
      <c r="L152" s="28" t="s">
        <v>38</v>
      </c>
      <c r="M152" s="28">
        <v>555433.0</v>
      </c>
      <c r="N152" s="34">
        <v>134.62</v>
      </c>
      <c r="O152" s="28">
        <v>710465.0</v>
      </c>
      <c r="P152" s="35"/>
      <c r="Q152" s="36"/>
      <c r="R152" s="36"/>
    </row>
    <row r="153" ht="22.5" customHeight="1">
      <c r="A153" s="38"/>
      <c r="B153" s="26"/>
      <c r="C153" s="28" t="s">
        <v>1274</v>
      </c>
      <c r="D153" s="29"/>
      <c r="E153" s="28" t="s">
        <v>41</v>
      </c>
      <c r="F153" s="28" t="s">
        <v>41</v>
      </c>
      <c r="G153" s="30" t="s">
        <v>613</v>
      </c>
      <c r="H153" s="31"/>
      <c r="I153" s="83" t="s">
        <v>1268</v>
      </c>
      <c r="J153" s="32">
        <v>46244.0</v>
      </c>
      <c r="K153" s="33"/>
      <c r="L153" s="28" t="s">
        <v>38</v>
      </c>
      <c r="M153" s="28">
        <v>555433.0</v>
      </c>
      <c r="N153" s="34">
        <v>134.62</v>
      </c>
      <c r="O153" s="28">
        <v>710465.0</v>
      </c>
      <c r="P153" s="35" t="s">
        <v>43</v>
      </c>
      <c r="Q153" s="35" t="s">
        <v>43</v>
      </c>
      <c r="R153" s="36"/>
    </row>
    <row r="154" ht="22.5" customHeight="1">
      <c r="A154" s="38"/>
      <c r="B154" s="26"/>
      <c r="C154" s="28" t="s">
        <v>53</v>
      </c>
      <c r="D154" s="29"/>
      <c r="E154" s="28" t="s">
        <v>41</v>
      </c>
      <c r="F154" s="28" t="s">
        <v>41</v>
      </c>
      <c r="G154" s="30" t="s">
        <v>613</v>
      </c>
      <c r="H154" s="31"/>
      <c r="I154" s="30" t="s">
        <v>1268</v>
      </c>
      <c r="J154" s="32">
        <v>46244.0</v>
      </c>
      <c r="K154" s="33"/>
      <c r="L154" s="28" t="s">
        <v>38</v>
      </c>
      <c r="M154" s="28">
        <v>555433.0</v>
      </c>
      <c r="N154" s="34">
        <v>134.62</v>
      </c>
      <c r="O154" s="28">
        <v>710465.0</v>
      </c>
      <c r="P154" s="35" t="s">
        <v>59</v>
      </c>
      <c r="Q154" s="35" t="s">
        <v>59</v>
      </c>
      <c r="R154" s="35" t="s">
        <v>59</v>
      </c>
    </row>
    <row r="155" ht="22.5" customHeight="1">
      <c r="A155" s="38"/>
      <c r="B155" s="26"/>
      <c r="C155" s="28" t="s">
        <v>53</v>
      </c>
      <c r="D155" s="29"/>
      <c r="E155" s="28" t="s">
        <v>64</v>
      </c>
      <c r="F155" s="28" t="s">
        <v>64</v>
      </c>
      <c r="G155" s="30" t="s">
        <v>613</v>
      </c>
      <c r="H155" s="31"/>
      <c r="I155" s="30" t="s">
        <v>1268</v>
      </c>
      <c r="J155" s="32">
        <v>46244.0</v>
      </c>
      <c r="K155" s="33"/>
      <c r="L155" s="28" t="s">
        <v>38</v>
      </c>
      <c r="M155" s="28">
        <v>555433.0</v>
      </c>
      <c r="N155" s="34">
        <v>134.62</v>
      </c>
      <c r="O155" s="28">
        <v>710465.0</v>
      </c>
      <c r="P155" s="35" t="s">
        <v>59</v>
      </c>
      <c r="Q155" s="35" t="s">
        <v>59</v>
      </c>
      <c r="R155" s="35" t="s">
        <v>59</v>
      </c>
    </row>
    <row r="156" ht="22.5" customHeight="1">
      <c r="A156" s="38"/>
      <c r="B156" s="26"/>
      <c r="C156" s="28" t="s">
        <v>1275</v>
      </c>
      <c r="D156" s="29"/>
      <c r="E156" s="28" t="s">
        <v>35</v>
      </c>
      <c r="F156" s="28" t="s">
        <v>35</v>
      </c>
      <c r="G156" s="30" t="s">
        <v>613</v>
      </c>
      <c r="H156" s="31"/>
      <c r="I156" s="30" t="s">
        <v>1268</v>
      </c>
      <c r="J156" s="32">
        <v>46244.0</v>
      </c>
      <c r="K156" s="33"/>
      <c r="L156" s="28" t="s">
        <v>38</v>
      </c>
      <c r="M156" s="28">
        <v>555433.0</v>
      </c>
      <c r="N156" s="34">
        <v>134.62</v>
      </c>
      <c r="O156" s="28">
        <v>710465.0</v>
      </c>
      <c r="P156" s="35"/>
      <c r="Q156" s="36"/>
      <c r="R156" s="36"/>
    </row>
    <row r="157" ht="22.5" customHeight="1">
      <c r="A157" s="38"/>
      <c r="B157" s="26"/>
      <c r="C157" s="28" t="s">
        <v>1276</v>
      </c>
      <c r="D157" s="28" t="s">
        <v>274</v>
      </c>
      <c r="E157" s="28" t="s">
        <v>41</v>
      </c>
      <c r="F157" s="28" t="s">
        <v>41</v>
      </c>
      <c r="G157" s="30" t="s">
        <v>598</v>
      </c>
      <c r="H157" s="31"/>
      <c r="I157" s="30" t="s">
        <v>1277</v>
      </c>
      <c r="J157" s="32">
        <v>46244.0</v>
      </c>
      <c r="K157" s="33"/>
      <c r="L157" s="28" t="s">
        <v>38</v>
      </c>
      <c r="M157" s="28">
        <v>555433.0</v>
      </c>
      <c r="N157" s="34">
        <v>94.28</v>
      </c>
      <c r="O157" s="28">
        <v>710465.0</v>
      </c>
      <c r="P157" s="35" t="s">
        <v>43</v>
      </c>
      <c r="Q157" s="35" t="s">
        <v>43</v>
      </c>
      <c r="R157" s="35" t="s">
        <v>43</v>
      </c>
    </row>
    <row r="158" ht="22.5" customHeight="1">
      <c r="A158" s="38"/>
      <c r="B158" s="26"/>
      <c r="C158" s="28" t="s">
        <v>1278</v>
      </c>
      <c r="D158" s="29"/>
      <c r="E158" s="28" t="s">
        <v>41</v>
      </c>
      <c r="F158" s="28" t="s">
        <v>41</v>
      </c>
      <c r="G158" s="30" t="s">
        <v>598</v>
      </c>
      <c r="H158" s="31"/>
      <c r="I158" s="30" t="s">
        <v>1277</v>
      </c>
      <c r="J158" s="32">
        <v>46244.0</v>
      </c>
      <c r="K158" s="33"/>
      <c r="L158" s="28" t="s">
        <v>38</v>
      </c>
      <c r="M158" s="28">
        <v>555433.0</v>
      </c>
      <c r="N158" s="34">
        <v>94.28</v>
      </c>
      <c r="O158" s="28">
        <v>710465.0</v>
      </c>
      <c r="P158" s="35"/>
      <c r="Q158" s="36"/>
      <c r="R158" s="36"/>
    </row>
    <row r="159" ht="22.5" customHeight="1">
      <c r="A159" s="38"/>
      <c r="B159" s="26"/>
      <c r="C159" s="28" t="s">
        <v>1279</v>
      </c>
      <c r="D159" s="28"/>
      <c r="E159" s="28" t="s">
        <v>41</v>
      </c>
      <c r="F159" s="28" t="s">
        <v>41</v>
      </c>
      <c r="G159" s="30" t="s">
        <v>1280</v>
      </c>
      <c r="H159" s="30"/>
      <c r="I159" s="30" t="s">
        <v>1268</v>
      </c>
      <c r="J159" s="32">
        <v>46244.0</v>
      </c>
      <c r="K159" s="33"/>
      <c r="L159" s="28" t="s">
        <v>38</v>
      </c>
      <c r="M159" s="28">
        <v>555433.0</v>
      </c>
      <c r="N159" s="34">
        <v>119.99</v>
      </c>
      <c r="O159" s="28">
        <v>710465.0</v>
      </c>
      <c r="P159" s="35" t="s">
        <v>43</v>
      </c>
      <c r="Q159" s="35" t="s">
        <v>43</v>
      </c>
      <c r="R159" s="35" t="s">
        <v>43</v>
      </c>
    </row>
    <row r="160" ht="22.5" customHeight="1">
      <c r="A160" s="38"/>
      <c r="B160" s="26"/>
      <c r="C160" s="28" t="s">
        <v>53</v>
      </c>
      <c r="D160" s="29"/>
      <c r="E160" s="29"/>
      <c r="F160" s="29"/>
      <c r="G160" s="30" t="s">
        <v>328</v>
      </c>
      <c r="H160" s="31"/>
      <c r="I160" s="30" t="s">
        <v>1281</v>
      </c>
      <c r="J160" s="32">
        <v>46244.0</v>
      </c>
      <c r="K160" s="33"/>
      <c r="L160" s="28" t="s">
        <v>38</v>
      </c>
      <c r="M160" s="28">
        <v>555433.0</v>
      </c>
      <c r="N160" s="34">
        <v>156.51</v>
      </c>
      <c r="O160" s="28">
        <v>710465.0</v>
      </c>
      <c r="P160" s="35" t="s">
        <v>59</v>
      </c>
      <c r="Q160" s="35" t="s">
        <v>59</v>
      </c>
      <c r="R160" s="35" t="s">
        <v>59</v>
      </c>
    </row>
    <row r="161" ht="22.5" customHeight="1">
      <c r="A161" s="38"/>
      <c r="B161" s="26"/>
      <c r="C161" s="28" t="s">
        <v>1282</v>
      </c>
      <c r="D161" s="29"/>
      <c r="E161" s="28" t="s">
        <v>35</v>
      </c>
      <c r="F161" s="28" t="s">
        <v>35</v>
      </c>
      <c r="G161" s="30" t="s">
        <v>328</v>
      </c>
      <c r="H161" s="31"/>
      <c r="I161" s="30" t="s">
        <v>1281</v>
      </c>
      <c r="J161" s="32">
        <v>46244.0</v>
      </c>
      <c r="K161" s="33"/>
      <c r="L161" s="28" t="s">
        <v>38</v>
      </c>
      <c r="M161" s="28">
        <v>555433.0</v>
      </c>
      <c r="N161" s="34">
        <v>156.51</v>
      </c>
      <c r="O161" s="28">
        <v>710465.0</v>
      </c>
      <c r="P161" s="35"/>
      <c r="Q161" s="36"/>
      <c r="R161" s="36"/>
    </row>
    <row r="162" ht="22.5" customHeight="1">
      <c r="A162" s="38"/>
      <c r="B162" s="26"/>
      <c r="C162" s="28" t="s">
        <v>53</v>
      </c>
      <c r="D162" s="29"/>
      <c r="E162" s="28" t="s">
        <v>41</v>
      </c>
      <c r="F162" s="28" t="s">
        <v>41</v>
      </c>
      <c r="G162" s="30" t="s">
        <v>471</v>
      </c>
      <c r="H162" s="31"/>
      <c r="I162" s="31"/>
      <c r="J162" s="32">
        <v>46244.0</v>
      </c>
      <c r="K162" s="33"/>
      <c r="L162" s="28" t="s">
        <v>38</v>
      </c>
      <c r="M162" s="28">
        <v>555433.0</v>
      </c>
      <c r="N162" s="34">
        <v>156.51</v>
      </c>
      <c r="O162" s="28">
        <v>710465.0</v>
      </c>
      <c r="P162" s="35" t="s">
        <v>59</v>
      </c>
      <c r="Q162" s="35" t="s">
        <v>59</v>
      </c>
      <c r="R162" s="35" t="s">
        <v>59</v>
      </c>
    </row>
    <row r="163" ht="22.5" customHeight="1">
      <c r="A163" s="38"/>
      <c r="B163" s="26"/>
      <c r="C163" s="28" t="s">
        <v>334</v>
      </c>
      <c r="D163" s="29"/>
      <c r="E163" s="28" t="s">
        <v>41</v>
      </c>
      <c r="F163" s="28" t="s">
        <v>41</v>
      </c>
      <c r="G163" s="30" t="s">
        <v>146</v>
      </c>
      <c r="H163" s="31"/>
      <c r="I163" s="31"/>
      <c r="J163" s="32">
        <v>46244.0</v>
      </c>
      <c r="K163" s="33"/>
      <c r="L163" s="28" t="s">
        <v>38</v>
      </c>
      <c r="M163" s="28">
        <v>555433.0</v>
      </c>
      <c r="N163" s="34">
        <v>156.51</v>
      </c>
      <c r="O163" s="28">
        <v>710726.0</v>
      </c>
      <c r="P163" s="35" t="s">
        <v>43</v>
      </c>
      <c r="Q163" s="35" t="s">
        <v>43</v>
      </c>
      <c r="R163" s="35" t="s">
        <v>43</v>
      </c>
    </row>
    <row r="164" ht="22.5" customHeight="1">
      <c r="A164" s="38"/>
      <c r="B164" s="26"/>
      <c r="C164" s="28" t="s">
        <v>1283</v>
      </c>
      <c r="D164" s="28"/>
      <c r="E164" s="28" t="s">
        <v>41</v>
      </c>
      <c r="F164" s="28" t="s">
        <v>41</v>
      </c>
      <c r="G164" s="30" t="s">
        <v>146</v>
      </c>
      <c r="H164" s="31"/>
      <c r="I164" s="31"/>
      <c r="J164" s="32">
        <v>46244.0</v>
      </c>
      <c r="K164" s="33"/>
      <c r="L164" s="28" t="s">
        <v>38</v>
      </c>
      <c r="M164" s="28">
        <v>555433.0</v>
      </c>
      <c r="N164" s="34">
        <v>156.51</v>
      </c>
      <c r="O164" s="28">
        <v>710726.0</v>
      </c>
      <c r="P164" s="35"/>
      <c r="Q164" s="36"/>
      <c r="R164" s="36"/>
    </row>
    <row r="165" ht="22.5" customHeight="1">
      <c r="A165" s="38"/>
      <c r="B165" s="26"/>
      <c r="C165" s="28" t="s">
        <v>1273</v>
      </c>
      <c r="D165" s="29"/>
      <c r="E165" s="28" t="s">
        <v>41</v>
      </c>
      <c r="F165" s="28" t="s">
        <v>41</v>
      </c>
      <c r="G165" s="30" t="s">
        <v>146</v>
      </c>
      <c r="H165" s="31"/>
      <c r="I165" s="31"/>
      <c r="J165" s="32">
        <v>46244.0</v>
      </c>
      <c r="K165" s="33"/>
      <c r="L165" s="28" t="s">
        <v>38</v>
      </c>
      <c r="M165" s="28">
        <v>555433.0</v>
      </c>
      <c r="N165" s="34">
        <v>156.51</v>
      </c>
      <c r="O165" s="28">
        <v>710726.0</v>
      </c>
      <c r="P165" s="35"/>
      <c r="Q165" s="36"/>
      <c r="R165" s="36"/>
    </row>
    <row r="166" ht="22.5" customHeight="1">
      <c r="A166" s="38"/>
      <c r="B166" s="26"/>
      <c r="C166" s="28" t="s">
        <v>455</v>
      </c>
      <c r="D166" s="28"/>
      <c r="E166" s="28" t="s">
        <v>41</v>
      </c>
      <c r="F166" s="28" t="s">
        <v>41</v>
      </c>
      <c r="G166" s="30" t="s">
        <v>146</v>
      </c>
      <c r="H166" s="31"/>
      <c r="I166" s="31"/>
      <c r="J166" s="32">
        <v>46244.0</v>
      </c>
      <c r="K166" s="33"/>
      <c r="L166" s="28" t="s">
        <v>38</v>
      </c>
      <c r="M166" s="28" t="s">
        <v>1284</v>
      </c>
      <c r="N166" s="34">
        <v>156.51</v>
      </c>
      <c r="O166" s="33"/>
      <c r="P166" s="35" t="s">
        <v>43</v>
      </c>
      <c r="Q166" s="35" t="s">
        <v>43</v>
      </c>
      <c r="R166" s="35" t="s">
        <v>43</v>
      </c>
    </row>
    <row r="167" ht="22.5" customHeight="1">
      <c r="A167" s="38"/>
      <c r="B167" s="26"/>
      <c r="C167" s="28" t="s">
        <v>1285</v>
      </c>
      <c r="D167" s="28"/>
      <c r="E167" s="28" t="s">
        <v>41</v>
      </c>
      <c r="F167" s="28" t="s">
        <v>41</v>
      </c>
      <c r="G167" s="30" t="s">
        <v>471</v>
      </c>
      <c r="H167" s="31"/>
      <c r="I167" s="31"/>
      <c r="J167" s="32">
        <v>46244.0</v>
      </c>
      <c r="K167" s="33"/>
      <c r="L167" s="28" t="s">
        <v>38</v>
      </c>
      <c r="M167" s="28">
        <v>555433.0</v>
      </c>
      <c r="N167" s="34">
        <v>156.51</v>
      </c>
      <c r="O167" s="28">
        <v>710465.0</v>
      </c>
      <c r="P167" s="35" t="s">
        <v>43</v>
      </c>
      <c r="Q167" s="35" t="s">
        <v>43</v>
      </c>
      <c r="R167" s="36"/>
    </row>
    <row r="168" ht="22.5" customHeight="1">
      <c r="A168" s="38"/>
      <c r="B168" s="26"/>
      <c r="C168" s="28" t="s">
        <v>1286</v>
      </c>
      <c r="D168" s="29"/>
      <c r="E168" s="28" t="s">
        <v>41</v>
      </c>
      <c r="F168" s="28" t="s">
        <v>41</v>
      </c>
      <c r="G168" s="30" t="s">
        <v>471</v>
      </c>
      <c r="H168" s="31"/>
      <c r="I168" s="31"/>
      <c r="J168" s="32">
        <v>46244.0</v>
      </c>
      <c r="K168" s="33"/>
      <c r="L168" s="28" t="s">
        <v>38</v>
      </c>
      <c r="M168" s="28">
        <v>555433.0</v>
      </c>
      <c r="N168" s="34">
        <v>156.51</v>
      </c>
      <c r="O168" s="28">
        <v>710465.0</v>
      </c>
      <c r="P168" s="35" t="s">
        <v>43</v>
      </c>
      <c r="Q168" s="35" t="s">
        <v>1287</v>
      </c>
      <c r="R168" s="36"/>
    </row>
    <row r="169" ht="22.5" customHeight="1">
      <c r="A169" s="38"/>
      <c r="B169" s="26"/>
      <c r="C169" s="28" t="s">
        <v>53</v>
      </c>
      <c r="D169" s="29"/>
      <c r="E169" s="29"/>
      <c r="F169" s="29"/>
      <c r="G169" s="30" t="s">
        <v>471</v>
      </c>
      <c r="H169" s="31"/>
      <c r="I169" s="31"/>
      <c r="J169" s="32">
        <v>46244.0</v>
      </c>
      <c r="K169" s="33"/>
      <c r="L169" s="28" t="s">
        <v>38</v>
      </c>
      <c r="M169" s="28">
        <v>555433.0</v>
      </c>
      <c r="N169" s="34">
        <v>156.51</v>
      </c>
      <c r="O169" s="28">
        <v>710465.0</v>
      </c>
      <c r="P169" s="35" t="s">
        <v>59</v>
      </c>
      <c r="Q169" s="35" t="s">
        <v>59</v>
      </c>
      <c r="R169" s="36"/>
    </row>
    <row r="170" ht="22.5" customHeight="1">
      <c r="A170" s="38"/>
      <c r="B170" s="26"/>
      <c r="C170" s="28" t="s">
        <v>1288</v>
      </c>
      <c r="D170" s="29"/>
      <c r="E170" s="29"/>
      <c r="F170" s="29"/>
      <c r="G170" s="30" t="s">
        <v>1122</v>
      </c>
      <c r="H170" s="31"/>
      <c r="I170" s="31"/>
      <c r="J170" s="32">
        <v>46244.0</v>
      </c>
      <c r="K170" s="33"/>
      <c r="L170" s="28" t="s">
        <v>38</v>
      </c>
      <c r="M170" s="28" t="s">
        <v>1284</v>
      </c>
      <c r="N170" s="34">
        <v>90.25</v>
      </c>
      <c r="O170" s="28">
        <v>709270.0</v>
      </c>
      <c r="P170" s="35" t="s">
        <v>43</v>
      </c>
      <c r="Q170" s="35" t="s">
        <v>43</v>
      </c>
      <c r="R170" s="36"/>
    </row>
    <row r="171" ht="22.5" customHeight="1">
      <c r="A171" s="38"/>
      <c r="B171" s="26"/>
      <c r="C171" s="28" t="s">
        <v>53</v>
      </c>
      <c r="D171" s="29"/>
      <c r="E171" s="29"/>
      <c r="F171" s="29"/>
      <c r="G171" s="30" t="s">
        <v>1289</v>
      </c>
      <c r="H171" s="31"/>
      <c r="I171" s="31"/>
      <c r="J171" s="32">
        <v>46244.0</v>
      </c>
      <c r="K171" s="33"/>
      <c r="L171" s="28" t="s">
        <v>38</v>
      </c>
      <c r="M171" s="28" t="s">
        <v>1284</v>
      </c>
      <c r="N171" s="34">
        <v>75.95</v>
      </c>
      <c r="O171" s="28">
        <v>709270.0</v>
      </c>
      <c r="P171" s="35" t="s">
        <v>59</v>
      </c>
      <c r="Q171" s="35" t="s">
        <v>59</v>
      </c>
      <c r="R171" s="36"/>
    </row>
    <row r="172" ht="22.5" customHeight="1">
      <c r="A172" s="38"/>
      <c r="B172" s="26"/>
      <c r="C172" s="28" t="s">
        <v>53</v>
      </c>
      <c r="D172" s="29"/>
      <c r="E172" s="29"/>
      <c r="F172" s="29"/>
      <c r="G172" s="30" t="s">
        <v>1290</v>
      </c>
      <c r="H172" s="31"/>
      <c r="I172" s="31"/>
      <c r="J172" s="32">
        <v>46244.0</v>
      </c>
      <c r="K172" s="33"/>
      <c r="L172" s="28" t="s">
        <v>38</v>
      </c>
      <c r="M172" s="28" t="s">
        <v>1284</v>
      </c>
      <c r="N172" s="34">
        <v>0.0</v>
      </c>
      <c r="O172" s="28" t="s">
        <v>1291</v>
      </c>
      <c r="P172" s="35" t="s">
        <v>59</v>
      </c>
      <c r="Q172" s="35" t="s">
        <v>59</v>
      </c>
      <c r="R172" s="36"/>
    </row>
    <row r="173" ht="22.5" customHeight="1">
      <c r="A173" s="38"/>
      <c r="B173" s="26"/>
      <c r="C173" s="28" t="s">
        <v>53</v>
      </c>
      <c r="D173" s="29"/>
      <c r="E173" s="29"/>
      <c r="F173" s="29"/>
      <c r="G173" s="30" t="s">
        <v>1292</v>
      </c>
      <c r="H173" s="31"/>
      <c r="I173" s="31"/>
      <c r="J173" s="32">
        <v>46244.0</v>
      </c>
      <c r="K173" s="33"/>
      <c r="L173" s="28" t="s">
        <v>38</v>
      </c>
      <c r="M173" s="28" t="s">
        <v>1284</v>
      </c>
      <c r="N173" s="34">
        <v>0.0</v>
      </c>
      <c r="O173" s="28" t="s">
        <v>1291</v>
      </c>
      <c r="P173" s="35" t="s">
        <v>59</v>
      </c>
      <c r="Q173" s="35" t="s">
        <v>59</v>
      </c>
      <c r="R173" s="36"/>
    </row>
    <row r="174" ht="22.5" customHeight="1">
      <c r="A174" s="38"/>
      <c r="B174" s="26"/>
      <c r="C174" s="28" t="s">
        <v>53</v>
      </c>
      <c r="D174" s="29"/>
      <c r="E174" s="29"/>
      <c r="F174" s="29"/>
      <c r="G174" s="30" t="s">
        <v>1293</v>
      </c>
      <c r="H174" s="31"/>
      <c r="I174" s="31"/>
      <c r="J174" s="32">
        <v>46244.0</v>
      </c>
      <c r="K174" s="33"/>
      <c r="L174" s="28" t="s">
        <v>38</v>
      </c>
      <c r="M174" s="28">
        <v>555433.0</v>
      </c>
      <c r="N174" s="34">
        <v>5.23</v>
      </c>
      <c r="O174" s="28">
        <v>710465.0</v>
      </c>
      <c r="P174" s="35" t="s">
        <v>59</v>
      </c>
      <c r="Q174" s="35" t="s">
        <v>59</v>
      </c>
      <c r="R174" s="36"/>
    </row>
    <row r="175" ht="22.5" customHeight="1">
      <c r="A175" s="38"/>
      <c r="B175" s="26"/>
      <c r="C175" s="28" t="s">
        <v>53</v>
      </c>
      <c r="D175" s="29"/>
      <c r="E175" s="29"/>
      <c r="F175" s="29"/>
      <c r="G175" s="30" t="s">
        <v>1294</v>
      </c>
      <c r="H175" s="31"/>
      <c r="I175" s="31"/>
      <c r="J175" s="32">
        <v>46244.0</v>
      </c>
      <c r="K175" s="33"/>
      <c r="L175" s="28" t="s">
        <v>38</v>
      </c>
      <c r="M175" s="28">
        <v>555433.0</v>
      </c>
      <c r="N175" s="34">
        <v>37.1</v>
      </c>
      <c r="O175" s="28">
        <v>710465.0</v>
      </c>
      <c r="P175" s="35" t="s">
        <v>59</v>
      </c>
      <c r="Q175" s="35" t="s">
        <v>59</v>
      </c>
      <c r="R175" s="36"/>
    </row>
    <row r="176" ht="22.5" customHeight="1">
      <c r="A176" s="38"/>
      <c r="B176" s="26"/>
      <c r="C176" s="28" t="s">
        <v>53</v>
      </c>
      <c r="D176" s="29"/>
      <c r="E176" s="29"/>
      <c r="F176" s="29"/>
      <c r="G176" s="30" t="s">
        <v>1295</v>
      </c>
      <c r="H176" s="31"/>
      <c r="I176" s="31"/>
      <c r="J176" s="32">
        <v>46244.0</v>
      </c>
      <c r="K176" s="33"/>
      <c r="L176" s="28" t="s">
        <v>38</v>
      </c>
      <c r="M176" s="28">
        <v>555433.0</v>
      </c>
      <c r="N176" s="34">
        <v>25.23</v>
      </c>
      <c r="O176" s="28">
        <v>710465.0</v>
      </c>
      <c r="P176" s="35" t="s">
        <v>59</v>
      </c>
      <c r="Q176" s="35" t="s">
        <v>59</v>
      </c>
      <c r="R176" s="36"/>
    </row>
    <row r="177" ht="22.5" customHeight="1">
      <c r="A177" s="38"/>
      <c r="B177" s="26"/>
      <c r="C177" s="28" t="s">
        <v>53</v>
      </c>
      <c r="D177" s="29"/>
      <c r="E177" s="29"/>
      <c r="F177" s="29"/>
      <c r="G177" s="30" t="s">
        <v>1296</v>
      </c>
      <c r="H177" s="31"/>
      <c r="I177" s="31"/>
      <c r="J177" s="32">
        <v>46244.0</v>
      </c>
      <c r="K177" s="33"/>
      <c r="L177" s="28" t="s">
        <v>38</v>
      </c>
      <c r="M177" s="28"/>
      <c r="N177" s="34">
        <v>25.23</v>
      </c>
      <c r="O177" s="33"/>
      <c r="P177" s="35" t="s">
        <v>59</v>
      </c>
      <c r="Q177" s="35" t="s">
        <v>59</v>
      </c>
      <c r="R177" s="36"/>
    </row>
    <row r="178" ht="22.5" customHeight="1">
      <c r="A178" s="38"/>
      <c r="B178" s="26"/>
      <c r="C178" s="28" t="s">
        <v>53</v>
      </c>
      <c r="D178" s="29"/>
      <c r="E178" s="29"/>
      <c r="F178" s="29"/>
      <c r="G178" s="30" t="s">
        <v>1297</v>
      </c>
      <c r="H178" s="31"/>
      <c r="I178" s="31"/>
      <c r="J178" s="32">
        <v>46244.0</v>
      </c>
      <c r="K178" s="33"/>
      <c r="L178" s="28" t="s">
        <v>38</v>
      </c>
      <c r="M178" s="28">
        <v>555433.0</v>
      </c>
      <c r="N178" s="34">
        <v>10.4</v>
      </c>
      <c r="O178" s="28">
        <v>710465.0</v>
      </c>
      <c r="P178" s="35" t="s">
        <v>59</v>
      </c>
      <c r="Q178" s="35" t="s">
        <v>59</v>
      </c>
      <c r="R178" s="36"/>
    </row>
    <row r="179" ht="22.5" customHeight="1">
      <c r="A179" s="38"/>
      <c r="B179" s="26"/>
      <c r="C179" s="28" t="s">
        <v>53</v>
      </c>
      <c r="D179" s="28"/>
      <c r="E179" s="28"/>
      <c r="F179" s="28"/>
      <c r="G179" s="30" t="s">
        <v>1298</v>
      </c>
      <c r="H179" s="30"/>
      <c r="I179" s="31"/>
      <c r="J179" s="32">
        <v>46244.0</v>
      </c>
      <c r="K179" s="33"/>
      <c r="L179" s="28" t="s">
        <v>38</v>
      </c>
      <c r="M179" s="28"/>
      <c r="N179" s="34">
        <v>10.4</v>
      </c>
      <c r="O179" s="33"/>
      <c r="P179" s="35" t="s">
        <v>59</v>
      </c>
      <c r="Q179" s="35" t="s">
        <v>59</v>
      </c>
      <c r="R179" s="36"/>
    </row>
    <row r="180" ht="22.5" customHeight="1">
      <c r="A180" s="38"/>
      <c r="B180" s="26"/>
      <c r="C180" s="28" t="s">
        <v>53</v>
      </c>
      <c r="D180" s="29"/>
      <c r="E180" s="28"/>
      <c r="F180" s="28"/>
      <c r="G180" s="30" t="s">
        <v>1299</v>
      </c>
      <c r="H180" s="31"/>
      <c r="I180" s="31"/>
      <c r="J180" s="32">
        <v>46244.0</v>
      </c>
      <c r="K180" s="33"/>
      <c r="L180" s="28" t="s">
        <v>38</v>
      </c>
      <c r="M180" s="28"/>
      <c r="N180" s="34">
        <v>10.4</v>
      </c>
      <c r="O180" s="33"/>
      <c r="P180" s="35" t="s">
        <v>59</v>
      </c>
      <c r="Q180" s="35" t="s">
        <v>59</v>
      </c>
      <c r="R180" s="36"/>
    </row>
    <row r="181" ht="22.5" customHeight="1">
      <c r="A181" s="38"/>
      <c r="B181" s="26"/>
      <c r="C181" s="28" t="s">
        <v>53</v>
      </c>
      <c r="D181" s="28"/>
      <c r="E181" s="29"/>
      <c r="F181" s="29"/>
      <c r="G181" s="30" t="s">
        <v>1300</v>
      </c>
      <c r="H181" s="31"/>
      <c r="I181" s="31"/>
      <c r="J181" s="32">
        <v>46244.0</v>
      </c>
      <c r="K181" s="33"/>
      <c r="L181" s="28" t="s">
        <v>38</v>
      </c>
      <c r="M181" s="28">
        <v>555433.0</v>
      </c>
      <c r="N181" s="34">
        <v>5.94</v>
      </c>
      <c r="O181" s="28">
        <v>710465.0</v>
      </c>
      <c r="P181" s="35" t="s">
        <v>59</v>
      </c>
      <c r="Q181" s="35" t="s">
        <v>59</v>
      </c>
      <c r="R181" s="36"/>
    </row>
    <row r="182" ht="22.5" customHeight="1">
      <c r="A182" s="38"/>
      <c r="B182" s="26"/>
      <c r="C182" s="28" t="s">
        <v>53</v>
      </c>
      <c r="D182" s="28"/>
      <c r="E182" s="28"/>
      <c r="F182" s="28"/>
      <c r="G182" s="30" t="s">
        <v>1301</v>
      </c>
      <c r="H182" s="31"/>
      <c r="I182" s="31"/>
      <c r="J182" s="32">
        <v>46244.0</v>
      </c>
      <c r="K182" s="33"/>
      <c r="L182" s="28" t="s">
        <v>38</v>
      </c>
      <c r="M182" s="28">
        <v>555433.0</v>
      </c>
      <c r="N182" s="34">
        <v>6.79</v>
      </c>
      <c r="O182" s="28">
        <v>710465.0</v>
      </c>
      <c r="P182" s="35" t="s">
        <v>59</v>
      </c>
      <c r="Q182" s="35" t="s">
        <v>59</v>
      </c>
      <c r="R182" s="36"/>
    </row>
    <row r="183" ht="22.5" customHeight="1">
      <c r="A183" s="38"/>
      <c r="B183" s="26"/>
      <c r="C183" s="28" t="s">
        <v>53</v>
      </c>
      <c r="D183" s="29"/>
      <c r="E183" s="28"/>
      <c r="F183" s="28"/>
      <c r="G183" s="30" t="s">
        <v>1302</v>
      </c>
      <c r="H183" s="30"/>
      <c r="I183" s="31"/>
      <c r="J183" s="32">
        <v>46244.0</v>
      </c>
      <c r="K183" s="33"/>
      <c r="L183" s="28" t="s">
        <v>38</v>
      </c>
      <c r="M183" s="28">
        <v>555433.0</v>
      </c>
      <c r="N183" s="34">
        <v>3.75</v>
      </c>
      <c r="O183" s="28">
        <v>710465.0</v>
      </c>
      <c r="P183" s="35" t="s">
        <v>59</v>
      </c>
      <c r="Q183" s="35" t="s">
        <v>59</v>
      </c>
      <c r="R183" s="36"/>
    </row>
    <row r="184" ht="22.5" customHeight="1">
      <c r="A184" s="38"/>
      <c r="B184" s="26"/>
      <c r="C184" s="28" t="s">
        <v>53</v>
      </c>
      <c r="D184" s="29"/>
      <c r="E184" s="28"/>
      <c r="F184" s="28"/>
      <c r="G184" s="30" t="s">
        <v>1303</v>
      </c>
      <c r="H184" s="31"/>
      <c r="I184" s="31"/>
      <c r="J184" s="32">
        <v>46244.0</v>
      </c>
      <c r="K184" s="33"/>
      <c r="L184" s="28" t="s">
        <v>38</v>
      </c>
      <c r="M184" s="28">
        <v>555433.0</v>
      </c>
      <c r="N184" s="34">
        <v>1.52</v>
      </c>
      <c r="O184" s="28">
        <v>710465.0</v>
      </c>
      <c r="P184" s="35" t="s">
        <v>59</v>
      </c>
      <c r="Q184" s="35" t="s">
        <v>59</v>
      </c>
      <c r="R184" s="36"/>
    </row>
    <row r="185" ht="22.5" customHeight="1">
      <c r="A185" s="38"/>
      <c r="B185" s="26"/>
      <c r="C185" s="28" t="s">
        <v>53</v>
      </c>
      <c r="D185" s="29"/>
      <c r="E185" s="28"/>
      <c r="F185" s="28"/>
      <c r="G185" s="30" t="s">
        <v>1304</v>
      </c>
      <c r="H185" s="31"/>
      <c r="I185" s="31"/>
      <c r="J185" s="32">
        <v>46244.0</v>
      </c>
      <c r="K185" s="33"/>
      <c r="L185" s="28" t="s">
        <v>38</v>
      </c>
      <c r="M185" s="28"/>
      <c r="N185" s="81"/>
      <c r="O185" s="33"/>
      <c r="P185" s="35" t="s">
        <v>59</v>
      </c>
      <c r="Q185" s="35" t="s">
        <v>59</v>
      </c>
      <c r="R185" s="36"/>
    </row>
    <row r="186" ht="22.5" customHeight="1">
      <c r="A186" s="38"/>
      <c r="B186" s="26"/>
      <c r="C186" s="28" t="s">
        <v>53</v>
      </c>
      <c r="D186" s="29"/>
      <c r="E186" s="28"/>
      <c r="F186" s="28"/>
      <c r="G186" s="30" t="s">
        <v>1305</v>
      </c>
      <c r="H186" s="31"/>
      <c r="I186" s="30" t="s">
        <v>1306</v>
      </c>
      <c r="J186" s="32">
        <v>46244.0</v>
      </c>
      <c r="K186" s="33"/>
      <c r="L186" s="28" t="s">
        <v>38</v>
      </c>
      <c r="M186" s="28">
        <v>555433.0</v>
      </c>
      <c r="N186" s="34">
        <v>10.4</v>
      </c>
      <c r="O186" s="28">
        <v>710465.0</v>
      </c>
      <c r="P186" s="35" t="s">
        <v>59</v>
      </c>
      <c r="Q186" s="35" t="s">
        <v>59</v>
      </c>
      <c r="R186" s="36"/>
    </row>
    <row r="187" ht="22.5" customHeight="1">
      <c r="A187" s="38"/>
      <c r="B187" s="26"/>
      <c r="C187" s="28" t="s">
        <v>53</v>
      </c>
      <c r="D187" s="28"/>
      <c r="E187" s="28"/>
      <c r="F187" s="28"/>
      <c r="G187" s="30" t="s">
        <v>1307</v>
      </c>
      <c r="H187" s="30"/>
      <c r="I187" s="31"/>
      <c r="J187" s="32">
        <v>46244.0</v>
      </c>
      <c r="K187" s="33"/>
      <c r="L187" s="28" t="s">
        <v>38</v>
      </c>
      <c r="M187" s="28">
        <v>555433.0</v>
      </c>
      <c r="N187" s="34">
        <v>6.03</v>
      </c>
      <c r="O187" s="28">
        <v>710465.0</v>
      </c>
      <c r="P187" s="35" t="s">
        <v>59</v>
      </c>
      <c r="Q187" s="35" t="s">
        <v>59</v>
      </c>
      <c r="R187" s="36"/>
    </row>
    <row r="188" ht="22.5" customHeight="1">
      <c r="A188" s="38"/>
      <c r="B188" s="26"/>
      <c r="C188" s="28" t="s">
        <v>53</v>
      </c>
      <c r="D188" s="28"/>
      <c r="E188" s="28"/>
      <c r="F188" s="28"/>
      <c r="G188" s="30" t="s">
        <v>1308</v>
      </c>
      <c r="H188" s="30"/>
      <c r="I188" s="30" t="s">
        <v>1309</v>
      </c>
      <c r="J188" s="32">
        <v>46244.0</v>
      </c>
      <c r="K188" s="33"/>
      <c r="L188" s="28" t="s">
        <v>38</v>
      </c>
      <c r="M188" s="28">
        <v>555433.0</v>
      </c>
      <c r="N188" s="34">
        <v>4.09</v>
      </c>
      <c r="O188" s="28">
        <v>710465.0</v>
      </c>
      <c r="P188" s="35" t="s">
        <v>59</v>
      </c>
      <c r="Q188" s="35" t="s">
        <v>59</v>
      </c>
      <c r="R188" s="36"/>
    </row>
    <row r="189" ht="22.5" customHeight="1">
      <c r="A189" s="38"/>
      <c r="B189" s="26"/>
      <c r="C189" s="28" t="s">
        <v>53</v>
      </c>
      <c r="D189" s="28"/>
      <c r="E189" s="28"/>
      <c r="F189" s="28"/>
      <c r="G189" s="30" t="s">
        <v>1310</v>
      </c>
      <c r="H189" s="31"/>
      <c r="I189" s="31"/>
      <c r="J189" s="32">
        <v>46244.0</v>
      </c>
      <c r="K189" s="33"/>
      <c r="L189" s="28" t="s">
        <v>38</v>
      </c>
      <c r="M189" s="28"/>
      <c r="N189" s="81"/>
      <c r="O189" s="33"/>
      <c r="P189" s="35" t="s">
        <v>59</v>
      </c>
      <c r="Q189" s="35" t="s">
        <v>59</v>
      </c>
      <c r="R189" s="36"/>
    </row>
    <row r="190" ht="22.5" customHeight="1">
      <c r="A190" s="38"/>
      <c r="B190" s="26"/>
      <c r="C190" s="28" t="s">
        <v>53</v>
      </c>
      <c r="D190" s="29"/>
      <c r="E190" s="29"/>
      <c r="F190" s="29"/>
      <c r="G190" s="30" t="s">
        <v>1311</v>
      </c>
      <c r="H190" s="31"/>
      <c r="I190" s="31"/>
      <c r="J190" s="32">
        <v>46244.0</v>
      </c>
      <c r="K190" s="33"/>
      <c r="L190" s="28" t="s">
        <v>38</v>
      </c>
      <c r="M190" s="28"/>
      <c r="N190" s="81"/>
      <c r="O190" s="33"/>
      <c r="P190" s="35" t="s">
        <v>59</v>
      </c>
      <c r="Q190" s="35" t="s">
        <v>59</v>
      </c>
      <c r="R190" s="36"/>
    </row>
    <row r="191" ht="22.5" customHeight="1">
      <c r="A191" s="38"/>
      <c r="B191" s="26"/>
      <c r="C191" s="28" t="s">
        <v>53</v>
      </c>
      <c r="D191" s="29"/>
      <c r="E191" s="29"/>
      <c r="F191" s="29"/>
      <c r="G191" s="30" t="s">
        <v>1312</v>
      </c>
      <c r="H191" s="31"/>
      <c r="I191" s="31"/>
      <c r="J191" s="32">
        <v>46244.0</v>
      </c>
      <c r="K191" s="33"/>
      <c r="L191" s="28" t="s">
        <v>38</v>
      </c>
      <c r="M191" s="28">
        <v>555433.0</v>
      </c>
      <c r="N191" s="34">
        <v>7.55</v>
      </c>
      <c r="O191" s="28">
        <v>710465.0</v>
      </c>
      <c r="P191" s="35" t="s">
        <v>59</v>
      </c>
      <c r="Q191" s="35" t="s">
        <v>59</v>
      </c>
      <c r="R191" s="36"/>
    </row>
    <row r="192" ht="22.5" customHeight="1">
      <c r="A192" s="38"/>
      <c r="B192" s="26"/>
      <c r="C192" s="28" t="s">
        <v>53</v>
      </c>
      <c r="D192" s="29"/>
      <c r="E192" s="29"/>
      <c r="F192" s="28"/>
      <c r="G192" s="30" t="s">
        <v>1244</v>
      </c>
      <c r="H192" s="31"/>
      <c r="I192" s="30" t="s">
        <v>1245</v>
      </c>
      <c r="J192" s="32">
        <v>46244.0</v>
      </c>
      <c r="K192" s="33"/>
      <c r="L192" s="28" t="s">
        <v>38</v>
      </c>
      <c r="M192" s="28"/>
      <c r="N192" s="34">
        <v>159.5</v>
      </c>
      <c r="O192" s="28">
        <v>710116.0</v>
      </c>
      <c r="P192" s="35" t="s">
        <v>59</v>
      </c>
      <c r="Q192" s="35" t="s">
        <v>59</v>
      </c>
      <c r="R192" s="36"/>
    </row>
    <row r="193" ht="22.5" customHeight="1">
      <c r="A193" s="38"/>
      <c r="B193" s="26"/>
      <c r="C193" s="28" t="s">
        <v>53</v>
      </c>
      <c r="D193" s="29"/>
      <c r="E193" s="29"/>
      <c r="F193" s="28"/>
      <c r="G193" s="30" t="s">
        <v>1244</v>
      </c>
      <c r="H193" s="31"/>
      <c r="I193" s="31"/>
      <c r="J193" s="32">
        <v>46244.0</v>
      </c>
      <c r="K193" s="33"/>
      <c r="L193" s="28" t="s">
        <v>38</v>
      </c>
      <c r="M193" s="28"/>
      <c r="N193" s="34">
        <v>159.5</v>
      </c>
      <c r="O193" s="28">
        <v>710116.0</v>
      </c>
      <c r="P193" s="35" t="s">
        <v>59</v>
      </c>
      <c r="Q193" s="35" t="s">
        <v>59</v>
      </c>
      <c r="R193" s="36"/>
    </row>
    <row r="194" ht="22.5" customHeight="1">
      <c r="A194" s="38"/>
      <c r="B194" s="26"/>
      <c r="C194" s="28" t="s">
        <v>53</v>
      </c>
      <c r="D194" s="29"/>
      <c r="E194" s="29"/>
      <c r="F194" s="28"/>
      <c r="G194" s="30" t="s">
        <v>1313</v>
      </c>
      <c r="H194" s="30" t="s">
        <v>1314</v>
      </c>
      <c r="I194" s="30" t="s">
        <v>1315</v>
      </c>
      <c r="J194" s="32">
        <v>46244.0</v>
      </c>
      <c r="K194" s="33"/>
      <c r="L194" s="28" t="s">
        <v>38</v>
      </c>
      <c r="M194" s="28"/>
      <c r="N194" s="34">
        <v>2.5</v>
      </c>
      <c r="O194" s="28">
        <v>711169.0</v>
      </c>
      <c r="P194" s="35" t="s">
        <v>59</v>
      </c>
      <c r="Q194" s="35" t="s">
        <v>59</v>
      </c>
      <c r="R194" s="36"/>
    </row>
    <row r="195" ht="22.5" customHeight="1">
      <c r="A195" s="38"/>
      <c r="B195" s="26"/>
      <c r="C195" s="28" t="s">
        <v>53</v>
      </c>
      <c r="D195" s="29"/>
      <c r="E195" s="29"/>
      <c r="F195" s="28"/>
      <c r="G195" s="30" t="s">
        <v>1316</v>
      </c>
      <c r="H195" s="30" t="s">
        <v>1317</v>
      </c>
      <c r="I195" s="30" t="s">
        <v>1318</v>
      </c>
      <c r="J195" s="32">
        <v>46244.0</v>
      </c>
      <c r="K195" s="33"/>
      <c r="L195" s="28" t="s">
        <v>38</v>
      </c>
      <c r="M195" s="28"/>
      <c r="N195" s="34">
        <v>2.5</v>
      </c>
      <c r="O195" s="28">
        <v>711169.0</v>
      </c>
      <c r="P195" s="35" t="s">
        <v>59</v>
      </c>
      <c r="Q195" s="35" t="s">
        <v>59</v>
      </c>
      <c r="R195" s="36"/>
    </row>
    <row r="196" ht="22.5" customHeight="1">
      <c r="A196" s="38"/>
      <c r="B196" s="26"/>
      <c r="C196" s="28" t="s">
        <v>53</v>
      </c>
      <c r="D196" s="29"/>
      <c r="E196" s="29"/>
      <c r="F196" s="29"/>
      <c r="G196" s="30" t="s">
        <v>1319</v>
      </c>
      <c r="H196" s="30" t="s">
        <v>1320</v>
      </c>
      <c r="I196" s="31"/>
      <c r="J196" s="32">
        <v>46244.0</v>
      </c>
      <c r="K196" s="33"/>
      <c r="L196" s="28" t="s">
        <v>38</v>
      </c>
      <c r="M196" s="28"/>
      <c r="N196" s="34">
        <v>8.33</v>
      </c>
      <c r="O196" s="33"/>
      <c r="P196" s="35" t="s">
        <v>59</v>
      </c>
      <c r="Q196" s="35" t="s">
        <v>59</v>
      </c>
      <c r="R196" s="36"/>
    </row>
    <row r="197" ht="22.5" customHeight="1">
      <c r="A197" s="38"/>
      <c r="B197" s="26"/>
      <c r="C197" s="28" t="s">
        <v>53</v>
      </c>
      <c r="D197" s="29"/>
      <c r="E197" s="29"/>
      <c r="F197" s="29"/>
      <c r="G197" s="30" t="s">
        <v>1321</v>
      </c>
      <c r="H197" s="31"/>
      <c r="I197" s="31"/>
      <c r="J197" s="32">
        <v>46244.0</v>
      </c>
      <c r="K197" s="33"/>
      <c r="L197" s="28" t="s">
        <v>38</v>
      </c>
      <c r="M197" s="28">
        <v>555157.0</v>
      </c>
      <c r="N197" s="34">
        <v>14.82</v>
      </c>
      <c r="O197" s="28">
        <v>710608.0</v>
      </c>
      <c r="P197" s="35" t="s">
        <v>59</v>
      </c>
      <c r="Q197" s="35" t="s">
        <v>59</v>
      </c>
      <c r="R197" s="36"/>
    </row>
    <row r="198" ht="22.5" customHeight="1">
      <c r="A198" s="38"/>
      <c r="B198" s="26"/>
      <c r="C198" s="28" t="s">
        <v>53</v>
      </c>
      <c r="D198" s="29"/>
      <c r="E198" s="29"/>
      <c r="F198" s="29"/>
      <c r="G198" s="30" t="s">
        <v>1322</v>
      </c>
      <c r="H198" s="31"/>
      <c r="I198" s="31"/>
      <c r="J198" s="32">
        <v>46244.0</v>
      </c>
      <c r="K198" s="33"/>
      <c r="L198" s="28" t="s">
        <v>38</v>
      </c>
      <c r="M198" s="28">
        <v>555157.0</v>
      </c>
      <c r="N198" s="34">
        <v>14.82</v>
      </c>
      <c r="O198" s="28">
        <v>710608.0</v>
      </c>
      <c r="P198" s="35" t="s">
        <v>59</v>
      </c>
      <c r="Q198" s="35" t="s">
        <v>59</v>
      </c>
      <c r="R198" s="36"/>
    </row>
    <row r="199" ht="22.5" customHeight="1">
      <c r="A199" s="38"/>
      <c r="B199" s="26"/>
      <c r="C199" s="28" t="s">
        <v>53</v>
      </c>
      <c r="D199" s="29"/>
      <c r="E199" s="29"/>
      <c r="F199" s="28"/>
      <c r="G199" s="30" t="s">
        <v>1323</v>
      </c>
      <c r="H199" s="31"/>
      <c r="I199" s="31"/>
      <c r="J199" s="84">
        <v>46244.0</v>
      </c>
      <c r="K199" s="85"/>
      <c r="L199" s="86" t="s">
        <v>38</v>
      </c>
      <c r="M199" s="86">
        <v>555168.0</v>
      </c>
      <c r="N199" s="34">
        <v>26.74</v>
      </c>
      <c r="O199" s="28">
        <v>710606.0</v>
      </c>
      <c r="P199" s="35" t="s">
        <v>59</v>
      </c>
      <c r="Q199" s="35" t="s">
        <v>59</v>
      </c>
      <c r="R199" s="36"/>
    </row>
    <row r="200" ht="22.5" customHeight="1">
      <c r="A200" s="38"/>
      <c r="B200" s="26"/>
      <c r="C200" s="28" t="s">
        <v>53</v>
      </c>
      <c r="D200" s="29"/>
      <c r="E200" s="29"/>
      <c r="F200" s="28"/>
      <c r="G200" s="30" t="s">
        <v>1242</v>
      </c>
      <c r="H200" s="31"/>
      <c r="I200" s="31"/>
      <c r="J200" s="84">
        <v>46244.0</v>
      </c>
      <c r="K200" s="85"/>
      <c r="L200" s="86" t="s">
        <v>38</v>
      </c>
      <c r="M200" s="86">
        <v>555168.0</v>
      </c>
      <c r="N200" s="34">
        <v>17.2</v>
      </c>
      <c r="O200" s="28">
        <v>710606.0</v>
      </c>
      <c r="P200" s="35" t="s">
        <v>59</v>
      </c>
      <c r="Q200" s="35" t="s">
        <v>59</v>
      </c>
      <c r="R200" s="36"/>
    </row>
    <row r="201" ht="22.5" customHeight="1">
      <c r="A201" s="38"/>
      <c r="B201" s="26"/>
      <c r="C201" s="28" t="s">
        <v>53</v>
      </c>
      <c r="D201" s="29"/>
      <c r="E201" s="29"/>
      <c r="F201" s="28"/>
      <c r="G201" s="30" t="s">
        <v>322</v>
      </c>
      <c r="H201" s="31"/>
      <c r="I201" s="31"/>
      <c r="J201" s="84">
        <v>46244.0</v>
      </c>
      <c r="K201" s="85"/>
      <c r="L201" s="86" t="s">
        <v>38</v>
      </c>
      <c r="M201" s="86">
        <v>555168.0</v>
      </c>
      <c r="N201" s="34">
        <v>17.2</v>
      </c>
      <c r="O201" s="28">
        <v>710606.0</v>
      </c>
      <c r="P201" s="35" t="s">
        <v>59</v>
      </c>
      <c r="Q201" s="35" t="s">
        <v>59</v>
      </c>
      <c r="R201" s="36"/>
    </row>
    <row r="202" ht="22.5" customHeight="1">
      <c r="A202" s="38"/>
      <c r="B202" s="26"/>
      <c r="C202" s="28" t="s">
        <v>53</v>
      </c>
      <c r="D202" s="29"/>
      <c r="E202" s="29"/>
      <c r="F202" s="28"/>
      <c r="G202" s="30" t="s">
        <v>1324</v>
      </c>
      <c r="H202" s="31"/>
      <c r="I202" s="31"/>
      <c r="J202" s="84">
        <v>46244.0</v>
      </c>
      <c r="K202" s="85"/>
      <c r="L202" s="86" t="s">
        <v>38</v>
      </c>
      <c r="M202" s="86">
        <v>555168.0</v>
      </c>
      <c r="N202" s="34">
        <v>5.51</v>
      </c>
      <c r="O202" s="28">
        <v>710606.0</v>
      </c>
      <c r="P202" s="35" t="s">
        <v>59</v>
      </c>
      <c r="Q202" s="35" t="s">
        <v>59</v>
      </c>
      <c r="R202" s="36"/>
    </row>
    <row r="203" ht="22.5" customHeight="1">
      <c r="A203" s="38"/>
      <c r="B203" s="26"/>
      <c r="C203" s="28" t="s">
        <v>53</v>
      </c>
      <c r="D203" s="29"/>
      <c r="E203" s="29"/>
      <c r="F203" s="28" t="s">
        <v>1325</v>
      </c>
      <c r="G203" s="30" t="s">
        <v>1326</v>
      </c>
      <c r="H203" s="31"/>
      <c r="I203" s="31"/>
      <c r="J203" s="32">
        <v>46244.0</v>
      </c>
      <c r="K203" s="33"/>
      <c r="L203" s="28" t="s">
        <v>38</v>
      </c>
      <c r="M203" s="28" t="s">
        <v>1284</v>
      </c>
      <c r="N203" s="34">
        <v>8.12</v>
      </c>
      <c r="O203" s="28">
        <v>709725.0</v>
      </c>
      <c r="P203" s="35" t="s">
        <v>59</v>
      </c>
      <c r="Q203" s="35" t="s">
        <v>59</v>
      </c>
      <c r="R203" s="36"/>
    </row>
    <row r="204" ht="22.5" customHeight="1">
      <c r="A204" s="38"/>
      <c r="B204" s="26"/>
      <c r="C204" s="28" t="s">
        <v>53</v>
      </c>
      <c r="D204" s="29"/>
      <c r="E204" s="29"/>
      <c r="F204" s="28" t="s">
        <v>1327</v>
      </c>
      <c r="G204" s="30" t="s">
        <v>1328</v>
      </c>
      <c r="H204" s="31"/>
      <c r="I204" s="30" t="s">
        <v>1329</v>
      </c>
      <c r="J204" s="32">
        <v>46244.0</v>
      </c>
      <c r="K204" s="33"/>
      <c r="L204" s="28" t="s">
        <v>38</v>
      </c>
      <c r="M204" s="28" t="s">
        <v>1284</v>
      </c>
      <c r="N204" s="34">
        <v>0.0</v>
      </c>
      <c r="O204" s="28">
        <v>709725.0</v>
      </c>
      <c r="P204" s="35" t="s">
        <v>59</v>
      </c>
      <c r="Q204" s="35" t="s">
        <v>59</v>
      </c>
      <c r="R204" s="36"/>
    </row>
    <row r="205" ht="22.5" customHeight="1">
      <c r="A205" s="38"/>
      <c r="B205" s="26"/>
      <c r="C205" s="28" t="s">
        <v>53</v>
      </c>
      <c r="D205" s="29"/>
      <c r="E205" s="29"/>
      <c r="F205" s="29"/>
      <c r="G205" s="30" t="s">
        <v>1337</v>
      </c>
      <c r="H205" s="31"/>
      <c r="I205" s="31"/>
      <c r="J205" s="32">
        <v>46244.0</v>
      </c>
      <c r="K205" s="33"/>
      <c r="L205" s="28" t="s">
        <v>38</v>
      </c>
      <c r="M205" s="28">
        <v>557041.0</v>
      </c>
      <c r="N205" s="34">
        <v>7.74</v>
      </c>
      <c r="O205" s="28"/>
      <c r="P205" s="35" t="s">
        <v>59</v>
      </c>
      <c r="Q205" s="35" t="s">
        <v>59</v>
      </c>
      <c r="R205" s="36"/>
    </row>
    <row r="206" ht="22.5" customHeight="1">
      <c r="A206" s="38"/>
      <c r="B206" s="26"/>
      <c r="C206" s="28" t="s">
        <v>53</v>
      </c>
      <c r="D206" s="29"/>
      <c r="E206" s="29"/>
      <c r="F206" s="29"/>
      <c r="G206" s="30" t="s">
        <v>1340</v>
      </c>
      <c r="H206" s="31"/>
      <c r="I206" s="31"/>
      <c r="J206" s="32">
        <v>46244.0</v>
      </c>
      <c r="K206" s="33"/>
      <c r="L206" s="28" t="s">
        <v>38</v>
      </c>
      <c r="M206" s="28">
        <v>557041.0</v>
      </c>
      <c r="N206" s="34">
        <v>7.74</v>
      </c>
      <c r="O206" s="28"/>
      <c r="P206" s="35" t="s">
        <v>59</v>
      </c>
      <c r="Q206" s="35" t="s">
        <v>59</v>
      </c>
      <c r="R206" s="36"/>
    </row>
    <row r="207" ht="22.5" customHeight="1">
      <c r="A207" s="38"/>
      <c r="B207" s="26"/>
      <c r="C207" s="28" t="s">
        <v>53</v>
      </c>
      <c r="D207" s="29"/>
      <c r="E207" s="29"/>
      <c r="F207" s="29"/>
      <c r="G207" s="30" t="s">
        <v>1351</v>
      </c>
      <c r="H207" s="31"/>
      <c r="I207" s="31"/>
      <c r="J207" s="32">
        <v>46244.0</v>
      </c>
      <c r="K207" s="33"/>
      <c r="L207" s="28" t="s">
        <v>38</v>
      </c>
      <c r="M207" s="28">
        <v>557041.0</v>
      </c>
      <c r="N207" s="34">
        <v>3.33</v>
      </c>
      <c r="O207" s="28">
        <v>711239.0</v>
      </c>
      <c r="P207" s="35" t="s">
        <v>59</v>
      </c>
      <c r="Q207" s="35" t="s">
        <v>59</v>
      </c>
      <c r="R207" s="36"/>
    </row>
    <row r="208" ht="22.5" customHeight="1">
      <c r="A208" s="38"/>
      <c r="B208" s="26"/>
      <c r="C208" s="28" t="s">
        <v>53</v>
      </c>
      <c r="D208" s="29"/>
      <c r="E208" s="29"/>
      <c r="F208" s="29"/>
      <c r="G208" s="30" t="s">
        <v>1367</v>
      </c>
      <c r="H208" s="31"/>
      <c r="I208" s="31"/>
      <c r="J208" s="32">
        <v>46244.0</v>
      </c>
      <c r="K208" s="33"/>
      <c r="L208" s="28" t="s">
        <v>38</v>
      </c>
      <c r="M208" s="28">
        <v>557041.0</v>
      </c>
      <c r="N208" s="34">
        <v>3.14</v>
      </c>
      <c r="O208" s="28">
        <v>711239.0</v>
      </c>
      <c r="P208" s="35" t="s">
        <v>59</v>
      </c>
      <c r="Q208" s="35" t="s">
        <v>59</v>
      </c>
      <c r="R208" s="36"/>
    </row>
    <row r="209" ht="22.5" customHeight="1">
      <c r="A209" s="38"/>
      <c r="B209" s="26"/>
      <c r="C209" s="28" t="s">
        <v>53</v>
      </c>
      <c r="D209" s="29"/>
      <c r="E209" s="29"/>
      <c r="F209" s="29"/>
      <c r="G209" s="30" t="s">
        <v>1383</v>
      </c>
      <c r="H209" s="31"/>
      <c r="I209" s="31"/>
      <c r="J209" s="32">
        <v>46244.0</v>
      </c>
      <c r="K209" s="33"/>
      <c r="L209" s="28" t="s">
        <v>38</v>
      </c>
      <c r="M209" s="28">
        <v>557041.0</v>
      </c>
      <c r="N209" s="34">
        <v>3.33</v>
      </c>
      <c r="O209" s="28">
        <v>711239.0</v>
      </c>
      <c r="P209" s="35" t="s">
        <v>59</v>
      </c>
      <c r="Q209" s="35" t="s">
        <v>59</v>
      </c>
      <c r="R209" s="36"/>
    </row>
    <row r="210" ht="22.5" customHeight="1">
      <c r="A210" s="38"/>
      <c r="B210" s="26"/>
      <c r="C210" s="28" t="s">
        <v>53</v>
      </c>
      <c r="D210" s="29"/>
      <c r="E210" s="29"/>
      <c r="F210" s="29"/>
      <c r="G210" s="30" t="s">
        <v>1393</v>
      </c>
      <c r="H210" s="31"/>
      <c r="I210" s="31"/>
      <c r="J210" s="32">
        <v>46244.0</v>
      </c>
      <c r="K210" s="33"/>
      <c r="L210" s="28" t="s">
        <v>38</v>
      </c>
      <c r="M210" s="28">
        <v>557041.0</v>
      </c>
      <c r="N210" s="34">
        <v>3.33</v>
      </c>
      <c r="O210" s="28">
        <v>711239.0</v>
      </c>
      <c r="P210" s="35" t="s">
        <v>59</v>
      </c>
      <c r="Q210" s="35" t="s">
        <v>59</v>
      </c>
      <c r="R210" s="36"/>
    </row>
    <row r="211" ht="22.5" customHeight="1">
      <c r="A211" s="38"/>
      <c r="B211" s="26"/>
      <c r="C211" s="28" t="s">
        <v>53</v>
      </c>
      <c r="D211" s="29"/>
      <c r="E211" s="29"/>
      <c r="F211" s="29"/>
      <c r="G211" s="30" t="s">
        <v>1407</v>
      </c>
      <c r="H211" s="31"/>
      <c r="I211" s="31"/>
      <c r="J211" s="32">
        <v>46244.0</v>
      </c>
      <c r="K211" s="33"/>
      <c r="L211" s="28" t="s">
        <v>38</v>
      </c>
      <c r="M211" s="28">
        <v>557041.0</v>
      </c>
      <c r="N211" s="34">
        <v>3.33</v>
      </c>
      <c r="O211" s="28">
        <v>711239.0</v>
      </c>
      <c r="P211" s="35" t="s">
        <v>59</v>
      </c>
      <c r="Q211" s="35" t="s">
        <v>59</v>
      </c>
      <c r="R211" s="36"/>
    </row>
    <row r="212" ht="22.5" customHeight="1">
      <c r="A212" s="38"/>
      <c r="B212" s="26"/>
      <c r="C212" s="28" t="s">
        <v>53</v>
      </c>
      <c r="D212" s="29"/>
      <c r="E212" s="29"/>
      <c r="F212" s="29"/>
      <c r="G212" s="30" t="s">
        <v>1427</v>
      </c>
      <c r="H212" s="31"/>
      <c r="I212" s="31"/>
      <c r="J212" s="32">
        <v>46244.0</v>
      </c>
      <c r="K212" s="33"/>
      <c r="L212" s="28" t="s">
        <v>38</v>
      </c>
      <c r="M212" s="28">
        <v>557041.0</v>
      </c>
      <c r="N212" s="34">
        <v>3.33</v>
      </c>
      <c r="O212" s="28">
        <v>711239.0</v>
      </c>
      <c r="P212" s="35" t="s">
        <v>59</v>
      </c>
      <c r="Q212" s="35" t="s">
        <v>59</v>
      </c>
      <c r="R212" s="36"/>
    </row>
    <row r="213" ht="22.5" customHeight="1">
      <c r="A213" s="38"/>
      <c r="B213" s="26"/>
      <c r="C213" s="28" t="s">
        <v>53</v>
      </c>
      <c r="D213" s="29"/>
      <c r="E213" s="29"/>
      <c r="F213" s="29"/>
      <c r="G213" s="30" t="s">
        <v>1436</v>
      </c>
      <c r="H213" s="31"/>
      <c r="I213" s="31"/>
      <c r="J213" s="32">
        <v>46244.0</v>
      </c>
      <c r="K213" s="33"/>
      <c r="L213" s="28" t="s">
        <v>38</v>
      </c>
      <c r="M213" s="28">
        <v>557041.0</v>
      </c>
      <c r="N213" s="34">
        <v>3.33</v>
      </c>
      <c r="O213" s="28">
        <v>711239.0</v>
      </c>
      <c r="P213" s="35" t="s">
        <v>59</v>
      </c>
      <c r="Q213" s="35" t="s">
        <v>59</v>
      </c>
      <c r="R213" s="36"/>
    </row>
    <row r="214" ht="22.5" customHeight="1">
      <c r="A214" s="38"/>
      <c r="B214" s="26"/>
      <c r="C214" s="28" t="s">
        <v>53</v>
      </c>
      <c r="D214" s="29"/>
      <c r="E214" s="29"/>
      <c r="F214" s="29"/>
      <c r="G214" s="30" t="s">
        <v>1437</v>
      </c>
      <c r="H214" s="31"/>
      <c r="I214" s="31"/>
      <c r="J214" s="32">
        <v>46244.0</v>
      </c>
      <c r="K214" s="33"/>
      <c r="L214" s="28" t="s">
        <v>38</v>
      </c>
      <c r="M214" s="28">
        <v>557041.0</v>
      </c>
      <c r="N214" s="34">
        <v>8.12</v>
      </c>
      <c r="O214" s="28" t="s">
        <v>1438</v>
      </c>
      <c r="P214" s="35" t="s">
        <v>59</v>
      </c>
      <c r="Q214" s="35" t="s">
        <v>59</v>
      </c>
      <c r="R214" s="36"/>
    </row>
    <row r="215" ht="22.5" customHeight="1">
      <c r="A215" s="38"/>
      <c r="B215" s="26"/>
      <c r="C215" s="28" t="s">
        <v>53</v>
      </c>
      <c r="D215" s="29"/>
      <c r="E215" s="29"/>
      <c r="F215" s="29"/>
      <c r="G215" s="30" t="s">
        <v>1439</v>
      </c>
      <c r="H215" s="31"/>
      <c r="I215" s="31"/>
      <c r="J215" s="32">
        <v>46244.0</v>
      </c>
      <c r="K215" s="33"/>
      <c r="L215" s="28" t="s">
        <v>38</v>
      </c>
      <c r="M215" s="28">
        <v>557041.0</v>
      </c>
      <c r="N215" s="34">
        <v>95.0</v>
      </c>
      <c r="O215" s="28" t="s">
        <v>1443</v>
      </c>
      <c r="P215" s="35" t="s">
        <v>59</v>
      </c>
      <c r="Q215" s="35" t="s">
        <v>59</v>
      </c>
      <c r="R215" s="36"/>
    </row>
    <row r="216" ht="22.5" customHeight="1">
      <c r="A216" s="38"/>
      <c r="B216" s="26"/>
      <c r="C216" s="28" t="s">
        <v>53</v>
      </c>
      <c r="D216" s="29"/>
      <c r="E216" s="29"/>
      <c r="F216" s="29"/>
      <c r="G216" s="30" t="s">
        <v>1456</v>
      </c>
      <c r="H216" s="31"/>
      <c r="I216" s="31"/>
      <c r="J216" s="32">
        <v>46244.0</v>
      </c>
      <c r="K216" s="33"/>
      <c r="L216" s="28" t="s">
        <v>38</v>
      </c>
      <c r="M216" s="28">
        <v>557041.0</v>
      </c>
      <c r="N216" s="34">
        <v>21.52</v>
      </c>
      <c r="O216" s="28">
        <v>711239.0</v>
      </c>
      <c r="P216" s="35" t="s">
        <v>59</v>
      </c>
      <c r="Q216" s="35" t="s">
        <v>59</v>
      </c>
      <c r="R216" s="36"/>
    </row>
    <row r="217" ht="22.5" customHeight="1">
      <c r="A217" s="38"/>
      <c r="B217" s="26"/>
      <c r="C217" s="28" t="s">
        <v>53</v>
      </c>
      <c r="D217" s="29"/>
      <c r="E217" s="29"/>
      <c r="F217" s="29"/>
      <c r="G217" s="30" t="s">
        <v>1466</v>
      </c>
      <c r="H217" s="31"/>
      <c r="I217" s="31"/>
      <c r="J217" s="32">
        <v>46244.0</v>
      </c>
      <c r="K217" s="33"/>
      <c r="L217" s="28" t="s">
        <v>38</v>
      </c>
      <c r="M217" s="28">
        <v>557041.0</v>
      </c>
      <c r="N217" s="34">
        <v>21.52</v>
      </c>
      <c r="O217" s="28">
        <v>711239.0</v>
      </c>
      <c r="P217" s="35" t="s">
        <v>59</v>
      </c>
      <c r="Q217" s="35" t="s">
        <v>59</v>
      </c>
      <c r="R217" s="36"/>
    </row>
    <row r="218" ht="22.5" customHeight="1">
      <c r="A218" s="38"/>
      <c r="B218" s="26"/>
      <c r="C218" s="28" t="s">
        <v>53</v>
      </c>
      <c r="D218" s="29"/>
      <c r="E218" s="29"/>
      <c r="F218" s="29"/>
      <c r="G218" s="30" t="s">
        <v>1477</v>
      </c>
      <c r="H218" s="31"/>
      <c r="I218" s="31"/>
      <c r="J218" s="32">
        <v>46244.0</v>
      </c>
      <c r="K218" s="33"/>
      <c r="L218" s="28" t="s">
        <v>38</v>
      </c>
      <c r="M218" s="28">
        <v>557041.0</v>
      </c>
      <c r="N218" s="34">
        <v>253.37</v>
      </c>
      <c r="O218" s="28"/>
      <c r="P218" s="35" t="s">
        <v>59</v>
      </c>
      <c r="Q218" s="35" t="s">
        <v>59</v>
      </c>
      <c r="R218" s="36"/>
    </row>
    <row r="219" ht="22.5" customHeight="1">
      <c r="A219" s="38"/>
      <c r="B219" s="26"/>
      <c r="C219" s="28" t="s">
        <v>53</v>
      </c>
      <c r="D219" s="29"/>
      <c r="E219" s="29"/>
      <c r="F219" s="29"/>
      <c r="G219" s="30" t="s">
        <v>1495</v>
      </c>
      <c r="H219" s="31"/>
      <c r="I219" s="31"/>
      <c r="J219" s="32">
        <v>46244.0</v>
      </c>
      <c r="K219" s="33"/>
      <c r="L219" s="28" t="s">
        <v>38</v>
      </c>
      <c r="M219" s="28">
        <v>557041.0</v>
      </c>
      <c r="N219" s="34">
        <v>190.0</v>
      </c>
      <c r="O219" s="28">
        <v>711239.0</v>
      </c>
      <c r="P219" s="35" t="s">
        <v>59</v>
      </c>
      <c r="Q219" s="35" t="s">
        <v>59</v>
      </c>
      <c r="R219" s="36"/>
    </row>
    <row r="220" ht="22.5" customHeight="1">
      <c r="A220" s="38"/>
      <c r="B220" s="26"/>
      <c r="C220" s="28" t="s">
        <v>53</v>
      </c>
      <c r="D220" s="29"/>
      <c r="E220" s="29"/>
      <c r="F220" s="29"/>
      <c r="G220" s="30" t="s">
        <v>1509</v>
      </c>
      <c r="H220" s="31"/>
      <c r="I220" s="31"/>
      <c r="J220" s="32">
        <v>46244.0</v>
      </c>
      <c r="K220" s="33"/>
      <c r="L220" s="28" t="s">
        <v>38</v>
      </c>
      <c r="M220" s="28">
        <v>557041.0</v>
      </c>
      <c r="N220" s="34">
        <v>8.84</v>
      </c>
      <c r="O220" s="28">
        <v>711239.0</v>
      </c>
      <c r="P220" s="35" t="s">
        <v>59</v>
      </c>
      <c r="Q220" s="35" t="s">
        <v>59</v>
      </c>
      <c r="R220" s="36"/>
    </row>
    <row r="221" ht="22.5" customHeight="1">
      <c r="A221" s="38"/>
      <c r="B221" s="26"/>
      <c r="C221" s="28" t="s">
        <v>53</v>
      </c>
      <c r="D221" s="29"/>
      <c r="E221" s="29"/>
      <c r="F221" s="29"/>
      <c r="G221" s="30" t="s">
        <v>1524</v>
      </c>
      <c r="H221" s="31"/>
      <c r="I221" s="31"/>
      <c r="J221" s="32">
        <v>46244.0</v>
      </c>
      <c r="K221" s="33"/>
      <c r="L221" s="28" t="s">
        <v>38</v>
      </c>
      <c r="M221" s="28">
        <v>557041.0</v>
      </c>
      <c r="N221" s="34">
        <v>8.84</v>
      </c>
      <c r="O221" s="28">
        <v>711239.0</v>
      </c>
      <c r="P221" s="35" t="s">
        <v>59</v>
      </c>
      <c r="Q221" s="35" t="s">
        <v>59</v>
      </c>
      <c r="R221" s="36"/>
    </row>
    <row r="222" ht="22.5" customHeight="1">
      <c r="A222" s="38"/>
      <c r="B222" s="26"/>
      <c r="C222" s="28" t="s">
        <v>53</v>
      </c>
      <c r="D222" s="29"/>
      <c r="E222" s="29"/>
      <c r="F222" s="29"/>
      <c r="G222" s="30" t="s">
        <v>1547</v>
      </c>
      <c r="H222" s="31"/>
      <c r="I222" s="31"/>
      <c r="J222" s="32">
        <v>46244.0</v>
      </c>
      <c r="K222" s="33"/>
      <c r="L222" s="28" t="s">
        <v>38</v>
      </c>
      <c r="M222" s="28">
        <v>557041.0</v>
      </c>
      <c r="N222" s="34">
        <v>8.84</v>
      </c>
      <c r="O222" s="28">
        <v>711239.0</v>
      </c>
      <c r="P222" s="35" t="s">
        <v>59</v>
      </c>
      <c r="Q222" s="35" t="s">
        <v>59</v>
      </c>
      <c r="R222" s="36"/>
    </row>
    <row r="223" ht="22.5" customHeight="1">
      <c r="A223" s="38"/>
      <c r="B223" s="26"/>
      <c r="C223" s="28" t="s">
        <v>53</v>
      </c>
      <c r="D223" s="29"/>
      <c r="E223" s="29"/>
      <c r="F223" s="29"/>
      <c r="G223" s="30" t="s">
        <v>1562</v>
      </c>
      <c r="H223" s="31"/>
      <c r="I223" s="31"/>
      <c r="J223" s="32">
        <v>46244.0</v>
      </c>
      <c r="K223" s="33"/>
      <c r="L223" s="28" t="s">
        <v>38</v>
      </c>
      <c r="M223" s="28">
        <v>557041.0</v>
      </c>
      <c r="N223" s="34">
        <v>8.84</v>
      </c>
      <c r="O223" s="28">
        <v>711239.0</v>
      </c>
      <c r="P223" s="35" t="s">
        <v>59</v>
      </c>
      <c r="Q223" s="35" t="s">
        <v>59</v>
      </c>
      <c r="R223" s="36"/>
    </row>
    <row r="224" ht="22.5" customHeight="1">
      <c r="A224" s="38"/>
      <c r="B224" s="26"/>
      <c r="C224" s="28" t="s">
        <v>53</v>
      </c>
      <c r="D224" s="29"/>
      <c r="E224" s="29"/>
      <c r="F224" s="29"/>
      <c r="G224" s="30" t="s">
        <v>1589</v>
      </c>
      <c r="H224" s="31"/>
      <c r="I224" s="31"/>
      <c r="J224" s="32">
        <v>46244.0</v>
      </c>
      <c r="K224" s="33"/>
      <c r="L224" s="28" t="s">
        <v>38</v>
      </c>
      <c r="M224" s="28">
        <v>555578.0</v>
      </c>
      <c r="N224" s="34">
        <v>1.07</v>
      </c>
      <c r="O224" s="28">
        <v>709486.0</v>
      </c>
      <c r="P224" s="35" t="s">
        <v>59</v>
      </c>
      <c r="Q224" s="35" t="s">
        <v>59</v>
      </c>
      <c r="R224" s="36"/>
    </row>
    <row r="225" ht="22.5" customHeight="1">
      <c r="A225" s="38"/>
      <c r="B225" s="26"/>
      <c r="C225" s="28" t="s">
        <v>53</v>
      </c>
      <c r="D225" s="29"/>
      <c r="E225" s="29"/>
      <c r="F225" s="29"/>
      <c r="G225" s="30" t="s">
        <v>1613</v>
      </c>
      <c r="H225" s="31"/>
      <c r="I225" s="31"/>
      <c r="J225" s="32">
        <v>46244.0</v>
      </c>
      <c r="K225" s="33"/>
      <c r="L225" s="28" t="s">
        <v>38</v>
      </c>
      <c r="M225" s="28">
        <v>555578.0</v>
      </c>
      <c r="N225" s="34">
        <v>1.07</v>
      </c>
      <c r="O225" s="28">
        <v>709486.0</v>
      </c>
      <c r="P225" s="35" t="s">
        <v>59</v>
      </c>
      <c r="Q225" s="35" t="s">
        <v>59</v>
      </c>
      <c r="R225" s="36"/>
    </row>
    <row r="226" ht="22.5" customHeight="1">
      <c r="A226" s="38"/>
      <c r="B226" s="26"/>
      <c r="C226" s="28" t="s">
        <v>1631</v>
      </c>
      <c r="D226" s="28" t="s">
        <v>1632</v>
      </c>
      <c r="E226" s="28" t="s">
        <v>35</v>
      </c>
      <c r="F226" s="28" t="s">
        <v>35</v>
      </c>
      <c r="G226" s="30" t="s">
        <v>1636</v>
      </c>
      <c r="H226" s="31"/>
      <c r="I226" s="31"/>
      <c r="J226" s="32">
        <v>46244.0</v>
      </c>
      <c r="K226" s="33"/>
      <c r="L226" s="28" t="s">
        <v>38</v>
      </c>
      <c r="M226" s="28">
        <v>555578.0</v>
      </c>
      <c r="N226" s="34">
        <v>160.17</v>
      </c>
      <c r="O226" s="28">
        <v>709486.0</v>
      </c>
      <c r="P226" s="35" t="s">
        <v>43</v>
      </c>
      <c r="Q226" s="35" t="s">
        <v>43</v>
      </c>
      <c r="R226" s="36"/>
    </row>
    <row r="227" ht="22.5" customHeight="1">
      <c r="A227" s="38"/>
      <c r="B227" s="26"/>
      <c r="C227" s="28" t="s">
        <v>801</v>
      </c>
      <c r="D227" s="28"/>
      <c r="E227" s="28" t="s">
        <v>35</v>
      </c>
      <c r="F227" s="28" t="s">
        <v>35</v>
      </c>
      <c r="G227" s="30" t="s">
        <v>1648</v>
      </c>
      <c r="H227" s="31"/>
      <c r="I227" s="31"/>
      <c r="J227" s="32">
        <v>46244.0</v>
      </c>
      <c r="K227" s="33"/>
      <c r="L227" s="28" t="s">
        <v>38</v>
      </c>
      <c r="M227" s="28">
        <v>555578.0</v>
      </c>
      <c r="N227" s="34">
        <v>58.9</v>
      </c>
      <c r="O227" s="28">
        <v>709486.0</v>
      </c>
      <c r="P227" s="35"/>
      <c r="Q227" s="36"/>
      <c r="R227" s="36"/>
    </row>
    <row r="228" ht="22.5" customHeight="1">
      <c r="A228" s="38"/>
      <c r="B228" s="26"/>
      <c r="C228" s="28" t="s">
        <v>1655</v>
      </c>
      <c r="D228" s="29"/>
      <c r="E228" s="28" t="s">
        <v>35</v>
      </c>
      <c r="F228" s="28" t="s">
        <v>35</v>
      </c>
      <c r="G228" s="30" t="s">
        <v>1659</v>
      </c>
      <c r="H228" s="30"/>
      <c r="I228" s="30" t="s">
        <v>1231</v>
      </c>
      <c r="J228" s="32">
        <v>46244.0</v>
      </c>
      <c r="K228" s="33"/>
      <c r="L228" s="28" t="s">
        <v>38</v>
      </c>
      <c r="M228" s="28">
        <v>555578.0</v>
      </c>
      <c r="N228" s="34">
        <v>58.9</v>
      </c>
      <c r="O228" s="28">
        <v>709486.0</v>
      </c>
      <c r="P228" s="35"/>
      <c r="Q228" s="36"/>
      <c r="R228" s="36"/>
    </row>
    <row r="229" ht="22.5" customHeight="1">
      <c r="A229" s="38"/>
      <c r="B229" s="26"/>
      <c r="C229" s="28" t="s">
        <v>1670</v>
      </c>
      <c r="D229" s="29"/>
      <c r="E229" s="28" t="s">
        <v>41</v>
      </c>
      <c r="F229" s="28" t="s">
        <v>41</v>
      </c>
      <c r="G229" s="30" t="s">
        <v>1676</v>
      </c>
      <c r="H229" s="31"/>
      <c r="I229" s="30" t="s">
        <v>1231</v>
      </c>
      <c r="J229" s="32">
        <v>46244.0</v>
      </c>
      <c r="K229" s="33"/>
      <c r="L229" s="28" t="s">
        <v>38</v>
      </c>
      <c r="M229" s="28">
        <v>555578.0</v>
      </c>
      <c r="N229" s="34">
        <v>165.94</v>
      </c>
      <c r="O229" s="28">
        <v>709486.0</v>
      </c>
      <c r="P229" s="35"/>
      <c r="Q229" s="36"/>
      <c r="R229" s="36"/>
    </row>
    <row r="230" ht="22.5" customHeight="1">
      <c r="A230" s="38"/>
      <c r="B230" s="26"/>
      <c r="C230" s="28" t="s">
        <v>1270</v>
      </c>
      <c r="D230" s="29"/>
      <c r="E230" s="28" t="s">
        <v>41</v>
      </c>
      <c r="F230" s="28" t="s">
        <v>41</v>
      </c>
      <c r="G230" s="30" t="s">
        <v>1684</v>
      </c>
      <c r="H230" s="31"/>
      <c r="I230" s="31"/>
      <c r="J230" s="32">
        <v>46244.0</v>
      </c>
      <c r="K230" s="33"/>
      <c r="L230" s="28" t="s">
        <v>38</v>
      </c>
      <c r="M230" s="28">
        <v>555578.0</v>
      </c>
      <c r="N230" s="34">
        <v>114.0</v>
      </c>
      <c r="O230" s="28">
        <v>709486.0</v>
      </c>
      <c r="P230" s="35" t="s">
        <v>43</v>
      </c>
      <c r="Q230" s="35" t="s">
        <v>43</v>
      </c>
      <c r="R230" s="36"/>
    </row>
    <row r="231" ht="22.5" customHeight="1">
      <c r="A231" s="38"/>
      <c r="B231" s="26"/>
      <c r="C231" s="28" t="s">
        <v>1696</v>
      </c>
      <c r="D231" s="28"/>
      <c r="E231" s="28" t="s">
        <v>35</v>
      </c>
      <c r="F231" s="28" t="s">
        <v>35</v>
      </c>
      <c r="G231" s="30" t="s">
        <v>786</v>
      </c>
      <c r="H231" s="30"/>
      <c r="I231" s="31"/>
      <c r="J231" s="32">
        <v>46244.0</v>
      </c>
      <c r="K231" s="33"/>
      <c r="L231" s="28" t="s">
        <v>38</v>
      </c>
      <c r="M231" s="28">
        <v>555578.0</v>
      </c>
      <c r="N231" s="34">
        <v>132.15</v>
      </c>
      <c r="O231" s="28">
        <v>709486.0</v>
      </c>
      <c r="P231" s="35" t="s">
        <v>43</v>
      </c>
      <c r="Q231" s="35" t="s">
        <v>43</v>
      </c>
      <c r="R231" s="36"/>
    </row>
    <row r="232" ht="22.5" customHeight="1">
      <c r="A232" s="38">
        <v>46244.44669643519</v>
      </c>
      <c r="B232" s="26" t="s">
        <v>1256</v>
      </c>
      <c r="C232" s="28" t="s">
        <v>1700</v>
      </c>
      <c r="D232" s="28" t="s">
        <v>1701</v>
      </c>
      <c r="E232" s="28" t="s">
        <v>35</v>
      </c>
      <c r="F232" s="28" t="s">
        <v>35</v>
      </c>
      <c r="G232" s="30" t="s">
        <v>1707</v>
      </c>
      <c r="H232" s="30" t="s">
        <v>111</v>
      </c>
      <c r="I232" s="31"/>
      <c r="J232" s="32">
        <v>46244.0</v>
      </c>
      <c r="K232" s="33"/>
      <c r="L232" s="28" t="s">
        <v>38</v>
      </c>
      <c r="M232" s="28">
        <v>555578.0</v>
      </c>
      <c r="N232" s="34">
        <v>62.75</v>
      </c>
      <c r="O232" s="28">
        <v>709486.0</v>
      </c>
      <c r="P232" s="35" t="s">
        <v>43</v>
      </c>
      <c r="Q232" s="35" t="s">
        <v>43</v>
      </c>
      <c r="R232" s="36"/>
    </row>
    <row r="233" ht="22.5" customHeight="1">
      <c r="A233" s="38">
        <v>46240.45060146991</v>
      </c>
      <c r="B233" s="26" t="s">
        <v>156</v>
      </c>
      <c r="C233" s="28" t="s">
        <v>1721</v>
      </c>
      <c r="D233" s="28">
        <v>5.70280929E9</v>
      </c>
      <c r="E233" s="28" t="s">
        <v>35</v>
      </c>
      <c r="F233" s="28" t="s">
        <v>35</v>
      </c>
      <c r="G233" s="30" t="s">
        <v>1727</v>
      </c>
      <c r="H233" s="30" t="s">
        <v>37</v>
      </c>
      <c r="I233" s="31"/>
      <c r="J233" s="32">
        <v>46250.0</v>
      </c>
      <c r="K233" s="33"/>
      <c r="L233" s="28" t="s">
        <v>38</v>
      </c>
      <c r="M233" s="28">
        <v>556656.0</v>
      </c>
      <c r="N233" s="34">
        <v>146.78</v>
      </c>
      <c r="O233" s="28">
        <v>710830.0</v>
      </c>
      <c r="P233" s="35"/>
      <c r="Q233" s="36"/>
      <c r="R233" s="36"/>
    </row>
    <row r="234" ht="22.5" customHeight="1">
      <c r="A234" s="38"/>
      <c r="B234" s="26"/>
      <c r="C234" s="28" t="s">
        <v>53</v>
      </c>
      <c r="D234" s="28"/>
      <c r="E234" s="28" t="s">
        <v>35</v>
      </c>
      <c r="F234" s="28" t="s">
        <v>35</v>
      </c>
      <c r="G234" s="30" t="s">
        <v>1265</v>
      </c>
      <c r="H234" s="31"/>
      <c r="I234" s="30"/>
      <c r="J234" s="32">
        <v>46245.0</v>
      </c>
      <c r="K234" s="33"/>
      <c r="L234" s="28" t="s">
        <v>347</v>
      </c>
      <c r="M234" s="28" t="s">
        <v>1745</v>
      </c>
      <c r="N234" s="34">
        <v>0.0</v>
      </c>
      <c r="O234" s="28">
        <v>7452641.0</v>
      </c>
      <c r="P234" s="35" t="s">
        <v>59</v>
      </c>
      <c r="Q234" s="35" t="s">
        <v>59</v>
      </c>
      <c r="R234" s="36"/>
    </row>
    <row r="235" ht="22.5" customHeight="1">
      <c r="A235" s="38">
        <v>46247.85103762732</v>
      </c>
      <c r="B235" s="26" t="s">
        <v>1746</v>
      </c>
      <c r="C235" s="28" t="s">
        <v>1747</v>
      </c>
      <c r="D235" s="28" t="s">
        <v>1749</v>
      </c>
      <c r="E235" s="28" t="s">
        <v>41</v>
      </c>
      <c r="F235" s="28" t="s">
        <v>41</v>
      </c>
      <c r="G235" s="30" t="s">
        <v>1754</v>
      </c>
      <c r="H235" s="30" t="s">
        <v>111</v>
      </c>
      <c r="I235" s="30"/>
      <c r="J235" s="32">
        <v>46245.0</v>
      </c>
      <c r="K235" s="33"/>
      <c r="L235" s="28" t="s">
        <v>347</v>
      </c>
      <c r="M235" s="28" t="s">
        <v>1745</v>
      </c>
      <c r="N235" s="34">
        <v>0.0</v>
      </c>
      <c r="O235" s="28">
        <v>7452641.0</v>
      </c>
      <c r="P235" s="35" t="s">
        <v>43</v>
      </c>
      <c r="Q235" s="35" t="s">
        <v>43</v>
      </c>
      <c r="R235" s="36"/>
    </row>
    <row r="236" ht="22.5" customHeight="1">
      <c r="A236" s="38">
        <v>46250.80588983797</v>
      </c>
      <c r="B236" s="26"/>
      <c r="C236" s="28" t="s">
        <v>779</v>
      </c>
      <c r="D236" s="28" t="s">
        <v>1767</v>
      </c>
      <c r="E236" s="28" t="s">
        <v>41</v>
      </c>
      <c r="F236" s="28" t="s">
        <v>41</v>
      </c>
      <c r="G236" s="30" t="s">
        <v>1768</v>
      </c>
      <c r="H236" s="31"/>
      <c r="I236" s="31"/>
      <c r="J236" s="32">
        <v>46250.0</v>
      </c>
      <c r="K236" s="33"/>
      <c r="L236" s="28" t="s">
        <v>38</v>
      </c>
      <c r="M236" s="28">
        <v>556656.0</v>
      </c>
      <c r="N236" s="34">
        <v>146.78</v>
      </c>
      <c r="O236" s="28">
        <v>710830.0</v>
      </c>
      <c r="P236" s="35" t="s">
        <v>43</v>
      </c>
      <c r="Q236" s="35" t="s">
        <v>43</v>
      </c>
      <c r="R236" s="36"/>
    </row>
    <row r="237" ht="22.5" customHeight="1">
      <c r="A237" s="38"/>
      <c r="B237" s="26"/>
      <c r="C237" s="28" t="s">
        <v>53</v>
      </c>
      <c r="D237" s="29"/>
      <c r="E237" s="28" t="s">
        <v>41</v>
      </c>
      <c r="F237" s="28" t="s">
        <v>41</v>
      </c>
      <c r="G237" s="30" t="s">
        <v>1768</v>
      </c>
      <c r="H237" s="31"/>
      <c r="I237" s="31"/>
      <c r="J237" s="32">
        <v>46250.0</v>
      </c>
      <c r="K237" s="33"/>
      <c r="L237" s="28" t="s">
        <v>38</v>
      </c>
      <c r="M237" s="28">
        <v>556656.0</v>
      </c>
      <c r="N237" s="34">
        <v>146.78</v>
      </c>
      <c r="O237" s="28">
        <v>710830.0</v>
      </c>
      <c r="P237" s="35" t="s">
        <v>59</v>
      </c>
      <c r="Q237" s="35" t="s">
        <v>59</v>
      </c>
      <c r="R237" s="36"/>
    </row>
    <row r="238" ht="22.5" customHeight="1">
      <c r="A238" s="38">
        <v>46244.765531516205</v>
      </c>
      <c r="B238" s="26"/>
      <c r="C238" s="28" t="s">
        <v>1791</v>
      </c>
      <c r="D238" s="28" t="s">
        <v>1793</v>
      </c>
      <c r="E238" s="28" t="s">
        <v>41</v>
      </c>
      <c r="F238" s="28" t="s">
        <v>41</v>
      </c>
      <c r="G238" s="30" t="s">
        <v>1798</v>
      </c>
      <c r="H238" s="30" t="s">
        <v>111</v>
      </c>
      <c r="I238" s="31"/>
      <c r="J238" s="32">
        <v>46250.0</v>
      </c>
      <c r="K238" s="33"/>
      <c r="L238" s="28" t="s">
        <v>38</v>
      </c>
      <c r="M238" s="28">
        <v>556656.0</v>
      </c>
      <c r="N238" s="34">
        <v>50.11</v>
      </c>
      <c r="O238" s="28">
        <v>710830.0</v>
      </c>
      <c r="P238" s="35"/>
      <c r="Q238" s="36"/>
      <c r="R238" s="36"/>
    </row>
    <row r="239" ht="22.5" customHeight="1">
      <c r="A239" s="38">
        <v>46245.41946903935</v>
      </c>
      <c r="B239" s="26"/>
      <c r="C239" s="28" t="s">
        <v>1288</v>
      </c>
      <c r="D239" s="28" t="s">
        <v>1736</v>
      </c>
      <c r="E239" s="28" t="s">
        <v>41</v>
      </c>
      <c r="F239" s="28" t="s">
        <v>41</v>
      </c>
      <c r="G239" s="30" t="s">
        <v>1827</v>
      </c>
      <c r="H239" s="30" t="s">
        <v>37</v>
      </c>
      <c r="I239" s="31"/>
      <c r="J239" s="32">
        <v>46250.0</v>
      </c>
      <c r="K239" s="33"/>
      <c r="L239" s="28" t="s">
        <v>38</v>
      </c>
      <c r="M239" s="28">
        <v>556656.0</v>
      </c>
      <c r="N239" s="34">
        <v>144.35</v>
      </c>
      <c r="O239" s="28">
        <v>710830.0</v>
      </c>
      <c r="P239" s="35" t="s">
        <v>43</v>
      </c>
      <c r="Q239" s="35" t="s">
        <v>43</v>
      </c>
      <c r="R239" s="36"/>
    </row>
    <row r="240" ht="22.5" customHeight="1">
      <c r="A240" s="38"/>
      <c r="B240" s="26"/>
      <c r="C240" s="28" t="s">
        <v>1713</v>
      </c>
      <c r="D240" s="28" t="s">
        <v>1851</v>
      </c>
      <c r="E240" s="28" t="s">
        <v>41</v>
      </c>
      <c r="F240" s="28" t="s">
        <v>41</v>
      </c>
      <c r="G240" s="30" t="s">
        <v>1855</v>
      </c>
      <c r="H240" s="30" t="s">
        <v>37</v>
      </c>
      <c r="I240" s="31"/>
      <c r="J240" s="32">
        <v>46250.0</v>
      </c>
      <c r="K240" s="33"/>
      <c r="L240" s="28" t="s">
        <v>38</v>
      </c>
      <c r="M240" s="28">
        <v>556656.0</v>
      </c>
      <c r="N240" s="34">
        <v>50.11</v>
      </c>
      <c r="O240" s="28">
        <v>710830.0</v>
      </c>
      <c r="P240" s="35"/>
      <c r="Q240" s="36"/>
      <c r="R240" s="36"/>
    </row>
    <row r="241" ht="22.5" customHeight="1">
      <c r="A241" s="38">
        <v>46238.793136215274</v>
      </c>
      <c r="B241" s="26" t="s">
        <v>1860</v>
      </c>
      <c r="C241" s="28" t="s">
        <v>1862</v>
      </c>
      <c r="D241" s="28" t="s">
        <v>1864</v>
      </c>
      <c r="E241" s="28" t="s">
        <v>35</v>
      </c>
      <c r="F241" s="28" t="s">
        <v>35</v>
      </c>
      <c r="G241" s="30" t="s">
        <v>1867</v>
      </c>
      <c r="H241" s="31"/>
      <c r="I241" s="31"/>
      <c r="J241" s="32">
        <v>46250.0</v>
      </c>
      <c r="K241" s="33"/>
      <c r="L241" s="28" t="s">
        <v>38</v>
      </c>
      <c r="M241" s="28">
        <v>556656.0</v>
      </c>
      <c r="N241" s="34">
        <v>42.47</v>
      </c>
      <c r="O241" s="28">
        <v>710830.0</v>
      </c>
      <c r="P241" s="35"/>
      <c r="Q241" s="36"/>
      <c r="R241" s="36"/>
    </row>
    <row r="242" ht="22.5" customHeight="1">
      <c r="A242" s="38">
        <v>46245.83105094907</v>
      </c>
      <c r="B242" s="26" t="s">
        <v>1860</v>
      </c>
      <c r="C242" s="28" t="s">
        <v>1862</v>
      </c>
      <c r="D242" s="28" t="s">
        <v>1864</v>
      </c>
      <c r="E242" s="28" t="s">
        <v>35</v>
      </c>
      <c r="F242" s="28" t="s">
        <v>35</v>
      </c>
      <c r="G242" s="30" t="s">
        <v>1899</v>
      </c>
      <c r="H242" s="30" t="s">
        <v>111</v>
      </c>
      <c r="I242" s="31"/>
      <c r="J242" s="32">
        <v>46250.0</v>
      </c>
      <c r="K242" s="33"/>
      <c r="L242" s="28" t="s">
        <v>38</v>
      </c>
      <c r="M242" s="28">
        <v>556656.0</v>
      </c>
      <c r="N242" s="34">
        <v>50.11</v>
      </c>
      <c r="O242" s="28">
        <v>710830.0</v>
      </c>
      <c r="P242" s="35"/>
      <c r="Q242" s="36"/>
      <c r="R242" s="36"/>
    </row>
    <row r="243" ht="22.5" customHeight="1">
      <c r="A243" s="38">
        <v>46247.585698854164</v>
      </c>
      <c r="B243" s="26" t="s">
        <v>382</v>
      </c>
      <c r="C243" s="28" t="s">
        <v>1917</v>
      </c>
      <c r="D243" s="28">
        <v>6.469431638E9</v>
      </c>
      <c r="E243" s="28" t="s">
        <v>35</v>
      </c>
      <c r="F243" s="28" t="s">
        <v>35</v>
      </c>
      <c r="G243" s="30" t="s">
        <v>1931</v>
      </c>
      <c r="H243" s="30" t="s">
        <v>111</v>
      </c>
      <c r="I243" s="31"/>
      <c r="J243" s="32">
        <v>46250.0</v>
      </c>
      <c r="K243" s="33"/>
      <c r="L243" s="28" t="s">
        <v>38</v>
      </c>
      <c r="M243" s="28">
        <v>556656.0</v>
      </c>
      <c r="N243" s="34">
        <v>70.16</v>
      </c>
      <c r="O243" s="28">
        <v>710830.0</v>
      </c>
      <c r="P243" s="35" t="s">
        <v>43</v>
      </c>
      <c r="Q243" s="35" t="s">
        <v>43</v>
      </c>
      <c r="R243" s="35" t="s">
        <v>1255</v>
      </c>
    </row>
    <row r="244" ht="22.5" customHeight="1">
      <c r="A244" s="38">
        <v>46247.64098732639</v>
      </c>
      <c r="B244" s="26" t="s">
        <v>881</v>
      </c>
      <c r="C244" s="28" t="s">
        <v>73</v>
      </c>
      <c r="D244" s="28">
        <v>5.707024266E9</v>
      </c>
      <c r="E244" s="28" t="s">
        <v>35</v>
      </c>
      <c r="F244" s="28" t="s">
        <v>35</v>
      </c>
      <c r="G244" s="30" t="s">
        <v>1950</v>
      </c>
      <c r="H244" s="30" t="s">
        <v>37</v>
      </c>
      <c r="I244" s="31"/>
      <c r="J244" s="32">
        <v>46250.0</v>
      </c>
      <c r="K244" s="33"/>
      <c r="L244" s="28" t="s">
        <v>38</v>
      </c>
      <c r="M244" s="28">
        <v>556656.0</v>
      </c>
      <c r="N244" s="34">
        <v>146.78</v>
      </c>
      <c r="O244" s="28">
        <v>710830.0</v>
      </c>
      <c r="P244" s="35"/>
      <c r="Q244" s="36"/>
      <c r="R244" s="36"/>
    </row>
    <row r="245" ht="22.5" customHeight="1">
      <c r="A245" s="38"/>
      <c r="B245" s="26"/>
      <c r="C245" s="28" t="s">
        <v>53</v>
      </c>
      <c r="D245" s="29"/>
      <c r="E245" s="28" t="s">
        <v>35</v>
      </c>
      <c r="F245" s="28" t="s">
        <v>35</v>
      </c>
      <c r="G245" s="30" t="s">
        <v>1982</v>
      </c>
      <c r="H245" s="31"/>
      <c r="I245" s="31"/>
      <c r="J245" s="32">
        <v>46250.0</v>
      </c>
      <c r="K245" s="33"/>
      <c r="L245" s="28" t="s">
        <v>38</v>
      </c>
      <c r="M245" s="28">
        <v>556656.0</v>
      </c>
      <c r="N245" s="34">
        <v>50.11</v>
      </c>
      <c r="O245" s="28">
        <v>710830.0</v>
      </c>
      <c r="P245" s="35" t="s">
        <v>59</v>
      </c>
      <c r="Q245" s="35" t="s">
        <v>59</v>
      </c>
      <c r="R245" s="36"/>
    </row>
    <row r="246" ht="22.5" customHeight="1">
      <c r="A246" s="38"/>
      <c r="B246" s="26"/>
      <c r="C246" s="28" t="s">
        <v>985</v>
      </c>
      <c r="D246" s="28" t="s">
        <v>2003</v>
      </c>
      <c r="E246" s="28" t="s">
        <v>41</v>
      </c>
      <c r="F246" s="28" t="s">
        <v>41</v>
      </c>
      <c r="G246" s="30" t="s">
        <v>598</v>
      </c>
      <c r="H246" s="31"/>
      <c r="I246" s="31"/>
      <c r="J246" s="32">
        <v>46250.0</v>
      </c>
      <c r="K246" s="33"/>
      <c r="L246" s="28" t="s">
        <v>38</v>
      </c>
      <c r="M246" s="28">
        <v>556656.0</v>
      </c>
      <c r="N246" s="34">
        <v>99.28</v>
      </c>
      <c r="O246" s="28">
        <v>710830.0</v>
      </c>
      <c r="P246" s="35" t="s">
        <v>43</v>
      </c>
      <c r="Q246" s="35" t="s">
        <v>43</v>
      </c>
      <c r="R246" s="36"/>
    </row>
    <row r="247" ht="22.5" customHeight="1">
      <c r="A247" s="38"/>
      <c r="B247" s="26"/>
      <c r="C247" s="28" t="s">
        <v>1700</v>
      </c>
      <c r="D247" s="29"/>
      <c r="E247" s="28" t="s">
        <v>41</v>
      </c>
      <c r="F247" s="28" t="s">
        <v>41</v>
      </c>
      <c r="G247" s="30" t="s">
        <v>2036</v>
      </c>
      <c r="H247" s="31"/>
      <c r="I247" s="31"/>
      <c r="J247" s="32">
        <v>46252.0</v>
      </c>
      <c r="K247" s="33"/>
      <c r="L247" s="28" t="s">
        <v>38</v>
      </c>
      <c r="M247" s="28">
        <v>557055.0</v>
      </c>
      <c r="N247" s="34">
        <v>82.22</v>
      </c>
      <c r="O247" s="28">
        <v>711236.0</v>
      </c>
      <c r="P247" s="35" t="s">
        <v>43</v>
      </c>
      <c r="Q247" s="35" t="s">
        <v>43</v>
      </c>
      <c r="R247" s="36"/>
    </row>
    <row r="248" ht="22.5" customHeight="1">
      <c r="A248" s="38"/>
      <c r="B248" s="26"/>
      <c r="C248" s="28" t="s">
        <v>53</v>
      </c>
      <c r="D248" s="29"/>
      <c r="E248" s="28" t="s">
        <v>41</v>
      </c>
      <c r="F248" s="28" t="s">
        <v>41</v>
      </c>
      <c r="G248" s="30" t="s">
        <v>234</v>
      </c>
      <c r="H248" s="31"/>
      <c r="I248" s="31"/>
      <c r="J248" s="32">
        <v>46258.0</v>
      </c>
      <c r="K248" s="33"/>
      <c r="L248" s="28" t="s">
        <v>38</v>
      </c>
      <c r="M248" s="28">
        <v>558292.0</v>
      </c>
      <c r="N248" s="34">
        <v>152.86</v>
      </c>
      <c r="O248" s="28">
        <v>712915.0</v>
      </c>
      <c r="P248" s="35" t="s">
        <v>59</v>
      </c>
      <c r="Q248" s="35" t="s">
        <v>59</v>
      </c>
      <c r="R248" s="36"/>
    </row>
    <row r="249" ht="22.5" customHeight="1">
      <c r="A249" s="38">
        <v>46251.40586380787</v>
      </c>
      <c r="B249" s="26" t="s">
        <v>382</v>
      </c>
      <c r="C249" s="28" t="s">
        <v>275</v>
      </c>
      <c r="D249" s="28">
        <v>5.70574637E9</v>
      </c>
      <c r="E249" s="28" t="s">
        <v>2078</v>
      </c>
      <c r="F249" s="28" t="s">
        <v>2078</v>
      </c>
      <c r="G249" s="30" t="s">
        <v>2083</v>
      </c>
      <c r="H249" s="30" t="s">
        <v>37</v>
      </c>
      <c r="I249" s="31"/>
      <c r="J249" s="32">
        <v>46258.0</v>
      </c>
      <c r="K249" s="33"/>
      <c r="L249" s="28" t="s">
        <v>38</v>
      </c>
      <c r="M249" s="28">
        <v>558292.0</v>
      </c>
      <c r="N249" s="34">
        <v>96.85</v>
      </c>
      <c r="O249" s="28">
        <v>712915.0</v>
      </c>
      <c r="P249" s="35"/>
      <c r="Q249" s="36"/>
      <c r="R249" s="35" t="s">
        <v>1255</v>
      </c>
    </row>
    <row r="250" ht="22.5" customHeight="1">
      <c r="A250" s="38">
        <v>46256.69063361111</v>
      </c>
      <c r="B250" s="26"/>
      <c r="C250" s="28" t="s">
        <v>2105</v>
      </c>
      <c r="D250" s="28" t="s">
        <v>2108</v>
      </c>
      <c r="E250" s="28" t="s">
        <v>41</v>
      </c>
      <c r="F250" s="28" t="s">
        <v>41</v>
      </c>
      <c r="G250" s="30" t="s">
        <v>2117</v>
      </c>
      <c r="H250" s="30" t="s">
        <v>111</v>
      </c>
      <c r="I250" s="31"/>
      <c r="J250" s="32">
        <v>46258.0</v>
      </c>
      <c r="K250" s="33"/>
      <c r="L250" s="28" t="s">
        <v>38</v>
      </c>
      <c r="M250" s="28">
        <v>558292.0</v>
      </c>
      <c r="N250" s="34">
        <v>50.11</v>
      </c>
      <c r="O250" s="28">
        <v>712915.0</v>
      </c>
      <c r="P250" s="35" t="s">
        <v>43</v>
      </c>
      <c r="Q250" s="35" t="s">
        <v>43</v>
      </c>
      <c r="R250" s="36"/>
    </row>
    <row r="251" ht="22.5" customHeight="1">
      <c r="A251" s="38"/>
      <c r="B251" s="26"/>
      <c r="C251" s="28" t="s">
        <v>2105</v>
      </c>
      <c r="D251" s="28" t="s">
        <v>2108</v>
      </c>
      <c r="E251" s="28" t="s">
        <v>41</v>
      </c>
      <c r="F251" s="28" t="s">
        <v>41</v>
      </c>
      <c r="G251" s="30" t="s">
        <v>2137</v>
      </c>
      <c r="H251" s="30"/>
      <c r="I251" s="31"/>
      <c r="J251" s="32">
        <v>46258.0</v>
      </c>
      <c r="K251" s="33"/>
      <c r="L251" s="28" t="s">
        <v>38</v>
      </c>
      <c r="M251" s="28">
        <v>558292.0</v>
      </c>
      <c r="N251" s="34">
        <v>58.43</v>
      </c>
      <c r="O251" s="28">
        <v>712915.0</v>
      </c>
      <c r="P251" s="35" t="s">
        <v>43</v>
      </c>
      <c r="Q251" s="35" t="s">
        <v>43</v>
      </c>
      <c r="R251" s="36"/>
    </row>
    <row r="252" ht="22.5" customHeight="1">
      <c r="A252" s="38"/>
      <c r="B252" s="26"/>
      <c r="C252" s="28" t="s">
        <v>2105</v>
      </c>
      <c r="D252" s="28" t="s">
        <v>2108</v>
      </c>
      <c r="E252" s="28" t="s">
        <v>41</v>
      </c>
      <c r="F252" s="28" t="s">
        <v>41</v>
      </c>
      <c r="G252" s="30" t="s">
        <v>2170</v>
      </c>
      <c r="H252" s="30"/>
      <c r="I252" s="31"/>
      <c r="J252" s="32">
        <v>46258.0</v>
      </c>
      <c r="K252" s="33"/>
      <c r="L252" s="28" t="s">
        <v>38</v>
      </c>
      <c r="M252" s="28">
        <v>558292.0</v>
      </c>
      <c r="N252" s="34">
        <v>42.47</v>
      </c>
      <c r="O252" s="28">
        <v>712915.0</v>
      </c>
      <c r="P252" s="35" t="s">
        <v>43</v>
      </c>
      <c r="Q252" s="35" t="s">
        <v>43</v>
      </c>
      <c r="R252" s="36"/>
    </row>
    <row r="253" ht="22.5" customHeight="1">
      <c r="A253" s="38">
        <v>46257.6487853588</v>
      </c>
      <c r="B253" s="26"/>
      <c r="C253" s="28" t="s">
        <v>2187</v>
      </c>
      <c r="D253" s="28" t="s">
        <v>2188</v>
      </c>
      <c r="E253" s="28" t="s">
        <v>41</v>
      </c>
      <c r="F253" s="28" t="s">
        <v>41</v>
      </c>
      <c r="G253" s="170" t="s">
        <v>2192</v>
      </c>
      <c r="H253" s="30"/>
      <c r="I253" s="31"/>
      <c r="J253" s="32">
        <v>46258.0</v>
      </c>
      <c r="K253" s="33"/>
      <c r="L253" s="28" t="s">
        <v>38</v>
      </c>
      <c r="M253" s="28">
        <v>558292.0</v>
      </c>
      <c r="N253" s="34">
        <v>158.65</v>
      </c>
      <c r="O253" s="28">
        <v>712915.0</v>
      </c>
      <c r="P253" s="35"/>
      <c r="Q253" s="36"/>
      <c r="R253" s="36"/>
    </row>
    <row r="254" ht="22.5" customHeight="1">
      <c r="A254" s="38">
        <v>46257.65105153935</v>
      </c>
      <c r="B254" s="26"/>
      <c r="C254" s="28" t="s">
        <v>1730</v>
      </c>
      <c r="D254" s="28"/>
      <c r="E254" s="28" t="s">
        <v>41</v>
      </c>
      <c r="F254" s="28" t="s">
        <v>41</v>
      </c>
      <c r="G254" s="30" t="s">
        <v>2222</v>
      </c>
      <c r="H254" s="30" t="s">
        <v>37</v>
      </c>
      <c r="I254" s="31"/>
      <c r="J254" s="32">
        <v>46258.0</v>
      </c>
      <c r="K254" s="33"/>
      <c r="L254" s="28" t="s">
        <v>38</v>
      </c>
      <c r="M254" s="28">
        <v>558292.0</v>
      </c>
      <c r="N254" s="34">
        <v>150.43</v>
      </c>
      <c r="O254" s="28">
        <v>712915.0</v>
      </c>
      <c r="P254" s="35"/>
      <c r="Q254" s="36"/>
      <c r="R254" s="36"/>
    </row>
    <row r="255" ht="22.5" customHeight="1">
      <c r="A255" s="38">
        <v>46258.4711146412</v>
      </c>
      <c r="B255" s="26" t="s">
        <v>881</v>
      </c>
      <c r="C255" s="28" t="s">
        <v>73</v>
      </c>
      <c r="D255" s="28">
        <v>5.707024266E9</v>
      </c>
      <c r="E255" s="28" t="s">
        <v>35</v>
      </c>
      <c r="F255" s="28" t="s">
        <v>35</v>
      </c>
      <c r="G255" s="30" t="s">
        <v>2254</v>
      </c>
      <c r="H255" s="30" t="s">
        <v>37</v>
      </c>
      <c r="I255" s="31"/>
      <c r="J255" s="32">
        <v>46258.0</v>
      </c>
      <c r="K255" s="33"/>
      <c r="L255" s="28" t="s">
        <v>38</v>
      </c>
      <c r="M255" s="28">
        <v>558292.0</v>
      </c>
      <c r="N255" s="34">
        <v>146.78</v>
      </c>
      <c r="O255" s="28">
        <v>712915.0</v>
      </c>
      <c r="P255" s="35"/>
      <c r="Q255" s="36"/>
      <c r="R255" s="36"/>
    </row>
    <row r="256" ht="22.5" customHeight="1">
      <c r="A256" s="38"/>
      <c r="B256" s="26"/>
      <c r="C256" s="28" t="s">
        <v>53</v>
      </c>
      <c r="D256" s="29"/>
      <c r="E256" s="29"/>
      <c r="F256" s="29"/>
      <c r="G256" s="30" t="s">
        <v>1944</v>
      </c>
      <c r="H256" s="31"/>
      <c r="I256" s="31"/>
      <c r="J256" s="32">
        <v>46258.0</v>
      </c>
      <c r="K256" s="33"/>
      <c r="L256" s="28" t="s">
        <v>38</v>
      </c>
      <c r="M256" s="28">
        <v>558292.0</v>
      </c>
      <c r="N256" s="34">
        <v>42.47</v>
      </c>
      <c r="O256" s="28">
        <v>712915.0</v>
      </c>
      <c r="P256" s="35" t="s">
        <v>59</v>
      </c>
      <c r="Q256" s="35" t="s">
        <v>59</v>
      </c>
      <c r="R256" s="36"/>
    </row>
    <row r="257" ht="22.5" customHeight="1">
      <c r="A257" s="38"/>
      <c r="B257" s="26"/>
      <c r="C257" s="28" t="s">
        <v>53</v>
      </c>
      <c r="D257" s="29"/>
      <c r="E257" s="29"/>
      <c r="F257" s="29"/>
      <c r="G257" s="30" t="s">
        <v>1240</v>
      </c>
      <c r="H257" s="31"/>
      <c r="I257" s="31"/>
      <c r="J257" s="32">
        <v>46258.0</v>
      </c>
      <c r="K257" s="33"/>
      <c r="L257" s="28" t="s">
        <v>38</v>
      </c>
      <c r="M257" s="28">
        <v>558292.0</v>
      </c>
      <c r="N257" s="34">
        <v>42.47</v>
      </c>
      <c r="O257" s="28">
        <v>712915.0</v>
      </c>
      <c r="P257" s="35" t="s">
        <v>59</v>
      </c>
      <c r="Q257" s="35" t="s">
        <v>59</v>
      </c>
      <c r="R257" s="36"/>
    </row>
    <row r="258" ht="22.5" customHeight="1">
      <c r="A258" s="38"/>
      <c r="B258" s="26"/>
      <c r="C258" s="28" t="s">
        <v>53</v>
      </c>
      <c r="D258" s="29"/>
      <c r="E258" s="29"/>
      <c r="F258" s="29"/>
      <c r="G258" s="30" t="s">
        <v>1831</v>
      </c>
      <c r="H258" s="31"/>
      <c r="I258" s="31"/>
      <c r="J258" s="32">
        <v>46258.0</v>
      </c>
      <c r="K258" s="33"/>
      <c r="L258" s="28" t="s">
        <v>38</v>
      </c>
      <c r="M258" s="28">
        <v>558292.0</v>
      </c>
      <c r="N258" s="34">
        <v>42.47</v>
      </c>
      <c r="O258" s="28">
        <v>712915.0</v>
      </c>
      <c r="P258" s="35" t="s">
        <v>59</v>
      </c>
      <c r="Q258" s="35" t="s">
        <v>59</v>
      </c>
      <c r="R258" s="36"/>
    </row>
    <row r="259" ht="22.5" customHeight="1">
      <c r="A259" s="38"/>
      <c r="B259" s="26"/>
      <c r="C259" s="28" t="s">
        <v>53</v>
      </c>
      <c r="D259" s="29"/>
      <c r="E259" s="29"/>
      <c r="F259" s="29"/>
      <c r="G259" s="30" t="s">
        <v>2310</v>
      </c>
      <c r="H259" s="31"/>
      <c r="I259" s="31"/>
      <c r="J259" s="32">
        <v>46258.0</v>
      </c>
      <c r="K259" s="33"/>
      <c r="L259" s="28" t="s">
        <v>38</v>
      </c>
      <c r="M259" s="28">
        <v>558292.0</v>
      </c>
      <c r="N259" s="34">
        <v>17.2</v>
      </c>
      <c r="O259" s="28">
        <v>712915.0</v>
      </c>
      <c r="P259" s="35" t="s">
        <v>59</v>
      </c>
      <c r="Q259" s="35" t="s">
        <v>59</v>
      </c>
      <c r="R259" s="36"/>
    </row>
    <row r="260" ht="22.5" customHeight="1">
      <c r="A260" s="38"/>
      <c r="B260" s="26"/>
      <c r="C260" s="28" t="s">
        <v>53</v>
      </c>
      <c r="D260" s="29"/>
      <c r="E260" s="29"/>
      <c r="F260" s="29"/>
      <c r="G260" s="30" t="s">
        <v>186</v>
      </c>
      <c r="H260" s="31"/>
      <c r="I260" s="31"/>
      <c r="J260" s="32">
        <v>46258.0</v>
      </c>
      <c r="K260" s="33"/>
      <c r="L260" s="28" t="s">
        <v>38</v>
      </c>
      <c r="M260" s="28">
        <v>558292.0</v>
      </c>
      <c r="N260" s="34">
        <v>14.82</v>
      </c>
      <c r="O260" s="28">
        <v>712915.0</v>
      </c>
      <c r="P260" s="35" t="s">
        <v>59</v>
      </c>
      <c r="Q260" s="35" t="s">
        <v>59</v>
      </c>
      <c r="R260" s="36"/>
    </row>
    <row r="261" ht="22.5" customHeight="1">
      <c r="A261" s="38"/>
      <c r="B261" s="26"/>
      <c r="C261" s="28" t="s">
        <v>53</v>
      </c>
      <c r="D261" s="29"/>
      <c r="E261" s="29"/>
      <c r="F261" s="29"/>
      <c r="G261" s="30" t="s">
        <v>2364</v>
      </c>
      <c r="H261" s="31"/>
      <c r="I261" s="31"/>
      <c r="J261" s="32">
        <v>46258.0</v>
      </c>
      <c r="K261" s="33"/>
      <c r="L261" s="28" t="s">
        <v>38</v>
      </c>
      <c r="M261" s="28">
        <v>558292.0</v>
      </c>
      <c r="N261" s="34">
        <v>14.82</v>
      </c>
      <c r="O261" s="28">
        <v>712915.0</v>
      </c>
      <c r="P261" s="35" t="s">
        <v>59</v>
      </c>
      <c r="Q261" s="35" t="s">
        <v>59</v>
      </c>
      <c r="R261" s="36"/>
    </row>
    <row r="262" ht="22.5" customHeight="1">
      <c r="A262" s="38"/>
      <c r="B262" s="26"/>
      <c r="C262" s="28" t="s">
        <v>2387</v>
      </c>
      <c r="D262" s="29"/>
      <c r="E262" s="28" t="s">
        <v>41</v>
      </c>
      <c r="F262" s="28" t="s">
        <v>41</v>
      </c>
      <c r="G262" s="30" t="s">
        <v>2389</v>
      </c>
      <c r="H262" s="31"/>
      <c r="I262" s="31"/>
      <c r="J262" s="32">
        <v>46258.0</v>
      </c>
      <c r="K262" s="33"/>
      <c r="L262" s="28" t="s">
        <v>38</v>
      </c>
      <c r="M262" s="28">
        <v>558292.0</v>
      </c>
      <c r="N262" s="34">
        <v>50.11</v>
      </c>
      <c r="O262" s="28">
        <v>712915.0</v>
      </c>
      <c r="P262" s="35" t="s">
        <v>43</v>
      </c>
      <c r="Q262" s="36"/>
      <c r="R262" s="36"/>
    </row>
    <row r="263" ht="22.5" customHeight="1">
      <c r="A263" s="38"/>
      <c r="B263" s="26"/>
      <c r="C263" s="28" t="s">
        <v>53</v>
      </c>
      <c r="D263" s="29"/>
      <c r="E263" s="28" t="s">
        <v>41</v>
      </c>
      <c r="F263" s="28" t="s">
        <v>41</v>
      </c>
      <c r="G263" s="30" t="s">
        <v>441</v>
      </c>
      <c r="H263" s="30"/>
      <c r="I263" s="31"/>
      <c r="J263" s="32">
        <v>46260.0</v>
      </c>
      <c r="K263" s="33"/>
      <c r="L263" s="28" t="s">
        <v>2426</v>
      </c>
      <c r="M263" s="28">
        <v>5.00375102E8</v>
      </c>
      <c r="N263" s="34">
        <v>133.41</v>
      </c>
      <c r="O263" s="33"/>
      <c r="P263" s="35"/>
      <c r="Q263" s="36"/>
      <c r="R263" s="36"/>
    </row>
    <row r="264" ht="22.5" customHeight="1">
      <c r="A264" s="38">
        <v>46259.83949636574</v>
      </c>
      <c r="B264" s="26" t="s">
        <v>2431</v>
      </c>
      <c r="C264" s="28" t="s">
        <v>2434</v>
      </c>
      <c r="D264" s="28" t="s">
        <v>2438</v>
      </c>
      <c r="E264" s="28" t="s">
        <v>35</v>
      </c>
      <c r="F264" s="28" t="s">
        <v>35</v>
      </c>
      <c r="G264" s="30" t="s">
        <v>2443</v>
      </c>
      <c r="H264" s="30" t="s">
        <v>111</v>
      </c>
      <c r="I264" s="31"/>
      <c r="J264" s="32">
        <v>46260.0</v>
      </c>
      <c r="K264" s="33"/>
      <c r="L264" s="28" t="s">
        <v>2426</v>
      </c>
      <c r="M264" s="28">
        <v>5.00375102E8</v>
      </c>
      <c r="N264" s="34">
        <v>85.26</v>
      </c>
      <c r="O264" s="33"/>
      <c r="P264" s="35"/>
      <c r="Q264" s="36"/>
      <c r="R264" s="36"/>
    </row>
    <row r="265" ht="22.5" customHeight="1">
      <c r="A265" s="38">
        <v>46259.54645738426</v>
      </c>
      <c r="B265" s="26" t="s">
        <v>382</v>
      </c>
      <c r="C265" s="28" t="s">
        <v>487</v>
      </c>
      <c r="D265" s="28">
        <v>2.722801383E9</v>
      </c>
      <c r="E265" s="28" t="s">
        <v>41</v>
      </c>
      <c r="F265" s="28" t="s">
        <v>41</v>
      </c>
      <c r="G265" s="30" t="s">
        <v>1221</v>
      </c>
      <c r="H265" s="30" t="s">
        <v>37</v>
      </c>
      <c r="I265" s="31"/>
      <c r="J265" s="32">
        <v>46260.0</v>
      </c>
      <c r="K265" s="33"/>
      <c r="L265" s="28" t="s">
        <v>2426</v>
      </c>
      <c r="M265" s="28">
        <v>5.00375102E8</v>
      </c>
      <c r="N265" s="34">
        <v>62.38</v>
      </c>
      <c r="O265" s="33"/>
      <c r="P265" s="35"/>
      <c r="Q265" s="36"/>
      <c r="R265" s="36"/>
    </row>
    <row r="266" ht="22.5" customHeight="1">
      <c r="A266" s="38">
        <v>46259.54316862268</v>
      </c>
      <c r="B266" s="26" t="s">
        <v>382</v>
      </c>
      <c r="C266" s="28" t="s">
        <v>487</v>
      </c>
      <c r="D266" s="28">
        <v>2.722801383E9</v>
      </c>
      <c r="E266" s="28" t="s">
        <v>41</v>
      </c>
      <c r="F266" s="28" t="s">
        <v>41</v>
      </c>
      <c r="G266" s="30" t="s">
        <v>2470</v>
      </c>
      <c r="H266" s="30" t="s">
        <v>37</v>
      </c>
      <c r="I266" s="31"/>
      <c r="J266" s="32">
        <v>46260.0</v>
      </c>
      <c r="K266" s="33"/>
      <c r="L266" s="28" t="s">
        <v>2426</v>
      </c>
      <c r="M266" s="28">
        <v>5.00375102E8</v>
      </c>
      <c r="N266" s="34">
        <v>62.38</v>
      </c>
      <c r="O266" s="33"/>
      <c r="P266" s="35"/>
      <c r="Q266" s="36"/>
      <c r="R266" s="36"/>
    </row>
    <row r="267" ht="22.5" customHeight="1">
      <c r="A267" s="38">
        <v>46256.69168081018</v>
      </c>
      <c r="B267" s="26"/>
      <c r="C267" s="28" t="s">
        <v>1270</v>
      </c>
      <c r="D267" s="28" t="s">
        <v>2490</v>
      </c>
      <c r="E267" s="28" t="s">
        <v>41</v>
      </c>
      <c r="F267" s="28" t="s">
        <v>41</v>
      </c>
      <c r="G267" s="30" t="s">
        <v>2494</v>
      </c>
      <c r="H267" s="30" t="s">
        <v>48</v>
      </c>
      <c r="I267" s="31"/>
      <c r="J267" s="32">
        <v>46260.0</v>
      </c>
      <c r="K267" s="33"/>
      <c r="L267" s="28" t="s">
        <v>2426</v>
      </c>
      <c r="M267" s="28">
        <v>5.00375102E8</v>
      </c>
      <c r="N267" s="34">
        <v>35.18</v>
      </c>
      <c r="O267" s="33"/>
      <c r="P267" s="35"/>
      <c r="Q267" s="36"/>
      <c r="R267" s="36"/>
    </row>
    <row r="268" ht="22.5" customHeight="1">
      <c r="A268" s="38"/>
      <c r="B268" s="26"/>
      <c r="C268" s="28" t="s">
        <v>53</v>
      </c>
      <c r="D268" s="29"/>
      <c r="E268" s="28" t="s">
        <v>41</v>
      </c>
      <c r="F268" s="28" t="s">
        <v>41</v>
      </c>
      <c r="G268" s="30" t="s">
        <v>2524</v>
      </c>
      <c r="H268" s="31"/>
      <c r="I268" s="31"/>
      <c r="J268" s="32">
        <v>46260.0</v>
      </c>
      <c r="K268" s="33"/>
      <c r="L268" s="28" t="s">
        <v>2426</v>
      </c>
      <c r="M268" s="28">
        <v>5.00375102E8</v>
      </c>
      <c r="N268" s="34">
        <v>148.66</v>
      </c>
      <c r="O268" s="33"/>
      <c r="P268" s="35" t="s">
        <v>59</v>
      </c>
      <c r="Q268" s="35" t="s">
        <v>59</v>
      </c>
      <c r="R268" s="36"/>
    </row>
    <row r="269" ht="22.5" customHeight="1">
      <c r="A269" s="38">
        <v>46245.42039745371</v>
      </c>
      <c r="B269" s="26"/>
      <c r="C269" s="28" t="s">
        <v>810</v>
      </c>
      <c r="D269" s="28" t="s">
        <v>2550</v>
      </c>
      <c r="E269" s="28" t="s">
        <v>41</v>
      </c>
      <c r="F269" s="28" t="s">
        <v>41</v>
      </c>
      <c r="G269" s="30" t="s">
        <v>146</v>
      </c>
      <c r="H269" s="30" t="s">
        <v>37</v>
      </c>
      <c r="I269" s="31"/>
      <c r="J269" s="32">
        <v>46260.0</v>
      </c>
      <c r="K269" s="33"/>
      <c r="L269" s="28" t="s">
        <v>2426</v>
      </c>
      <c r="M269" s="28">
        <v>5.00375102E8</v>
      </c>
      <c r="N269" s="34">
        <v>158.82</v>
      </c>
      <c r="O269" s="33"/>
      <c r="P269" s="35"/>
      <c r="Q269" s="36"/>
      <c r="R269" s="36"/>
    </row>
    <row r="270" ht="22.5" customHeight="1">
      <c r="A270" s="38">
        <v>46259.55228326389</v>
      </c>
      <c r="B270" s="26" t="s">
        <v>2568</v>
      </c>
      <c r="C270" s="28" t="s">
        <v>1266</v>
      </c>
      <c r="D270" s="28">
        <v>5.705802358E9</v>
      </c>
      <c r="E270" s="28" t="s">
        <v>41</v>
      </c>
      <c r="F270" s="28" t="s">
        <v>41</v>
      </c>
      <c r="G270" s="30" t="s">
        <v>2569</v>
      </c>
      <c r="H270" s="30" t="s">
        <v>48</v>
      </c>
      <c r="I270" s="31"/>
      <c r="J270" s="32">
        <v>46260.0</v>
      </c>
      <c r="K270" s="33"/>
      <c r="L270" s="28" t="s">
        <v>38</v>
      </c>
      <c r="M270" s="28">
        <v>558704.0</v>
      </c>
      <c r="N270" s="34">
        <v>24.07</v>
      </c>
      <c r="O270" s="33"/>
      <c r="P270" s="35"/>
      <c r="Q270" s="36"/>
      <c r="R270" s="36"/>
    </row>
    <row r="271" ht="22.5" customHeight="1">
      <c r="A271" s="38">
        <v>46259.60017967592</v>
      </c>
      <c r="B271" s="26"/>
      <c r="C271" s="28" t="s">
        <v>2572</v>
      </c>
      <c r="D271" s="28" t="s">
        <v>2573</v>
      </c>
      <c r="E271" s="277" t="s">
        <v>41</v>
      </c>
      <c r="F271" s="277" t="s">
        <v>41</v>
      </c>
      <c r="G271" s="30" t="s">
        <v>2574</v>
      </c>
      <c r="H271" s="30" t="s">
        <v>2576</v>
      </c>
      <c r="I271" s="30" t="s">
        <v>2578</v>
      </c>
      <c r="J271" s="32">
        <v>46260.0</v>
      </c>
      <c r="K271" s="33"/>
      <c r="L271" s="28" t="s">
        <v>38</v>
      </c>
      <c r="M271" s="28">
        <v>558704.0</v>
      </c>
      <c r="N271" s="34">
        <v>82.22</v>
      </c>
      <c r="O271" s="33"/>
      <c r="P271" s="35"/>
      <c r="Q271" s="36"/>
      <c r="R271" s="36"/>
    </row>
    <row r="272" ht="22.5" customHeight="1">
      <c r="A272" s="38">
        <v>46259.641662395836</v>
      </c>
      <c r="B272" s="26"/>
      <c r="C272" s="28" t="s">
        <v>2579</v>
      </c>
      <c r="D272" s="28" t="s">
        <v>2580</v>
      </c>
      <c r="E272" s="28" t="s">
        <v>35</v>
      </c>
      <c r="F272" s="28" t="s">
        <v>35</v>
      </c>
      <c r="G272" s="30" t="s">
        <v>2581</v>
      </c>
      <c r="H272" s="30"/>
      <c r="I272" s="30" t="s">
        <v>2582</v>
      </c>
      <c r="J272" s="32">
        <v>46260.0</v>
      </c>
      <c r="K272" s="33"/>
      <c r="L272" s="28" t="s">
        <v>38</v>
      </c>
      <c r="M272" s="28">
        <v>558704.0</v>
      </c>
      <c r="N272" s="34">
        <v>62.75</v>
      </c>
      <c r="O272" s="33"/>
      <c r="P272" s="35"/>
      <c r="Q272" s="36"/>
      <c r="R272" s="36"/>
    </row>
    <row r="273" ht="22.5" customHeight="1">
      <c r="A273" s="38">
        <v>46263.66695273148</v>
      </c>
      <c r="B273" s="26"/>
      <c r="C273" s="28" t="s">
        <v>2590</v>
      </c>
      <c r="D273" s="28" t="s">
        <v>2591</v>
      </c>
      <c r="E273" s="28" t="s">
        <v>1587</v>
      </c>
      <c r="F273" s="28" t="s">
        <v>1587</v>
      </c>
      <c r="G273" s="30" t="s">
        <v>2596</v>
      </c>
      <c r="H273" s="31"/>
      <c r="I273" s="31"/>
      <c r="J273" s="32"/>
      <c r="K273" s="33"/>
      <c r="L273" s="28"/>
      <c r="M273" s="28"/>
      <c r="N273" s="34" t="s">
        <v>92</v>
      </c>
      <c r="O273" s="33"/>
      <c r="P273" s="35" t="s">
        <v>59</v>
      </c>
      <c r="Q273" s="35" t="s">
        <v>59</v>
      </c>
      <c r="R273" s="36"/>
    </row>
    <row r="274" ht="22.5" customHeight="1">
      <c r="A274" s="38"/>
      <c r="B274" s="26"/>
      <c r="C274" s="28" t="s">
        <v>53</v>
      </c>
      <c r="D274" s="29"/>
      <c r="E274" s="28" t="s">
        <v>41</v>
      </c>
      <c r="F274" s="28" t="s">
        <v>41</v>
      </c>
      <c r="G274" s="30" t="s">
        <v>2600</v>
      </c>
      <c r="H274" s="31"/>
      <c r="I274" s="31"/>
      <c r="J274" s="32">
        <v>46260.0</v>
      </c>
      <c r="K274" s="33"/>
      <c r="L274" s="28" t="s">
        <v>38</v>
      </c>
      <c r="M274" s="28">
        <v>558704.0</v>
      </c>
      <c r="N274" s="34">
        <v>162.59</v>
      </c>
      <c r="O274" s="33"/>
      <c r="P274" s="35" t="s">
        <v>59</v>
      </c>
      <c r="Q274" s="35" t="s">
        <v>59</v>
      </c>
      <c r="R274" s="36"/>
    </row>
    <row r="275" ht="22.5" customHeight="1">
      <c r="A275" s="38"/>
      <c r="B275" s="26"/>
      <c r="C275" s="28" t="s">
        <v>53</v>
      </c>
      <c r="D275" s="29"/>
      <c r="E275" s="28" t="s">
        <v>35</v>
      </c>
      <c r="F275" s="28" t="s">
        <v>35</v>
      </c>
      <c r="G275" s="30" t="s">
        <v>2600</v>
      </c>
      <c r="H275" s="31"/>
      <c r="I275" s="31"/>
      <c r="J275" s="32">
        <v>46260.0</v>
      </c>
      <c r="K275" s="33"/>
      <c r="L275" s="28" t="s">
        <v>38</v>
      </c>
      <c r="M275" s="28">
        <v>558704.0</v>
      </c>
      <c r="N275" s="34">
        <v>162.59</v>
      </c>
      <c r="O275" s="33"/>
      <c r="P275" s="35" t="s">
        <v>59</v>
      </c>
      <c r="Q275" s="35" t="s">
        <v>59</v>
      </c>
      <c r="R275" s="36"/>
    </row>
    <row r="276" ht="22.5" customHeight="1">
      <c r="A276" s="38"/>
      <c r="B276" s="26"/>
      <c r="C276" s="28" t="s">
        <v>53</v>
      </c>
      <c r="D276" s="29"/>
      <c r="E276" s="28" t="s">
        <v>41</v>
      </c>
      <c r="F276" s="28" t="s">
        <v>41</v>
      </c>
      <c r="G276" s="30" t="s">
        <v>61</v>
      </c>
      <c r="H276" s="31"/>
      <c r="I276" s="31"/>
      <c r="J276" s="32">
        <v>46260.0</v>
      </c>
      <c r="K276" s="33"/>
      <c r="L276" s="28" t="s">
        <v>38</v>
      </c>
      <c r="M276" s="28">
        <v>558704.0</v>
      </c>
      <c r="N276" s="34">
        <v>42.47</v>
      </c>
      <c r="O276" s="33"/>
      <c r="P276" s="35" t="s">
        <v>59</v>
      </c>
      <c r="Q276" s="35" t="s">
        <v>59</v>
      </c>
      <c r="R276" s="36"/>
    </row>
    <row r="277" ht="22.5" customHeight="1">
      <c r="A277" s="38"/>
      <c r="B277" s="26"/>
      <c r="C277" s="28" t="s">
        <v>2609</v>
      </c>
      <c r="D277" s="28" t="s">
        <v>2610</v>
      </c>
      <c r="E277" s="28" t="s">
        <v>35</v>
      </c>
      <c r="F277" s="28" t="s">
        <v>35</v>
      </c>
      <c r="G277" s="30" t="s">
        <v>2611</v>
      </c>
      <c r="H277" s="31"/>
      <c r="I277" s="31"/>
      <c r="J277" s="33"/>
      <c r="K277" s="33"/>
      <c r="L277" s="33"/>
      <c r="M277" s="33"/>
      <c r="N277" s="81"/>
      <c r="O277" s="33"/>
      <c r="P277" s="35"/>
      <c r="Q277" s="36"/>
      <c r="R277" s="36"/>
    </row>
    <row r="278" ht="22.5" customHeight="1">
      <c r="A278" s="38"/>
      <c r="B278" s="26"/>
      <c r="C278" s="29"/>
      <c r="D278" s="29"/>
      <c r="E278" s="29"/>
      <c r="F278" s="29"/>
      <c r="G278" s="287"/>
      <c r="H278" s="31"/>
      <c r="I278" s="31"/>
      <c r="J278" s="33"/>
      <c r="K278" s="33"/>
      <c r="L278" s="33"/>
      <c r="M278" s="33"/>
      <c r="N278" s="81"/>
      <c r="O278" s="33"/>
      <c r="P278" s="35"/>
      <c r="Q278" s="36"/>
      <c r="R278" s="36"/>
    </row>
    <row r="279" ht="22.5" customHeight="1">
      <c r="A279" s="38"/>
      <c r="B279" s="26"/>
      <c r="C279" s="29"/>
      <c r="D279" s="29"/>
      <c r="E279" s="29"/>
      <c r="F279" s="29"/>
      <c r="G279" s="287"/>
      <c r="H279" s="31"/>
      <c r="I279" s="31"/>
      <c r="J279" s="33"/>
      <c r="K279" s="33"/>
      <c r="L279" s="33"/>
      <c r="M279" s="33"/>
      <c r="N279" s="81"/>
      <c r="O279" s="33"/>
      <c r="P279" s="35"/>
      <c r="Q279" s="36"/>
      <c r="R279" s="36"/>
    </row>
    <row r="280" ht="22.5" customHeight="1">
      <c r="A280" s="38"/>
      <c r="B280" s="26"/>
      <c r="C280" s="29"/>
      <c r="D280" s="29"/>
      <c r="E280" s="29"/>
      <c r="F280" s="29"/>
      <c r="G280" s="287"/>
      <c r="H280" s="31"/>
      <c r="I280" s="31"/>
      <c r="J280" s="33"/>
      <c r="K280" s="33"/>
      <c r="L280" s="33"/>
      <c r="M280" s="33"/>
      <c r="N280" s="81"/>
      <c r="O280" s="33"/>
      <c r="P280" s="35"/>
      <c r="Q280" s="36"/>
      <c r="R280" s="36"/>
    </row>
    <row r="281" ht="22.5" customHeight="1">
      <c r="A281" s="38"/>
      <c r="B281" s="26"/>
      <c r="C281" s="29"/>
      <c r="D281" s="29"/>
      <c r="E281" s="29"/>
      <c r="F281" s="29"/>
      <c r="G281" s="287"/>
      <c r="H281" s="31"/>
      <c r="I281" s="31"/>
      <c r="J281" s="33"/>
      <c r="K281" s="33"/>
      <c r="L281" s="33"/>
      <c r="M281" s="33"/>
      <c r="N281" s="81"/>
      <c r="O281" s="33"/>
      <c r="P281" s="35"/>
      <c r="Q281" s="36"/>
      <c r="R281" s="36"/>
    </row>
    <row r="282" ht="22.5" customHeight="1">
      <c r="A282" s="38"/>
      <c r="B282" s="26"/>
      <c r="C282" s="29"/>
      <c r="D282" s="29"/>
      <c r="E282" s="29"/>
      <c r="F282" s="29"/>
      <c r="G282" s="287"/>
      <c r="H282" s="31"/>
      <c r="I282" s="31"/>
      <c r="J282" s="33"/>
      <c r="K282" s="33"/>
      <c r="L282" s="33"/>
      <c r="M282" s="33"/>
      <c r="N282" s="81"/>
      <c r="O282" s="33"/>
      <c r="P282" s="35"/>
      <c r="Q282" s="36"/>
      <c r="R282" s="36"/>
    </row>
    <row r="283" ht="22.5" customHeight="1">
      <c r="A283" s="38"/>
      <c r="B283" s="26"/>
      <c r="C283" s="29"/>
      <c r="D283" s="29"/>
      <c r="E283" s="29"/>
      <c r="F283" s="29"/>
      <c r="G283" s="287"/>
      <c r="H283" s="31"/>
      <c r="I283" s="31"/>
      <c r="J283" s="33"/>
      <c r="K283" s="33"/>
      <c r="L283" s="33"/>
      <c r="M283" s="33"/>
      <c r="N283" s="81"/>
      <c r="O283" s="33"/>
      <c r="P283" s="35"/>
      <c r="Q283" s="36"/>
      <c r="R283" s="36"/>
    </row>
    <row r="284" ht="22.5" customHeight="1">
      <c r="A284" s="38"/>
      <c r="B284" s="26"/>
      <c r="C284" s="29"/>
      <c r="D284" s="29"/>
      <c r="E284" s="29"/>
      <c r="F284" s="29"/>
      <c r="G284" s="287"/>
      <c r="H284" s="31"/>
      <c r="I284" s="31"/>
      <c r="J284" s="33"/>
      <c r="K284" s="33"/>
      <c r="L284" s="33"/>
      <c r="M284" s="33"/>
      <c r="N284" s="81"/>
      <c r="O284" s="33"/>
      <c r="P284" s="35"/>
      <c r="Q284" s="36"/>
      <c r="R284" s="36"/>
    </row>
    <row r="285" ht="22.5" customHeight="1">
      <c r="A285" s="38"/>
      <c r="B285" s="26"/>
      <c r="C285" s="29"/>
      <c r="D285" s="29"/>
      <c r="E285" s="29"/>
      <c r="F285" s="29"/>
      <c r="G285" s="287"/>
      <c r="H285" s="31"/>
      <c r="I285" s="31"/>
      <c r="J285" s="33"/>
      <c r="K285" s="33"/>
      <c r="L285" s="33"/>
      <c r="M285" s="33"/>
      <c r="N285" s="81"/>
      <c r="O285" s="33"/>
      <c r="P285" s="35"/>
      <c r="Q285" s="36"/>
      <c r="R285" s="36"/>
    </row>
    <row r="286" ht="22.5" customHeight="1">
      <c r="A286" s="38"/>
      <c r="B286" s="26"/>
      <c r="C286" s="29"/>
      <c r="D286" s="29"/>
      <c r="E286" s="29"/>
      <c r="F286" s="29"/>
      <c r="G286" s="287"/>
      <c r="H286" s="31"/>
      <c r="I286" s="31"/>
      <c r="J286" s="33"/>
      <c r="K286" s="33"/>
      <c r="L286" s="33"/>
      <c r="M286" s="33"/>
      <c r="N286" s="81"/>
      <c r="O286" s="33"/>
      <c r="P286" s="35"/>
      <c r="Q286" s="36"/>
      <c r="R286" s="36"/>
    </row>
    <row r="287" ht="22.5" customHeight="1">
      <c r="A287" s="38"/>
      <c r="B287" s="26"/>
      <c r="C287" s="29"/>
      <c r="D287" s="29"/>
      <c r="E287" s="29"/>
      <c r="F287" s="29"/>
      <c r="G287" s="287"/>
      <c r="H287" s="31"/>
      <c r="I287" s="31"/>
      <c r="J287" s="33"/>
      <c r="K287" s="33"/>
      <c r="L287" s="33"/>
      <c r="M287" s="33"/>
      <c r="N287" s="81"/>
      <c r="O287" s="33"/>
      <c r="P287" s="35"/>
      <c r="Q287" s="36"/>
      <c r="R287" s="36"/>
    </row>
    <row r="288" ht="22.5" customHeight="1">
      <c r="A288" s="38"/>
      <c r="B288" s="26"/>
      <c r="C288" s="29"/>
      <c r="D288" s="29"/>
      <c r="E288" s="29"/>
      <c r="F288" s="29"/>
      <c r="G288" s="287"/>
      <c r="H288" s="31"/>
      <c r="I288" s="31"/>
      <c r="J288" s="33"/>
      <c r="K288" s="33"/>
      <c r="L288" s="33"/>
      <c r="M288" s="33"/>
      <c r="N288" s="81"/>
      <c r="O288" s="33"/>
      <c r="P288" s="35"/>
      <c r="Q288" s="36"/>
      <c r="R288" s="36"/>
    </row>
    <row r="289" ht="22.5" customHeight="1">
      <c r="A289" s="38"/>
      <c r="B289" s="26"/>
      <c r="C289" s="29"/>
      <c r="D289" s="29"/>
      <c r="E289" s="29"/>
      <c r="F289" s="29"/>
      <c r="G289" s="287"/>
      <c r="H289" s="31"/>
      <c r="I289" s="31"/>
      <c r="J289" s="33"/>
      <c r="K289" s="33"/>
      <c r="L289" s="33"/>
      <c r="M289" s="33"/>
      <c r="N289" s="81"/>
      <c r="O289" s="33"/>
      <c r="P289" s="35"/>
      <c r="Q289" s="36"/>
      <c r="R289" s="36"/>
    </row>
    <row r="290" ht="22.5" customHeight="1">
      <c r="A290" s="38"/>
      <c r="B290" s="26"/>
      <c r="C290" s="29"/>
      <c r="D290" s="29"/>
      <c r="E290" s="29"/>
      <c r="F290" s="29"/>
      <c r="G290" s="287"/>
      <c r="H290" s="31"/>
      <c r="I290" s="31"/>
      <c r="J290" s="33"/>
      <c r="K290" s="33"/>
      <c r="L290" s="33"/>
      <c r="M290" s="33"/>
      <c r="N290" s="81"/>
      <c r="O290" s="33"/>
      <c r="P290" s="35"/>
      <c r="Q290" s="36"/>
      <c r="R290" s="36"/>
    </row>
    <row r="291" ht="22.5" customHeight="1">
      <c r="A291" s="38"/>
      <c r="B291" s="26"/>
      <c r="C291" s="29"/>
      <c r="D291" s="29"/>
      <c r="E291" s="29"/>
      <c r="F291" s="29"/>
      <c r="G291" s="287"/>
      <c r="H291" s="31"/>
      <c r="I291" s="31"/>
      <c r="J291" s="33"/>
      <c r="K291" s="33"/>
      <c r="L291" s="33"/>
      <c r="M291" s="33"/>
      <c r="N291" s="81"/>
      <c r="O291" s="33"/>
      <c r="P291" s="35"/>
      <c r="Q291" s="36"/>
      <c r="R291" s="36"/>
    </row>
    <row r="292" ht="22.5" customHeight="1">
      <c r="A292" s="38"/>
      <c r="B292" s="26"/>
      <c r="C292" s="29"/>
      <c r="D292" s="29"/>
      <c r="E292" s="29"/>
      <c r="F292" s="29"/>
      <c r="G292" s="287"/>
      <c r="H292" s="31"/>
      <c r="I292" s="31"/>
      <c r="J292" s="33"/>
      <c r="K292" s="33"/>
      <c r="L292" s="33"/>
      <c r="M292" s="33"/>
      <c r="N292" s="81"/>
      <c r="O292" s="33"/>
      <c r="P292" s="35"/>
      <c r="Q292" s="36"/>
      <c r="R292" s="36"/>
    </row>
    <row r="293" ht="22.5" customHeight="1">
      <c r="A293" s="38"/>
      <c r="B293" s="26"/>
      <c r="C293" s="29"/>
      <c r="D293" s="29"/>
      <c r="E293" s="29"/>
      <c r="F293" s="29"/>
      <c r="G293" s="287"/>
      <c r="H293" s="31"/>
      <c r="I293" s="31"/>
      <c r="J293" s="33"/>
      <c r="K293" s="33"/>
      <c r="L293" s="33"/>
      <c r="M293" s="33"/>
      <c r="N293" s="81"/>
      <c r="O293" s="33"/>
      <c r="P293" s="35"/>
      <c r="Q293" s="36"/>
      <c r="R293" s="36"/>
    </row>
    <row r="294" ht="22.5" customHeight="1">
      <c r="A294" s="38"/>
      <c r="B294" s="26"/>
      <c r="C294" s="29"/>
      <c r="D294" s="29"/>
      <c r="E294" s="29"/>
      <c r="F294" s="29"/>
      <c r="G294" s="287"/>
      <c r="H294" s="31"/>
      <c r="I294" s="31"/>
      <c r="J294" s="33"/>
      <c r="K294" s="33"/>
      <c r="L294" s="33"/>
      <c r="M294" s="33"/>
      <c r="N294" s="81"/>
      <c r="O294" s="33"/>
      <c r="P294" s="35"/>
      <c r="Q294" s="36"/>
      <c r="R294" s="36"/>
    </row>
    <row r="295" ht="22.5" customHeight="1">
      <c r="A295" s="38"/>
      <c r="B295" s="26"/>
      <c r="C295" s="29"/>
      <c r="D295" s="29"/>
      <c r="E295" s="29"/>
      <c r="F295" s="29"/>
      <c r="G295" s="287"/>
      <c r="H295" s="31"/>
      <c r="I295" s="31"/>
      <c r="J295" s="33"/>
      <c r="K295" s="33"/>
      <c r="L295" s="33"/>
      <c r="M295" s="33"/>
      <c r="N295" s="81"/>
      <c r="O295" s="33"/>
      <c r="P295" s="35"/>
      <c r="Q295" s="36"/>
      <c r="R295" s="36"/>
    </row>
    <row r="296" ht="22.5" customHeight="1">
      <c r="A296" s="38"/>
      <c r="B296" s="26"/>
      <c r="C296" s="29"/>
      <c r="D296" s="29"/>
      <c r="E296" s="29"/>
      <c r="F296" s="29"/>
      <c r="G296" s="287"/>
      <c r="H296" s="31"/>
      <c r="I296" s="31"/>
      <c r="J296" s="33"/>
      <c r="K296" s="33"/>
      <c r="L296" s="33"/>
      <c r="M296" s="33"/>
      <c r="N296" s="81"/>
      <c r="O296" s="33"/>
      <c r="P296" s="35"/>
      <c r="Q296" s="36"/>
      <c r="R296" s="36"/>
    </row>
    <row r="297" ht="22.5" customHeight="1">
      <c r="A297" s="38"/>
      <c r="B297" s="26"/>
      <c r="C297" s="29"/>
      <c r="D297" s="29"/>
      <c r="E297" s="29"/>
      <c r="F297" s="29"/>
      <c r="G297" s="287"/>
      <c r="H297" s="31"/>
      <c r="I297" s="31"/>
      <c r="J297" s="33"/>
      <c r="K297" s="33"/>
      <c r="L297" s="33"/>
      <c r="M297" s="33"/>
      <c r="N297" s="81"/>
      <c r="O297" s="33"/>
      <c r="P297" s="35"/>
      <c r="Q297" s="36"/>
      <c r="R297" s="36"/>
    </row>
    <row r="298" ht="22.5" customHeight="1">
      <c r="A298" s="38"/>
      <c r="B298" s="26"/>
      <c r="C298" s="29"/>
      <c r="D298" s="29"/>
      <c r="E298" s="29"/>
      <c r="F298" s="29"/>
      <c r="G298" s="287"/>
      <c r="H298" s="31"/>
      <c r="I298" s="31"/>
      <c r="J298" s="33"/>
      <c r="K298" s="33"/>
      <c r="L298" s="33"/>
      <c r="M298" s="33"/>
      <c r="N298" s="81"/>
      <c r="O298" s="33"/>
      <c r="P298" s="35"/>
      <c r="Q298" s="36"/>
      <c r="R298" s="36"/>
    </row>
    <row r="299" ht="22.5" customHeight="1">
      <c r="A299" s="38"/>
      <c r="B299" s="26"/>
      <c r="C299" s="29"/>
      <c r="D299" s="29"/>
      <c r="E299" s="29"/>
      <c r="F299" s="29"/>
      <c r="G299" s="287"/>
      <c r="H299" s="31"/>
      <c r="I299" s="31"/>
      <c r="J299" s="33"/>
      <c r="K299" s="33"/>
      <c r="L299" s="33"/>
      <c r="M299" s="33"/>
      <c r="N299" s="81"/>
      <c r="O299" s="33"/>
      <c r="P299" s="35"/>
      <c r="Q299" s="36"/>
      <c r="R299" s="36"/>
    </row>
    <row r="300" ht="22.5" customHeight="1">
      <c r="A300" s="38"/>
      <c r="B300" s="26"/>
      <c r="C300" s="29"/>
      <c r="D300" s="29"/>
      <c r="E300" s="29"/>
      <c r="F300" s="29"/>
      <c r="G300" s="287"/>
      <c r="H300" s="31"/>
      <c r="I300" s="31"/>
      <c r="J300" s="33"/>
      <c r="K300" s="33"/>
      <c r="L300" s="33"/>
      <c r="M300" s="33"/>
      <c r="N300" s="81"/>
      <c r="O300" s="33"/>
      <c r="P300" s="35"/>
      <c r="Q300" s="36"/>
      <c r="R300" s="36"/>
    </row>
    <row r="301" ht="22.5" customHeight="1">
      <c r="A301" s="38"/>
      <c r="B301" s="26"/>
      <c r="C301" s="29"/>
      <c r="D301" s="29"/>
      <c r="E301" s="29"/>
      <c r="F301" s="29"/>
      <c r="G301" s="287"/>
      <c r="H301" s="31"/>
      <c r="I301" s="31"/>
      <c r="J301" s="33"/>
      <c r="K301" s="33"/>
      <c r="L301" s="33"/>
      <c r="M301" s="33"/>
      <c r="N301" s="81"/>
      <c r="O301" s="33"/>
      <c r="P301" s="35"/>
      <c r="Q301" s="36"/>
      <c r="R301" s="36"/>
    </row>
    <row r="302" ht="22.5" customHeight="1">
      <c r="A302" s="38"/>
      <c r="B302" s="26"/>
      <c r="C302" s="29"/>
      <c r="D302" s="29"/>
      <c r="E302" s="29"/>
      <c r="F302" s="29"/>
      <c r="G302" s="287"/>
      <c r="H302" s="31"/>
      <c r="I302" s="31"/>
      <c r="J302" s="33"/>
      <c r="K302" s="33"/>
      <c r="L302" s="33"/>
      <c r="M302" s="33"/>
      <c r="N302" s="81"/>
      <c r="O302" s="33"/>
      <c r="P302" s="35"/>
      <c r="Q302" s="36"/>
      <c r="R302" s="36"/>
    </row>
    <row r="303" ht="22.5" customHeight="1">
      <c r="A303" s="38"/>
      <c r="B303" s="26"/>
      <c r="C303" s="29"/>
      <c r="D303" s="29"/>
      <c r="E303" s="29"/>
      <c r="F303" s="29"/>
      <c r="G303" s="287"/>
      <c r="H303" s="31"/>
      <c r="I303" s="31"/>
      <c r="J303" s="33"/>
      <c r="K303" s="33"/>
      <c r="L303" s="33"/>
      <c r="M303" s="33"/>
      <c r="N303" s="81"/>
      <c r="O303" s="33"/>
      <c r="P303" s="35"/>
      <c r="Q303" s="36"/>
      <c r="R303" s="36"/>
    </row>
    <row r="304" ht="22.5" customHeight="1">
      <c r="A304" s="38"/>
      <c r="B304" s="26"/>
      <c r="C304" s="29"/>
      <c r="D304" s="29"/>
      <c r="E304" s="29"/>
      <c r="F304" s="29"/>
      <c r="G304" s="287"/>
      <c r="H304" s="31"/>
      <c r="I304" s="31"/>
      <c r="J304" s="33"/>
      <c r="K304" s="33"/>
      <c r="L304" s="33"/>
      <c r="M304" s="33"/>
      <c r="N304" s="81"/>
      <c r="O304" s="33"/>
      <c r="P304" s="35"/>
      <c r="Q304" s="36"/>
      <c r="R304" s="36"/>
    </row>
    <row r="305" ht="22.5" customHeight="1">
      <c r="A305" s="38"/>
      <c r="B305" s="26"/>
      <c r="C305" s="29"/>
      <c r="D305" s="29"/>
      <c r="E305" s="29"/>
      <c r="F305" s="29"/>
      <c r="G305" s="287"/>
      <c r="H305" s="31"/>
      <c r="I305" s="31"/>
      <c r="J305" s="33"/>
      <c r="K305" s="33"/>
      <c r="L305" s="33"/>
      <c r="M305" s="33"/>
      <c r="N305" s="81"/>
      <c r="O305" s="33"/>
      <c r="P305" s="35"/>
      <c r="Q305" s="36"/>
      <c r="R305" s="36"/>
    </row>
    <row r="306" ht="22.5" customHeight="1">
      <c r="A306" s="38"/>
      <c r="B306" s="26"/>
      <c r="C306" s="29"/>
      <c r="D306" s="29"/>
      <c r="E306" s="29"/>
      <c r="F306" s="29"/>
      <c r="G306" s="287"/>
      <c r="H306" s="31"/>
      <c r="I306" s="31"/>
      <c r="J306" s="33"/>
      <c r="K306" s="33"/>
      <c r="L306" s="33"/>
      <c r="M306" s="33"/>
      <c r="N306" s="81"/>
      <c r="O306" s="33"/>
      <c r="P306" s="35"/>
      <c r="Q306" s="36"/>
      <c r="R306" s="36"/>
    </row>
    <row r="307" ht="22.5" customHeight="1">
      <c r="A307" s="38"/>
      <c r="B307" s="26"/>
      <c r="C307" s="29"/>
      <c r="D307" s="29"/>
      <c r="E307" s="29"/>
      <c r="F307" s="29"/>
      <c r="G307" s="287"/>
      <c r="H307" s="31"/>
      <c r="I307" s="31"/>
      <c r="J307" s="33"/>
      <c r="K307" s="33"/>
      <c r="L307" s="33"/>
      <c r="M307" s="33"/>
      <c r="N307" s="81"/>
      <c r="O307" s="33"/>
      <c r="P307" s="35"/>
      <c r="Q307" s="36"/>
      <c r="R307" s="36"/>
    </row>
    <row r="308" ht="22.5" customHeight="1">
      <c r="A308" s="38"/>
      <c r="B308" s="26"/>
      <c r="C308" s="29"/>
      <c r="D308" s="29"/>
      <c r="E308" s="29"/>
      <c r="F308" s="29"/>
      <c r="G308" s="287"/>
      <c r="H308" s="31"/>
      <c r="I308" s="31"/>
      <c r="J308" s="33"/>
      <c r="K308" s="33"/>
      <c r="L308" s="33"/>
      <c r="M308" s="33"/>
      <c r="N308" s="81"/>
      <c r="O308" s="33"/>
      <c r="P308" s="35"/>
      <c r="Q308" s="36"/>
      <c r="R308" s="36"/>
    </row>
    <row r="309" ht="22.5" customHeight="1">
      <c r="A309" s="38"/>
      <c r="B309" s="26"/>
      <c r="C309" s="29"/>
      <c r="D309" s="29"/>
      <c r="E309" s="29"/>
      <c r="F309" s="29"/>
      <c r="G309" s="287"/>
      <c r="H309" s="31"/>
      <c r="I309" s="31"/>
      <c r="J309" s="33"/>
      <c r="K309" s="33"/>
      <c r="L309" s="33"/>
      <c r="M309" s="33"/>
      <c r="N309" s="81"/>
      <c r="O309" s="33"/>
      <c r="P309" s="35"/>
      <c r="Q309" s="36"/>
      <c r="R309" s="36"/>
    </row>
    <row r="310" ht="22.5" customHeight="1">
      <c r="A310" s="38"/>
      <c r="B310" s="26"/>
      <c r="C310" s="29"/>
      <c r="D310" s="29"/>
      <c r="E310" s="29"/>
      <c r="F310" s="29"/>
      <c r="G310" s="287"/>
      <c r="H310" s="31"/>
      <c r="I310" s="31"/>
      <c r="J310" s="33"/>
      <c r="K310" s="33"/>
      <c r="L310" s="33"/>
      <c r="M310" s="33"/>
      <c r="N310" s="81"/>
      <c r="O310" s="33"/>
      <c r="P310" s="35"/>
      <c r="Q310" s="36"/>
      <c r="R310" s="36"/>
    </row>
    <row r="311" ht="22.5" customHeight="1">
      <c r="A311" s="38"/>
      <c r="B311" s="26"/>
      <c r="C311" s="29"/>
      <c r="D311" s="29"/>
      <c r="E311" s="29"/>
      <c r="F311" s="29"/>
      <c r="G311" s="287"/>
      <c r="H311" s="31"/>
      <c r="I311" s="31"/>
      <c r="J311" s="33"/>
      <c r="K311" s="33"/>
      <c r="L311" s="33"/>
      <c r="M311" s="33"/>
      <c r="N311" s="81"/>
      <c r="O311" s="33"/>
      <c r="P311" s="35"/>
      <c r="Q311" s="36"/>
      <c r="R311" s="36"/>
    </row>
    <row r="312" ht="22.5" customHeight="1">
      <c r="A312" s="38"/>
      <c r="B312" s="26"/>
      <c r="C312" s="29"/>
      <c r="D312" s="29"/>
      <c r="E312" s="29"/>
      <c r="F312" s="29"/>
      <c r="G312" s="287"/>
      <c r="H312" s="31"/>
      <c r="I312" s="31"/>
      <c r="J312" s="33"/>
      <c r="K312" s="33"/>
      <c r="L312" s="33"/>
      <c r="M312" s="33"/>
      <c r="N312" s="81"/>
      <c r="O312" s="33"/>
      <c r="P312" s="35"/>
      <c r="Q312" s="36"/>
      <c r="R312" s="36"/>
    </row>
    <row r="313" ht="22.5" customHeight="1">
      <c r="A313" s="38"/>
      <c r="B313" s="26"/>
      <c r="C313" s="29"/>
      <c r="D313" s="29"/>
      <c r="E313" s="29"/>
      <c r="F313" s="29"/>
      <c r="G313" s="287"/>
      <c r="H313" s="31"/>
      <c r="I313" s="31"/>
      <c r="J313" s="33"/>
      <c r="K313" s="33"/>
      <c r="L313" s="33"/>
      <c r="M313" s="33"/>
      <c r="N313" s="81"/>
      <c r="O313" s="33"/>
      <c r="P313" s="35"/>
      <c r="Q313" s="36"/>
      <c r="R313" s="36"/>
    </row>
    <row r="314" ht="22.5" customHeight="1">
      <c r="A314" s="38"/>
      <c r="B314" s="26"/>
      <c r="C314" s="29"/>
      <c r="D314" s="29"/>
      <c r="E314" s="29"/>
      <c r="F314" s="29"/>
      <c r="G314" s="287"/>
      <c r="H314" s="31"/>
      <c r="I314" s="31"/>
      <c r="J314" s="33"/>
      <c r="K314" s="33"/>
      <c r="L314" s="33"/>
      <c r="M314" s="33"/>
      <c r="N314" s="81"/>
      <c r="O314" s="33"/>
      <c r="P314" s="35"/>
      <c r="Q314" s="36"/>
      <c r="R314" s="36"/>
    </row>
    <row r="315" ht="22.5" customHeight="1">
      <c r="A315" s="38"/>
      <c r="B315" s="26"/>
      <c r="C315" s="29"/>
      <c r="D315" s="29"/>
      <c r="E315" s="29"/>
      <c r="F315" s="29"/>
      <c r="G315" s="287"/>
      <c r="H315" s="31"/>
      <c r="I315" s="31"/>
      <c r="J315" s="33"/>
      <c r="K315" s="33"/>
      <c r="L315" s="33"/>
      <c r="M315" s="33"/>
      <c r="N315" s="81"/>
      <c r="O315" s="33"/>
      <c r="P315" s="35"/>
      <c r="Q315" s="36"/>
      <c r="R315" s="36"/>
    </row>
    <row r="316" ht="22.5" customHeight="1">
      <c r="A316" s="38"/>
      <c r="B316" s="26"/>
      <c r="C316" s="29"/>
      <c r="D316" s="29"/>
      <c r="E316" s="29"/>
      <c r="F316" s="29"/>
      <c r="G316" s="287"/>
      <c r="H316" s="31"/>
      <c r="I316" s="31"/>
      <c r="J316" s="33"/>
      <c r="K316" s="33"/>
      <c r="L316" s="33"/>
      <c r="M316" s="33"/>
      <c r="N316" s="81"/>
      <c r="O316" s="33"/>
      <c r="P316" s="35"/>
      <c r="Q316" s="36"/>
      <c r="R316" s="36"/>
    </row>
    <row r="317" ht="22.5" customHeight="1">
      <c r="A317" s="38"/>
      <c r="B317" s="26"/>
      <c r="C317" s="29"/>
      <c r="D317" s="29"/>
      <c r="E317" s="29"/>
      <c r="F317" s="29"/>
      <c r="G317" s="287"/>
      <c r="H317" s="31"/>
      <c r="I317" s="31"/>
      <c r="J317" s="33"/>
      <c r="K317" s="33"/>
      <c r="L317" s="33"/>
      <c r="M317" s="33"/>
      <c r="N317" s="81"/>
      <c r="O317" s="33"/>
      <c r="P317" s="35"/>
      <c r="Q317" s="36"/>
      <c r="R317" s="36"/>
    </row>
    <row r="318" ht="22.5" customHeight="1">
      <c r="A318" s="38"/>
      <c r="B318" s="26"/>
      <c r="C318" s="29"/>
      <c r="D318" s="29"/>
      <c r="E318" s="29"/>
      <c r="F318" s="29"/>
      <c r="G318" s="287"/>
      <c r="H318" s="31"/>
      <c r="I318" s="31"/>
      <c r="J318" s="33"/>
      <c r="K318" s="33"/>
      <c r="L318" s="33"/>
      <c r="M318" s="33"/>
      <c r="N318" s="81"/>
      <c r="O318" s="33"/>
      <c r="P318" s="35"/>
      <c r="Q318" s="36"/>
      <c r="R318" s="36"/>
    </row>
    <row r="319" ht="22.5" customHeight="1">
      <c r="A319" s="38"/>
      <c r="B319" s="26"/>
      <c r="C319" s="29"/>
      <c r="D319" s="29"/>
      <c r="E319" s="29"/>
      <c r="F319" s="29"/>
      <c r="G319" s="287"/>
      <c r="H319" s="31"/>
      <c r="I319" s="31"/>
      <c r="J319" s="33"/>
      <c r="K319" s="33"/>
      <c r="L319" s="33"/>
      <c r="M319" s="33"/>
      <c r="N319" s="81"/>
      <c r="O319" s="33"/>
      <c r="P319" s="35"/>
      <c r="Q319" s="36"/>
      <c r="R319" s="36"/>
    </row>
    <row r="320" ht="22.5" customHeight="1">
      <c r="A320" s="38"/>
      <c r="B320" s="26"/>
      <c r="C320" s="29"/>
      <c r="D320" s="29"/>
      <c r="E320" s="29"/>
      <c r="F320" s="29"/>
      <c r="G320" s="287"/>
      <c r="H320" s="31"/>
      <c r="I320" s="31"/>
      <c r="J320" s="33"/>
      <c r="K320" s="33"/>
      <c r="L320" s="33"/>
      <c r="M320" s="33"/>
      <c r="N320" s="81"/>
      <c r="O320" s="33"/>
      <c r="P320" s="35"/>
      <c r="Q320" s="36"/>
      <c r="R320" s="36"/>
    </row>
    <row r="321" ht="22.5" customHeight="1">
      <c r="A321" s="38"/>
      <c r="B321" s="26"/>
      <c r="C321" s="29"/>
      <c r="D321" s="29"/>
      <c r="E321" s="29"/>
      <c r="F321" s="29"/>
      <c r="G321" s="287"/>
      <c r="H321" s="31"/>
      <c r="I321" s="31"/>
      <c r="J321" s="33"/>
      <c r="K321" s="33"/>
      <c r="L321" s="33"/>
      <c r="M321" s="33"/>
      <c r="N321" s="81"/>
      <c r="O321" s="33"/>
      <c r="P321" s="35"/>
      <c r="Q321" s="36"/>
      <c r="R321" s="36"/>
    </row>
    <row r="322" ht="22.5" customHeight="1">
      <c r="A322" s="38"/>
      <c r="B322" s="26"/>
      <c r="C322" s="29"/>
      <c r="D322" s="29"/>
      <c r="E322" s="29"/>
      <c r="F322" s="29"/>
      <c r="G322" s="287"/>
      <c r="H322" s="31"/>
      <c r="I322" s="31"/>
      <c r="J322" s="33"/>
      <c r="K322" s="33"/>
      <c r="L322" s="33"/>
      <c r="M322" s="33"/>
      <c r="N322" s="81"/>
      <c r="O322" s="33"/>
      <c r="P322" s="35"/>
      <c r="Q322" s="36"/>
      <c r="R322" s="36"/>
    </row>
    <row r="323" ht="22.5" customHeight="1">
      <c r="A323" s="38"/>
      <c r="B323" s="26"/>
      <c r="C323" s="29"/>
      <c r="D323" s="29"/>
      <c r="E323" s="29"/>
      <c r="F323" s="29"/>
      <c r="G323" s="287"/>
      <c r="H323" s="31"/>
      <c r="I323" s="31"/>
      <c r="J323" s="33"/>
      <c r="K323" s="33"/>
      <c r="L323" s="33"/>
      <c r="M323" s="33"/>
      <c r="N323" s="81"/>
      <c r="O323" s="33"/>
      <c r="P323" s="35"/>
      <c r="Q323" s="36"/>
      <c r="R323" s="36"/>
    </row>
    <row r="324" ht="22.5" customHeight="1">
      <c r="A324" s="38"/>
      <c r="B324" s="26"/>
      <c r="C324" s="29"/>
      <c r="D324" s="29"/>
      <c r="E324" s="29"/>
      <c r="F324" s="29"/>
      <c r="G324" s="287"/>
      <c r="H324" s="31"/>
      <c r="I324" s="31"/>
      <c r="J324" s="33"/>
      <c r="K324" s="33"/>
      <c r="L324" s="33"/>
      <c r="M324" s="33"/>
      <c r="N324" s="81"/>
      <c r="O324" s="33"/>
      <c r="P324" s="35"/>
      <c r="Q324" s="36"/>
      <c r="R324" s="36"/>
    </row>
    <row r="325" ht="22.5" customHeight="1">
      <c r="A325" s="38"/>
      <c r="B325" s="26"/>
      <c r="C325" s="29"/>
      <c r="D325" s="29"/>
      <c r="E325" s="29"/>
      <c r="F325" s="29"/>
      <c r="G325" s="287"/>
      <c r="H325" s="31"/>
      <c r="I325" s="31"/>
      <c r="J325" s="33"/>
      <c r="K325" s="33"/>
      <c r="L325" s="33"/>
      <c r="M325" s="33"/>
      <c r="N325" s="81"/>
      <c r="O325" s="33"/>
      <c r="P325" s="35"/>
      <c r="Q325" s="36"/>
      <c r="R325" s="36"/>
    </row>
    <row r="326" ht="22.5" customHeight="1">
      <c r="A326" s="38"/>
      <c r="B326" s="26"/>
      <c r="C326" s="29"/>
      <c r="D326" s="29"/>
      <c r="E326" s="29"/>
      <c r="F326" s="29"/>
      <c r="G326" s="287"/>
      <c r="H326" s="31"/>
      <c r="I326" s="31"/>
      <c r="J326" s="33"/>
      <c r="K326" s="33"/>
      <c r="L326" s="33"/>
      <c r="M326" s="33"/>
      <c r="N326" s="81"/>
      <c r="O326" s="33"/>
      <c r="P326" s="35"/>
      <c r="Q326" s="36"/>
      <c r="R326" s="36"/>
    </row>
    <row r="327" ht="22.5" customHeight="1">
      <c r="A327" s="38"/>
      <c r="B327" s="26"/>
      <c r="C327" s="29"/>
      <c r="D327" s="29"/>
      <c r="E327" s="29"/>
      <c r="F327" s="29"/>
      <c r="G327" s="287"/>
      <c r="H327" s="31"/>
      <c r="I327" s="31"/>
      <c r="J327" s="33"/>
      <c r="K327" s="33"/>
      <c r="L327" s="33"/>
      <c r="M327" s="33"/>
      <c r="N327" s="81"/>
      <c r="O327" s="33"/>
      <c r="P327" s="35"/>
      <c r="Q327" s="36"/>
      <c r="R327" s="36"/>
    </row>
    <row r="328" ht="22.5" customHeight="1">
      <c r="A328" s="38"/>
      <c r="B328" s="26"/>
      <c r="C328" s="29"/>
      <c r="D328" s="29"/>
      <c r="E328" s="29"/>
      <c r="F328" s="29"/>
      <c r="G328" s="287"/>
      <c r="H328" s="31"/>
      <c r="I328" s="31"/>
      <c r="J328" s="33"/>
      <c r="K328" s="33"/>
      <c r="L328" s="33"/>
      <c r="M328" s="33"/>
      <c r="N328" s="81"/>
      <c r="O328" s="33"/>
      <c r="P328" s="35"/>
      <c r="Q328" s="36"/>
      <c r="R328" s="36"/>
    </row>
    <row r="329" ht="22.5" customHeight="1">
      <c r="A329" s="38"/>
      <c r="B329" s="26"/>
      <c r="C329" s="29"/>
      <c r="D329" s="29"/>
      <c r="E329" s="29"/>
      <c r="F329" s="29"/>
      <c r="G329" s="287"/>
      <c r="H329" s="31"/>
      <c r="I329" s="31"/>
      <c r="J329" s="33"/>
      <c r="K329" s="33"/>
      <c r="L329" s="33"/>
      <c r="M329" s="33"/>
      <c r="N329" s="81"/>
      <c r="O329" s="33"/>
      <c r="P329" s="35"/>
      <c r="Q329" s="36"/>
      <c r="R329" s="36"/>
    </row>
    <row r="330" ht="22.5" customHeight="1">
      <c r="A330" s="38"/>
      <c r="B330" s="26"/>
      <c r="C330" s="29"/>
      <c r="D330" s="29"/>
      <c r="E330" s="29"/>
      <c r="F330" s="29"/>
      <c r="G330" s="287"/>
      <c r="H330" s="31"/>
      <c r="I330" s="31"/>
      <c r="J330" s="33"/>
      <c r="K330" s="33"/>
      <c r="L330" s="33"/>
      <c r="M330" s="33"/>
      <c r="N330" s="81"/>
      <c r="O330" s="33"/>
      <c r="P330" s="35"/>
      <c r="Q330" s="36"/>
      <c r="R330" s="36"/>
    </row>
    <row r="331" ht="22.5" customHeight="1">
      <c r="A331" s="38"/>
      <c r="B331" s="26"/>
      <c r="C331" s="29"/>
      <c r="D331" s="29"/>
      <c r="E331" s="29"/>
      <c r="F331" s="29"/>
      <c r="G331" s="287"/>
      <c r="H331" s="31"/>
      <c r="I331" s="31"/>
      <c r="J331" s="33"/>
      <c r="K331" s="33"/>
      <c r="L331" s="33"/>
      <c r="M331" s="33"/>
      <c r="N331" s="81"/>
      <c r="O331" s="33"/>
      <c r="P331" s="35"/>
      <c r="Q331" s="36"/>
      <c r="R331" s="36"/>
    </row>
    <row r="332" ht="22.5" customHeight="1">
      <c r="A332" s="38"/>
      <c r="B332" s="26"/>
      <c r="C332" s="29"/>
      <c r="D332" s="29"/>
      <c r="E332" s="29"/>
      <c r="F332" s="29"/>
      <c r="G332" s="287"/>
      <c r="H332" s="31"/>
      <c r="I332" s="31"/>
      <c r="J332" s="33"/>
      <c r="K332" s="33"/>
      <c r="L332" s="33"/>
      <c r="M332" s="33"/>
      <c r="N332" s="81"/>
      <c r="O332" s="33"/>
      <c r="P332" s="35"/>
      <c r="Q332" s="36"/>
      <c r="R332" s="36"/>
    </row>
    <row r="333" ht="22.5" customHeight="1">
      <c r="A333" s="38"/>
      <c r="B333" s="26"/>
      <c r="C333" s="29"/>
      <c r="D333" s="29"/>
      <c r="E333" s="29"/>
      <c r="F333" s="29"/>
      <c r="G333" s="287"/>
      <c r="H333" s="31"/>
      <c r="I333" s="31"/>
      <c r="J333" s="33"/>
      <c r="K333" s="33"/>
      <c r="L333" s="33"/>
      <c r="M333" s="33"/>
      <c r="N333" s="81"/>
      <c r="O333" s="33"/>
      <c r="P333" s="35"/>
      <c r="Q333" s="36"/>
      <c r="R333" s="36"/>
    </row>
    <row r="334" ht="22.5" customHeight="1">
      <c r="A334" s="38"/>
      <c r="B334" s="26"/>
      <c r="C334" s="29"/>
      <c r="D334" s="29"/>
      <c r="E334" s="29"/>
      <c r="F334" s="29"/>
      <c r="G334" s="287"/>
      <c r="H334" s="31"/>
      <c r="I334" s="31"/>
      <c r="J334" s="33"/>
      <c r="K334" s="33"/>
      <c r="L334" s="33"/>
      <c r="M334" s="33"/>
      <c r="N334" s="81"/>
      <c r="O334" s="33"/>
      <c r="P334" s="35"/>
      <c r="Q334" s="36"/>
      <c r="R334" s="36"/>
    </row>
    <row r="335" ht="22.5" customHeight="1">
      <c r="A335" s="38"/>
      <c r="B335" s="26"/>
      <c r="C335" s="29"/>
      <c r="D335" s="29"/>
      <c r="E335" s="29"/>
      <c r="F335" s="29"/>
      <c r="G335" s="287"/>
      <c r="H335" s="31"/>
      <c r="I335" s="31"/>
      <c r="J335" s="33"/>
      <c r="K335" s="33"/>
      <c r="L335" s="33"/>
      <c r="M335" s="33"/>
      <c r="N335" s="81"/>
      <c r="O335" s="33"/>
      <c r="P335" s="35"/>
      <c r="Q335" s="36"/>
      <c r="R335" s="36"/>
    </row>
    <row r="336" ht="22.5" customHeight="1">
      <c r="A336" s="38"/>
      <c r="B336" s="26"/>
      <c r="C336" s="29"/>
      <c r="D336" s="29"/>
      <c r="E336" s="29"/>
      <c r="F336" s="29"/>
      <c r="G336" s="287"/>
      <c r="H336" s="31"/>
      <c r="I336" s="31"/>
      <c r="J336" s="33"/>
      <c r="K336" s="33"/>
      <c r="L336" s="33"/>
      <c r="M336" s="33"/>
      <c r="N336" s="81"/>
      <c r="O336" s="33"/>
      <c r="P336" s="35"/>
      <c r="Q336" s="36"/>
      <c r="R336" s="36"/>
    </row>
    <row r="337" ht="22.5" customHeight="1">
      <c r="A337" s="38"/>
      <c r="B337" s="26"/>
      <c r="C337" s="29"/>
      <c r="D337" s="29"/>
      <c r="E337" s="29"/>
      <c r="F337" s="29"/>
      <c r="G337" s="287"/>
      <c r="H337" s="31"/>
      <c r="I337" s="31"/>
      <c r="J337" s="33"/>
      <c r="K337" s="33"/>
      <c r="L337" s="33"/>
      <c r="M337" s="33"/>
      <c r="N337" s="81"/>
      <c r="O337" s="33"/>
      <c r="P337" s="35"/>
      <c r="Q337" s="36"/>
      <c r="R337" s="36"/>
    </row>
    <row r="338" ht="22.5" customHeight="1">
      <c r="A338" s="38"/>
      <c r="B338" s="26"/>
      <c r="C338" s="29"/>
      <c r="D338" s="29"/>
      <c r="E338" s="29"/>
      <c r="F338" s="29"/>
      <c r="G338" s="287"/>
      <c r="H338" s="31"/>
      <c r="I338" s="31"/>
      <c r="J338" s="33"/>
      <c r="K338" s="33"/>
      <c r="L338" s="33"/>
      <c r="M338" s="33"/>
      <c r="N338" s="81"/>
      <c r="O338" s="33"/>
      <c r="P338" s="35"/>
      <c r="Q338" s="36"/>
      <c r="R338" s="36"/>
    </row>
    <row r="339" ht="22.5" customHeight="1">
      <c r="A339" s="38"/>
      <c r="B339" s="26"/>
      <c r="C339" s="29"/>
      <c r="D339" s="29"/>
      <c r="E339" s="29"/>
      <c r="F339" s="29"/>
      <c r="G339" s="287"/>
      <c r="H339" s="31"/>
      <c r="I339" s="31"/>
      <c r="J339" s="33"/>
      <c r="K339" s="33"/>
      <c r="L339" s="33"/>
      <c r="M339" s="33"/>
      <c r="N339" s="81"/>
      <c r="O339" s="33"/>
      <c r="P339" s="35"/>
      <c r="Q339" s="36"/>
      <c r="R339" s="36"/>
    </row>
    <row r="340" ht="22.5" customHeight="1">
      <c r="A340" s="38"/>
      <c r="B340" s="26"/>
      <c r="C340" s="29"/>
      <c r="D340" s="29"/>
      <c r="E340" s="29"/>
      <c r="F340" s="29"/>
      <c r="G340" s="287"/>
      <c r="H340" s="31"/>
      <c r="I340" s="31"/>
      <c r="J340" s="33"/>
      <c r="K340" s="33"/>
      <c r="L340" s="33"/>
      <c r="M340" s="33"/>
      <c r="N340" s="81"/>
      <c r="O340" s="33"/>
      <c r="P340" s="35"/>
      <c r="Q340" s="36"/>
      <c r="R340" s="36"/>
    </row>
    <row r="341" ht="22.5" customHeight="1">
      <c r="A341" s="38"/>
      <c r="B341" s="26"/>
      <c r="C341" s="29"/>
      <c r="D341" s="29"/>
      <c r="E341" s="29"/>
      <c r="F341" s="29"/>
      <c r="G341" s="287"/>
      <c r="H341" s="31"/>
      <c r="I341" s="31"/>
      <c r="J341" s="33"/>
      <c r="K341" s="33"/>
      <c r="L341" s="33"/>
      <c r="M341" s="33"/>
      <c r="N341" s="81"/>
      <c r="O341" s="33"/>
      <c r="P341" s="35"/>
      <c r="Q341" s="36"/>
      <c r="R341" s="36"/>
    </row>
    <row r="342" ht="22.5" customHeight="1">
      <c r="A342" s="38"/>
      <c r="B342" s="26"/>
      <c r="C342" s="29"/>
      <c r="D342" s="29"/>
      <c r="E342" s="29"/>
      <c r="F342" s="29"/>
      <c r="G342" s="287"/>
      <c r="H342" s="31"/>
      <c r="I342" s="31"/>
      <c r="J342" s="33"/>
      <c r="K342" s="33"/>
      <c r="L342" s="33"/>
      <c r="M342" s="33"/>
      <c r="N342" s="81"/>
      <c r="O342" s="33"/>
      <c r="P342" s="35"/>
      <c r="Q342" s="36"/>
      <c r="R342" s="36"/>
    </row>
    <row r="343" ht="22.5" customHeight="1">
      <c r="A343" s="38"/>
      <c r="B343" s="26"/>
      <c r="C343" s="29"/>
      <c r="D343" s="29"/>
      <c r="E343" s="29"/>
      <c r="F343" s="29"/>
      <c r="G343" s="287"/>
      <c r="H343" s="31"/>
      <c r="I343" s="31"/>
      <c r="J343" s="33"/>
      <c r="K343" s="33"/>
      <c r="L343" s="33"/>
      <c r="M343" s="33"/>
      <c r="N343" s="81"/>
      <c r="O343" s="33"/>
      <c r="P343" s="35"/>
      <c r="Q343" s="36"/>
      <c r="R343" s="36"/>
    </row>
    <row r="344" ht="22.5" customHeight="1">
      <c r="A344" s="38"/>
      <c r="B344" s="26"/>
      <c r="C344" s="29"/>
      <c r="D344" s="29"/>
      <c r="E344" s="29"/>
      <c r="F344" s="29"/>
      <c r="G344" s="287"/>
      <c r="H344" s="31"/>
      <c r="I344" s="31"/>
      <c r="J344" s="33"/>
      <c r="K344" s="33"/>
      <c r="L344" s="33"/>
      <c r="M344" s="33"/>
      <c r="N344" s="81"/>
      <c r="O344" s="33"/>
      <c r="P344" s="35"/>
      <c r="Q344" s="36"/>
      <c r="R344" s="36"/>
    </row>
    <row r="345" ht="22.5" customHeight="1">
      <c r="A345" s="38"/>
      <c r="B345" s="26"/>
      <c r="C345" s="29"/>
      <c r="D345" s="29"/>
      <c r="E345" s="29"/>
      <c r="F345" s="29"/>
      <c r="G345" s="287"/>
      <c r="H345" s="31"/>
      <c r="I345" s="31"/>
      <c r="J345" s="33"/>
      <c r="K345" s="33"/>
      <c r="L345" s="33"/>
      <c r="M345" s="33"/>
      <c r="N345" s="81"/>
      <c r="O345" s="33"/>
      <c r="P345" s="35"/>
      <c r="Q345" s="36"/>
      <c r="R345" s="36"/>
    </row>
    <row r="346" ht="22.5" customHeight="1">
      <c r="A346" s="38"/>
      <c r="B346" s="26"/>
      <c r="C346" s="29"/>
      <c r="D346" s="29"/>
      <c r="E346" s="29"/>
      <c r="F346" s="29"/>
      <c r="G346" s="287"/>
      <c r="H346" s="31"/>
      <c r="I346" s="31"/>
      <c r="J346" s="33"/>
      <c r="K346" s="33"/>
      <c r="L346" s="33"/>
      <c r="M346" s="33"/>
      <c r="N346" s="81"/>
      <c r="O346" s="33"/>
      <c r="P346" s="35"/>
      <c r="Q346" s="36"/>
      <c r="R346" s="36"/>
    </row>
    <row r="347" ht="22.5" customHeight="1">
      <c r="A347" s="38"/>
      <c r="B347" s="26"/>
      <c r="C347" s="29"/>
      <c r="D347" s="29"/>
      <c r="E347" s="29"/>
      <c r="F347" s="29"/>
      <c r="G347" s="287"/>
      <c r="H347" s="31"/>
      <c r="I347" s="31"/>
      <c r="J347" s="33"/>
      <c r="K347" s="33"/>
      <c r="L347" s="33"/>
      <c r="M347" s="33"/>
      <c r="N347" s="81"/>
      <c r="O347" s="33"/>
      <c r="P347" s="35"/>
      <c r="Q347" s="36"/>
      <c r="R347" s="36"/>
    </row>
    <row r="348" ht="22.5" customHeight="1">
      <c r="A348" s="38"/>
      <c r="B348" s="26"/>
      <c r="C348" s="29"/>
      <c r="D348" s="29"/>
      <c r="E348" s="29"/>
      <c r="F348" s="29"/>
      <c r="G348" s="287"/>
      <c r="H348" s="31"/>
      <c r="I348" s="31"/>
      <c r="J348" s="33"/>
      <c r="K348" s="33"/>
      <c r="L348" s="33"/>
      <c r="M348" s="33"/>
      <c r="N348" s="81"/>
      <c r="O348" s="33"/>
      <c r="P348" s="35"/>
      <c r="Q348" s="36"/>
      <c r="R348" s="36"/>
    </row>
    <row r="349" ht="22.5" customHeight="1">
      <c r="A349" s="38"/>
      <c r="B349" s="26"/>
      <c r="C349" s="29"/>
      <c r="D349" s="29"/>
      <c r="E349" s="29"/>
      <c r="F349" s="29"/>
      <c r="G349" s="287"/>
      <c r="H349" s="31"/>
      <c r="I349" s="31"/>
      <c r="J349" s="33"/>
      <c r="K349" s="33"/>
      <c r="L349" s="33"/>
      <c r="M349" s="33"/>
      <c r="N349" s="81"/>
      <c r="O349" s="33"/>
      <c r="P349" s="35"/>
      <c r="Q349" s="36"/>
      <c r="R349" s="36"/>
    </row>
    <row r="350" ht="22.5" customHeight="1">
      <c r="A350" s="38"/>
      <c r="B350" s="26"/>
      <c r="C350" s="29"/>
      <c r="D350" s="29"/>
      <c r="E350" s="29"/>
      <c r="F350" s="29"/>
      <c r="G350" s="287"/>
      <c r="H350" s="31"/>
      <c r="I350" s="31"/>
      <c r="J350" s="33"/>
      <c r="K350" s="33"/>
      <c r="L350" s="33"/>
      <c r="M350" s="33"/>
      <c r="N350" s="81"/>
      <c r="O350" s="33"/>
      <c r="P350" s="35"/>
      <c r="Q350" s="36"/>
      <c r="R350" s="36"/>
    </row>
    <row r="351" ht="22.5" customHeight="1">
      <c r="A351" s="38"/>
      <c r="B351" s="26"/>
      <c r="C351" s="29"/>
      <c r="D351" s="29"/>
      <c r="E351" s="29"/>
      <c r="F351" s="29"/>
      <c r="G351" s="287"/>
      <c r="H351" s="31"/>
      <c r="I351" s="31"/>
      <c r="J351" s="33"/>
      <c r="K351" s="33"/>
      <c r="L351" s="33"/>
      <c r="M351" s="33"/>
      <c r="N351" s="81"/>
      <c r="O351" s="33"/>
      <c r="P351" s="35"/>
      <c r="Q351" s="36"/>
      <c r="R351" s="36"/>
    </row>
    <row r="352" ht="22.5" customHeight="1">
      <c r="A352" s="38"/>
      <c r="B352" s="26"/>
      <c r="C352" s="29"/>
      <c r="D352" s="29"/>
      <c r="E352" s="29"/>
      <c r="F352" s="29"/>
      <c r="G352" s="287"/>
      <c r="H352" s="31"/>
      <c r="I352" s="31"/>
      <c r="J352" s="33"/>
      <c r="K352" s="33"/>
      <c r="L352" s="33"/>
      <c r="M352" s="33"/>
      <c r="N352" s="81"/>
      <c r="O352" s="33"/>
      <c r="P352" s="35"/>
      <c r="Q352" s="36"/>
      <c r="R352" s="36"/>
    </row>
    <row r="353" ht="22.5" customHeight="1">
      <c r="A353" s="38"/>
      <c r="B353" s="26"/>
      <c r="C353" s="29"/>
      <c r="D353" s="29"/>
      <c r="E353" s="29"/>
      <c r="F353" s="29"/>
      <c r="G353" s="287"/>
      <c r="H353" s="31"/>
      <c r="I353" s="31"/>
      <c r="J353" s="33"/>
      <c r="K353" s="33"/>
      <c r="L353" s="33"/>
      <c r="M353" s="33"/>
      <c r="N353" s="81"/>
      <c r="O353" s="33"/>
      <c r="P353" s="35"/>
      <c r="Q353" s="36"/>
      <c r="R353" s="36"/>
    </row>
    <row r="354" ht="22.5" customHeight="1">
      <c r="A354" s="38"/>
      <c r="B354" s="26"/>
      <c r="C354" s="29"/>
      <c r="D354" s="29"/>
      <c r="E354" s="29"/>
      <c r="F354" s="29"/>
      <c r="G354" s="287"/>
      <c r="H354" s="31"/>
      <c r="I354" s="31"/>
      <c r="J354" s="33"/>
      <c r="K354" s="33"/>
      <c r="L354" s="33"/>
      <c r="M354" s="33"/>
      <c r="N354" s="81"/>
      <c r="O354" s="33"/>
      <c r="P354" s="35"/>
      <c r="Q354" s="36"/>
      <c r="R354" s="36"/>
    </row>
    <row r="355" ht="22.5" customHeight="1">
      <c r="A355" s="38"/>
      <c r="B355" s="26"/>
      <c r="C355" s="29"/>
      <c r="D355" s="29"/>
      <c r="E355" s="29"/>
      <c r="F355" s="29"/>
      <c r="G355" s="287"/>
      <c r="H355" s="31"/>
      <c r="I355" s="31"/>
      <c r="J355" s="33"/>
      <c r="K355" s="33"/>
      <c r="L355" s="33"/>
      <c r="M355" s="33"/>
      <c r="N355" s="81"/>
      <c r="O355" s="33"/>
      <c r="P355" s="35"/>
      <c r="Q355" s="36"/>
      <c r="R355" s="36"/>
    </row>
    <row r="356" ht="22.5" customHeight="1">
      <c r="A356" s="38"/>
      <c r="B356" s="26"/>
      <c r="C356" s="29"/>
      <c r="D356" s="29"/>
      <c r="E356" s="29"/>
      <c r="F356" s="29"/>
      <c r="G356" s="287"/>
      <c r="H356" s="31"/>
      <c r="I356" s="31"/>
      <c r="J356" s="33"/>
      <c r="K356" s="33"/>
      <c r="L356" s="33"/>
      <c r="M356" s="33"/>
      <c r="N356" s="81"/>
      <c r="O356" s="33"/>
      <c r="P356" s="35"/>
      <c r="Q356" s="36"/>
      <c r="R356" s="36"/>
    </row>
    <row r="357" ht="22.5" customHeight="1">
      <c r="A357" s="38"/>
      <c r="B357" s="26"/>
      <c r="C357" s="29"/>
      <c r="D357" s="29"/>
      <c r="E357" s="29"/>
      <c r="F357" s="29"/>
      <c r="G357" s="287"/>
      <c r="H357" s="31"/>
      <c r="I357" s="31"/>
      <c r="J357" s="33"/>
      <c r="K357" s="33"/>
      <c r="L357" s="33"/>
      <c r="M357" s="33"/>
      <c r="N357" s="81"/>
      <c r="O357" s="33"/>
      <c r="P357" s="35"/>
      <c r="Q357" s="36"/>
      <c r="R357" s="36"/>
    </row>
    <row r="358" ht="22.5" customHeight="1">
      <c r="A358" s="38"/>
      <c r="B358" s="26"/>
      <c r="C358" s="29"/>
      <c r="D358" s="29"/>
      <c r="E358" s="29"/>
      <c r="F358" s="29"/>
      <c r="G358" s="287"/>
      <c r="H358" s="31"/>
      <c r="I358" s="31"/>
      <c r="J358" s="33"/>
      <c r="K358" s="33"/>
      <c r="L358" s="33"/>
      <c r="M358" s="33"/>
      <c r="N358" s="81"/>
      <c r="O358" s="33"/>
      <c r="P358" s="35"/>
      <c r="Q358" s="36"/>
      <c r="R358" s="36"/>
    </row>
    <row r="359" ht="22.5" customHeight="1">
      <c r="A359" s="38"/>
      <c r="B359" s="26"/>
      <c r="C359" s="29"/>
      <c r="D359" s="29"/>
      <c r="E359" s="29"/>
      <c r="F359" s="29"/>
      <c r="G359" s="287"/>
      <c r="H359" s="31"/>
      <c r="I359" s="31"/>
      <c r="J359" s="33"/>
      <c r="K359" s="33"/>
      <c r="L359" s="33"/>
      <c r="M359" s="33"/>
      <c r="N359" s="81"/>
      <c r="O359" s="33"/>
      <c r="P359" s="35"/>
      <c r="Q359" s="36"/>
      <c r="R359" s="36"/>
    </row>
    <row r="360" ht="22.5" customHeight="1">
      <c r="A360" s="38"/>
      <c r="B360" s="26"/>
      <c r="C360" s="29"/>
      <c r="D360" s="29"/>
      <c r="E360" s="29"/>
      <c r="F360" s="29"/>
      <c r="G360" s="287"/>
      <c r="H360" s="31"/>
      <c r="I360" s="31"/>
      <c r="J360" s="33"/>
      <c r="K360" s="33"/>
      <c r="L360" s="33"/>
      <c r="M360" s="33"/>
      <c r="N360" s="81"/>
      <c r="O360" s="33"/>
      <c r="P360" s="35"/>
      <c r="Q360" s="36"/>
      <c r="R360" s="36"/>
    </row>
    <row r="361" ht="22.5" customHeight="1">
      <c r="A361" s="38"/>
      <c r="B361" s="26"/>
      <c r="C361" s="29"/>
      <c r="D361" s="29"/>
      <c r="E361" s="29"/>
      <c r="F361" s="29"/>
      <c r="G361" s="287"/>
      <c r="H361" s="31"/>
      <c r="I361" s="31"/>
      <c r="J361" s="33"/>
      <c r="K361" s="33"/>
      <c r="L361" s="33"/>
      <c r="M361" s="33"/>
      <c r="N361" s="81"/>
      <c r="O361" s="33"/>
      <c r="P361" s="35"/>
      <c r="Q361" s="36"/>
      <c r="R361" s="36"/>
    </row>
    <row r="362" ht="22.5" customHeight="1">
      <c r="A362" s="38"/>
      <c r="B362" s="26"/>
      <c r="C362" s="29"/>
      <c r="D362" s="29"/>
      <c r="E362" s="29"/>
      <c r="F362" s="29"/>
      <c r="G362" s="287"/>
      <c r="H362" s="31"/>
      <c r="I362" s="31"/>
      <c r="J362" s="33"/>
      <c r="K362" s="33"/>
      <c r="L362" s="33"/>
      <c r="M362" s="33"/>
      <c r="N362" s="81"/>
      <c r="O362" s="33"/>
      <c r="P362" s="35"/>
      <c r="Q362" s="36"/>
      <c r="R362" s="36"/>
    </row>
    <row r="363" ht="22.5" customHeight="1">
      <c r="A363" s="38"/>
      <c r="B363" s="26"/>
      <c r="C363" s="29"/>
      <c r="D363" s="29"/>
      <c r="E363" s="29"/>
      <c r="F363" s="29"/>
      <c r="G363" s="287"/>
      <c r="H363" s="31"/>
      <c r="I363" s="31"/>
      <c r="J363" s="33"/>
      <c r="K363" s="33"/>
      <c r="L363" s="33"/>
      <c r="M363" s="33"/>
      <c r="N363" s="81"/>
      <c r="O363" s="33"/>
      <c r="P363" s="35"/>
      <c r="Q363" s="36"/>
      <c r="R363" s="36"/>
    </row>
    <row r="364" ht="22.5" customHeight="1">
      <c r="A364" s="38"/>
      <c r="B364" s="26"/>
      <c r="C364" s="29"/>
      <c r="D364" s="29"/>
      <c r="E364" s="29"/>
      <c r="F364" s="29"/>
      <c r="G364" s="287"/>
      <c r="H364" s="31"/>
      <c r="I364" s="31"/>
      <c r="J364" s="33"/>
      <c r="K364" s="33"/>
      <c r="L364" s="33"/>
      <c r="M364" s="33"/>
      <c r="N364" s="81"/>
      <c r="O364" s="33"/>
      <c r="P364" s="35"/>
      <c r="Q364" s="36"/>
      <c r="R364" s="36"/>
    </row>
    <row r="365" ht="22.5" customHeight="1">
      <c r="A365" s="38"/>
      <c r="B365" s="26"/>
      <c r="C365" s="29"/>
      <c r="D365" s="29"/>
      <c r="E365" s="29"/>
      <c r="F365" s="29"/>
      <c r="G365" s="287"/>
      <c r="H365" s="31"/>
      <c r="I365" s="31"/>
      <c r="J365" s="33"/>
      <c r="K365" s="33"/>
      <c r="L365" s="33"/>
      <c r="M365" s="33"/>
      <c r="N365" s="81"/>
      <c r="O365" s="33"/>
      <c r="P365" s="35"/>
      <c r="Q365" s="36"/>
      <c r="R365" s="36"/>
    </row>
    <row r="366" ht="22.5" customHeight="1">
      <c r="A366" s="38"/>
      <c r="B366" s="26"/>
      <c r="C366" s="29"/>
      <c r="D366" s="29"/>
      <c r="E366" s="29"/>
      <c r="F366" s="29"/>
      <c r="G366" s="287"/>
      <c r="H366" s="31"/>
      <c r="I366" s="31"/>
      <c r="J366" s="33"/>
      <c r="K366" s="33"/>
      <c r="L366" s="33"/>
      <c r="M366" s="33"/>
      <c r="N366" s="81"/>
      <c r="O366" s="33"/>
      <c r="P366" s="35"/>
      <c r="Q366" s="36"/>
      <c r="R366" s="36"/>
    </row>
    <row r="367" ht="22.5" customHeight="1">
      <c r="A367" s="38"/>
      <c r="B367" s="26"/>
      <c r="C367" s="29"/>
      <c r="D367" s="29"/>
      <c r="E367" s="29"/>
      <c r="F367" s="29"/>
      <c r="G367" s="287"/>
      <c r="H367" s="31"/>
      <c r="I367" s="31"/>
      <c r="J367" s="33"/>
      <c r="K367" s="33"/>
      <c r="L367" s="33"/>
      <c r="M367" s="33"/>
      <c r="N367" s="81"/>
      <c r="O367" s="33"/>
      <c r="P367" s="35"/>
      <c r="Q367" s="36"/>
      <c r="R367" s="36"/>
    </row>
    <row r="368" ht="22.5" customHeight="1">
      <c r="A368" s="38"/>
      <c r="B368" s="26"/>
      <c r="C368" s="29"/>
      <c r="D368" s="29"/>
      <c r="E368" s="29"/>
      <c r="F368" s="29"/>
      <c r="G368" s="287"/>
      <c r="H368" s="31"/>
      <c r="I368" s="31"/>
      <c r="J368" s="33"/>
      <c r="K368" s="33"/>
      <c r="L368" s="33"/>
      <c r="M368" s="33"/>
      <c r="N368" s="81"/>
      <c r="O368" s="33"/>
      <c r="P368" s="35"/>
      <c r="Q368" s="36"/>
      <c r="R368" s="36"/>
    </row>
    <row r="369" ht="22.5" customHeight="1">
      <c r="A369" s="38"/>
      <c r="B369" s="26"/>
      <c r="C369" s="29"/>
      <c r="D369" s="29"/>
      <c r="E369" s="29"/>
      <c r="F369" s="29"/>
      <c r="G369" s="287"/>
      <c r="H369" s="31"/>
      <c r="I369" s="31"/>
      <c r="J369" s="33"/>
      <c r="K369" s="33"/>
      <c r="L369" s="33"/>
      <c r="M369" s="33"/>
      <c r="N369" s="81"/>
      <c r="O369" s="33"/>
      <c r="P369" s="35"/>
      <c r="Q369" s="36"/>
      <c r="R369" s="36"/>
    </row>
    <row r="370" ht="22.5" customHeight="1">
      <c r="A370" s="38"/>
      <c r="B370" s="26"/>
      <c r="C370" s="29"/>
      <c r="D370" s="29"/>
      <c r="E370" s="29"/>
      <c r="F370" s="29"/>
      <c r="G370" s="287"/>
      <c r="H370" s="31"/>
      <c r="I370" s="31"/>
      <c r="J370" s="33"/>
      <c r="K370" s="33"/>
      <c r="L370" s="33"/>
      <c r="M370" s="33"/>
      <c r="N370" s="81"/>
      <c r="O370" s="33"/>
      <c r="P370" s="35"/>
      <c r="Q370" s="36"/>
      <c r="R370" s="36"/>
    </row>
    <row r="371" ht="22.5" customHeight="1">
      <c r="A371" s="38"/>
      <c r="B371" s="26"/>
      <c r="C371" s="29"/>
      <c r="D371" s="29"/>
      <c r="E371" s="29"/>
      <c r="F371" s="29"/>
      <c r="G371" s="287"/>
      <c r="H371" s="31"/>
      <c r="I371" s="31"/>
      <c r="J371" s="33"/>
      <c r="K371" s="33"/>
      <c r="L371" s="33"/>
      <c r="M371" s="33"/>
      <c r="N371" s="81"/>
      <c r="O371" s="33"/>
      <c r="P371" s="35"/>
      <c r="Q371" s="36"/>
      <c r="R371" s="36"/>
    </row>
    <row r="372" ht="22.5" customHeight="1">
      <c r="A372" s="38"/>
      <c r="B372" s="26"/>
      <c r="C372" s="29"/>
      <c r="D372" s="29"/>
      <c r="E372" s="29"/>
      <c r="F372" s="29"/>
      <c r="G372" s="287"/>
      <c r="H372" s="31"/>
      <c r="I372" s="31"/>
      <c r="J372" s="33"/>
      <c r="K372" s="33"/>
      <c r="L372" s="33"/>
      <c r="M372" s="33"/>
      <c r="N372" s="81"/>
      <c r="O372" s="33"/>
      <c r="P372" s="35"/>
      <c r="Q372" s="36"/>
      <c r="R372" s="36"/>
    </row>
    <row r="373" ht="22.5" customHeight="1">
      <c r="A373" s="38"/>
      <c r="B373" s="26"/>
      <c r="C373" s="29"/>
      <c r="D373" s="29"/>
      <c r="E373" s="29"/>
      <c r="F373" s="29"/>
      <c r="G373" s="287"/>
      <c r="H373" s="31"/>
      <c r="I373" s="31"/>
      <c r="J373" s="33"/>
      <c r="K373" s="33"/>
      <c r="L373" s="33"/>
      <c r="M373" s="33"/>
      <c r="N373" s="81"/>
      <c r="O373" s="33"/>
      <c r="P373" s="35"/>
      <c r="Q373" s="36"/>
      <c r="R373" s="36"/>
    </row>
    <row r="374" ht="22.5" customHeight="1">
      <c r="A374" s="38"/>
      <c r="B374" s="26"/>
      <c r="C374" s="29"/>
      <c r="D374" s="29"/>
      <c r="E374" s="29"/>
      <c r="F374" s="29"/>
      <c r="G374" s="287"/>
      <c r="H374" s="31"/>
      <c r="I374" s="31"/>
      <c r="J374" s="33"/>
      <c r="K374" s="33"/>
      <c r="L374" s="33"/>
      <c r="M374" s="33"/>
      <c r="N374" s="81"/>
      <c r="O374" s="33"/>
      <c r="P374" s="35"/>
      <c r="Q374" s="36"/>
      <c r="R374" s="36"/>
    </row>
    <row r="375" ht="22.5" customHeight="1">
      <c r="A375" s="38"/>
      <c r="B375" s="26"/>
      <c r="C375" s="29"/>
      <c r="D375" s="29"/>
      <c r="E375" s="29"/>
      <c r="F375" s="29"/>
      <c r="G375" s="287"/>
      <c r="H375" s="31"/>
      <c r="I375" s="31"/>
      <c r="J375" s="33"/>
      <c r="K375" s="33"/>
      <c r="L375" s="33"/>
      <c r="M375" s="33"/>
      <c r="N375" s="81"/>
      <c r="O375" s="33"/>
      <c r="P375" s="35"/>
      <c r="Q375" s="36"/>
      <c r="R375" s="36"/>
    </row>
    <row r="376" ht="22.5" customHeight="1">
      <c r="A376" s="38"/>
      <c r="B376" s="26"/>
      <c r="C376" s="29"/>
      <c r="D376" s="29"/>
      <c r="E376" s="29"/>
      <c r="F376" s="29"/>
      <c r="G376" s="287"/>
      <c r="H376" s="31"/>
      <c r="I376" s="31"/>
      <c r="J376" s="33"/>
      <c r="K376" s="33"/>
      <c r="L376" s="33"/>
      <c r="M376" s="33"/>
      <c r="N376" s="81"/>
      <c r="O376" s="33"/>
      <c r="P376" s="35"/>
      <c r="Q376" s="36"/>
      <c r="R376" s="36"/>
    </row>
    <row r="377" ht="22.5" customHeight="1">
      <c r="A377" s="38"/>
      <c r="B377" s="26"/>
      <c r="C377" s="29"/>
      <c r="D377" s="29"/>
      <c r="E377" s="29"/>
      <c r="F377" s="29"/>
      <c r="G377" s="287"/>
      <c r="H377" s="31"/>
      <c r="I377" s="31"/>
      <c r="J377" s="33"/>
      <c r="K377" s="33"/>
      <c r="L377" s="33"/>
      <c r="M377" s="33"/>
      <c r="N377" s="81"/>
      <c r="O377" s="33"/>
      <c r="P377" s="35"/>
      <c r="Q377" s="36"/>
      <c r="R377" s="36"/>
    </row>
    <row r="378" ht="22.5" customHeight="1">
      <c r="A378" s="38"/>
      <c r="B378" s="26"/>
      <c r="C378" s="29"/>
      <c r="D378" s="29"/>
      <c r="E378" s="29"/>
      <c r="F378" s="29"/>
      <c r="G378" s="287"/>
      <c r="H378" s="31"/>
      <c r="I378" s="31"/>
      <c r="J378" s="33"/>
      <c r="K378" s="33"/>
      <c r="L378" s="33"/>
      <c r="M378" s="33"/>
      <c r="N378" s="81"/>
      <c r="O378" s="33"/>
      <c r="P378" s="35"/>
      <c r="Q378" s="36"/>
      <c r="R378" s="36"/>
    </row>
    <row r="379" ht="22.5" customHeight="1">
      <c r="A379" s="38"/>
      <c r="B379" s="26"/>
      <c r="C379" s="29"/>
      <c r="D379" s="29"/>
      <c r="E379" s="29"/>
      <c r="F379" s="29"/>
      <c r="G379" s="287"/>
      <c r="H379" s="31"/>
      <c r="I379" s="31"/>
      <c r="J379" s="33"/>
      <c r="K379" s="33"/>
      <c r="L379" s="33"/>
      <c r="M379" s="33"/>
      <c r="N379" s="81"/>
      <c r="O379" s="33"/>
      <c r="P379" s="35"/>
      <c r="Q379" s="36"/>
      <c r="R379" s="36"/>
    </row>
    <row r="380" ht="22.5" customHeight="1">
      <c r="A380" s="38"/>
      <c r="B380" s="26"/>
      <c r="C380" s="29"/>
      <c r="D380" s="29"/>
      <c r="E380" s="29"/>
      <c r="F380" s="29"/>
      <c r="G380" s="287"/>
      <c r="H380" s="31"/>
      <c r="I380" s="31"/>
      <c r="J380" s="33"/>
      <c r="K380" s="33"/>
      <c r="L380" s="33"/>
      <c r="M380" s="33"/>
      <c r="N380" s="81"/>
      <c r="O380" s="33"/>
      <c r="P380" s="35"/>
      <c r="Q380" s="36"/>
      <c r="R380" s="36"/>
    </row>
    <row r="381" ht="22.5" customHeight="1">
      <c r="A381" s="38"/>
      <c r="B381" s="26"/>
      <c r="C381" s="29"/>
      <c r="D381" s="29"/>
      <c r="E381" s="29"/>
      <c r="F381" s="29"/>
      <c r="G381" s="287"/>
      <c r="H381" s="31"/>
      <c r="I381" s="31"/>
      <c r="J381" s="33"/>
      <c r="K381" s="33"/>
      <c r="L381" s="33"/>
      <c r="M381" s="33"/>
      <c r="N381" s="81"/>
      <c r="O381" s="33"/>
      <c r="P381" s="35"/>
      <c r="Q381" s="36"/>
      <c r="R381" s="36"/>
    </row>
    <row r="382" ht="22.5" customHeight="1">
      <c r="A382" s="38"/>
      <c r="B382" s="26"/>
      <c r="C382" s="29"/>
      <c r="D382" s="29"/>
      <c r="E382" s="29"/>
      <c r="F382" s="29"/>
      <c r="G382" s="287"/>
      <c r="H382" s="31"/>
      <c r="I382" s="31"/>
      <c r="J382" s="33"/>
      <c r="K382" s="33"/>
      <c r="L382" s="33"/>
      <c r="M382" s="33"/>
      <c r="N382" s="81"/>
      <c r="O382" s="33"/>
      <c r="P382" s="35"/>
      <c r="Q382" s="36"/>
      <c r="R382" s="36"/>
    </row>
    <row r="383" ht="22.5" customHeight="1">
      <c r="A383" s="38"/>
      <c r="B383" s="26"/>
      <c r="C383" s="29"/>
      <c r="D383" s="29"/>
      <c r="E383" s="29"/>
      <c r="F383" s="29"/>
      <c r="G383" s="287"/>
      <c r="H383" s="31"/>
      <c r="I383" s="31"/>
      <c r="J383" s="33"/>
      <c r="K383" s="33"/>
      <c r="L383" s="33"/>
      <c r="M383" s="33"/>
      <c r="N383" s="81"/>
      <c r="O383" s="33"/>
      <c r="P383" s="35"/>
      <c r="Q383" s="36"/>
      <c r="R383" s="36"/>
    </row>
    <row r="384" ht="22.5" customHeight="1">
      <c r="A384" s="38"/>
      <c r="B384" s="26"/>
      <c r="C384" s="29"/>
      <c r="D384" s="29"/>
      <c r="E384" s="29"/>
      <c r="F384" s="29"/>
      <c r="G384" s="287"/>
      <c r="H384" s="31"/>
      <c r="I384" s="31"/>
      <c r="J384" s="33"/>
      <c r="K384" s="33"/>
      <c r="L384" s="33"/>
      <c r="M384" s="33"/>
      <c r="N384" s="81"/>
      <c r="O384" s="33"/>
      <c r="P384" s="35"/>
      <c r="Q384" s="36"/>
      <c r="R384" s="36"/>
    </row>
    <row r="385" ht="22.5" customHeight="1">
      <c r="A385" s="38"/>
      <c r="B385" s="26"/>
      <c r="C385" s="29"/>
      <c r="D385" s="29"/>
      <c r="E385" s="29"/>
      <c r="F385" s="29"/>
      <c r="G385" s="287"/>
      <c r="H385" s="31"/>
      <c r="I385" s="31"/>
      <c r="J385" s="33"/>
      <c r="K385" s="33"/>
      <c r="L385" s="33"/>
      <c r="M385" s="33"/>
      <c r="N385" s="81"/>
      <c r="O385" s="33"/>
      <c r="P385" s="35"/>
      <c r="Q385" s="36"/>
      <c r="R385" s="36"/>
    </row>
    <row r="386" ht="22.5" customHeight="1">
      <c r="A386" s="38"/>
      <c r="B386" s="26"/>
      <c r="C386" s="29"/>
      <c r="D386" s="29"/>
      <c r="E386" s="29"/>
      <c r="F386" s="29"/>
      <c r="G386" s="287"/>
      <c r="H386" s="31"/>
      <c r="I386" s="31"/>
      <c r="J386" s="33"/>
      <c r="K386" s="33"/>
      <c r="L386" s="33"/>
      <c r="M386" s="33"/>
      <c r="N386" s="81"/>
      <c r="O386" s="33"/>
      <c r="P386" s="35"/>
      <c r="Q386" s="36"/>
      <c r="R386" s="36"/>
    </row>
    <row r="387" ht="22.5" customHeight="1">
      <c r="A387" s="38"/>
      <c r="B387" s="26"/>
      <c r="C387" s="29"/>
      <c r="D387" s="29"/>
      <c r="E387" s="29"/>
      <c r="F387" s="29"/>
      <c r="G387" s="287"/>
      <c r="H387" s="31"/>
      <c r="I387" s="31"/>
      <c r="J387" s="33"/>
      <c r="K387" s="33"/>
      <c r="L387" s="33"/>
      <c r="M387" s="33"/>
      <c r="N387" s="81"/>
      <c r="O387" s="33"/>
      <c r="P387" s="35"/>
      <c r="Q387" s="36"/>
      <c r="R387" s="36"/>
    </row>
    <row r="388" ht="22.5" customHeight="1">
      <c r="A388" s="38"/>
      <c r="B388" s="26"/>
      <c r="C388" s="29"/>
      <c r="D388" s="29"/>
      <c r="E388" s="29"/>
      <c r="F388" s="29"/>
      <c r="G388" s="287"/>
      <c r="H388" s="31"/>
      <c r="I388" s="31"/>
      <c r="J388" s="33"/>
      <c r="K388" s="33"/>
      <c r="L388" s="33"/>
      <c r="M388" s="33"/>
      <c r="N388" s="81"/>
      <c r="O388" s="33"/>
      <c r="P388" s="35"/>
      <c r="Q388" s="36"/>
      <c r="R388" s="36"/>
    </row>
    <row r="389" ht="22.5" customHeight="1">
      <c r="A389" s="38"/>
      <c r="B389" s="26"/>
      <c r="C389" s="29"/>
      <c r="D389" s="29"/>
      <c r="E389" s="29"/>
      <c r="F389" s="29"/>
      <c r="G389" s="287"/>
      <c r="H389" s="31"/>
      <c r="I389" s="31"/>
      <c r="J389" s="33"/>
      <c r="K389" s="33"/>
      <c r="L389" s="33"/>
      <c r="M389" s="33"/>
      <c r="N389" s="81"/>
      <c r="O389" s="33"/>
      <c r="P389" s="35"/>
      <c r="Q389" s="36"/>
      <c r="R389" s="36"/>
    </row>
    <row r="390" ht="22.5" customHeight="1">
      <c r="A390" s="38"/>
      <c r="B390" s="26"/>
      <c r="C390" s="29"/>
      <c r="D390" s="29"/>
      <c r="E390" s="29"/>
      <c r="F390" s="29"/>
      <c r="G390" s="287"/>
      <c r="H390" s="31"/>
      <c r="I390" s="31"/>
      <c r="J390" s="33"/>
      <c r="K390" s="33"/>
      <c r="L390" s="33"/>
      <c r="M390" s="33"/>
      <c r="N390" s="81"/>
      <c r="O390" s="33"/>
      <c r="P390" s="35"/>
      <c r="Q390" s="36"/>
      <c r="R390" s="36"/>
    </row>
    <row r="391" ht="22.5" customHeight="1">
      <c r="A391" s="38"/>
      <c r="B391" s="26"/>
      <c r="C391" s="29"/>
      <c r="D391" s="29"/>
      <c r="E391" s="29"/>
      <c r="F391" s="29"/>
      <c r="G391" s="287"/>
      <c r="H391" s="31"/>
      <c r="I391" s="31"/>
      <c r="J391" s="33"/>
      <c r="K391" s="33"/>
      <c r="L391" s="33"/>
      <c r="M391" s="33"/>
      <c r="N391" s="81"/>
      <c r="O391" s="33"/>
      <c r="P391" s="35"/>
      <c r="Q391" s="36"/>
      <c r="R391" s="36"/>
    </row>
    <row r="392" ht="22.5" customHeight="1">
      <c r="A392" s="38"/>
      <c r="B392" s="26"/>
      <c r="C392" s="29"/>
      <c r="D392" s="29"/>
      <c r="E392" s="29"/>
      <c r="F392" s="29"/>
      <c r="G392" s="287"/>
      <c r="H392" s="31"/>
      <c r="I392" s="31"/>
      <c r="J392" s="33"/>
      <c r="K392" s="33"/>
      <c r="L392" s="33"/>
      <c r="M392" s="33"/>
      <c r="N392" s="81"/>
      <c r="O392" s="33"/>
      <c r="P392" s="35"/>
      <c r="Q392" s="36"/>
      <c r="R392" s="36"/>
    </row>
    <row r="393" ht="22.5" customHeight="1">
      <c r="A393" s="38"/>
      <c r="B393" s="26"/>
      <c r="C393" s="29"/>
      <c r="D393" s="29"/>
      <c r="E393" s="29"/>
      <c r="F393" s="29"/>
      <c r="G393" s="287"/>
      <c r="H393" s="31"/>
      <c r="I393" s="31"/>
      <c r="J393" s="33"/>
      <c r="K393" s="33"/>
      <c r="L393" s="33"/>
      <c r="M393" s="33"/>
      <c r="N393" s="81"/>
      <c r="O393" s="33"/>
      <c r="P393" s="35"/>
      <c r="Q393" s="36"/>
      <c r="R393" s="36"/>
    </row>
    <row r="394" ht="22.5" customHeight="1">
      <c r="A394" s="38"/>
      <c r="B394" s="26"/>
      <c r="C394" s="29"/>
      <c r="D394" s="29"/>
      <c r="E394" s="29"/>
      <c r="F394" s="29"/>
      <c r="G394" s="287"/>
      <c r="H394" s="31"/>
      <c r="I394" s="31"/>
      <c r="J394" s="33"/>
      <c r="K394" s="33"/>
      <c r="L394" s="33"/>
      <c r="M394" s="33"/>
      <c r="N394" s="81"/>
      <c r="O394" s="33"/>
      <c r="P394" s="35"/>
      <c r="Q394" s="36"/>
      <c r="R394" s="36"/>
    </row>
    <row r="395" ht="22.5" customHeight="1">
      <c r="A395" s="38"/>
      <c r="B395" s="26"/>
      <c r="C395" s="29"/>
      <c r="D395" s="29"/>
      <c r="E395" s="29"/>
      <c r="F395" s="29"/>
      <c r="G395" s="287"/>
      <c r="H395" s="31"/>
      <c r="I395" s="31"/>
      <c r="J395" s="33"/>
      <c r="K395" s="33"/>
      <c r="L395" s="33"/>
      <c r="M395" s="33"/>
      <c r="N395" s="81"/>
      <c r="O395" s="33"/>
      <c r="P395" s="35"/>
      <c r="Q395" s="36"/>
      <c r="R395" s="36"/>
    </row>
    <row r="396" ht="22.5" customHeight="1">
      <c r="A396" s="38"/>
      <c r="B396" s="26"/>
      <c r="C396" s="29"/>
      <c r="D396" s="29"/>
      <c r="E396" s="29"/>
      <c r="F396" s="29"/>
      <c r="G396" s="287"/>
      <c r="H396" s="31"/>
      <c r="I396" s="31"/>
      <c r="J396" s="33"/>
      <c r="K396" s="33"/>
      <c r="L396" s="33"/>
      <c r="M396" s="33"/>
      <c r="N396" s="81"/>
      <c r="O396" s="33"/>
      <c r="P396" s="35"/>
      <c r="Q396" s="36"/>
      <c r="R396" s="36"/>
    </row>
    <row r="397" ht="22.5" customHeight="1">
      <c r="A397" s="38"/>
      <c r="B397" s="26"/>
      <c r="C397" s="29"/>
      <c r="D397" s="29"/>
      <c r="E397" s="29"/>
      <c r="F397" s="29"/>
      <c r="G397" s="287"/>
      <c r="H397" s="31"/>
      <c r="I397" s="31"/>
      <c r="J397" s="33"/>
      <c r="K397" s="33"/>
      <c r="L397" s="33"/>
      <c r="M397" s="33"/>
      <c r="N397" s="81"/>
      <c r="O397" s="33"/>
      <c r="P397" s="35"/>
      <c r="Q397" s="36"/>
      <c r="R397" s="36"/>
    </row>
    <row r="398" ht="22.5" customHeight="1">
      <c r="A398" s="38"/>
      <c r="B398" s="26"/>
      <c r="C398" s="29"/>
      <c r="D398" s="29"/>
      <c r="E398" s="29"/>
      <c r="F398" s="29"/>
      <c r="G398" s="287"/>
      <c r="H398" s="31"/>
      <c r="I398" s="31"/>
      <c r="J398" s="33"/>
      <c r="K398" s="33"/>
      <c r="L398" s="33"/>
      <c r="M398" s="33"/>
      <c r="N398" s="81"/>
      <c r="O398" s="33"/>
      <c r="P398" s="35"/>
      <c r="Q398" s="36"/>
      <c r="R398" s="36"/>
    </row>
    <row r="399" ht="22.5" customHeight="1">
      <c r="A399" s="38"/>
      <c r="B399" s="26"/>
      <c r="C399" s="29"/>
      <c r="D399" s="29"/>
      <c r="E399" s="29"/>
      <c r="F399" s="29"/>
      <c r="G399" s="287"/>
      <c r="H399" s="31"/>
      <c r="I399" s="31"/>
      <c r="J399" s="33"/>
      <c r="K399" s="33"/>
      <c r="L399" s="33"/>
      <c r="M399" s="33"/>
      <c r="N399" s="81"/>
      <c r="O399" s="33"/>
      <c r="P399" s="35"/>
      <c r="Q399" s="36"/>
      <c r="R399" s="36"/>
    </row>
    <row r="400" ht="22.5" customHeight="1">
      <c r="A400" s="38"/>
      <c r="B400" s="26"/>
      <c r="C400" s="29"/>
      <c r="D400" s="29"/>
      <c r="E400" s="29"/>
      <c r="F400" s="29"/>
      <c r="G400" s="287"/>
      <c r="H400" s="31"/>
      <c r="I400" s="31"/>
      <c r="J400" s="33"/>
      <c r="K400" s="33"/>
      <c r="L400" s="33"/>
      <c r="M400" s="33"/>
      <c r="N400" s="81"/>
      <c r="O400" s="33"/>
      <c r="P400" s="35"/>
      <c r="Q400" s="36"/>
      <c r="R400" s="36"/>
    </row>
    <row r="401" ht="22.5" customHeight="1">
      <c r="A401" s="38"/>
      <c r="B401" s="26"/>
      <c r="C401" s="29"/>
      <c r="D401" s="29"/>
      <c r="E401" s="29"/>
      <c r="F401" s="29"/>
      <c r="G401" s="287"/>
      <c r="H401" s="31"/>
      <c r="I401" s="31"/>
      <c r="J401" s="33"/>
      <c r="K401" s="33"/>
      <c r="L401" s="33"/>
      <c r="M401" s="33"/>
      <c r="N401" s="81"/>
      <c r="O401" s="33"/>
      <c r="P401" s="35"/>
      <c r="Q401" s="36"/>
      <c r="R401" s="36"/>
    </row>
    <row r="402" ht="22.5" customHeight="1">
      <c r="A402" s="38"/>
      <c r="B402" s="26"/>
      <c r="C402" s="29"/>
      <c r="D402" s="29"/>
      <c r="E402" s="29"/>
      <c r="F402" s="29"/>
      <c r="G402" s="287"/>
      <c r="H402" s="31"/>
      <c r="I402" s="31"/>
      <c r="J402" s="33"/>
      <c r="K402" s="33"/>
      <c r="L402" s="33"/>
      <c r="M402" s="33"/>
      <c r="N402" s="81"/>
      <c r="O402" s="33"/>
      <c r="P402" s="35"/>
      <c r="Q402" s="36"/>
      <c r="R402" s="36"/>
    </row>
    <row r="403" ht="22.5" customHeight="1">
      <c r="A403" s="38"/>
      <c r="B403" s="26"/>
      <c r="C403" s="29"/>
      <c r="D403" s="29"/>
      <c r="E403" s="29"/>
      <c r="F403" s="29"/>
      <c r="G403" s="287"/>
      <c r="H403" s="31"/>
      <c r="I403" s="31"/>
      <c r="J403" s="33"/>
      <c r="K403" s="33"/>
      <c r="L403" s="33"/>
      <c r="M403" s="33"/>
      <c r="N403" s="81"/>
      <c r="O403" s="33"/>
      <c r="P403" s="35"/>
      <c r="Q403" s="36"/>
      <c r="R403" s="36"/>
    </row>
    <row r="404" ht="22.5" customHeight="1">
      <c r="A404" s="38"/>
      <c r="B404" s="26"/>
      <c r="C404" s="29"/>
      <c r="D404" s="29"/>
      <c r="E404" s="29"/>
      <c r="F404" s="29"/>
      <c r="G404" s="287"/>
      <c r="H404" s="31"/>
      <c r="I404" s="31"/>
      <c r="J404" s="33"/>
      <c r="K404" s="33"/>
      <c r="L404" s="33"/>
      <c r="M404" s="33"/>
      <c r="N404" s="81"/>
      <c r="O404" s="33"/>
      <c r="P404" s="35"/>
      <c r="Q404" s="36"/>
      <c r="R404" s="36"/>
    </row>
    <row r="405" ht="22.5" customHeight="1">
      <c r="A405" s="38"/>
      <c r="B405" s="26"/>
      <c r="C405" s="29"/>
      <c r="D405" s="29"/>
      <c r="E405" s="29"/>
      <c r="F405" s="29"/>
      <c r="G405" s="287"/>
      <c r="H405" s="31"/>
      <c r="I405" s="31"/>
      <c r="J405" s="33"/>
      <c r="K405" s="33"/>
      <c r="L405" s="33"/>
      <c r="M405" s="33"/>
      <c r="N405" s="81"/>
      <c r="O405" s="33"/>
      <c r="P405" s="35"/>
      <c r="Q405" s="36"/>
      <c r="R405" s="36"/>
    </row>
    <row r="406" ht="22.5" customHeight="1">
      <c r="A406" s="38"/>
      <c r="B406" s="26"/>
      <c r="C406" s="29"/>
      <c r="D406" s="29"/>
      <c r="E406" s="29"/>
      <c r="F406" s="29"/>
      <c r="G406" s="287"/>
      <c r="H406" s="31"/>
      <c r="I406" s="31"/>
      <c r="J406" s="33"/>
      <c r="K406" s="33"/>
      <c r="L406" s="33"/>
      <c r="M406" s="33"/>
      <c r="N406" s="81"/>
      <c r="O406" s="33"/>
      <c r="P406" s="35"/>
      <c r="Q406" s="36"/>
      <c r="R406" s="36"/>
    </row>
    <row r="407" ht="22.5" customHeight="1">
      <c r="A407" s="38"/>
      <c r="B407" s="26"/>
      <c r="C407" s="29"/>
      <c r="D407" s="29"/>
      <c r="E407" s="29"/>
      <c r="F407" s="29"/>
      <c r="G407" s="287"/>
      <c r="H407" s="31"/>
      <c r="I407" s="31"/>
      <c r="J407" s="33"/>
      <c r="K407" s="33"/>
      <c r="L407" s="33"/>
      <c r="M407" s="33"/>
      <c r="N407" s="81"/>
      <c r="O407" s="33"/>
      <c r="P407" s="35"/>
      <c r="Q407" s="36"/>
      <c r="R407" s="36"/>
    </row>
    <row r="408" ht="22.5" customHeight="1">
      <c r="A408" s="38"/>
      <c r="B408" s="26"/>
      <c r="C408" s="29"/>
      <c r="D408" s="29"/>
      <c r="E408" s="29"/>
      <c r="F408" s="29"/>
      <c r="G408" s="287"/>
      <c r="H408" s="31"/>
      <c r="I408" s="31"/>
      <c r="J408" s="33"/>
      <c r="K408" s="33"/>
      <c r="L408" s="33"/>
      <c r="M408" s="33"/>
      <c r="N408" s="81"/>
      <c r="O408" s="33"/>
      <c r="P408" s="35"/>
      <c r="Q408" s="36"/>
      <c r="R408" s="36"/>
    </row>
    <row r="409" ht="22.5" customHeight="1">
      <c r="A409" s="38"/>
      <c r="B409" s="26"/>
      <c r="C409" s="29"/>
      <c r="D409" s="29"/>
      <c r="E409" s="29"/>
      <c r="F409" s="29"/>
      <c r="G409" s="287"/>
      <c r="H409" s="31"/>
      <c r="I409" s="31"/>
      <c r="J409" s="33"/>
      <c r="K409" s="33"/>
      <c r="L409" s="33"/>
      <c r="M409" s="33"/>
      <c r="N409" s="81"/>
      <c r="O409" s="33"/>
      <c r="P409" s="35"/>
      <c r="Q409" s="36"/>
      <c r="R409" s="36"/>
    </row>
    <row r="410" ht="22.5" customHeight="1">
      <c r="A410" s="38"/>
      <c r="B410" s="26"/>
      <c r="C410" s="29"/>
      <c r="D410" s="29"/>
      <c r="E410" s="29"/>
      <c r="F410" s="29"/>
      <c r="G410" s="287"/>
      <c r="H410" s="31"/>
      <c r="I410" s="31"/>
      <c r="J410" s="33"/>
      <c r="K410" s="33"/>
      <c r="L410" s="33"/>
      <c r="M410" s="33"/>
      <c r="N410" s="81"/>
      <c r="O410" s="33"/>
      <c r="P410" s="35"/>
      <c r="Q410" s="36"/>
      <c r="R410" s="36"/>
    </row>
    <row r="411" ht="22.5" customHeight="1">
      <c r="A411" s="38"/>
      <c r="B411" s="26"/>
      <c r="C411" s="29"/>
      <c r="D411" s="29"/>
      <c r="E411" s="29"/>
      <c r="F411" s="29"/>
      <c r="G411" s="287"/>
      <c r="H411" s="31"/>
      <c r="I411" s="31"/>
      <c r="J411" s="33"/>
      <c r="K411" s="33"/>
      <c r="L411" s="33"/>
      <c r="M411" s="33"/>
      <c r="N411" s="81"/>
      <c r="O411" s="33"/>
      <c r="P411" s="35"/>
      <c r="Q411" s="36"/>
      <c r="R411" s="36"/>
    </row>
    <row r="412" ht="22.5" customHeight="1">
      <c r="A412" s="38"/>
      <c r="B412" s="26"/>
      <c r="C412" s="29"/>
      <c r="D412" s="29"/>
      <c r="E412" s="29"/>
      <c r="F412" s="29"/>
      <c r="G412" s="287"/>
      <c r="H412" s="31"/>
      <c r="I412" s="31"/>
      <c r="J412" s="33"/>
      <c r="K412" s="33"/>
      <c r="L412" s="33"/>
      <c r="M412" s="33"/>
      <c r="N412" s="81"/>
      <c r="O412" s="33"/>
      <c r="P412" s="35"/>
      <c r="Q412" s="36"/>
      <c r="R412" s="36"/>
    </row>
    <row r="413" ht="22.5" customHeight="1">
      <c r="A413" s="38"/>
      <c r="B413" s="26"/>
      <c r="C413" s="29"/>
      <c r="D413" s="29"/>
      <c r="E413" s="29"/>
      <c r="F413" s="29"/>
      <c r="G413" s="287"/>
      <c r="H413" s="31"/>
      <c r="I413" s="31"/>
      <c r="J413" s="33"/>
      <c r="K413" s="33"/>
      <c r="L413" s="33"/>
      <c r="M413" s="33"/>
      <c r="N413" s="81"/>
      <c r="O413" s="33"/>
      <c r="P413" s="35"/>
      <c r="Q413" s="36"/>
      <c r="R413" s="36"/>
    </row>
    <row r="414" ht="22.5" customHeight="1">
      <c r="A414" s="38"/>
      <c r="B414" s="26"/>
      <c r="C414" s="29"/>
      <c r="D414" s="29"/>
      <c r="E414" s="29"/>
      <c r="F414" s="29"/>
      <c r="G414" s="287"/>
      <c r="H414" s="31"/>
      <c r="I414" s="31"/>
      <c r="J414" s="33"/>
      <c r="K414" s="33"/>
      <c r="L414" s="33"/>
      <c r="M414" s="33"/>
      <c r="N414" s="81"/>
      <c r="O414" s="33"/>
      <c r="P414" s="35"/>
      <c r="Q414" s="36"/>
      <c r="R414" s="36"/>
    </row>
    <row r="415" ht="22.5" customHeight="1">
      <c r="A415" s="38"/>
      <c r="B415" s="26"/>
      <c r="C415" s="29"/>
      <c r="D415" s="29"/>
      <c r="E415" s="29"/>
      <c r="F415" s="29"/>
      <c r="G415" s="287"/>
      <c r="H415" s="31"/>
      <c r="I415" s="31"/>
      <c r="J415" s="33"/>
      <c r="K415" s="33"/>
      <c r="L415" s="33"/>
      <c r="M415" s="33"/>
      <c r="N415" s="81"/>
      <c r="O415" s="33"/>
      <c r="P415" s="35"/>
      <c r="Q415" s="36"/>
      <c r="R415" s="36"/>
    </row>
    <row r="416" ht="22.5" customHeight="1">
      <c r="A416" s="38"/>
      <c r="B416" s="26"/>
      <c r="C416" s="29"/>
      <c r="D416" s="29"/>
      <c r="E416" s="29"/>
      <c r="F416" s="29"/>
      <c r="G416" s="287"/>
      <c r="H416" s="31"/>
      <c r="I416" s="31"/>
      <c r="J416" s="33"/>
      <c r="K416" s="33"/>
      <c r="L416" s="33"/>
      <c r="M416" s="33"/>
      <c r="N416" s="81"/>
      <c r="O416" s="33"/>
      <c r="P416" s="35"/>
      <c r="Q416" s="36"/>
      <c r="R416" s="36"/>
    </row>
    <row r="417" ht="22.5" customHeight="1">
      <c r="A417" s="38"/>
      <c r="B417" s="26"/>
      <c r="C417" s="29"/>
      <c r="D417" s="29"/>
      <c r="E417" s="29"/>
      <c r="F417" s="29"/>
      <c r="G417" s="287"/>
      <c r="H417" s="31"/>
      <c r="I417" s="31"/>
      <c r="J417" s="33"/>
      <c r="K417" s="33"/>
      <c r="L417" s="33"/>
      <c r="M417" s="33"/>
      <c r="N417" s="81"/>
      <c r="O417" s="33"/>
      <c r="P417" s="35"/>
      <c r="Q417" s="36"/>
      <c r="R417" s="36"/>
    </row>
    <row r="418" ht="22.5" customHeight="1">
      <c r="A418" s="38"/>
      <c r="B418" s="26"/>
      <c r="C418" s="29"/>
      <c r="D418" s="29"/>
      <c r="E418" s="29"/>
      <c r="F418" s="29"/>
      <c r="G418" s="287"/>
      <c r="H418" s="31"/>
      <c r="I418" s="31"/>
      <c r="J418" s="33"/>
      <c r="K418" s="33"/>
      <c r="L418" s="33"/>
      <c r="M418" s="33"/>
      <c r="N418" s="81"/>
      <c r="O418" s="33"/>
      <c r="P418" s="35"/>
      <c r="Q418" s="36"/>
      <c r="R418" s="36"/>
    </row>
    <row r="419" ht="22.5" customHeight="1">
      <c r="A419" s="38"/>
      <c r="B419" s="26"/>
      <c r="C419" s="29"/>
      <c r="D419" s="29"/>
      <c r="E419" s="29"/>
      <c r="F419" s="29"/>
      <c r="G419" s="287"/>
      <c r="H419" s="31"/>
      <c r="I419" s="31"/>
      <c r="J419" s="33"/>
      <c r="K419" s="33"/>
      <c r="L419" s="33"/>
      <c r="M419" s="33"/>
      <c r="N419" s="81"/>
      <c r="O419" s="33"/>
      <c r="P419" s="35"/>
      <c r="Q419" s="36"/>
      <c r="R419" s="36"/>
    </row>
    <row r="420" ht="22.5" customHeight="1">
      <c r="A420" s="38"/>
      <c r="B420" s="26"/>
      <c r="C420" s="29"/>
      <c r="D420" s="29"/>
      <c r="E420" s="29"/>
      <c r="F420" s="29"/>
      <c r="G420" s="287"/>
      <c r="H420" s="31"/>
      <c r="I420" s="31"/>
      <c r="J420" s="33"/>
      <c r="K420" s="33"/>
      <c r="L420" s="33"/>
      <c r="M420" s="33"/>
      <c r="N420" s="81"/>
      <c r="O420" s="33"/>
      <c r="P420" s="35"/>
      <c r="Q420" s="36"/>
      <c r="R420" s="36"/>
    </row>
    <row r="421" ht="22.5" customHeight="1">
      <c r="A421" s="38"/>
      <c r="B421" s="26"/>
      <c r="C421" s="29"/>
      <c r="D421" s="29"/>
      <c r="E421" s="29"/>
      <c r="F421" s="29"/>
      <c r="G421" s="287"/>
      <c r="H421" s="31"/>
      <c r="I421" s="31"/>
      <c r="J421" s="33"/>
      <c r="K421" s="33"/>
      <c r="L421" s="33"/>
      <c r="M421" s="33"/>
      <c r="N421" s="81"/>
      <c r="O421" s="33"/>
      <c r="P421" s="35"/>
      <c r="Q421" s="36"/>
      <c r="R421" s="36"/>
    </row>
    <row r="422" ht="22.5" customHeight="1">
      <c r="A422" s="38"/>
      <c r="B422" s="26"/>
      <c r="C422" s="29"/>
      <c r="D422" s="29"/>
      <c r="E422" s="29"/>
      <c r="F422" s="29"/>
      <c r="G422" s="287"/>
      <c r="H422" s="31"/>
      <c r="I422" s="31"/>
      <c r="J422" s="33"/>
      <c r="K422" s="33"/>
      <c r="L422" s="33"/>
      <c r="M422" s="33"/>
      <c r="N422" s="81"/>
      <c r="O422" s="33"/>
      <c r="P422" s="35"/>
      <c r="Q422" s="36"/>
      <c r="R422" s="36"/>
    </row>
    <row r="423" ht="22.5" customHeight="1">
      <c r="A423" s="38"/>
      <c r="B423" s="26"/>
      <c r="C423" s="29"/>
      <c r="D423" s="29"/>
      <c r="E423" s="29"/>
      <c r="F423" s="29"/>
      <c r="G423" s="287"/>
      <c r="H423" s="31"/>
      <c r="I423" s="31"/>
      <c r="J423" s="33"/>
      <c r="K423" s="33"/>
      <c r="L423" s="33"/>
      <c r="M423" s="33"/>
      <c r="N423" s="81"/>
      <c r="O423" s="33"/>
      <c r="P423" s="35"/>
      <c r="Q423" s="36"/>
      <c r="R423" s="36"/>
    </row>
    <row r="424" ht="22.5" customHeight="1">
      <c r="A424" s="38"/>
      <c r="B424" s="26"/>
      <c r="C424" s="29"/>
      <c r="D424" s="29"/>
      <c r="E424" s="29"/>
      <c r="F424" s="29"/>
      <c r="G424" s="287"/>
      <c r="H424" s="31"/>
      <c r="I424" s="31"/>
      <c r="J424" s="33"/>
      <c r="K424" s="33"/>
      <c r="L424" s="33"/>
      <c r="M424" s="33"/>
      <c r="N424" s="81"/>
      <c r="O424" s="33"/>
      <c r="P424" s="35"/>
      <c r="Q424" s="36"/>
      <c r="R424" s="36"/>
    </row>
    <row r="425" ht="22.5" customHeight="1">
      <c r="A425" s="38"/>
      <c r="B425" s="26"/>
      <c r="C425" s="29"/>
      <c r="D425" s="29"/>
      <c r="E425" s="29"/>
      <c r="F425" s="29"/>
      <c r="G425" s="287"/>
      <c r="H425" s="31"/>
      <c r="I425" s="31"/>
      <c r="J425" s="33"/>
      <c r="K425" s="33"/>
      <c r="L425" s="33"/>
      <c r="M425" s="33"/>
      <c r="N425" s="81"/>
      <c r="O425" s="33"/>
      <c r="P425" s="35"/>
      <c r="Q425" s="36"/>
      <c r="R425" s="36"/>
    </row>
    <row r="426" ht="22.5" customHeight="1">
      <c r="A426" s="38"/>
      <c r="B426" s="26"/>
      <c r="C426" s="29"/>
      <c r="D426" s="29"/>
      <c r="E426" s="29"/>
      <c r="F426" s="29"/>
      <c r="G426" s="287"/>
      <c r="H426" s="31"/>
      <c r="I426" s="31"/>
      <c r="J426" s="33"/>
      <c r="K426" s="33"/>
      <c r="L426" s="33"/>
      <c r="M426" s="33"/>
      <c r="N426" s="81"/>
      <c r="O426" s="33"/>
      <c r="P426" s="35"/>
      <c r="Q426" s="36"/>
      <c r="R426" s="36"/>
    </row>
    <row r="427" ht="22.5" customHeight="1">
      <c r="A427" s="38"/>
      <c r="B427" s="26"/>
      <c r="C427" s="29"/>
      <c r="D427" s="29"/>
      <c r="E427" s="29"/>
      <c r="F427" s="29"/>
      <c r="G427" s="287"/>
      <c r="H427" s="31"/>
      <c r="I427" s="31"/>
      <c r="J427" s="33"/>
      <c r="K427" s="33"/>
      <c r="L427" s="33"/>
      <c r="M427" s="33"/>
      <c r="N427" s="81"/>
      <c r="O427" s="33"/>
      <c r="P427" s="35"/>
      <c r="Q427" s="36"/>
      <c r="R427" s="36"/>
    </row>
    <row r="428" ht="22.5" customHeight="1">
      <c r="A428" s="38"/>
      <c r="B428" s="26"/>
      <c r="C428" s="29"/>
      <c r="D428" s="29"/>
      <c r="E428" s="29"/>
      <c r="F428" s="29"/>
      <c r="G428" s="287"/>
      <c r="H428" s="31"/>
      <c r="I428" s="31"/>
      <c r="J428" s="33"/>
      <c r="K428" s="33"/>
      <c r="L428" s="33"/>
      <c r="M428" s="33"/>
      <c r="N428" s="81"/>
      <c r="O428" s="33"/>
      <c r="P428" s="35"/>
      <c r="Q428" s="36"/>
      <c r="R428" s="36"/>
    </row>
    <row r="429" ht="22.5" customHeight="1">
      <c r="A429" s="38"/>
      <c r="B429" s="26"/>
      <c r="C429" s="29"/>
      <c r="D429" s="29"/>
      <c r="E429" s="29"/>
      <c r="F429" s="29"/>
      <c r="G429" s="287"/>
      <c r="H429" s="31"/>
      <c r="I429" s="31"/>
      <c r="J429" s="33"/>
      <c r="K429" s="33"/>
      <c r="L429" s="33"/>
      <c r="M429" s="33"/>
      <c r="N429" s="81"/>
      <c r="O429" s="33"/>
      <c r="P429" s="35"/>
      <c r="Q429" s="36"/>
      <c r="R429" s="36"/>
    </row>
    <row r="430" ht="22.5" customHeight="1">
      <c r="A430" s="38"/>
      <c r="B430" s="26"/>
      <c r="C430" s="29"/>
      <c r="D430" s="29"/>
      <c r="E430" s="29"/>
      <c r="F430" s="29"/>
      <c r="G430" s="287"/>
      <c r="H430" s="31"/>
      <c r="I430" s="31"/>
      <c r="J430" s="33"/>
      <c r="K430" s="33"/>
      <c r="L430" s="33"/>
      <c r="M430" s="33"/>
      <c r="N430" s="81"/>
      <c r="O430" s="33"/>
      <c r="P430" s="35"/>
      <c r="Q430" s="36"/>
      <c r="R430" s="36"/>
    </row>
    <row r="431" ht="22.5" customHeight="1">
      <c r="A431" s="38"/>
      <c r="B431" s="26"/>
      <c r="C431" s="29"/>
      <c r="D431" s="29"/>
      <c r="E431" s="29"/>
      <c r="F431" s="29"/>
      <c r="G431" s="287"/>
      <c r="H431" s="31"/>
      <c r="I431" s="31"/>
      <c r="J431" s="33"/>
      <c r="K431" s="33"/>
      <c r="L431" s="33"/>
      <c r="M431" s="33"/>
      <c r="N431" s="81"/>
      <c r="O431" s="33"/>
      <c r="P431" s="35"/>
      <c r="Q431" s="36"/>
      <c r="R431" s="36"/>
    </row>
    <row r="432" ht="22.5" customHeight="1">
      <c r="A432" s="38"/>
      <c r="B432" s="26"/>
      <c r="C432" s="29"/>
      <c r="D432" s="29"/>
      <c r="E432" s="29"/>
      <c r="F432" s="29"/>
      <c r="G432" s="287"/>
      <c r="H432" s="31"/>
      <c r="I432" s="31"/>
      <c r="J432" s="33"/>
      <c r="K432" s="33"/>
      <c r="L432" s="33"/>
      <c r="M432" s="33"/>
      <c r="N432" s="81"/>
      <c r="O432" s="33"/>
      <c r="P432" s="35"/>
      <c r="Q432" s="36"/>
      <c r="R432" s="36"/>
    </row>
    <row r="433" ht="22.5" customHeight="1">
      <c r="A433" s="38"/>
      <c r="B433" s="26"/>
      <c r="C433" s="29"/>
      <c r="D433" s="29"/>
      <c r="E433" s="29"/>
      <c r="F433" s="29"/>
      <c r="G433" s="287"/>
      <c r="H433" s="31"/>
      <c r="I433" s="31"/>
      <c r="J433" s="33"/>
      <c r="K433" s="33"/>
      <c r="L433" s="33"/>
      <c r="M433" s="33"/>
      <c r="N433" s="81"/>
      <c r="O433" s="33"/>
      <c r="P433" s="35"/>
      <c r="Q433" s="36"/>
      <c r="R433" s="36"/>
    </row>
    <row r="434" ht="22.5" customHeight="1">
      <c r="A434" s="38"/>
      <c r="B434" s="26"/>
      <c r="C434" s="29"/>
      <c r="D434" s="29"/>
      <c r="E434" s="29"/>
      <c r="F434" s="29"/>
      <c r="G434" s="287"/>
      <c r="H434" s="31"/>
      <c r="I434" s="31"/>
      <c r="J434" s="33"/>
      <c r="K434" s="33"/>
      <c r="L434" s="33"/>
      <c r="M434" s="33"/>
      <c r="N434" s="81"/>
      <c r="O434" s="33"/>
      <c r="P434" s="35"/>
      <c r="Q434" s="36"/>
      <c r="R434" s="36"/>
    </row>
    <row r="435" ht="22.5" customHeight="1">
      <c r="A435" s="38"/>
      <c r="B435" s="26"/>
      <c r="C435" s="29"/>
      <c r="D435" s="29"/>
      <c r="E435" s="29"/>
      <c r="F435" s="29"/>
      <c r="G435" s="287"/>
      <c r="H435" s="31"/>
      <c r="I435" s="31"/>
      <c r="J435" s="33"/>
      <c r="K435" s="33"/>
      <c r="L435" s="33"/>
      <c r="M435" s="33"/>
      <c r="N435" s="81"/>
      <c r="O435" s="33"/>
      <c r="P435" s="35"/>
      <c r="Q435" s="36"/>
      <c r="R435" s="36"/>
    </row>
    <row r="436" ht="22.5" customHeight="1">
      <c r="A436" s="38"/>
      <c r="B436" s="26"/>
      <c r="C436" s="29"/>
      <c r="D436" s="29"/>
      <c r="E436" s="29"/>
      <c r="F436" s="29"/>
      <c r="G436" s="287"/>
      <c r="H436" s="31"/>
      <c r="I436" s="31"/>
      <c r="J436" s="33"/>
      <c r="K436" s="33"/>
      <c r="L436" s="33"/>
      <c r="M436" s="33"/>
      <c r="N436" s="81"/>
      <c r="O436" s="33"/>
      <c r="P436" s="35"/>
      <c r="Q436" s="36"/>
      <c r="R436" s="36"/>
    </row>
    <row r="437" ht="22.5" customHeight="1">
      <c r="A437" s="38"/>
      <c r="B437" s="26"/>
      <c r="C437" s="29"/>
      <c r="D437" s="29"/>
      <c r="E437" s="29"/>
      <c r="F437" s="29"/>
      <c r="G437" s="287"/>
      <c r="H437" s="31"/>
      <c r="I437" s="31"/>
      <c r="J437" s="33"/>
      <c r="K437" s="33"/>
      <c r="L437" s="33"/>
      <c r="M437" s="33"/>
      <c r="N437" s="81"/>
      <c r="O437" s="33"/>
      <c r="P437" s="35"/>
      <c r="Q437" s="36"/>
      <c r="R437" s="36"/>
    </row>
    <row r="438" ht="22.5" customHeight="1">
      <c r="A438" s="38"/>
      <c r="B438" s="26"/>
      <c r="C438" s="29"/>
      <c r="D438" s="29"/>
      <c r="E438" s="29"/>
      <c r="F438" s="29"/>
      <c r="G438" s="287"/>
      <c r="H438" s="31"/>
      <c r="I438" s="31"/>
      <c r="J438" s="33"/>
      <c r="K438" s="33"/>
      <c r="L438" s="33"/>
      <c r="M438" s="33"/>
      <c r="N438" s="81"/>
      <c r="O438" s="33"/>
      <c r="P438" s="35"/>
      <c r="Q438" s="36"/>
      <c r="R438" s="36"/>
    </row>
    <row r="439" ht="22.5" customHeight="1">
      <c r="A439" s="38"/>
      <c r="B439" s="26"/>
      <c r="C439" s="29"/>
      <c r="D439" s="29"/>
      <c r="E439" s="29"/>
      <c r="F439" s="29"/>
      <c r="G439" s="287"/>
      <c r="H439" s="31"/>
      <c r="I439" s="31"/>
      <c r="J439" s="33"/>
      <c r="K439" s="33"/>
      <c r="L439" s="33"/>
      <c r="M439" s="33"/>
      <c r="N439" s="81"/>
      <c r="O439" s="33"/>
      <c r="P439" s="35"/>
      <c r="Q439" s="36"/>
      <c r="R439" s="36"/>
    </row>
    <row r="440" ht="22.5" customHeight="1">
      <c r="A440" s="38"/>
      <c r="B440" s="26"/>
      <c r="C440" s="29"/>
      <c r="D440" s="29"/>
      <c r="E440" s="29"/>
      <c r="F440" s="29"/>
      <c r="G440" s="287"/>
      <c r="H440" s="31"/>
      <c r="I440" s="31"/>
      <c r="J440" s="33"/>
      <c r="K440" s="33"/>
      <c r="L440" s="33"/>
      <c r="M440" s="33"/>
      <c r="N440" s="81"/>
      <c r="O440" s="33"/>
      <c r="P440" s="35"/>
      <c r="Q440" s="36"/>
      <c r="R440" s="36"/>
    </row>
    <row r="441" ht="22.5" customHeight="1">
      <c r="A441" s="38"/>
      <c r="B441" s="26"/>
      <c r="C441" s="29"/>
      <c r="D441" s="29"/>
      <c r="E441" s="29"/>
      <c r="F441" s="29"/>
      <c r="G441" s="287"/>
      <c r="H441" s="31"/>
      <c r="I441" s="31"/>
      <c r="J441" s="33"/>
      <c r="K441" s="33"/>
      <c r="L441" s="33"/>
      <c r="M441" s="33"/>
      <c r="N441" s="81"/>
      <c r="O441" s="33"/>
      <c r="P441" s="35"/>
      <c r="Q441" s="36"/>
      <c r="R441" s="36"/>
    </row>
    <row r="442" ht="22.5" customHeight="1">
      <c r="A442" s="38"/>
      <c r="B442" s="26"/>
      <c r="C442" s="29"/>
      <c r="D442" s="29"/>
      <c r="E442" s="29"/>
      <c r="F442" s="29"/>
      <c r="G442" s="287"/>
      <c r="H442" s="31"/>
      <c r="I442" s="31"/>
      <c r="J442" s="33"/>
      <c r="K442" s="33"/>
      <c r="L442" s="33"/>
      <c r="M442" s="33"/>
      <c r="N442" s="81"/>
      <c r="O442" s="33"/>
      <c r="P442" s="35"/>
      <c r="Q442" s="36"/>
      <c r="R442" s="36"/>
    </row>
    <row r="443" ht="22.5" customHeight="1">
      <c r="A443" s="38"/>
      <c r="B443" s="26"/>
      <c r="C443" s="29"/>
      <c r="D443" s="29"/>
      <c r="E443" s="29"/>
      <c r="F443" s="29"/>
      <c r="G443" s="287"/>
      <c r="H443" s="31"/>
      <c r="I443" s="31"/>
      <c r="J443" s="33"/>
      <c r="K443" s="33"/>
      <c r="L443" s="33"/>
      <c r="M443" s="33"/>
      <c r="N443" s="81"/>
      <c r="O443" s="33"/>
      <c r="P443" s="35"/>
      <c r="Q443" s="36"/>
      <c r="R443" s="36"/>
    </row>
    <row r="444" ht="22.5" customHeight="1">
      <c r="A444" s="38"/>
      <c r="B444" s="26"/>
      <c r="C444" s="29"/>
      <c r="D444" s="29"/>
      <c r="E444" s="29"/>
      <c r="F444" s="29"/>
      <c r="G444" s="287"/>
      <c r="H444" s="31"/>
      <c r="I444" s="31"/>
      <c r="J444" s="33"/>
      <c r="K444" s="33"/>
      <c r="L444" s="33"/>
      <c r="M444" s="33"/>
      <c r="N444" s="81"/>
      <c r="O444" s="33"/>
      <c r="P444" s="35"/>
      <c r="Q444" s="36"/>
      <c r="R444" s="36"/>
    </row>
    <row r="445" ht="22.5" customHeight="1">
      <c r="A445" s="38"/>
      <c r="B445" s="26"/>
      <c r="C445" s="29"/>
      <c r="D445" s="29"/>
      <c r="E445" s="29"/>
      <c r="F445" s="29"/>
      <c r="G445" s="287"/>
      <c r="H445" s="31"/>
      <c r="I445" s="31"/>
      <c r="J445" s="33"/>
      <c r="K445" s="33"/>
      <c r="L445" s="33"/>
      <c r="M445" s="33"/>
      <c r="N445" s="81"/>
      <c r="O445" s="33"/>
      <c r="P445" s="35"/>
      <c r="Q445" s="36"/>
      <c r="R445" s="36"/>
    </row>
    <row r="446" ht="22.5" customHeight="1">
      <c r="A446" s="38"/>
      <c r="B446" s="26"/>
      <c r="C446" s="29"/>
      <c r="D446" s="29"/>
      <c r="E446" s="29"/>
      <c r="F446" s="29"/>
      <c r="G446" s="287"/>
      <c r="H446" s="31"/>
      <c r="I446" s="31"/>
      <c r="J446" s="33"/>
      <c r="K446" s="33"/>
      <c r="L446" s="33"/>
      <c r="M446" s="33"/>
      <c r="N446" s="81"/>
      <c r="O446" s="33"/>
      <c r="P446" s="35"/>
      <c r="Q446" s="36"/>
      <c r="R446" s="36"/>
    </row>
    <row r="447" ht="22.5" customHeight="1">
      <c r="A447" s="38"/>
      <c r="B447" s="26"/>
      <c r="C447" s="29"/>
      <c r="D447" s="29"/>
      <c r="E447" s="29"/>
      <c r="F447" s="29"/>
      <c r="G447" s="287"/>
      <c r="H447" s="31"/>
      <c r="I447" s="31"/>
      <c r="J447" s="33"/>
      <c r="K447" s="33"/>
      <c r="L447" s="33"/>
      <c r="M447" s="33"/>
      <c r="N447" s="81"/>
      <c r="O447" s="33"/>
      <c r="P447" s="35"/>
      <c r="Q447" s="36"/>
      <c r="R447" s="36"/>
    </row>
    <row r="448" ht="22.5" customHeight="1">
      <c r="A448" s="38"/>
      <c r="B448" s="26"/>
      <c r="C448" s="29"/>
      <c r="D448" s="29"/>
      <c r="E448" s="29"/>
      <c r="F448" s="29"/>
      <c r="G448" s="287"/>
      <c r="H448" s="31"/>
      <c r="I448" s="31"/>
      <c r="J448" s="33"/>
      <c r="K448" s="33"/>
      <c r="L448" s="33"/>
      <c r="M448" s="33"/>
      <c r="N448" s="81"/>
      <c r="O448" s="33"/>
      <c r="P448" s="35"/>
      <c r="Q448" s="36"/>
      <c r="R448" s="36"/>
    </row>
    <row r="449" ht="22.5" customHeight="1">
      <c r="A449" s="38"/>
      <c r="B449" s="26"/>
      <c r="C449" s="29"/>
      <c r="D449" s="29"/>
      <c r="E449" s="29"/>
      <c r="F449" s="29"/>
      <c r="G449" s="287"/>
      <c r="H449" s="31"/>
      <c r="I449" s="31"/>
      <c r="J449" s="33"/>
      <c r="K449" s="33"/>
      <c r="L449" s="33"/>
      <c r="M449" s="33"/>
      <c r="N449" s="81"/>
      <c r="O449" s="33"/>
      <c r="P449" s="35"/>
      <c r="Q449" s="36"/>
      <c r="R449" s="36"/>
    </row>
    <row r="450" ht="22.5" customHeight="1">
      <c r="A450" s="38"/>
      <c r="B450" s="26"/>
      <c r="C450" s="29"/>
      <c r="D450" s="29"/>
      <c r="E450" s="29"/>
      <c r="F450" s="29"/>
      <c r="G450" s="287"/>
      <c r="H450" s="31"/>
      <c r="I450" s="31"/>
      <c r="J450" s="33"/>
      <c r="K450" s="33"/>
      <c r="L450" s="33"/>
      <c r="M450" s="33"/>
      <c r="N450" s="81"/>
      <c r="O450" s="33"/>
      <c r="P450" s="35"/>
      <c r="Q450" s="36"/>
      <c r="R450" s="36"/>
    </row>
    <row r="451" ht="22.5" customHeight="1">
      <c r="A451" s="38"/>
      <c r="B451" s="26"/>
      <c r="C451" s="29"/>
      <c r="D451" s="29"/>
      <c r="E451" s="29"/>
      <c r="F451" s="29"/>
      <c r="G451" s="287"/>
      <c r="H451" s="31"/>
      <c r="I451" s="31"/>
      <c r="J451" s="33"/>
      <c r="K451" s="33"/>
      <c r="L451" s="33"/>
      <c r="M451" s="33"/>
      <c r="N451" s="81"/>
      <c r="O451" s="33"/>
      <c r="P451" s="35"/>
      <c r="Q451" s="36"/>
      <c r="R451" s="36"/>
    </row>
    <row r="452" ht="22.5" customHeight="1">
      <c r="A452" s="38"/>
      <c r="B452" s="26"/>
      <c r="C452" s="29"/>
      <c r="D452" s="29"/>
      <c r="E452" s="29"/>
      <c r="F452" s="29"/>
      <c r="G452" s="287"/>
      <c r="H452" s="31"/>
      <c r="I452" s="31"/>
      <c r="J452" s="33"/>
      <c r="K452" s="33"/>
      <c r="L452" s="33"/>
      <c r="M452" s="33"/>
      <c r="N452" s="81"/>
      <c r="O452" s="33"/>
      <c r="P452" s="35"/>
      <c r="Q452" s="36"/>
      <c r="R452" s="36"/>
    </row>
    <row r="453" ht="22.5" customHeight="1">
      <c r="A453" s="38"/>
      <c r="B453" s="26"/>
      <c r="C453" s="29"/>
      <c r="D453" s="29"/>
      <c r="E453" s="29"/>
      <c r="F453" s="29"/>
      <c r="G453" s="287"/>
      <c r="H453" s="31"/>
      <c r="I453" s="31"/>
      <c r="J453" s="33"/>
      <c r="K453" s="33"/>
      <c r="L453" s="33"/>
      <c r="M453" s="33"/>
      <c r="N453" s="81"/>
      <c r="O453" s="33"/>
      <c r="P453" s="35"/>
      <c r="Q453" s="36"/>
      <c r="R453" s="36"/>
    </row>
    <row r="454" ht="22.5" customHeight="1">
      <c r="A454" s="38"/>
      <c r="B454" s="26"/>
      <c r="C454" s="29"/>
      <c r="D454" s="29"/>
      <c r="E454" s="29"/>
      <c r="F454" s="29"/>
      <c r="G454" s="287"/>
      <c r="H454" s="31"/>
      <c r="I454" s="31"/>
      <c r="J454" s="33"/>
      <c r="K454" s="33"/>
      <c r="L454" s="33"/>
      <c r="M454" s="33"/>
      <c r="N454" s="81"/>
      <c r="O454" s="33"/>
      <c r="P454" s="35"/>
      <c r="Q454" s="36"/>
      <c r="R454" s="36"/>
    </row>
    <row r="455" ht="22.5" customHeight="1">
      <c r="A455" s="38"/>
      <c r="B455" s="26"/>
      <c r="C455" s="29"/>
      <c r="D455" s="29"/>
      <c r="E455" s="29"/>
      <c r="F455" s="29"/>
      <c r="G455" s="287"/>
      <c r="H455" s="31"/>
      <c r="I455" s="31"/>
      <c r="J455" s="33"/>
      <c r="K455" s="33"/>
      <c r="L455" s="33"/>
      <c r="M455" s="33"/>
      <c r="N455" s="81"/>
      <c r="O455" s="33"/>
      <c r="P455" s="35"/>
      <c r="Q455" s="36"/>
      <c r="R455" s="36"/>
    </row>
    <row r="456" ht="22.5" customHeight="1">
      <c r="A456" s="38"/>
      <c r="B456" s="26"/>
      <c r="C456" s="29"/>
      <c r="D456" s="29"/>
      <c r="E456" s="29"/>
      <c r="F456" s="29"/>
      <c r="G456" s="287"/>
      <c r="H456" s="31"/>
      <c r="I456" s="31"/>
      <c r="J456" s="33"/>
      <c r="K456" s="33"/>
      <c r="L456" s="33"/>
      <c r="M456" s="33"/>
      <c r="N456" s="81"/>
      <c r="O456" s="33"/>
      <c r="P456" s="35"/>
      <c r="Q456" s="36"/>
      <c r="R456" s="36"/>
    </row>
    <row r="457" ht="22.5" customHeight="1">
      <c r="A457" s="38"/>
      <c r="B457" s="26"/>
      <c r="C457" s="29"/>
      <c r="D457" s="29"/>
      <c r="E457" s="29"/>
      <c r="F457" s="29"/>
      <c r="G457" s="287"/>
      <c r="H457" s="31"/>
      <c r="I457" s="31"/>
      <c r="J457" s="33"/>
      <c r="K457" s="33"/>
      <c r="L457" s="33"/>
      <c r="M457" s="33"/>
      <c r="N457" s="81"/>
      <c r="O457" s="33"/>
      <c r="P457" s="35"/>
      <c r="Q457" s="36"/>
      <c r="R457" s="36"/>
    </row>
    <row r="458" ht="22.5" customHeight="1">
      <c r="A458" s="38"/>
      <c r="B458" s="26"/>
      <c r="C458" s="29"/>
      <c r="D458" s="29"/>
      <c r="E458" s="29"/>
      <c r="F458" s="29"/>
      <c r="G458" s="287"/>
      <c r="H458" s="31"/>
      <c r="I458" s="31"/>
      <c r="J458" s="33"/>
      <c r="K458" s="33"/>
      <c r="L458" s="33"/>
      <c r="M458" s="33"/>
      <c r="N458" s="81"/>
      <c r="O458" s="33"/>
      <c r="P458" s="35"/>
      <c r="Q458" s="36"/>
      <c r="R458" s="36"/>
    </row>
    <row r="459" ht="22.5" customHeight="1">
      <c r="A459" s="38"/>
      <c r="B459" s="26"/>
      <c r="C459" s="29"/>
      <c r="D459" s="29"/>
      <c r="E459" s="29"/>
      <c r="F459" s="29"/>
      <c r="G459" s="287"/>
      <c r="H459" s="31"/>
      <c r="I459" s="31"/>
      <c r="J459" s="33"/>
      <c r="K459" s="33"/>
      <c r="L459" s="33"/>
      <c r="M459" s="33"/>
      <c r="N459" s="81"/>
      <c r="O459" s="33"/>
      <c r="P459" s="35"/>
      <c r="Q459" s="36"/>
      <c r="R459" s="36"/>
    </row>
    <row r="460" ht="22.5" customHeight="1">
      <c r="A460" s="38"/>
      <c r="B460" s="26"/>
      <c r="C460" s="29"/>
      <c r="D460" s="29"/>
      <c r="E460" s="29"/>
      <c r="F460" s="29"/>
      <c r="G460" s="287"/>
      <c r="H460" s="31"/>
      <c r="I460" s="31"/>
      <c r="J460" s="33"/>
      <c r="K460" s="33"/>
      <c r="L460" s="33"/>
      <c r="M460" s="33"/>
      <c r="N460" s="81"/>
      <c r="O460" s="33"/>
      <c r="P460" s="35"/>
      <c r="Q460" s="36"/>
      <c r="R460" s="36"/>
    </row>
    <row r="461" ht="22.5" customHeight="1">
      <c r="A461" s="38"/>
      <c r="B461" s="26"/>
      <c r="C461" s="29"/>
      <c r="D461" s="29"/>
      <c r="E461" s="29"/>
      <c r="F461" s="29"/>
      <c r="G461" s="287"/>
      <c r="H461" s="31"/>
      <c r="I461" s="31"/>
      <c r="J461" s="33"/>
      <c r="K461" s="33"/>
      <c r="L461" s="33"/>
      <c r="M461" s="33"/>
      <c r="N461" s="81"/>
      <c r="O461" s="33"/>
      <c r="P461" s="35"/>
      <c r="Q461" s="36"/>
      <c r="R461" s="36"/>
    </row>
    <row r="462" ht="22.5" customHeight="1">
      <c r="A462" s="38"/>
      <c r="B462" s="26"/>
      <c r="C462" s="29"/>
      <c r="D462" s="29"/>
      <c r="E462" s="29"/>
      <c r="F462" s="29"/>
      <c r="G462" s="287"/>
      <c r="H462" s="31"/>
      <c r="I462" s="31"/>
      <c r="J462" s="33"/>
      <c r="K462" s="33"/>
      <c r="L462" s="33"/>
      <c r="M462" s="33"/>
      <c r="N462" s="81"/>
      <c r="O462" s="33"/>
      <c r="P462" s="35"/>
      <c r="Q462" s="36"/>
      <c r="R462" s="36"/>
    </row>
    <row r="463" ht="22.5" customHeight="1">
      <c r="A463" s="38"/>
      <c r="B463" s="26"/>
      <c r="C463" s="29"/>
      <c r="D463" s="29"/>
      <c r="E463" s="29"/>
      <c r="F463" s="29"/>
      <c r="G463" s="287"/>
      <c r="H463" s="31"/>
      <c r="I463" s="31"/>
      <c r="J463" s="33"/>
      <c r="K463" s="33"/>
      <c r="L463" s="33"/>
      <c r="M463" s="33"/>
      <c r="N463" s="81"/>
      <c r="O463" s="33"/>
      <c r="P463" s="35"/>
      <c r="Q463" s="36"/>
      <c r="R463" s="36"/>
    </row>
    <row r="464" ht="22.5" customHeight="1">
      <c r="A464" s="38"/>
      <c r="B464" s="26"/>
      <c r="C464" s="29"/>
      <c r="D464" s="29"/>
      <c r="E464" s="29"/>
      <c r="F464" s="29"/>
      <c r="G464" s="287"/>
      <c r="H464" s="31"/>
      <c r="I464" s="31"/>
      <c r="J464" s="33"/>
      <c r="K464" s="33"/>
      <c r="L464" s="33"/>
      <c r="M464" s="33"/>
      <c r="N464" s="81"/>
      <c r="O464" s="33"/>
      <c r="P464" s="35"/>
      <c r="Q464" s="36"/>
      <c r="R464" s="36"/>
    </row>
    <row r="465" ht="22.5" customHeight="1">
      <c r="A465" s="38"/>
      <c r="B465" s="26"/>
      <c r="C465" s="29"/>
      <c r="D465" s="29"/>
      <c r="E465" s="29"/>
      <c r="F465" s="29"/>
      <c r="G465" s="287"/>
      <c r="H465" s="31"/>
      <c r="I465" s="31"/>
      <c r="J465" s="33"/>
      <c r="K465" s="33"/>
      <c r="L465" s="33"/>
      <c r="M465" s="33"/>
      <c r="N465" s="81"/>
      <c r="O465" s="33"/>
      <c r="P465" s="35"/>
      <c r="Q465" s="36"/>
      <c r="R465" s="36"/>
    </row>
    <row r="466" ht="22.5" customHeight="1">
      <c r="A466" s="38"/>
      <c r="B466" s="26"/>
      <c r="C466" s="29"/>
      <c r="D466" s="29"/>
      <c r="E466" s="29"/>
      <c r="F466" s="29"/>
      <c r="G466" s="287"/>
      <c r="H466" s="31"/>
      <c r="I466" s="31"/>
      <c r="J466" s="33"/>
      <c r="K466" s="33"/>
      <c r="L466" s="33"/>
      <c r="M466" s="33"/>
      <c r="N466" s="81"/>
      <c r="O466" s="33"/>
      <c r="P466" s="35"/>
      <c r="Q466" s="36"/>
      <c r="R466" s="36"/>
    </row>
    <row r="467" ht="22.5" customHeight="1">
      <c r="A467" s="38"/>
      <c r="B467" s="26"/>
      <c r="C467" s="29"/>
      <c r="D467" s="29"/>
      <c r="E467" s="29"/>
      <c r="F467" s="29"/>
      <c r="G467" s="287"/>
      <c r="H467" s="31"/>
      <c r="I467" s="31"/>
      <c r="J467" s="33"/>
      <c r="K467" s="33"/>
      <c r="L467" s="33"/>
      <c r="M467" s="33"/>
      <c r="N467" s="81"/>
      <c r="O467" s="33"/>
      <c r="P467" s="35"/>
      <c r="Q467" s="36"/>
      <c r="R467" s="36"/>
    </row>
    <row r="468" ht="22.5" customHeight="1">
      <c r="A468" s="38"/>
      <c r="B468" s="26"/>
      <c r="C468" s="29"/>
      <c r="D468" s="29"/>
      <c r="E468" s="29"/>
      <c r="F468" s="29"/>
      <c r="G468" s="287"/>
      <c r="H468" s="31"/>
      <c r="I468" s="31"/>
      <c r="J468" s="33"/>
      <c r="K468" s="33"/>
      <c r="L468" s="33"/>
      <c r="M468" s="33"/>
      <c r="N468" s="81"/>
      <c r="O468" s="33"/>
      <c r="P468" s="35"/>
      <c r="Q468" s="36"/>
      <c r="R468" s="36"/>
    </row>
    <row r="469" ht="22.5" customHeight="1">
      <c r="A469" s="38"/>
      <c r="B469" s="26"/>
      <c r="C469" s="29"/>
      <c r="D469" s="29"/>
      <c r="E469" s="29"/>
      <c r="F469" s="29"/>
      <c r="G469" s="287"/>
      <c r="H469" s="31"/>
      <c r="I469" s="31"/>
      <c r="J469" s="33"/>
      <c r="K469" s="33"/>
      <c r="L469" s="33"/>
      <c r="M469" s="33"/>
      <c r="N469" s="81"/>
      <c r="O469" s="33"/>
      <c r="P469" s="35"/>
      <c r="Q469" s="36"/>
      <c r="R469" s="36"/>
    </row>
    <row r="470" ht="22.5" customHeight="1">
      <c r="A470" s="38"/>
      <c r="B470" s="26"/>
      <c r="C470" s="29"/>
      <c r="D470" s="29"/>
      <c r="E470" s="29"/>
      <c r="F470" s="29"/>
      <c r="G470" s="287"/>
      <c r="H470" s="31"/>
      <c r="I470" s="31"/>
      <c r="J470" s="33"/>
      <c r="K470" s="33"/>
      <c r="L470" s="33"/>
      <c r="M470" s="33"/>
      <c r="N470" s="81"/>
      <c r="O470" s="33"/>
      <c r="P470" s="35"/>
      <c r="Q470" s="36"/>
      <c r="R470" s="36"/>
    </row>
    <row r="471" ht="22.5" customHeight="1">
      <c r="A471" s="38"/>
      <c r="B471" s="26"/>
      <c r="C471" s="29"/>
      <c r="D471" s="29"/>
      <c r="E471" s="29"/>
      <c r="F471" s="29"/>
      <c r="G471" s="287"/>
      <c r="H471" s="31"/>
      <c r="I471" s="31"/>
      <c r="J471" s="33"/>
      <c r="K471" s="33"/>
      <c r="L471" s="33"/>
      <c r="M471" s="33"/>
      <c r="N471" s="81"/>
      <c r="O471" s="33"/>
      <c r="P471" s="35"/>
      <c r="Q471" s="36"/>
      <c r="R471" s="36"/>
    </row>
    <row r="472" ht="22.5" customHeight="1">
      <c r="A472" s="38"/>
      <c r="B472" s="26"/>
      <c r="C472" s="29"/>
      <c r="D472" s="29"/>
      <c r="E472" s="29"/>
      <c r="F472" s="29"/>
      <c r="G472" s="287"/>
      <c r="H472" s="31"/>
      <c r="I472" s="31"/>
      <c r="J472" s="33"/>
      <c r="K472" s="33"/>
      <c r="L472" s="33"/>
      <c r="M472" s="33"/>
      <c r="N472" s="81"/>
      <c r="O472" s="33"/>
      <c r="P472" s="35"/>
      <c r="Q472" s="36"/>
      <c r="R472" s="36"/>
    </row>
    <row r="473" ht="22.5" customHeight="1">
      <c r="A473" s="38"/>
      <c r="B473" s="26"/>
      <c r="C473" s="29"/>
      <c r="D473" s="29"/>
      <c r="E473" s="29"/>
      <c r="F473" s="29"/>
      <c r="G473" s="287"/>
      <c r="H473" s="31"/>
      <c r="I473" s="31"/>
      <c r="J473" s="33"/>
      <c r="K473" s="33"/>
      <c r="L473" s="33"/>
      <c r="M473" s="33"/>
      <c r="N473" s="81"/>
      <c r="O473" s="33"/>
      <c r="P473" s="35"/>
      <c r="Q473" s="36"/>
      <c r="R473" s="36"/>
    </row>
    <row r="474" ht="22.5" customHeight="1">
      <c r="A474" s="38"/>
      <c r="B474" s="26"/>
      <c r="C474" s="29"/>
      <c r="D474" s="29"/>
      <c r="E474" s="29"/>
      <c r="F474" s="29"/>
      <c r="G474" s="287"/>
      <c r="H474" s="31"/>
      <c r="I474" s="31"/>
      <c r="J474" s="33"/>
      <c r="K474" s="33"/>
      <c r="L474" s="33"/>
      <c r="M474" s="33"/>
      <c r="N474" s="81"/>
      <c r="O474" s="33"/>
      <c r="P474" s="35"/>
      <c r="Q474" s="36"/>
      <c r="R474" s="36"/>
    </row>
    <row r="475" ht="22.5" customHeight="1">
      <c r="A475" s="38"/>
      <c r="B475" s="26"/>
      <c r="C475" s="29"/>
      <c r="D475" s="29"/>
      <c r="E475" s="29"/>
      <c r="F475" s="29"/>
      <c r="G475" s="287"/>
      <c r="H475" s="31"/>
      <c r="I475" s="31"/>
      <c r="J475" s="33"/>
      <c r="K475" s="33"/>
      <c r="L475" s="33"/>
      <c r="M475" s="33"/>
      <c r="N475" s="81"/>
      <c r="O475" s="33"/>
      <c r="P475" s="35"/>
      <c r="Q475" s="36"/>
      <c r="R475" s="36"/>
    </row>
    <row r="476" ht="22.5" customHeight="1">
      <c r="A476" s="38"/>
      <c r="B476" s="26"/>
      <c r="C476" s="29"/>
      <c r="D476" s="29"/>
      <c r="E476" s="29"/>
      <c r="F476" s="29"/>
      <c r="G476" s="287"/>
      <c r="H476" s="31"/>
      <c r="I476" s="31"/>
      <c r="J476" s="33"/>
      <c r="K476" s="33"/>
      <c r="L476" s="33"/>
      <c r="M476" s="33"/>
      <c r="N476" s="81"/>
      <c r="O476" s="33"/>
      <c r="P476" s="35"/>
      <c r="Q476" s="36"/>
      <c r="R476" s="36"/>
    </row>
    <row r="477" ht="22.5" customHeight="1">
      <c r="A477" s="38"/>
      <c r="B477" s="26"/>
      <c r="C477" s="29"/>
      <c r="D477" s="29"/>
      <c r="E477" s="29"/>
      <c r="F477" s="29"/>
      <c r="G477" s="287"/>
      <c r="H477" s="31"/>
      <c r="I477" s="31"/>
      <c r="J477" s="33"/>
      <c r="K477" s="33"/>
      <c r="L477" s="33"/>
      <c r="M477" s="33"/>
      <c r="N477" s="81"/>
      <c r="O477" s="33"/>
      <c r="P477" s="35"/>
      <c r="Q477" s="36"/>
      <c r="R477" s="36"/>
    </row>
    <row r="478" ht="22.5" customHeight="1">
      <c r="A478" s="38"/>
      <c r="B478" s="26"/>
      <c r="C478" s="29"/>
      <c r="D478" s="29"/>
      <c r="E478" s="29"/>
      <c r="F478" s="29"/>
      <c r="G478" s="287"/>
      <c r="H478" s="31"/>
      <c r="I478" s="31"/>
      <c r="J478" s="33"/>
      <c r="K478" s="33"/>
      <c r="L478" s="33"/>
      <c r="M478" s="33"/>
      <c r="N478" s="81"/>
      <c r="O478" s="33"/>
      <c r="P478" s="35"/>
      <c r="Q478" s="36"/>
      <c r="R478" s="36"/>
    </row>
    <row r="479" ht="22.5" customHeight="1">
      <c r="A479" s="38"/>
      <c r="B479" s="26"/>
      <c r="C479" s="29"/>
      <c r="D479" s="29"/>
      <c r="E479" s="29"/>
      <c r="F479" s="29"/>
      <c r="G479" s="287"/>
      <c r="H479" s="31"/>
      <c r="I479" s="31"/>
      <c r="J479" s="33"/>
      <c r="K479" s="33"/>
      <c r="L479" s="33"/>
      <c r="M479" s="33"/>
      <c r="N479" s="81"/>
      <c r="O479" s="33"/>
      <c r="P479" s="35"/>
      <c r="Q479" s="36"/>
      <c r="R479" s="36"/>
    </row>
    <row r="480" ht="22.5" customHeight="1">
      <c r="A480" s="38"/>
      <c r="B480" s="26"/>
      <c r="C480" s="29"/>
      <c r="D480" s="29"/>
      <c r="E480" s="29"/>
      <c r="F480" s="29"/>
      <c r="G480" s="287"/>
      <c r="H480" s="31"/>
      <c r="I480" s="31"/>
      <c r="J480" s="33"/>
      <c r="K480" s="33"/>
      <c r="L480" s="33"/>
      <c r="M480" s="33"/>
      <c r="N480" s="81"/>
      <c r="O480" s="33"/>
      <c r="P480" s="35"/>
      <c r="Q480" s="36"/>
      <c r="R480" s="36"/>
    </row>
    <row r="481" ht="22.5" customHeight="1">
      <c r="A481" s="38"/>
      <c r="B481" s="26"/>
      <c r="C481" s="29"/>
      <c r="D481" s="29"/>
      <c r="E481" s="29"/>
      <c r="F481" s="29"/>
      <c r="G481" s="287"/>
      <c r="H481" s="31"/>
      <c r="I481" s="31"/>
      <c r="J481" s="33"/>
      <c r="K481" s="33"/>
      <c r="L481" s="33"/>
      <c r="M481" s="33"/>
      <c r="N481" s="81"/>
      <c r="O481" s="33"/>
      <c r="P481" s="35"/>
      <c r="Q481" s="36"/>
      <c r="R481" s="36"/>
    </row>
    <row r="482" ht="22.5" customHeight="1">
      <c r="A482" s="38"/>
      <c r="B482" s="26"/>
      <c r="C482" s="29"/>
      <c r="D482" s="29"/>
      <c r="E482" s="29"/>
      <c r="F482" s="29"/>
      <c r="G482" s="287"/>
      <c r="H482" s="31"/>
      <c r="I482" s="31"/>
      <c r="J482" s="33"/>
      <c r="K482" s="33"/>
      <c r="L482" s="33"/>
      <c r="M482" s="33"/>
      <c r="N482" s="81"/>
      <c r="O482" s="33"/>
      <c r="P482" s="35"/>
      <c r="Q482" s="36"/>
      <c r="R482" s="36"/>
    </row>
    <row r="483" ht="22.5" customHeight="1">
      <c r="A483" s="38"/>
      <c r="B483" s="26"/>
      <c r="C483" s="29"/>
      <c r="D483" s="29"/>
      <c r="E483" s="29"/>
      <c r="F483" s="29"/>
      <c r="G483" s="287"/>
      <c r="H483" s="31"/>
      <c r="I483" s="31"/>
      <c r="J483" s="33"/>
      <c r="K483" s="33"/>
      <c r="L483" s="33"/>
      <c r="M483" s="33"/>
      <c r="N483" s="81"/>
      <c r="O483" s="33"/>
      <c r="P483" s="35"/>
      <c r="Q483" s="36"/>
      <c r="R483" s="36"/>
    </row>
    <row r="484" ht="22.5" customHeight="1">
      <c r="A484" s="38"/>
      <c r="B484" s="26"/>
      <c r="C484" s="29"/>
      <c r="D484" s="29"/>
      <c r="E484" s="29"/>
      <c r="F484" s="29"/>
      <c r="G484" s="287"/>
      <c r="H484" s="31"/>
      <c r="I484" s="31"/>
      <c r="J484" s="33"/>
      <c r="K484" s="33"/>
      <c r="L484" s="33"/>
      <c r="M484" s="33"/>
      <c r="N484" s="81"/>
      <c r="O484" s="33"/>
      <c r="P484" s="35"/>
      <c r="Q484" s="36"/>
      <c r="R484" s="36"/>
    </row>
    <row r="485" ht="22.5" customHeight="1">
      <c r="A485" s="38"/>
      <c r="B485" s="26"/>
      <c r="C485" s="29"/>
      <c r="D485" s="29"/>
      <c r="E485" s="29"/>
      <c r="F485" s="29"/>
      <c r="G485" s="287"/>
      <c r="H485" s="31"/>
      <c r="I485" s="31"/>
      <c r="J485" s="33"/>
      <c r="K485" s="33"/>
      <c r="L485" s="33"/>
      <c r="M485" s="33"/>
      <c r="N485" s="81"/>
      <c r="O485" s="33"/>
      <c r="P485" s="35"/>
      <c r="Q485" s="36"/>
      <c r="R485" s="36"/>
    </row>
    <row r="486" ht="22.5" customHeight="1">
      <c r="A486" s="38"/>
      <c r="B486" s="26"/>
      <c r="C486" s="29"/>
      <c r="D486" s="29"/>
      <c r="E486" s="29"/>
      <c r="F486" s="29"/>
      <c r="G486" s="287"/>
      <c r="H486" s="31"/>
      <c r="I486" s="31"/>
      <c r="J486" s="33"/>
      <c r="K486" s="33"/>
      <c r="L486" s="33"/>
      <c r="M486" s="33"/>
      <c r="N486" s="81"/>
      <c r="O486" s="33"/>
      <c r="P486" s="35"/>
      <c r="Q486" s="36"/>
      <c r="R486" s="36"/>
    </row>
    <row r="487" ht="22.5" customHeight="1">
      <c r="A487" s="38"/>
      <c r="B487" s="26"/>
      <c r="C487" s="29"/>
      <c r="D487" s="29"/>
      <c r="E487" s="29"/>
      <c r="F487" s="29"/>
      <c r="G487" s="287"/>
      <c r="H487" s="31"/>
      <c r="I487" s="31"/>
      <c r="J487" s="33"/>
      <c r="K487" s="33"/>
      <c r="L487" s="33"/>
      <c r="M487" s="33"/>
      <c r="N487" s="81"/>
      <c r="O487" s="33"/>
      <c r="P487" s="35"/>
      <c r="Q487" s="36"/>
      <c r="R487" s="36"/>
    </row>
    <row r="488" ht="22.5" customHeight="1">
      <c r="A488" s="38"/>
      <c r="B488" s="26"/>
      <c r="C488" s="29"/>
      <c r="D488" s="29"/>
      <c r="E488" s="29"/>
      <c r="F488" s="29"/>
      <c r="G488" s="287"/>
      <c r="H488" s="31"/>
      <c r="I488" s="31"/>
      <c r="J488" s="33"/>
      <c r="K488" s="33"/>
      <c r="L488" s="33"/>
      <c r="M488" s="33"/>
      <c r="N488" s="81"/>
      <c r="O488" s="33"/>
      <c r="P488" s="35"/>
      <c r="Q488" s="36"/>
      <c r="R488" s="36"/>
    </row>
    <row r="489" ht="22.5" customHeight="1">
      <c r="A489" s="38"/>
      <c r="B489" s="26"/>
      <c r="C489" s="29"/>
      <c r="D489" s="29"/>
      <c r="E489" s="29"/>
      <c r="F489" s="29"/>
      <c r="G489" s="287"/>
      <c r="H489" s="31"/>
      <c r="I489" s="31"/>
      <c r="J489" s="33"/>
      <c r="K489" s="33"/>
      <c r="L489" s="33"/>
      <c r="M489" s="33"/>
      <c r="N489" s="81"/>
      <c r="O489" s="33"/>
      <c r="P489" s="35"/>
      <c r="Q489" s="36"/>
      <c r="R489" s="36"/>
    </row>
    <row r="490" ht="22.5" customHeight="1">
      <c r="A490" s="38"/>
      <c r="B490" s="26"/>
      <c r="C490" s="29"/>
      <c r="D490" s="29"/>
      <c r="E490" s="29"/>
      <c r="F490" s="29"/>
      <c r="G490" s="287"/>
      <c r="H490" s="31"/>
      <c r="I490" s="31"/>
      <c r="J490" s="33"/>
      <c r="K490" s="33"/>
      <c r="L490" s="33"/>
      <c r="M490" s="33"/>
      <c r="N490" s="81"/>
      <c r="O490" s="33"/>
      <c r="P490" s="35"/>
      <c r="Q490" s="36"/>
      <c r="R490" s="36"/>
    </row>
    <row r="491" ht="22.5" customHeight="1">
      <c r="A491" s="38"/>
      <c r="B491" s="26"/>
      <c r="C491" s="29"/>
      <c r="D491" s="29"/>
      <c r="E491" s="29"/>
      <c r="F491" s="29"/>
      <c r="G491" s="287"/>
      <c r="H491" s="31"/>
      <c r="I491" s="31"/>
      <c r="J491" s="33"/>
      <c r="K491" s="33"/>
      <c r="L491" s="33"/>
      <c r="M491" s="33"/>
      <c r="N491" s="81"/>
      <c r="O491" s="33"/>
      <c r="P491" s="35"/>
      <c r="Q491" s="36"/>
      <c r="R491" s="36"/>
    </row>
    <row r="492" ht="22.5" customHeight="1">
      <c r="A492" s="38"/>
      <c r="B492" s="26"/>
      <c r="C492" s="29"/>
      <c r="D492" s="29"/>
      <c r="E492" s="29"/>
      <c r="F492" s="29"/>
      <c r="G492" s="287"/>
      <c r="H492" s="31"/>
      <c r="I492" s="31"/>
      <c r="J492" s="33"/>
      <c r="K492" s="33"/>
      <c r="L492" s="33"/>
      <c r="M492" s="33"/>
      <c r="N492" s="81"/>
      <c r="O492" s="33"/>
      <c r="P492" s="35"/>
      <c r="Q492" s="36"/>
      <c r="R492" s="36"/>
    </row>
    <row r="493" ht="22.5" customHeight="1">
      <c r="A493" s="38"/>
      <c r="B493" s="26"/>
      <c r="C493" s="29"/>
      <c r="D493" s="29"/>
      <c r="E493" s="29"/>
      <c r="F493" s="29"/>
      <c r="G493" s="287"/>
      <c r="H493" s="31"/>
      <c r="I493" s="31"/>
      <c r="J493" s="33"/>
      <c r="K493" s="33"/>
      <c r="L493" s="33"/>
      <c r="M493" s="33"/>
      <c r="N493" s="81"/>
      <c r="O493" s="33"/>
      <c r="P493" s="35"/>
      <c r="Q493" s="36"/>
      <c r="R493" s="36"/>
    </row>
    <row r="494" ht="22.5" customHeight="1">
      <c r="A494" s="38"/>
      <c r="B494" s="26"/>
      <c r="C494" s="29"/>
      <c r="D494" s="29"/>
      <c r="E494" s="29"/>
      <c r="F494" s="29"/>
      <c r="G494" s="287"/>
      <c r="H494" s="31"/>
      <c r="I494" s="31"/>
      <c r="J494" s="33"/>
      <c r="K494" s="33"/>
      <c r="L494" s="33"/>
      <c r="M494" s="33"/>
      <c r="N494" s="81"/>
      <c r="O494" s="33"/>
      <c r="P494" s="35"/>
      <c r="Q494" s="36"/>
      <c r="R494" s="36"/>
    </row>
    <row r="495" ht="22.5" customHeight="1">
      <c r="A495" s="38"/>
      <c r="B495" s="26"/>
      <c r="C495" s="29"/>
      <c r="D495" s="29"/>
      <c r="E495" s="29"/>
      <c r="F495" s="29"/>
      <c r="G495" s="287"/>
      <c r="H495" s="31"/>
      <c r="I495" s="31"/>
      <c r="J495" s="33"/>
      <c r="K495" s="33"/>
      <c r="L495" s="33"/>
      <c r="M495" s="33"/>
      <c r="N495" s="81"/>
      <c r="O495" s="33"/>
      <c r="P495" s="35"/>
      <c r="Q495" s="36"/>
      <c r="R495" s="36"/>
    </row>
    <row r="496" ht="22.5" customHeight="1">
      <c r="A496" s="38"/>
      <c r="B496" s="26"/>
      <c r="C496" s="29"/>
      <c r="D496" s="29"/>
      <c r="E496" s="29"/>
      <c r="F496" s="29"/>
      <c r="G496" s="287"/>
      <c r="H496" s="31"/>
      <c r="I496" s="31"/>
      <c r="J496" s="33"/>
      <c r="K496" s="33"/>
      <c r="L496" s="33"/>
      <c r="M496" s="33"/>
      <c r="N496" s="81"/>
      <c r="O496" s="33"/>
      <c r="P496" s="35"/>
      <c r="Q496" s="36"/>
      <c r="R496" s="36"/>
    </row>
    <row r="497" ht="22.5" customHeight="1">
      <c r="A497" s="38"/>
      <c r="B497" s="26"/>
      <c r="C497" s="29"/>
      <c r="D497" s="29"/>
      <c r="E497" s="29"/>
      <c r="F497" s="29"/>
      <c r="G497" s="287"/>
      <c r="H497" s="31"/>
      <c r="I497" s="31"/>
      <c r="J497" s="33"/>
      <c r="K497" s="33"/>
      <c r="L497" s="33"/>
      <c r="M497" s="33"/>
      <c r="N497" s="81"/>
      <c r="O497" s="33"/>
      <c r="P497" s="35"/>
      <c r="Q497" s="36"/>
      <c r="R497" s="36"/>
    </row>
    <row r="498" ht="22.5" customHeight="1">
      <c r="A498" s="38"/>
      <c r="B498" s="26"/>
      <c r="C498" s="29"/>
      <c r="D498" s="29"/>
      <c r="E498" s="29"/>
      <c r="F498" s="29"/>
      <c r="G498" s="287"/>
      <c r="H498" s="31"/>
      <c r="I498" s="31"/>
      <c r="J498" s="33"/>
      <c r="K498" s="33"/>
      <c r="L498" s="33"/>
      <c r="M498" s="33"/>
      <c r="N498" s="81"/>
      <c r="O498" s="33"/>
      <c r="P498" s="35"/>
      <c r="Q498" s="36"/>
      <c r="R498" s="36"/>
    </row>
    <row r="499" ht="22.5" customHeight="1">
      <c r="A499" s="38"/>
      <c r="B499" s="26"/>
      <c r="C499" s="29"/>
      <c r="D499" s="29"/>
      <c r="E499" s="29"/>
      <c r="F499" s="29"/>
      <c r="G499" s="287"/>
      <c r="H499" s="31"/>
      <c r="I499" s="31"/>
      <c r="J499" s="33"/>
      <c r="K499" s="33"/>
      <c r="L499" s="33"/>
      <c r="M499" s="33"/>
      <c r="N499" s="81"/>
      <c r="O499" s="33"/>
      <c r="P499" s="35"/>
      <c r="Q499" s="36"/>
      <c r="R499" s="36"/>
    </row>
    <row r="500" ht="22.5" customHeight="1">
      <c r="A500" s="38"/>
      <c r="B500" s="26"/>
      <c r="C500" s="29"/>
      <c r="D500" s="29"/>
      <c r="E500" s="29"/>
      <c r="F500" s="29"/>
      <c r="G500" s="287"/>
      <c r="H500" s="31"/>
      <c r="I500" s="31"/>
      <c r="J500" s="33"/>
      <c r="K500" s="33"/>
      <c r="L500" s="33"/>
      <c r="M500" s="33"/>
      <c r="N500" s="81"/>
      <c r="O500" s="33"/>
      <c r="P500" s="35"/>
      <c r="Q500" s="36"/>
      <c r="R500" s="36"/>
    </row>
    <row r="501" ht="22.5" customHeight="1">
      <c r="A501" s="38"/>
      <c r="B501" s="26"/>
      <c r="C501" s="29"/>
      <c r="D501" s="29"/>
      <c r="E501" s="29"/>
      <c r="F501" s="29"/>
      <c r="G501" s="287"/>
      <c r="H501" s="31"/>
      <c r="I501" s="31"/>
      <c r="J501" s="33"/>
      <c r="K501" s="33"/>
      <c r="L501" s="33"/>
      <c r="M501" s="33"/>
      <c r="N501" s="81"/>
      <c r="O501" s="33"/>
      <c r="P501" s="35"/>
      <c r="Q501" s="36"/>
      <c r="R501" s="36"/>
    </row>
    <row r="502" ht="22.5" customHeight="1">
      <c r="A502" s="38"/>
      <c r="B502" s="26"/>
      <c r="C502" s="29"/>
      <c r="D502" s="29"/>
      <c r="E502" s="29"/>
      <c r="F502" s="29"/>
      <c r="G502" s="287"/>
      <c r="H502" s="31"/>
      <c r="I502" s="31"/>
      <c r="J502" s="33"/>
      <c r="K502" s="33"/>
      <c r="L502" s="33"/>
      <c r="M502" s="33"/>
      <c r="N502" s="81"/>
      <c r="O502" s="33"/>
      <c r="P502" s="35"/>
      <c r="Q502" s="36"/>
      <c r="R502" s="36"/>
    </row>
    <row r="503" ht="22.5" customHeight="1">
      <c r="A503" s="38"/>
      <c r="B503" s="26"/>
      <c r="C503" s="29"/>
      <c r="D503" s="29"/>
      <c r="E503" s="29"/>
      <c r="F503" s="29"/>
      <c r="G503" s="287"/>
      <c r="H503" s="31"/>
      <c r="I503" s="31"/>
      <c r="J503" s="33"/>
      <c r="K503" s="33"/>
      <c r="L503" s="33"/>
      <c r="M503" s="33"/>
      <c r="N503" s="81"/>
      <c r="O503" s="33"/>
      <c r="P503" s="35"/>
      <c r="Q503" s="36"/>
      <c r="R503" s="36"/>
    </row>
    <row r="504" ht="22.5" customHeight="1">
      <c r="A504" s="38"/>
      <c r="B504" s="26"/>
      <c r="C504" s="29"/>
      <c r="D504" s="29"/>
      <c r="E504" s="29"/>
      <c r="F504" s="29"/>
      <c r="G504" s="287"/>
      <c r="H504" s="31"/>
      <c r="I504" s="31"/>
      <c r="J504" s="33"/>
      <c r="K504" s="33"/>
      <c r="L504" s="33"/>
      <c r="M504" s="33"/>
      <c r="N504" s="81"/>
      <c r="O504" s="33"/>
      <c r="P504" s="35"/>
      <c r="Q504" s="36"/>
      <c r="R504" s="36"/>
    </row>
    <row r="505" ht="22.5" customHeight="1">
      <c r="A505" s="38"/>
      <c r="B505" s="26"/>
      <c r="C505" s="29"/>
      <c r="D505" s="29"/>
      <c r="E505" s="29"/>
      <c r="F505" s="29"/>
      <c r="G505" s="287"/>
      <c r="H505" s="31"/>
      <c r="I505" s="31"/>
      <c r="J505" s="33"/>
      <c r="K505" s="33"/>
      <c r="L505" s="33"/>
      <c r="M505" s="33"/>
      <c r="N505" s="81"/>
      <c r="O505" s="33"/>
      <c r="P505" s="35"/>
      <c r="Q505" s="36"/>
      <c r="R505" s="36"/>
    </row>
    <row r="506" ht="22.5" customHeight="1">
      <c r="A506" s="38"/>
      <c r="B506" s="26"/>
      <c r="C506" s="29"/>
      <c r="D506" s="29"/>
      <c r="E506" s="29"/>
      <c r="F506" s="29"/>
      <c r="G506" s="287"/>
      <c r="H506" s="31"/>
      <c r="I506" s="31"/>
      <c r="J506" s="33"/>
      <c r="K506" s="33"/>
      <c r="L506" s="33"/>
      <c r="M506" s="33"/>
      <c r="N506" s="81"/>
      <c r="O506" s="33"/>
      <c r="P506" s="35"/>
      <c r="Q506" s="36"/>
      <c r="R506" s="36"/>
    </row>
    <row r="507" ht="22.5" customHeight="1">
      <c r="A507" s="38"/>
      <c r="B507" s="26"/>
      <c r="C507" s="29"/>
      <c r="D507" s="29"/>
      <c r="E507" s="29"/>
      <c r="F507" s="29"/>
      <c r="G507" s="287"/>
      <c r="H507" s="31"/>
      <c r="I507" s="31"/>
      <c r="J507" s="33"/>
      <c r="K507" s="33"/>
      <c r="L507" s="33"/>
      <c r="M507" s="33"/>
      <c r="N507" s="81"/>
      <c r="O507" s="33"/>
      <c r="P507" s="35"/>
      <c r="Q507" s="36"/>
      <c r="R507" s="36"/>
    </row>
    <row r="508" ht="22.5" customHeight="1">
      <c r="A508" s="38"/>
      <c r="B508" s="26"/>
      <c r="C508" s="29"/>
      <c r="D508" s="29"/>
      <c r="E508" s="29"/>
      <c r="F508" s="29"/>
      <c r="G508" s="287"/>
      <c r="H508" s="31"/>
      <c r="I508" s="31"/>
      <c r="J508" s="33"/>
      <c r="K508" s="33"/>
      <c r="L508" s="33"/>
      <c r="M508" s="33"/>
      <c r="N508" s="81"/>
      <c r="O508" s="33"/>
      <c r="P508" s="35"/>
      <c r="Q508" s="36"/>
      <c r="R508" s="36"/>
    </row>
    <row r="509" ht="22.5" customHeight="1">
      <c r="A509" s="38"/>
      <c r="B509" s="26"/>
      <c r="C509" s="29"/>
      <c r="D509" s="29"/>
      <c r="E509" s="29"/>
      <c r="F509" s="29"/>
      <c r="G509" s="287"/>
      <c r="H509" s="31"/>
      <c r="I509" s="31"/>
      <c r="J509" s="33"/>
      <c r="K509" s="33"/>
      <c r="L509" s="33"/>
      <c r="M509" s="33"/>
      <c r="N509" s="81"/>
      <c r="O509" s="33"/>
      <c r="P509" s="35"/>
      <c r="Q509" s="36"/>
      <c r="R509" s="36"/>
    </row>
    <row r="510" ht="22.5" customHeight="1">
      <c r="A510" s="38"/>
      <c r="B510" s="26"/>
      <c r="C510" s="29"/>
      <c r="D510" s="29"/>
      <c r="E510" s="29"/>
      <c r="F510" s="29"/>
      <c r="G510" s="287"/>
      <c r="H510" s="31"/>
      <c r="I510" s="31"/>
      <c r="J510" s="33"/>
      <c r="K510" s="33"/>
      <c r="L510" s="33"/>
      <c r="M510" s="33"/>
      <c r="N510" s="81"/>
      <c r="O510" s="33"/>
      <c r="P510" s="35"/>
      <c r="Q510" s="36"/>
      <c r="R510" s="36"/>
    </row>
    <row r="511" ht="22.5" customHeight="1">
      <c r="A511" s="38"/>
      <c r="B511" s="26"/>
      <c r="C511" s="29"/>
      <c r="D511" s="29"/>
      <c r="E511" s="29"/>
      <c r="F511" s="29"/>
      <c r="G511" s="287"/>
      <c r="H511" s="31"/>
      <c r="I511" s="31"/>
      <c r="J511" s="33"/>
      <c r="K511" s="33"/>
      <c r="L511" s="33"/>
      <c r="M511" s="33"/>
      <c r="N511" s="81"/>
      <c r="O511" s="33"/>
      <c r="P511" s="35"/>
      <c r="Q511" s="36"/>
      <c r="R511" s="36"/>
    </row>
    <row r="512" ht="22.5" customHeight="1">
      <c r="A512" s="38"/>
      <c r="B512" s="26"/>
      <c r="C512" s="29"/>
      <c r="D512" s="29"/>
      <c r="E512" s="29"/>
      <c r="F512" s="29"/>
      <c r="G512" s="287"/>
      <c r="H512" s="31"/>
      <c r="I512" s="31"/>
      <c r="J512" s="33"/>
      <c r="K512" s="33"/>
      <c r="L512" s="33"/>
      <c r="M512" s="33"/>
      <c r="N512" s="81"/>
      <c r="O512" s="33"/>
      <c r="P512" s="35"/>
      <c r="Q512" s="36"/>
      <c r="R512" s="36"/>
    </row>
    <row r="513" ht="22.5" customHeight="1">
      <c r="A513" s="38"/>
      <c r="B513" s="26"/>
      <c r="C513" s="29"/>
      <c r="D513" s="29"/>
      <c r="E513" s="29"/>
      <c r="F513" s="29"/>
      <c r="G513" s="287"/>
      <c r="H513" s="31"/>
      <c r="I513" s="31"/>
      <c r="J513" s="33"/>
      <c r="K513" s="33"/>
      <c r="L513" s="33"/>
      <c r="M513" s="33"/>
      <c r="N513" s="81"/>
      <c r="O513" s="33"/>
      <c r="P513" s="35"/>
      <c r="Q513" s="36"/>
      <c r="R513" s="36"/>
    </row>
    <row r="514" ht="22.5" customHeight="1">
      <c r="A514" s="38"/>
      <c r="B514" s="26"/>
      <c r="C514" s="29"/>
      <c r="D514" s="29"/>
      <c r="E514" s="29"/>
      <c r="F514" s="29"/>
      <c r="G514" s="287"/>
      <c r="H514" s="31"/>
      <c r="I514" s="31"/>
      <c r="J514" s="33"/>
      <c r="K514" s="33"/>
      <c r="L514" s="33"/>
      <c r="M514" s="33"/>
      <c r="N514" s="81"/>
      <c r="O514" s="33"/>
      <c r="P514" s="35"/>
      <c r="Q514" s="36"/>
      <c r="R514" s="36"/>
    </row>
    <row r="515" ht="22.5" customHeight="1">
      <c r="A515" s="38"/>
      <c r="B515" s="26"/>
      <c r="C515" s="29"/>
      <c r="D515" s="29"/>
      <c r="E515" s="29"/>
      <c r="F515" s="29"/>
      <c r="G515" s="287"/>
      <c r="H515" s="31"/>
      <c r="I515" s="31"/>
      <c r="J515" s="33"/>
      <c r="K515" s="33"/>
      <c r="L515" s="33"/>
      <c r="M515" s="33"/>
      <c r="N515" s="81"/>
      <c r="O515" s="33"/>
      <c r="P515" s="35"/>
      <c r="Q515" s="36"/>
      <c r="R515" s="36"/>
    </row>
    <row r="516" ht="22.5" customHeight="1">
      <c r="A516" s="38"/>
      <c r="B516" s="26"/>
      <c r="C516" s="29"/>
      <c r="D516" s="29"/>
      <c r="E516" s="29"/>
      <c r="F516" s="29"/>
      <c r="G516" s="287"/>
      <c r="H516" s="31"/>
      <c r="I516" s="31"/>
      <c r="J516" s="33"/>
      <c r="K516" s="33"/>
      <c r="L516" s="33"/>
      <c r="M516" s="33"/>
      <c r="N516" s="81"/>
      <c r="O516" s="33"/>
      <c r="P516" s="35"/>
      <c r="Q516" s="36"/>
      <c r="R516" s="36"/>
    </row>
    <row r="517" ht="22.5" customHeight="1">
      <c r="A517" s="38"/>
      <c r="B517" s="26"/>
      <c r="C517" s="29"/>
      <c r="D517" s="29"/>
      <c r="E517" s="29"/>
      <c r="F517" s="29"/>
      <c r="G517" s="287"/>
      <c r="H517" s="31"/>
      <c r="I517" s="31"/>
      <c r="J517" s="33"/>
      <c r="K517" s="33"/>
      <c r="L517" s="33"/>
      <c r="M517" s="33"/>
      <c r="N517" s="81"/>
      <c r="O517" s="33"/>
      <c r="P517" s="35"/>
      <c r="Q517" s="36"/>
      <c r="R517" s="36"/>
    </row>
    <row r="518" ht="22.5" customHeight="1">
      <c r="A518" s="38"/>
      <c r="B518" s="26"/>
      <c r="C518" s="29"/>
      <c r="D518" s="29"/>
      <c r="E518" s="29"/>
      <c r="F518" s="29"/>
      <c r="G518" s="287"/>
      <c r="H518" s="31"/>
      <c r="I518" s="31"/>
      <c r="J518" s="33"/>
      <c r="K518" s="33"/>
      <c r="L518" s="33"/>
      <c r="M518" s="33"/>
      <c r="N518" s="81"/>
      <c r="O518" s="33"/>
      <c r="P518" s="35"/>
      <c r="Q518" s="36"/>
      <c r="R518" s="36"/>
    </row>
    <row r="519" ht="22.5" customHeight="1">
      <c r="A519" s="38"/>
      <c r="B519" s="26"/>
      <c r="C519" s="29"/>
      <c r="D519" s="29"/>
      <c r="E519" s="29"/>
      <c r="F519" s="29"/>
      <c r="G519" s="287"/>
      <c r="H519" s="31"/>
      <c r="I519" s="31"/>
      <c r="J519" s="33"/>
      <c r="K519" s="33"/>
      <c r="L519" s="33"/>
      <c r="M519" s="33"/>
      <c r="N519" s="81"/>
      <c r="O519" s="33"/>
      <c r="P519" s="35"/>
      <c r="Q519" s="36"/>
      <c r="R519" s="36"/>
    </row>
    <row r="520" ht="22.5" customHeight="1">
      <c r="A520" s="38"/>
      <c r="B520" s="26"/>
      <c r="C520" s="29"/>
      <c r="D520" s="29"/>
      <c r="E520" s="29"/>
      <c r="F520" s="29"/>
      <c r="G520" s="287"/>
      <c r="H520" s="31"/>
      <c r="I520" s="31"/>
      <c r="J520" s="33"/>
      <c r="K520" s="33"/>
      <c r="L520" s="33"/>
      <c r="M520" s="33"/>
      <c r="N520" s="81"/>
      <c r="O520" s="33"/>
      <c r="P520" s="35"/>
      <c r="Q520" s="36"/>
      <c r="R520" s="36"/>
    </row>
    <row r="521" ht="22.5" customHeight="1">
      <c r="A521" s="38"/>
      <c r="B521" s="26"/>
      <c r="C521" s="29"/>
      <c r="D521" s="29"/>
      <c r="E521" s="29"/>
      <c r="F521" s="29"/>
      <c r="G521" s="287"/>
      <c r="H521" s="31"/>
      <c r="I521" s="31"/>
      <c r="J521" s="33"/>
      <c r="K521" s="33"/>
      <c r="L521" s="33"/>
      <c r="M521" s="33"/>
      <c r="N521" s="81"/>
      <c r="O521" s="33"/>
      <c r="P521" s="35"/>
      <c r="Q521" s="36"/>
      <c r="R521" s="36"/>
    </row>
    <row r="522" ht="22.5" customHeight="1">
      <c r="A522" s="38"/>
      <c r="B522" s="26"/>
      <c r="C522" s="29"/>
      <c r="D522" s="29"/>
      <c r="E522" s="29"/>
      <c r="F522" s="29"/>
      <c r="G522" s="287"/>
      <c r="H522" s="31"/>
      <c r="I522" s="31"/>
      <c r="J522" s="33"/>
      <c r="K522" s="33"/>
      <c r="L522" s="33"/>
      <c r="M522" s="33"/>
      <c r="N522" s="81"/>
      <c r="O522" s="33"/>
      <c r="P522" s="35"/>
      <c r="Q522" s="36"/>
      <c r="R522" s="36"/>
    </row>
    <row r="523" ht="22.5" customHeight="1">
      <c r="A523" s="38"/>
      <c r="B523" s="26"/>
      <c r="C523" s="29"/>
      <c r="D523" s="29"/>
      <c r="E523" s="29"/>
      <c r="F523" s="29"/>
      <c r="G523" s="287"/>
      <c r="H523" s="31"/>
      <c r="I523" s="31"/>
      <c r="J523" s="33"/>
      <c r="K523" s="33"/>
      <c r="L523" s="33"/>
      <c r="M523" s="33"/>
      <c r="N523" s="81"/>
      <c r="O523" s="33"/>
      <c r="P523" s="35"/>
      <c r="Q523" s="36"/>
      <c r="R523" s="36"/>
    </row>
    <row r="524" ht="22.5" customHeight="1">
      <c r="A524" s="38"/>
      <c r="B524" s="26"/>
      <c r="C524" s="29"/>
      <c r="D524" s="29"/>
      <c r="E524" s="29"/>
      <c r="F524" s="29"/>
      <c r="G524" s="287"/>
      <c r="H524" s="31"/>
      <c r="I524" s="31"/>
      <c r="J524" s="33"/>
      <c r="K524" s="33"/>
      <c r="L524" s="33"/>
      <c r="M524" s="33"/>
      <c r="N524" s="81"/>
      <c r="O524" s="33"/>
      <c r="P524" s="35"/>
      <c r="Q524" s="36"/>
      <c r="R524" s="36"/>
    </row>
    <row r="525" ht="22.5" customHeight="1">
      <c r="A525" s="38"/>
      <c r="B525" s="26"/>
      <c r="C525" s="29"/>
      <c r="D525" s="29"/>
      <c r="E525" s="29"/>
      <c r="F525" s="29"/>
      <c r="G525" s="287"/>
      <c r="H525" s="31"/>
      <c r="I525" s="31"/>
      <c r="J525" s="33"/>
      <c r="K525" s="33"/>
      <c r="L525" s="33"/>
      <c r="M525" s="33"/>
      <c r="N525" s="81"/>
      <c r="O525" s="33"/>
      <c r="P525" s="35"/>
      <c r="Q525" s="36"/>
      <c r="R525" s="36"/>
    </row>
    <row r="526" ht="22.5" customHeight="1">
      <c r="A526" s="38"/>
      <c r="B526" s="26"/>
      <c r="C526" s="29"/>
      <c r="D526" s="29"/>
      <c r="E526" s="29"/>
      <c r="F526" s="29"/>
      <c r="G526" s="287"/>
      <c r="H526" s="31"/>
      <c r="I526" s="31"/>
      <c r="J526" s="33"/>
      <c r="K526" s="33"/>
      <c r="L526" s="33"/>
      <c r="M526" s="33"/>
      <c r="N526" s="81"/>
      <c r="O526" s="33"/>
      <c r="P526" s="35"/>
      <c r="Q526" s="36"/>
      <c r="R526" s="36"/>
    </row>
    <row r="527" ht="22.5" customHeight="1">
      <c r="A527" s="38"/>
      <c r="B527" s="26"/>
      <c r="C527" s="29"/>
      <c r="D527" s="29"/>
      <c r="E527" s="29"/>
      <c r="F527" s="29"/>
      <c r="G527" s="287"/>
      <c r="H527" s="31"/>
      <c r="I527" s="31"/>
      <c r="J527" s="33"/>
      <c r="K527" s="33"/>
      <c r="L527" s="33"/>
      <c r="M527" s="33"/>
      <c r="N527" s="81"/>
      <c r="O527" s="33"/>
      <c r="P527" s="35"/>
      <c r="Q527" s="36"/>
      <c r="R527" s="36"/>
    </row>
    <row r="528" ht="22.5" customHeight="1">
      <c r="A528" s="38"/>
      <c r="B528" s="26"/>
      <c r="C528" s="29"/>
      <c r="D528" s="29"/>
      <c r="E528" s="29"/>
      <c r="F528" s="29"/>
      <c r="G528" s="287"/>
      <c r="H528" s="31"/>
      <c r="I528" s="31"/>
      <c r="J528" s="33"/>
      <c r="K528" s="33"/>
      <c r="L528" s="33"/>
      <c r="M528" s="33"/>
      <c r="N528" s="81"/>
      <c r="O528" s="33"/>
      <c r="P528" s="35"/>
      <c r="Q528" s="36"/>
      <c r="R528" s="36"/>
    </row>
    <row r="529" ht="22.5" customHeight="1">
      <c r="A529" s="38"/>
      <c r="B529" s="26"/>
      <c r="C529" s="29"/>
      <c r="D529" s="29"/>
      <c r="E529" s="29"/>
      <c r="F529" s="29"/>
      <c r="G529" s="287"/>
      <c r="H529" s="31"/>
      <c r="I529" s="31"/>
      <c r="J529" s="33"/>
      <c r="K529" s="33"/>
      <c r="L529" s="33"/>
      <c r="M529" s="33"/>
      <c r="N529" s="81"/>
      <c r="O529" s="33"/>
      <c r="P529" s="35"/>
      <c r="Q529" s="36"/>
      <c r="R529" s="36"/>
    </row>
    <row r="530" ht="22.5" customHeight="1">
      <c r="A530" s="38"/>
      <c r="B530" s="26"/>
      <c r="C530" s="29"/>
      <c r="D530" s="29"/>
      <c r="E530" s="29"/>
      <c r="F530" s="29"/>
      <c r="G530" s="287"/>
      <c r="H530" s="31"/>
      <c r="I530" s="31"/>
      <c r="J530" s="33"/>
      <c r="K530" s="33"/>
      <c r="L530" s="33"/>
      <c r="M530" s="33"/>
      <c r="N530" s="81"/>
      <c r="O530" s="33"/>
      <c r="P530" s="35"/>
      <c r="Q530" s="36"/>
      <c r="R530" s="36"/>
    </row>
    <row r="531" ht="22.5" customHeight="1">
      <c r="A531" s="38"/>
      <c r="B531" s="26"/>
      <c r="C531" s="29"/>
      <c r="D531" s="29"/>
      <c r="E531" s="29"/>
      <c r="F531" s="29"/>
      <c r="G531" s="287"/>
      <c r="H531" s="31"/>
      <c r="I531" s="31"/>
      <c r="J531" s="33"/>
      <c r="K531" s="33"/>
      <c r="L531" s="33"/>
      <c r="M531" s="33"/>
      <c r="N531" s="81"/>
      <c r="O531" s="33"/>
      <c r="P531" s="35"/>
      <c r="Q531" s="36"/>
      <c r="R531" s="36"/>
    </row>
    <row r="532" ht="22.5" customHeight="1">
      <c r="A532" s="38"/>
      <c r="B532" s="26"/>
      <c r="C532" s="29"/>
      <c r="D532" s="29"/>
      <c r="E532" s="29"/>
      <c r="F532" s="29"/>
      <c r="G532" s="287"/>
      <c r="H532" s="31"/>
      <c r="I532" s="31"/>
      <c r="J532" s="33"/>
      <c r="K532" s="33"/>
      <c r="L532" s="33"/>
      <c r="M532" s="33"/>
      <c r="N532" s="81"/>
      <c r="O532" s="33"/>
      <c r="P532" s="35"/>
      <c r="Q532" s="36"/>
      <c r="R532" s="36"/>
    </row>
    <row r="533" ht="22.5" customHeight="1">
      <c r="A533" s="38"/>
      <c r="B533" s="26"/>
      <c r="C533" s="29"/>
      <c r="D533" s="29"/>
      <c r="E533" s="29"/>
      <c r="F533" s="29"/>
      <c r="G533" s="287"/>
      <c r="H533" s="31"/>
      <c r="I533" s="31"/>
      <c r="J533" s="33"/>
      <c r="K533" s="33"/>
      <c r="L533" s="33"/>
      <c r="M533" s="33"/>
      <c r="N533" s="81"/>
      <c r="O533" s="33"/>
      <c r="P533" s="35"/>
      <c r="Q533" s="36"/>
      <c r="R533" s="36"/>
    </row>
    <row r="534" ht="22.5" customHeight="1">
      <c r="A534" s="38"/>
      <c r="B534" s="26"/>
      <c r="C534" s="29"/>
      <c r="D534" s="29"/>
      <c r="E534" s="29"/>
      <c r="F534" s="29"/>
      <c r="G534" s="287"/>
      <c r="H534" s="31"/>
      <c r="I534" s="31"/>
      <c r="J534" s="33"/>
      <c r="K534" s="33"/>
      <c r="L534" s="33"/>
      <c r="M534" s="33"/>
      <c r="N534" s="81"/>
      <c r="O534" s="33"/>
      <c r="P534" s="35"/>
      <c r="Q534" s="36"/>
      <c r="R534" s="36"/>
    </row>
    <row r="535" ht="22.5" customHeight="1">
      <c r="A535" s="38"/>
      <c r="B535" s="26"/>
      <c r="C535" s="29"/>
      <c r="D535" s="29"/>
      <c r="E535" s="29"/>
      <c r="F535" s="29"/>
      <c r="G535" s="287"/>
      <c r="H535" s="31"/>
      <c r="I535" s="31"/>
      <c r="J535" s="33"/>
      <c r="K535" s="33"/>
      <c r="L535" s="33"/>
      <c r="M535" s="33"/>
      <c r="N535" s="81"/>
      <c r="O535" s="33"/>
      <c r="P535" s="35"/>
      <c r="Q535" s="36"/>
      <c r="R535" s="36"/>
    </row>
    <row r="536" ht="22.5" customHeight="1">
      <c r="A536" s="38"/>
      <c r="B536" s="26"/>
      <c r="C536" s="29"/>
      <c r="D536" s="29"/>
      <c r="E536" s="29"/>
      <c r="F536" s="29"/>
      <c r="G536" s="287"/>
      <c r="H536" s="31"/>
      <c r="I536" s="31"/>
      <c r="J536" s="33"/>
      <c r="K536" s="33"/>
      <c r="L536" s="33"/>
      <c r="M536" s="33"/>
      <c r="N536" s="81"/>
      <c r="O536" s="33"/>
      <c r="P536" s="35"/>
      <c r="Q536" s="36"/>
      <c r="R536" s="36"/>
    </row>
    <row r="537" ht="22.5" customHeight="1">
      <c r="A537" s="38"/>
      <c r="B537" s="26"/>
      <c r="C537" s="29"/>
      <c r="D537" s="29"/>
      <c r="E537" s="29"/>
      <c r="F537" s="29"/>
      <c r="G537" s="287"/>
      <c r="H537" s="31"/>
      <c r="I537" s="31"/>
      <c r="J537" s="33"/>
      <c r="K537" s="33"/>
      <c r="L537" s="33"/>
      <c r="M537" s="33"/>
      <c r="N537" s="81"/>
      <c r="O537" s="33"/>
      <c r="P537" s="35"/>
      <c r="Q537" s="36"/>
      <c r="R537" s="36"/>
    </row>
    <row r="538" ht="22.5" customHeight="1">
      <c r="A538" s="38"/>
      <c r="B538" s="26"/>
      <c r="C538" s="29"/>
      <c r="D538" s="29"/>
      <c r="E538" s="29"/>
      <c r="F538" s="29"/>
      <c r="G538" s="287"/>
      <c r="H538" s="31"/>
      <c r="I538" s="31"/>
      <c r="J538" s="33"/>
      <c r="K538" s="33"/>
      <c r="L538" s="33"/>
      <c r="M538" s="33"/>
      <c r="N538" s="81"/>
      <c r="O538" s="33"/>
      <c r="P538" s="35"/>
      <c r="Q538" s="36"/>
      <c r="R538" s="36"/>
    </row>
    <row r="539" ht="22.5" customHeight="1">
      <c r="A539" s="38"/>
      <c r="B539" s="26"/>
      <c r="C539" s="29"/>
      <c r="D539" s="29"/>
      <c r="E539" s="29"/>
      <c r="F539" s="29"/>
      <c r="G539" s="287"/>
      <c r="H539" s="31"/>
      <c r="I539" s="31"/>
      <c r="J539" s="33"/>
      <c r="K539" s="33"/>
      <c r="L539" s="33"/>
      <c r="M539" s="33"/>
      <c r="N539" s="81"/>
      <c r="O539" s="33"/>
      <c r="P539" s="35"/>
      <c r="Q539" s="36"/>
      <c r="R539" s="36"/>
    </row>
    <row r="540" ht="22.5" customHeight="1">
      <c r="A540" s="38"/>
      <c r="B540" s="26"/>
      <c r="C540" s="29"/>
      <c r="D540" s="29"/>
      <c r="E540" s="29"/>
      <c r="F540" s="29"/>
      <c r="G540" s="287"/>
      <c r="H540" s="31"/>
      <c r="I540" s="31"/>
      <c r="J540" s="33"/>
      <c r="K540" s="33"/>
      <c r="L540" s="33"/>
      <c r="M540" s="33"/>
      <c r="N540" s="81"/>
      <c r="O540" s="33"/>
      <c r="P540" s="35"/>
      <c r="Q540" s="36"/>
      <c r="R540" s="36"/>
    </row>
    <row r="541" ht="22.5" customHeight="1">
      <c r="A541" s="38"/>
      <c r="B541" s="26"/>
      <c r="C541" s="29"/>
      <c r="D541" s="29"/>
      <c r="E541" s="29"/>
      <c r="F541" s="29"/>
      <c r="G541" s="287"/>
      <c r="H541" s="31"/>
      <c r="I541" s="31"/>
      <c r="J541" s="33"/>
      <c r="K541" s="33"/>
      <c r="L541" s="33"/>
      <c r="M541" s="33"/>
      <c r="N541" s="81"/>
      <c r="O541" s="33"/>
      <c r="P541" s="35"/>
      <c r="Q541" s="36"/>
      <c r="R541" s="36"/>
    </row>
    <row r="542" ht="22.5" customHeight="1">
      <c r="A542" s="38"/>
      <c r="B542" s="26"/>
      <c r="C542" s="29"/>
      <c r="D542" s="29"/>
      <c r="E542" s="29"/>
      <c r="F542" s="29"/>
      <c r="G542" s="287"/>
      <c r="H542" s="31"/>
      <c r="I542" s="31"/>
      <c r="J542" s="33"/>
      <c r="K542" s="33"/>
      <c r="L542" s="33"/>
      <c r="M542" s="33"/>
      <c r="N542" s="81"/>
      <c r="O542" s="33"/>
      <c r="P542" s="35"/>
      <c r="Q542" s="36"/>
      <c r="R542" s="36"/>
    </row>
    <row r="543" ht="22.5" customHeight="1">
      <c r="A543" s="38"/>
      <c r="B543" s="26"/>
      <c r="C543" s="29"/>
      <c r="D543" s="29"/>
      <c r="E543" s="29"/>
      <c r="F543" s="29"/>
      <c r="G543" s="287"/>
      <c r="H543" s="31"/>
      <c r="I543" s="31"/>
      <c r="J543" s="33"/>
      <c r="K543" s="33"/>
      <c r="L543" s="33"/>
      <c r="M543" s="33"/>
      <c r="N543" s="81"/>
      <c r="O543" s="33"/>
      <c r="P543" s="35"/>
      <c r="Q543" s="36"/>
      <c r="R543" s="36"/>
    </row>
    <row r="544" ht="22.5" customHeight="1">
      <c r="A544" s="38"/>
      <c r="B544" s="26"/>
      <c r="C544" s="29"/>
      <c r="D544" s="29"/>
      <c r="E544" s="29"/>
      <c r="F544" s="29"/>
      <c r="G544" s="287"/>
      <c r="H544" s="31"/>
      <c r="I544" s="31"/>
      <c r="J544" s="33"/>
      <c r="K544" s="33"/>
      <c r="L544" s="33"/>
      <c r="M544" s="33"/>
      <c r="N544" s="81"/>
      <c r="O544" s="33"/>
      <c r="P544" s="35"/>
      <c r="Q544" s="36"/>
      <c r="R544" s="36"/>
    </row>
    <row r="545" ht="22.5" customHeight="1">
      <c r="A545" s="38"/>
      <c r="B545" s="26"/>
      <c r="C545" s="29"/>
      <c r="D545" s="29"/>
      <c r="E545" s="29"/>
      <c r="F545" s="29"/>
      <c r="G545" s="287"/>
      <c r="H545" s="31"/>
      <c r="I545" s="31"/>
      <c r="J545" s="33"/>
      <c r="K545" s="33"/>
      <c r="L545" s="33"/>
      <c r="M545" s="33"/>
      <c r="N545" s="81"/>
      <c r="O545" s="33"/>
      <c r="P545" s="35"/>
      <c r="Q545" s="36"/>
      <c r="R545" s="36"/>
    </row>
    <row r="546" ht="22.5" customHeight="1">
      <c r="A546" s="38"/>
      <c r="B546" s="26"/>
      <c r="C546" s="29"/>
      <c r="D546" s="29"/>
      <c r="E546" s="29"/>
      <c r="F546" s="29"/>
      <c r="G546" s="287"/>
      <c r="H546" s="31"/>
      <c r="I546" s="31"/>
      <c r="J546" s="33"/>
      <c r="K546" s="33"/>
      <c r="L546" s="33"/>
      <c r="M546" s="33"/>
      <c r="N546" s="81"/>
      <c r="O546" s="33"/>
      <c r="P546" s="35"/>
      <c r="Q546" s="36"/>
      <c r="R546" s="36"/>
    </row>
    <row r="547" ht="22.5" customHeight="1">
      <c r="A547" s="38"/>
      <c r="B547" s="26"/>
      <c r="C547" s="29"/>
      <c r="D547" s="29"/>
      <c r="E547" s="29"/>
      <c r="F547" s="29"/>
      <c r="G547" s="287"/>
      <c r="H547" s="31"/>
      <c r="I547" s="31"/>
      <c r="J547" s="33"/>
      <c r="K547" s="33"/>
      <c r="L547" s="33"/>
      <c r="M547" s="33"/>
      <c r="N547" s="81"/>
      <c r="O547" s="33"/>
      <c r="P547" s="35"/>
      <c r="Q547" s="36"/>
      <c r="R547" s="36"/>
    </row>
    <row r="548" ht="22.5" customHeight="1">
      <c r="A548" s="38"/>
      <c r="B548" s="26"/>
      <c r="C548" s="29"/>
      <c r="D548" s="29"/>
      <c r="E548" s="29"/>
      <c r="F548" s="29"/>
      <c r="G548" s="287"/>
      <c r="H548" s="31"/>
      <c r="I548" s="31"/>
      <c r="J548" s="33"/>
      <c r="K548" s="33"/>
      <c r="L548" s="33"/>
      <c r="M548" s="33"/>
      <c r="N548" s="81"/>
      <c r="O548" s="33"/>
      <c r="P548" s="35"/>
      <c r="Q548" s="36"/>
      <c r="R548" s="36"/>
    </row>
    <row r="549" ht="22.5" customHeight="1">
      <c r="A549" s="38"/>
      <c r="B549" s="26"/>
      <c r="C549" s="29"/>
      <c r="D549" s="29"/>
      <c r="E549" s="29"/>
      <c r="F549" s="29"/>
      <c r="G549" s="287"/>
      <c r="H549" s="31"/>
      <c r="I549" s="31"/>
      <c r="J549" s="33"/>
      <c r="K549" s="33"/>
      <c r="L549" s="33"/>
      <c r="M549" s="33"/>
      <c r="N549" s="81"/>
      <c r="O549" s="33"/>
      <c r="P549" s="35"/>
      <c r="Q549" s="36"/>
      <c r="R549" s="36"/>
    </row>
    <row r="550" ht="22.5" customHeight="1">
      <c r="A550" s="38"/>
      <c r="B550" s="26"/>
      <c r="C550" s="29"/>
      <c r="D550" s="29"/>
      <c r="E550" s="29"/>
      <c r="F550" s="29"/>
      <c r="G550" s="287"/>
      <c r="H550" s="31"/>
      <c r="I550" s="31"/>
      <c r="J550" s="33"/>
      <c r="K550" s="33"/>
      <c r="L550" s="33"/>
      <c r="M550" s="33"/>
      <c r="N550" s="81"/>
      <c r="O550" s="33"/>
      <c r="P550" s="35"/>
      <c r="Q550" s="36"/>
      <c r="R550" s="36"/>
    </row>
    <row r="551" ht="22.5" customHeight="1">
      <c r="A551" s="38"/>
      <c r="B551" s="26"/>
      <c r="C551" s="29"/>
      <c r="D551" s="29"/>
      <c r="E551" s="29"/>
      <c r="F551" s="29"/>
      <c r="G551" s="287"/>
      <c r="H551" s="31"/>
      <c r="I551" s="31"/>
      <c r="J551" s="33"/>
      <c r="K551" s="33"/>
      <c r="L551" s="33"/>
      <c r="M551" s="33"/>
      <c r="N551" s="81"/>
      <c r="O551" s="33"/>
      <c r="P551" s="35"/>
      <c r="Q551" s="36"/>
      <c r="R551" s="36"/>
    </row>
    <row r="552" ht="22.5" customHeight="1">
      <c r="A552" s="38"/>
      <c r="B552" s="26"/>
      <c r="C552" s="29"/>
      <c r="D552" s="29"/>
      <c r="E552" s="29"/>
      <c r="F552" s="29"/>
      <c r="G552" s="287"/>
      <c r="H552" s="31"/>
      <c r="I552" s="31"/>
      <c r="J552" s="33"/>
      <c r="K552" s="33"/>
      <c r="L552" s="33"/>
      <c r="M552" s="33"/>
      <c r="N552" s="81"/>
      <c r="O552" s="33"/>
      <c r="P552" s="35"/>
      <c r="Q552" s="36"/>
      <c r="R552" s="36"/>
    </row>
    <row r="553" ht="22.5" customHeight="1">
      <c r="A553" s="38"/>
      <c r="B553" s="26"/>
      <c r="C553" s="29"/>
      <c r="D553" s="29"/>
      <c r="E553" s="29"/>
      <c r="F553" s="29"/>
      <c r="G553" s="287"/>
      <c r="H553" s="31"/>
      <c r="I553" s="31"/>
      <c r="J553" s="33"/>
      <c r="K553" s="33"/>
      <c r="L553" s="33"/>
      <c r="M553" s="33"/>
      <c r="N553" s="81"/>
      <c r="O553" s="33"/>
      <c r="P553" s="35"/>
      <c r="Q553" s="36"/>
      <c r="R553" s="36"/>
    </row>
    <row r="554" ht="22.5" customHeight="1">
      <c r="A554" s="38"/>
      <c r="B554" s="26"/>
      <c r="C554" s="29"/>
      <c r="D554" s="29"/>
      <c r="E554" s="29"/>
      <c r="F554" s="29"/>
      <c r="G554" s="287"/>
      <c r="H554" s="31"/>
      <c r="I554" s="31"/>
      <c r="J554" s="33"/>
      <c r="K554" s="33"/>
      <c r="L554" s="33"/>
      <c r="M554" s="33"/>
      <c r="N554" s="81"/>
      <c r="O554" s="33"/>
      <c r="P554" s="35"/>
      <c r="Q554" s="36"/>
      <c r="R554" s="36"/>
    </row>
    <row r="555" ht="22.5" customHeight="1">
      <c r="A555" s="38"/>
      <c r="B555" s="26"/>
      <c r="C555" s="29"/>
      <c r="D555" s="29"/>
      <c r="E555" s="29"/>
      <c r="F555" s="29"/>
      <c r="G555" s="287"/>
      <c r="H555" s="31"/>
      <c r="I555" s="31"/>
      <c r="J555" s="33"/>
      <c r="K555" s="33"/>
      <c r="L555" s="33"/>
      <c r="M555" s="33"/>
      <c r="N555" s="81"/>
      <c r="O555" s="33"/>
      <c r="P555" s="35"/>
      <c r="Q555" s="36"/>
      <c r="R555" s="36"/>
    </row>
    <row r="556" ht="22.5" customHeight="1">
      <c r="A556" s="38"/>
      <c r="B556" s="26"/>
      <c r="C556" s="29"/>
      <c r="D556" s="29"/>
      <c r="E556" s="29"/>
      <c r="F556" s="29"/>
      <c r="G556" s="287"/>
      <c r="H556" s="31"/>
      <c r="I556" s="31"/>
      <c r="J556" s="33"/>
      <c r="K556" s="33"/>
      <c r="L556" s="33"/>
      <c r="M556" s="33"/>
      <c r="N556" s="81"/>
      <c r="O556" s="33"/>
      <c r="P556" s="35"/>
      <c r="Q556" s="36"/>
      <c r="R556" s="36"/>
    </row>
    <row r="557" ht="22.5" customHeight="1">
      <c r="A557" s="38"/>
      <c r="B557" s="26"/>
      <c r="C557" s="29"/>
      <c r="D557" s="29"/>
      <c r="E557" s="29"/>
      <c r="F557" s="29"/>
      <c r="G557" s="287"/>
      <c r="H557" s="31"/>
      <c r="I557" s="31"/>
      <c r="J557" s="33"/>
      <c r="K557" s="33"/>
      <c r="L557" s="33"/>
      <c r="M557" s="33"/>
      <c r="N557" s="81"/>
      <c r="O557" s="33"/>
      <c r="P557" s="35"/>
      <c r="Q557" s="36"/>
      <c r="R557" s="36"/>
    </row>
    <row r="558" ht="22.5" customHeight="1">
      <c r="A558" s="38"/>
      <c r="B558" s="26"/>
      <c r="C558" s="29"/>
      <c r="D558" s="29"/>
      <c r="E558" s="29"/>
      <c r="F558" s="29"/>
      <c r="G558" s="287"/>
      <c r="H558" s="31"/>
      <c r="I558" s="31"/>
      <c r="J558" s="33"/>
      <c r="K558" s="33"/>
      <c r="L558" s="33"/>
      <c r="M558" s="33"/>
      <c r="N558" s="81"/>
      <c r="O558" s="33"/>
      <c r="P558" s="35"/>
      <c r="Q558" s="36"/>
      <c r="R558" s="36"/>
    </row>
    <row r="559" ht="22.5" customHeight="1">
      <c r="A559" s="38"/>
      <c r="B559" s="26"/>
      <c r="C559" s="29"/>
      <c r="D559" s="29"/>
      <c r="E559" s="29"/>
      <c r="F559" s="29"/>
      <c r="G559" s="287"/>
      <c r="H559" s="31"/>
      <c r="I559" s="31"/>
      <c r="J559" s="33"/>
      <c r="K559" s="33"/>
      <c r="L559" s="33"/>
      <c r="M559" s="33"/>
      <c r="N559" s="81"/>
      <c r="O559" s="33"/>
      <c r="P559" s="35"/>
      <c r="Q559" s="36"/>
      <c r="R559" s="36"/>
    </row>
    <row r="560" ht="22.5" customHeight="1">
      <c r="A560" s="38"/>
      <c r="B560" s="26"/>
      <c r="C560" s="29"/>
      <c r="D560" s="29"/>
      <c r="E560" s="29"/>
      <c r="F560" s="29"/>
      <c r="G560" s="287"/>
      <c r="H560" s="31"/>
      <c r="I560" s="31"/>
      <c r="J560" s="33"/>
      <c r="K560" s="33"/>
      <c r="L560" s="33"/>
      <c r="M560" s="33"/>
      <c r="N560" s="81"/>
      <c r="O560" s="33"/>
      <c r="P560" s="35"/>
      <c r="Q560" s="36"/>
      <c r="R560" s="36"/>
    </row>
    <row r="561" ht="22.5" customHeight="1">
      <c r="A561" s="38"/>
      <c r="B561" s="26"/>
      <c r="C561" s="29"/>
      <c r="D561" s="29"/>
      <c r="E561" s="29"/>
      <c r="F561" s="29"/>
      <c r="G561" s="287"/>
      <c r="H561" s="31"/>
      <c r="I561" s="31"/>
      <c r="J561" s="33"/>
      <c r="K561" s="33"/>
      <c r="L561" s="33"/>
      <c r="M561" s="33"/>
      <c r="N561" s="81"/>
      <c r="O561" s="33"/>
      <c r="P561" s="35"/>
      <c r="Q561" s="36"/>
      <c r="R561" s="36"/>
    </row>
    <row r="562" ht="22.5" customHeight="1">
      <c r="A562" s="38"/>
      <c r="B562" s="26"/>
      <c r="C562" s="29"/>
      <c r="D562" s="29"/>
      <c r="E562" s="29"/>
      <c r="F562" s="29"/>
      <c r="G562" s="287"/>
      <c r="H562" s="31"/>
      <c r="I562" s="31"/>
      <c r="J562" s="33"/>
      <c r="K562" s="33"/>
      <c r="L562" s="33"/>
      <c r="M562" s="33"/>
      <c r="N562" s="81"/>
      <c r="O562" s="33"/>
      <c r="P562" s="35"/>
      <c r="Q562" s="36"/>
      <c r="R562" s="36"/>
    </row>
    <row r="563" ht="22.5" customHeight="1">
      <c r="A563" s="38"/>
      <c r="B563" s="26"/>
      <c r="C563" s="29"/>
      <c r="D563" s="29"/>
      <c r="E563" s="29"/>
      <c r="F563" s="29"/>
      <c r="G563" s="287"/>
      <c r="H563" s="31"/>
      <c r="I563" s="31"/>
      <c r="J563" s="33"/>
      <c r="K563" s="33"/>
      <c r="L563" s="33"/>
      <c r="M563" s="33"/>
      <c r="N563" s="81"/>
      <c r="O563" s="33"/>
      <c r="P563" s="35"/>
      <c r="Q563" s="36"/>
      <c r="R563" s="36"/>
    </row>
    <row r="564" ht="22.5" customHeight="1">
      <c r="A564" s="38"/>
      <c r="B564" s="26"/>
      <c r="C564" s="29"/>
      <c r="D564" s="29"/>
      <c r="E564" s="29"/>
      <c r="F564" s="29"/>
      <c r="G564" s="287"/>
      <c r="H564" s="31"/>
      <c r="I564" s="31"/>
      <c r="J564" s="33"/>
      <c r="K564" s="33"/>
      <c r="L564" s="33"/>
      <c r="M564" s="33"/>
      <c r="N564" s="81"/>
      <c r="O564" s="33"/>
      <c r="P564" s="35"/>
      <c r="Q564" s="36"/>
      <c r="R564" s="36"/>
    </row>
    <row r="565" ht="22.5" customHeight="1">
      <c r="A565" s="38"/>
      <c r="B565" s="26"/>
      <c r="C565" s="29"/>
      <c r="D565" s="29"/>
      <c r="E565" s="29"/>
      <c r="F565" s="29"/>
      <c r="G565" s="287"/>
      <c r="H565" s="31"/>
      <c r="I565" s="31"/>
      <c r="J565" s="33"/>
      <c r="K565" s="33"/>
      <c r="L565" s="33"/>
      <c r="M565" s="33"/>
      <c r="N565" s="81"/>
      <c r="O565" s="33"/>
      <c r="P565" s="35"/>
      <c r="Q565" s="36"/>
      <c r="R565" s="36"/>
    </row>
    <row r="566" ht="22.5" customHeight="1">
      <c r="A566" s="38"/>
      <c r="B566" s="26"/>
      <c r="C566" s="29"/>
      <c r="D566" s="29"/>
      <c r="E566" s="29"/>
      <c r="F566" s="29"/>
      <c r="G566" s="287"/>
      <c r="H566" s="31"/>
      <c r="I566" s="31"/>
      <c r="J566" s="33"/>
      <c r="K566" s="33"/>
      <c r="L566" s="33"/>
      <c r="M566" s="33"/>
      <c r="N566" s="81"/>
      <c r="O566" s="33"/>
      <c r="P566" s="35"/>
      <c r="Q566" s="36"/>
      <c r="R566" s="36"/>
    </row>
    <row r="567" ht="22.5" customHeight="1">
      <c r="A567" s="38"/>
      <c r="B567" s="26"/>
      <c r="C567" s="29"/>
      <c r="D567" s="29"/>
      <c r="E567" s="29"/>
      <c r="F567" s="29"/>
      <c r="G567" s="287"/>
      <c r="H567" s="31"/>
      <c r="I567" s="31"/>
      <c r="J567" s="33"/>
      <c r="K567" s="33"/>
      <c r="L567" s="33"/>
      <c r="M567" s="33"/>
      <c r="N567" s="81"/>
      <c r="O567" s="33"/>
      <c r="P567" s="35"/>
      <c r="Q567" s="36"/>
      <c r="R567" s="36"/>
    </row>
    <row r="568" ht="22.5" customHeight="1">
      <c r="A568" s="38"/>
      <c r="B568" s="26"/>
      <c r="C568" s="29"/>
      <c r="D568" s="29"/>
      <c r="E568" s="29"/>
      <c r="F568" s="29"/>
      <c r="G568" s="287"/>
      <c r="H568" s="31"/>
      <c r="I568" s="31"/>
      <c r="J568" s="33"/>
      <c r="K568" s="33"/>
      <c r="L568" s="33"/>
      <c r="M568" s="33"/>
      <c r="N568" s="81"/>
      <c r="O568" s="33"/>
      <c r="P568" s="35"/>
      <c r="Q568" s="36"/>
      <c r="R568" s="36"/>
    </row>
    <row r="569" ht="22.5" customHeight="1">
      <c r="A569" s="38"/>
      <c r="B569" s="26"/>
      <c r="C569" s="29"/>
      <c r="D569" s="29"/>
      <c r="E569" s="29"/>
      <c r="F569" s="29"/>
      <c r="G569" s="287"/>
      <c r="H569" s="31"/>
      <c r="I569" s="31"/>
      <c r="J569" s="33"/>
      <c r="K569" s="33"/>
      <c r="L569" s="33"/>
      <c r="M569" s="33"/>
      <c r="N569" s="81"/>
      <c r="O569" s="33"/>
      <c r="P569" s="35"/>
      <c r="Q569" s="36"/>
      <c r="R569" s="36"/>
    </row>
    <row r="570" ht="22.5" customHeight="1">
      <c r="A570" s="38"/>
      <c r="B570" s="26"/>
      <c r="C570" s="29"/>
      <c r="D570" s="29"/>
      <c r="E570" s="29"/>
      <c r="F570" s="29"/>
      <c r="G570" s="287"/>
      <c r="H570" s="31"/>
      <c r="I570" s="31"/>
      <c r="J570" s="33"/>
      <c r="K570" s="33"/>
      <c r="L570" s="33"/>
      <c r="M570" s="33"/>
      <c r="N570" s="81"/>
      <c r="O570" s="33"/>
      <c r="P570" s="35"/>
      <c r="Q570" s="36"/>
      <c r="R570" s="36"/>
    </row>
    <row r="571" ht="22.5" customHeight="1">
      <c r="A571" s="38"/>
      <c r="B571" s="26"/>
      <c r="C571" s="29"/>
      <c r="D571" s="29"/>
      <c r="E571" s="29"/>
      <c r="F571" s="29"/>
      <c r="G571" s="287"/>
      <c r="H571" s="31"/>
      <c r="I571" s="31"/>
      <c r="J571" s="33"/>
      <c r="K571" s="33"/>
      <c r="L571" s="33"/>
      <c r="M571" s="33"/>
      <c r="N571" s="81"/>
      <c r="O571" s="33"/>
      <c r="P571" s="35"/>
      <c r="Q571" s="36"/>
      <c r="R571" s="36"/>
    </row>
    <row r="572" ht="22.5" customHeight="1">
      <c r="A572" s="38"/>
      <c r="B572" s="26"/>
      <c r="C572" s="29"/>
      <c r="D572" s="29"/>
      <c r="E572" s="29"/>
      <c r="F572" s="29"/>
      <c r="G572" s="287"/>
      <c r="H572" s="31"/>
      <c r="I572" s="31"/>
      <c r="J572" s="33"/>
      <c r="K572" s="33"/>
      <c r="L572" s="33"/>
      <c r="M572" s="33"/>
      <c r="N572" s="81"/>
      <c r="O572" s="33"/>
      <c r="P572" s="35"/>
      <c r="Q572" s="36"/>
      <c r="R572" s="36"/>
    </row>
    <row r="573" ht="22.5" customHeight="1">
      <c r="A573" s="38"/>
      <c r="B573" s="26"/>
      <c r="C573" s="29"/>
      <c r="D573" s="29"/>
      <c r="E573" s="29"/>
      <c r="F573" s="29"/>
      <c r="G573" s="287"/>
      <c r="H573" s="31"/>
      <c r="I573" s="31"/>
      <c r="J573" s="33"/>
      <c r="K573" s="33"/>
      <c r="L573" s="33"/>
      <c r="M573" s="33"/>
      <c r="N573" s="81"/>
      <c r="O573" s="33"/>
      <c r="P573" s="35"/>
      <c r="Q573" s="36"/>
      <c r="R573" s="36"/>
    </row>
    <row r="574" ht="22.5" customHeight="1">
      <c r="A574" s="38"/>
      <c r="B574" s="26"/>
      <c r="C574" s="29"/>
      <c r="D574" s="29"/>
      <c r="E574" s="29"/>
      <c r="F574" s="29"/>
      <c r="G574" s="287"/>
      <c r="H574" s="31"/>
      <c r="I574" s="31"/>
      <c r="J574" s="33"/>
      <c r="K574" s="33"/>
      <c r="L574" s="33"/>
      <c r="M574" s="33"/>
      <c r="N574" s="81"/>
      <c r="O574" s="33"/>
      <c r="P574" s="35"/>
      <c r="Q574" s="36"/>
      <c r="R574" s="36"/>
    </row>
    <row r="575" ht="22.5" customHeight="1">
      <c r="A575" s="38"/>
      <c r="B575" s="26"/>
      <c r="C575" s="29"/>
      <c r="D575" s="29"/>
      <c r="E575" s="29"/>
      <c r="F575" s="29"/>
      <c r="G575" s="287"/>
      <c r="H575" s="31"/>
      <c r="I575" s="31"/>
      <c r="J575" s="33"/>
      <c r="K575" s="33"/>
      <c r="L575" s="33"/>
      <c r="M575" s="33"/>
      <c r="N575" s="81"/>
      <c r="O575" s="33"/>
      <c r="P575" s="35"/>
      <c r="Q575" s="36"/>
      <c r="R575" s="36"/>
    </row>
    <row r="576" ht="22.5" customHeight="1">
      <c r="A576" s="38"/>
      <c r="B576" s="26"/>
      <c r="C576" s="29"/>
      <c r="D576" s="29"/>
      <c r="E576" s="29"/>
      <c r="F576" s="29"/>
      <c r="G576" s="287"/>
      <c r="H576" s="31"/>
      <c r="I576" s="31"/>
      <c r="J576" s="33"/>
      <c r="K576" s="33"/>
      <c r="L576" s="33"/>
      <c r="M576" s="33"/>
      <c r="N576" s="81"/>
      <c r="O576" s="33"/>
      <c r="P576" s="35"/>
      <c r="Q576" s="36"/>
      <c r="R576" s="36"/>
    </row>
    <row r="577" ht="22.5" customHeight="1">
      <c r="A577" s="38"/>
      <c r="B577" s="26"/>
      <c r="C577" s="29"/>
      <c r="D577" s="29"/>
      <c r="E577" s="29"/>
      <c r="F577" s="29"/>
      <c r="G577" s="287"/>
      <c r="H577" s="31"/>
      <c r="I577" s="31"/>
      <c r="J577" s="33"/>
      <c r="K577" s="33"/>
      <c r="L577" s="33"/>
      <c r="M577" s="33"/>
      <c r="N577" s="81"/>
      <c r="O577" s="33"/>
      <c r="P577" s="35"/>
      <c r="Q577" s="36"/>
      <c r="R577" s="36"/>
    </row>
    <row r="578" ht="22.5" customHeight="1">
      <c r="A578" s="38"/>
      <c r="B578" s="26"/>
      <c r="C578" s="29"/>
      <c r="D578" s="29"/>
      <c r="E578" s="29"/>
      <c r="F578" s="29"/>
      <c r="G578" s="287"/>
      <c r="H578" s="31"/>
      <c r="I578" s="31"/>
      <c r="J578" s="33"/>
      <c r="K578" s="33"/>
      <c r="L578" s="33"/>
      <c r="M578" s="33"/>
      <c r="N578" s="81"/>
      <c r="O578" s="33"/>
      <c r="P578" s="35"/>
      <c r="Q578" s="36"/>
      <c r="R578" s="36"/>
    </row>
    <row r="579" ht="22.5" customHeight="1">
      <c r="A579" s="38"/>
      <c r="B579" s="26"/>
      <c r="C579" s="29"/>
      <c r="D579" s="29"/>
      <c r="E579" s="29"/>
      <c r="F579" s="29"/>
      <c r="G579" s="287"/>
      <c r="H579" s="31"/>
      <c r="I579" s="31"/>
      <c r="J579" s="33"/>
      <c r="K579" s="33"/>
      <c r="L579" s="33"/>
      <c r="M579" s="33"/>
      <c r="N579" s="81"/>
      <c r="O579" s="33"/>
      <c r="P579" s="35"/>
      <c r="Q579" s="36"/>
      <c r="R579" s="36"/>
    </row>
    <row r="580" ht="22.5" customHeight="1">
      <c r="A580" s="38"/>
      <c r="B580" s="26"/>
      <c r="C580" s="29"/>
      <c r="D580" s="29"/>
      <c r="E580" s="29"/>
      <c r="F580" s="29"/>
      <c r="G580" s="287"/>
      <c r="H580" s="31"/>
      <c r="I580" s="31"/>
      <c r="J580" s="33"/>
      <c r="K580" s="33"/>
      <c r="L580" s="33"/>
      <c r="M580" s="33"/>
      <c r="N580" s="81"/>
      <c r="O580" s="33"/>
      <c r="P580" s="35"/>
      <c r="Q580" s="36"/>
      <c r="R580" s="36"/>
    </row>
    <row r="581" ht="22.5" customHeight="1">
      <c r="A581" s="38"/>
      <c r="B581" s="26"/>
      <c r="C581" s="29"/>
      <c r="D581" s="29"/>
      <c r="E581" s="29"/>
      <c r="F581" s="29"/>
      <c r="G581" s="287"/>
      <c r="H581" s="31"/>
      <c r="I581" s="31"/>
      <c r="J581" s="33"/>
      <c r="K581" s="33"/>
      <c r="L581" s="33"/>
      <c r="M581" s="33"/>
      <c r="N581" s="81"/>
      <c r="O581" s="33"/>
      <c r="P581" s="35"/>
      <c r="Q581" s="36"/>
      <c r="R581" s="36"/>
    </row>
    <row r="582" ht="22.5" customHeight="1">
      <c r="A582" s="38"/>
      <c r="B582" s="26"/>
      <c r="C582" s="29"/>
      <c r="D582" s="29"/>
      <c r="E582" s="29"/>
      <c r="F582" s="29"/>
      <c r="G582" s="287"/>
      <c r="H582" s="31"/>
      <c r="I582" s="31"/>
      <c r="J582" s="33"/>
      <c r="K582" s="33"/>
      <c r="L582" s="33"/>
      <c r="M582" s="33"/>
      <c r="N582" s="81"/>
      <c r="O582" s="33"/>
      <c r="P582" s="35"/>
      <c r="Q582" s="36"/>
      <c r="R582" s="36"/>
    </row>
    <row r="583" ht="22.5" customHeight="1">
      <c r="A583" s="38"/>
      <c r="B583" s="26"/>
      <c r="C583" s="29"/>
      <c r="D583" s="29"/>
      <c r="E583" s="29"/>
      <c r="F583" s="29"/>
      <c r="G583" s="287"/>
      <c r="H583" s="31"/>
      <c r="I583" s="31"/>
      <c r="J583" s="33"/>
      <c r="K583" s="33"/>
      <c r="L583" s="33"/>
      <c r="M583" s="33"/>
      <c r="N583" s="81"/>
      <c r="O583" s="33"/>
      <c r="P583" s="35"/>
      <c r="Q583" s="36"/>
      <c r="R583" s="36"/>
    </row>
    <row r="584" ht="22.5" customHeight="1">
      <c r="A584" s="38"/>
      <c r="B584" s="26"/>
      <c r="C584" s="29"/>
      <c r="D584" s="29"/>
      <c r="E584" s="29"/>
      <c r="F584" s="29"/>
      <c r="G584" s="287"/>
      <c r="H584" s="31"/>
      <c r="I584" s="31"/>
      <c r="J584" s="33"/>
      <c r="K584" s="33"/>
      <c r="L584" s="33"/>
      <c r="M584" s="33"/>
      <c r="N584" s="81"/>
      <c r="O584" s="33"/>
      <c r="P584" s="35"/>
      <c r="Q584" s="36"/>
      <c r="R584" s="36"/>
    </row>
    <row r="585" ht="22.5" customHeight="1">
      <c r="A585" s="38"/>
      <c r="B585" s="26"/>
      <c r="C585" s="29"/>
      <c r="D585" s="29"/>
      <c r="E585" s="29"/>
      <c r="F585" s="29"/>
      <c r="G585" s="287"/>
      <c r="H585" s="31"/>
      <c r="I585" s="31"/>
      <c r="J585" s="33"/>
      <c r="K585" s="33"/>
      <c r="L585" s="33"/>
      <c r="M585" s="33"/>
      <c r="N585" s="81"/>
      <c r="O585" s="33"/>
      <c r="P585" s="35"/>
      <c r="Q585" s="36"/>
      <c r="R585" s="36"/>
    </row>
    <row r="586" ht="22.5" customHeight="1">
      <c r="A586" s="38"/>
      <c r="B586" s="26"/>
      <c r="C586" s="29"/>
      <c r="D586" s="29"/>
      <c r="E586" s="29"/>
      <c r="F586" s="29"/>
      <c r="G586" s="287"/>
      <c r="H586" s="31"/>
      <c r="I586" s="31"/>
      <c r="J586" s="33"/>
      <c r="K586" s="33"/>
      <c r="L586" s="33"/>
      <c r="M586" s="33"/>
      <c r="N586" s="81"/>
      <c r="O586" s="33"/>
      <c r="P586" s="35"/>
      <c r="Q586" s="36"/>
      <c r="R586" s="36"/>
    </row>
    <row r="587" ht="22.5" customHeight="1">
      <c r="A587" s="38"/>
      <c r="B587" s="26"/>
      <c r="C587" s="29"/>
      <c r="D587" s="29"/>
      <c r="E587" s="29"/>
      <c r="F587" s="29"/>
      <c r="G587" s="287"/>
      <c r="H587" s="31"/>
      <c r="I587" s="31"/>
      <c r="J587" s="33"/>
      <c r="K587" s="33"/>
      <c r="L587" s="33"/>
      <c r="M587" s="33"/>
      <c r="N587" s="81"/>
      <c r="O587" s="33"/>
      <c r="P587" s="35"/>
      <c r="Q587" s="36"/>
      <c r="R587" s="36"/>
    </row>
    <row r="588" ht="22.5" customHeight="1">
      <c r="A588" s="38"/>
      <c r="B588" s="26"/>
      <c r="C588" s="29"/>
      <c r="D588" s="29"/>
      <c r="E588" s="29"/>
      <c r="F588" s="29"/>
      <c r="G588" s="287"/>
      <c r="H588" s="31"/>
      <c r="I588" s="31"/>
      <c r="J588" s="33"/>
      <c r="K588" s="33"/>
      <c r="L588" s="33"/>
      <c r="M588" s="33"/>
      <c r="N588" s="81"/>
      <c r="O588" s="33"/>
      <c r="P588" s="35"/>
      <c r="Q588" s="36"/>
      <c r="R588" s="36"/>
    </row>
    <row r="589" ht="22.5" customHeight="1">
      <c r="A589" s="38"/>
      <c r="B589" s="26"/>
      <c r="C589" s="29"/>
      <c r="D589" s="29"/>
      <c r="E589" s="29"/>
      <c r="F589" s="29"/>
      <c r="G589" s="287"/>
      <c r="H589" s="31"/>
      <c r="I589" s="31"/>
      <c r="J589" s="33"/>
      <c r="K589" s="33"/>
      <c r="L589" s="33"/>
      <c r="M589" s="33"/>
      <c r="N589" s="81"/>
      <c r="O589" s="33"/>
      <c r="P589" s="35"/>
      <c r="Q589" s="36"/>
      <c r="R589" s="36"/>
    </row>
    <row r="590" ht="22.5" customHeight="1">
      <c r="A590" s="38"/>
      <c r="B590" s="26"/>
      <c r="C590" s="29"/>
      <c r="D590" s="29"/>
      <c r="E590" s="29"/>
      <c r="F590" s="29"/>
      <c r="G590" s="287"/>
      <c r="H590" s="31"/>
      <c r="I590" s="31"/>
      <c r="J590" s="33"/>
      <c r="K590" s="33"/>
      <c r="L590" s="33"/>
      <c r="M590" s="33"/>
      <c r="N590" s="81"/>
      <c r="O590" s="33"/>
      <c r="P590" s="35"/>
      <c r="Q590" s="36"/>
      <c r="R590" s="36"/>
    </row>
    <row r="591" ht="22.5" customHeight="1">
      <c r="A591" s="38"/>
      <c r="B591" s="26"/>
      <c r="C591" s="29"/>
      <c r="D591" s="29"/>
      <c r="E591" s="29"/>
      <c r="F591" s="29"/>
      <c r="G591" s="287"/>
      <c r="H591" s="31"/>
      <c r="I591" s="31"/>
      <c r="J591" s="33"/>
      <c r="K591" s="33"/>
      <c r="L591" s="33"/>
      <c r="M591" s="33"/>
      <c r="N591" s="81"/>
      <c r="O591" s="33"/>
      <c r="P591" s="35"/>
      <c r="Q591" s="36"/>
      <c r="R591" s="36"/>
    </row>
    <row r="592" ht="22.5" customHeight="1">
      <c r="A592" s="38"/>
      <c r="B592" s="26"/>
      <c r="C592" s="29"/>
      <c r="D592" s="29"/>
      <c r="E592" s="29"/>
      <c r="F592" s="29"/>
      <c r="G592" s="287"/>
      <c r="H592" s="31"/>
      <c r="I592" s="31"/>
      <c r="J592" s="33"/>
      <c r="K592" s="33"/>
      <c r="L592" s="33"/>
      <c r="M592" s="33"/>
      <c r="N592" s="81"/>
      <c r="O592" s="33"/>
      <c r="P592" s="35"/>
      <c r="Q592" s="36"/>
      <c r="R592" s="36"/>
    </row>
    <row r="593" ht="22.5" customHeight="1">
      <c r="A593" s="38"/>
      <c r="B593" s="26"/>
      <c r="C593" s="29"/>
      <c r="D593" s="29"/>
      <c r="E593" s="29"/>
      <c r="F593" s="29"/>
      <c r="G593" s="287"/>
      <c r="H593" s="31"/>
      <c r="I593" s="31"/>
      <c r="J593" s="33"/>
      <c r="K593" s="33"/>
      <c r="L593" s="33"/>
      <c r="M593" s="33"/>
      <c r="N593" s="81"/>
      <c r="O593" s="33"/>
      <c r="P593" s="35"/>
      <c r="Q593" s="36"/>
      <c r="R593" s="36"/>
    </row>
    <row r="594" ht="22.5" customHeight="1">
      <c r="A594" s="38"/>
      <c r="B594" s="26"/>
      <c r="C594" s="29"/>
      <c r="D594" s="29"/>
      <c r="E594" s="29"/>
      <c r="F594" s="29"/>
      <c r="G594" s="287"/>
      <c r="H594" s="31"/>
      <c r="I594" s="31"/>
      <c r="J594" s="33"/>
      <c r="K594" s="33"/>
      <c r="L594" s="33"/>
      <c r="M594" s="33"/>
      <c r="N594" s="81"/>
      <c r="O594" s="33"/>
      <c r="P594" s="35"/>
      <c r="Q594" s="36"/>
      <c r="R594" s="36"/>
    </row>
    <row r="595" ht="22.5" customHeight="1">
      <c r="A595" s="38"/>
      <c r="B595" s="26"/>
      <c r="C595" s="29"/>
      <c r="D595" s="29"/>
      <c r="E595" s="29"/>
      <c r="F595" s="29"/>
      <c r="G595" s="287"/>
      <c r="H595" s="31"/>
      <c r="I595" s="31"/>
      <c r="J595" s="33"/>
      <c r="K595" s="33"/>
      <c r="L595" s="33"/>
      <c r="M595" s="33"/>
      <c r="N595" s="81"/>
      <c r="O595" s="33"/>
      <c r="P595" s="35"/>
      <c r="Q595" s="36"/>
      <c r="R595" s="36"/>
    </row>
    <row r="596" ht="22.5" customHeight="1">
      <c r="A596" s="38"/>
      <c r="B596" s="26"/>
      <c r="C596" s="29"/>
      <c r="D596" s="29"/>
      <c r="E596" s="29"/>
      <c r="F596" s="29"/>
      <c r="G596" s="287"/>
      <c r="H596" s="31"/>
      <c r="I596" s="31"/>
      <c r="J596" s="33"/>
      <c r="K596" s="33"/>
      <c r="L596" s="33"/>
      <c r="M596" s="33"/>
      <c r="N596" s="81"/>
      <c r="O596" s="33"/>
      <c r="P596" s="35"/>
      <c r="Q596" s="36"/>
      <c r="R596" s="36"/>
    </row>
    <row r="597" ht="22.5" customHeight="1">
      <c r="A597" s="38"/>
      <c r="B597" s="26"/>
      <c r="C597" s="29"/>
      <c r="D597" s="29"/>
      <c r="E597" s="29"/>
      <c r="F597" s="29"/>
      <c r="G597" s="287"/>
      <c r="H597" s="31"/>
      <c r="I597" s="31"/>
      <c r="J597" s="33"/>
      <c r="K597" s="33"/>
      <c r="L597" s="33"/>
      <c r="M597" s="33"/>
      <c r="N597" s="81"/>
      <c r="O597" s="33"/>
      <c r="P597" s="35"/>
      <c r="Q597" s="36"/>
      <c r="R597" s="36"/>
    </row>
    <row r="598" ht="22.5" customHeight="1">
      <c r="A598" s="38"/>
      <c r="B598" s="26"/>
      <c r="C598" s="29"/>
      <c r="D598" s="29"/>
      <c r="E598" s="29"/>
      <c r="F598" s="29"/>
      <c r="G598" s="287"/>
      <c r="H598" s="31"/>
      <c r="I598" s="31"/>
      <c r="J598" s="33"/>
      <c r="K598" s="33"/>
      <c r="L598" s="33"/>
      <c r="M598" s="33"/>
      <c r="N598" s="81"/>
      <c r="O598" s="33"/>
      <c r="P598" s="35"/>
      <c r="Q598" s="36"/>
      <c r="R598" s="36"/>
    </row>
    <row r="599" ht="22.5" customHeight="1">
      <c r="A599" s="38"/>
      <c r="B599" s="26"/>
      <c r="C599" s="29"/>
      <c r="D599" s="29"/>
      <c r="E599" s="29"/>
      <c r="F599" s="29"/>
      <c r="G599" s="287"/>
      <c r="H599" s="31"/>
      <c r="I599" s="31"/>
      <c r="J599" s="33"/>
      <c r="K599" s="33"/>
      <c r="L599" s="33"/>
      <c r="M599" s="33"/>
      <c r="N599" s="81"/>
      <c r="O599" s="33"/>
      <c r="P599" s="35"/>
      <c r="Q599" s="36"/>
      <c r="R599" s="36"/>
    </row>
    <row r="600" ht="22.5" customHeight="1">
      <c r="A600" s="38"/>
      <c r="B600" s="26"/>
      <c r="C600" s="29"/>
      <c r="D600" s="29"/>
      <c r="E600" s="29"/>
      <c r="F600" s="29"/>
      <c r="G600" s="287"/>
      <c r="H600" s="31"/>
      <c r="I600" s="31"/>
      <c r="J600" s="33"/>
      <c r="K600" s="33"/>
      <c r="L600" s="33"/>
      <c r="M600" s="33"/>
      <c r="N600" s="81"/>
      <c r="O600" s="33"/>
      <c r="P600" s="35"/>
      <c r="Q600" s="36"/>
      <c r="R600" s="36"/>
    </row>
    <row r="601" ht="22.5" customHeight="1">
      <c r="A601" s="38"/>
      <c r="B601" s="26"/>
      <c r="C601" s="29"/>
      <c r="D601" s="29"/>
      <c r="E601" s="29"/>
      <c r="F601" s="29"/>
      <c r="G601" s="287"/>
      <c r="H601" s="31"/>
      <c r="I601" s="31"/>
      <c r="J601" s="33"/>
      <c r="K601" s="33"/>
      <c r="L601" s="33"/>
      <c r="M601" s="33"/>
      <c r="N601" s="81"/>
      <c r="O601" s="33"/>
      <c r="P601" s="35"/>
      <c r="Q601" s="36"/>
      <c r="R601" s="36"/>
    </row>
    <row r="602" ht="22.5" customHeight="1">
      <c r="A602" s="38"/>
      <c r="B602" s="26"/>
      <c r="C602" s="29"/>
      <c r="D602" s="29"/>
      <c r="E602" s="29"/>
      <c r="F602" s="29"/>
      <c r="G602" s="287"/>
      <c r="H602" s="31"/>
      <c r="I602" s="31"/>
      <c r="J602" s="33"/>
      <c r="K602" s="33"/>
      <c r="L602" s="33"/>
      <c r="M602" s="33"/>
      <c r="N602" s="81"/>
      <c r="O602" s="33"/>
      <c r="P602" s="35"/>
      <c r="Q602" s="36"/>
      <c r="R602" s="36"/>
    </row>
    <row r="603" ht="22.5" customHeight="1">
      <c r="A603" s="38"/>
      <c r="B603" s="26"/>
      <c r="C603" s="29"/>
      <c r="D603" s="29"/>
      <c r="E603" s="29"/>
      <c r="F603" s="29"/>
      <c r="G603" s="287"/>
      <c r="H603" s="31"/>
      <c r="I603" s="31"/>
      <c r="J603" s="33"/>
      <c r="K603" s="33"/>
      <c r="L603" s="33"/>
      <c r="M603" s="33"/>
      <c r="N603" s="81"/>
      <c r="O603" s="33"/>
      <c r="P603" s="35"/>
      <c r="Q603" s="36"/>
      <c r="R603" s="36"/>
    </row>
    <row r="604" ht="22.5" customHeight="1">
      <c r="A604" s="38"/>
      <c r="B604" s="26"/>
      <c r="C604" s="29"/>
      <c r="D604" s="29"/>
      <c r="E604" s="29"/>
      <c r="F604" s="29"/>
      <c r="G604" s="287"/>
      <c r="H604" s="31"/>
      <c r="I604" s="31"/>
      <c r="J604" s="33"/>
      <c r="K604" s="33"/>
      <c r="L604" s="33"/>
      <c r="M604" s="33"/>
      <c r="N604" s="81"/>
      <c r="O604" s="33"/>
      <c r="P604" s="35"/>
      <c r="Q604" s="36"/>
      <c r="R604" s="36"/>
    </row>
    <row r="605" ht="22.5" customHeight="1">
      <c r="A605" s="38"/>
      <c r="B605" s="26"/>
      <c r="C605" s="29"/>
      <c r="D605" s="29"/>
      <c r="E605" s="29"/>
      <c r="F605" s="29"/>
      <c r="G605" s="287"/>
      <c r="H605" s="31"/>
      <c r="I605" s="31"/>
      <c r="J605" s="33"/>
      <c r="K605" s="33"/>
      <c r="L605" s="33"/>
      <c r="M605" s="33"/>
      <c r="N605" s="81"/>
      <c r="O605" s="33"/>
      <c r="P605" s="35"/>
      <c r="Q605" s="36"/>
      <c r="R605" s="36"/>
    </row>
    <row r="606" ht="22.5" customHeight="1">
      <c r="A606" s="38"/>
      <c r="B606" s="26"/>
      <c r="C606" s="29"/>
      <c r="D606" s="29"/>
      <c r="E606" s="29"/>
      <c r="F606" s="29"/>
      <c r="G606" s="287"/>
      <c r="H606" s="31"/>
      <c r="I606" s="31"/>
      <c r="J606" s="33"/>
      <c r="K606" s="33"/>
      <c r="L606" s="33"/>
      <c r="M606" s="33"/>
      <c r="N606" s="81"/>
      <c r="O606" s="33"/>
      <c r="P606" s="35"/>
      <c r="Q606" s="36"/>
      <c r="R606" s="36"/>
    </row>
    <row r="607" ht="22.5" customHeight="1">
      <c r="A607" s="38"/>
      <c r="B607" s="26"/>
      <c r="C607" s="29"/>
      <c r="D607" s="29"/>
      <c r="E607" s="29"/>
      <c r="F607" s="29"/>
      <c r="G607" s="287"/>
      <c r="H607" s="31"/>
      <c r="I607" s="31"/>
      <c r="J607" s="33"/>
      <c r="K607" s="33"/>
      <c r="L607" s="33"/>
      <c r="M607" s="33"/>
      <c r="N607" s="81"/>
      <c r="O607" s="33"/>
      <c r="P607" s="35"/>
      <c r="Q607" s="36"/>
      <c r="R607" s="36"/>
    </row>
    <row r="608" ht="22.5" customHeight="1">
      <c r="A608" s="38"/>
      <c r="B608" s="26"/>
      <c r="C608" s="29"/>
      <c r="D608" s="29"/>
      <c r="E608" s="29"/>
      <c r="F608" s="29"/>
      <c r="G608" s="287"/>
      <c r="H608" s="31"/>
      <c r="I608" s="31"/>
      <c r="J608" s="33"/>
      <c r="K608" s="33"/>
      <c r="L608" s="33"/>
      <c r="M608" s="33"/>
      <c r="N608" s="81"/>
      <c r="O608" s="33"/>
      <c r="P608" s="35"/>
      <c r="Q608" s="36"/>
      <c r="R608" s="36"/>
    </row>
    <row r="609" ht="22.5" customHeight="1">
      <c r="A609" s="38"/>
      <c r="B609" s="26"/>
      <c r="C609" s="29"/>
      <c r="D609" s="29"/>
      <c r="E609" s="29"/>
      <c r="F609" s="29"/>
      <c r="G609" s="287"/>
      <c r="H609" s="31"/>
      <c r="I609" s="31"/>
      <c r="J609" s="33"/>
      <c r="K609" s="33"/>
      <c r="L609" s="33"/>
      <c r="M609" s="33"/>
      <c r="N609" s="81"/>
      <c r="O609" s="33"/>
      <c r="P609" s="35"/>
      <c r="Q609" s="36"/>
      <c r="R609" s="36"/>
    </row>
    <row r="610" ht="22.5" customHeight="1">
      <c r="A610" s="38"/>
      <c r="B610" s="26"/>
      <c r="C610" s="29"/>
      <c r="D610" s="29"/>
      <c r="E610" s="29"/>
      <c r="F610" s="29"/>
      <c r="G610" s="287"/>
      <c r="H610" s="31"/>
      <c r="I610" s="31"/>
      <c r="J610" s="33"/>
      <c r="K610" s="33"/>
      <c r="L610" s="33"/>
      <c r="M610" s="33"/>
      <c r="N610" s="81"/>
      <c r="O610" s="33"/>
      <c r="P610" s="35"/>
      <c r="Q610" s="36"/>
      <c r="R610" s="36"/>
    </row>
    <row r="611" ht="22.5" customHeight="1">
      <c r="A611" s="38"/>
      <c r="B611" s="26"/>
      <c r="C611" s="29"/>
      <c r="D611" s="29"/>
      <c r="E611" s="29"/>
      <c r="F611" s="29"/>
      <c r="G611" s="287"/>
      <c r="H611" s="31"/>
      <c r="I611" s="31"/>
      <c r="J611" s="33"/>
      <c r="K611" s="33"/>
      <c r="L611" s="33"/>
      <c r="M611" s="33"/>
      <c r="N611" s="81"/>
      <c r="O611" s="33"/>
      <c r="P611" s="35"/>
      <c r="Q611" s="36"/>
      <c r="R611" s="36"/>
    </row>
    <row r="612" ht="22.5" customHeight="1">
      <c r="A612" s="38"/>
      <c r="B612" s="26"/>
      <c r="C612" s="29"/>
      <c r="D612" s="29"/>
      <c r="E612" s="29"/>
      <c r="F612" s="29"/>
      <c r="G612" s="287"/>
      <c r="H612" s="31"/>
      <c r="I612" s="31"/>
      <c r="J612" s="33"/>
      <c r="K612" s="33"/>
      <c r="L612" s="33"/>
      <c r="M612" s="33"/>
      <c r="N612" s="81"/>
      <c r="O612" s="33"/>
      <c r="P612" s="35"/>
      <c r="Q612" s="36"/>
      <c r="R612" s="36"/>
    </row>
    <row r="613" ht="22.5" customHeight="1">
      <c r="A613" s="38"/>
      <c r="B613" s="26"/>
      <c r="C613" s="29"/>
      <c r="D613" s="29"/>
      <c r="E613" s="29"/>
      <c r="F613" s="29"/>
      <c r="G613" s="287"/>
      <c r="H613" s="31"/>
      <c r="I613" s="31"/>
      <c r="J613" s="33"/>
      <c r="K613" s="33"/>
      <c r="L613" s="33"/>
      <c r="M613" s="33"/>
      <c r="N613" s="81"/>
      <c r="O613" s="33"/>
      <c r="P613" s="35"/>
      <c r="Q613" s="36"/>
      <c r="R613" s="36"/>
    </row>
    <row r="614" ht="22.5" customHeight="1">
      <c r="A614" s="38"/>
      <c r="B614" s="26"/>
      <c r="C614" s="29"/>
      <c r="D614" s="29"/>
      <c r="E614" s="29"/>
      <c r="F614" s="29"/>
      <c r="G614" s="287"/>
      <c r="H614" s="31"/>
      <c r="I614" s="31"/>
      <c r="J614" s="33"/>
      <c r="K614" s="33"/>
      <c r="L614" s="33"/>
      <c r="M614" s="33"/>
      <c r="N614" s="81"/>
      <c r="O614" s="33"/>
      <c r="P614" s="35"/>
      <c r="Q614" s="36"/>
      <c r="R614" s="36"/>
    </row>
    <row r="615" ht="22.5" customHeight="1">
      <c r="A615" s="38"/>
      <c r="B615" s="26"/>
      <c r="C615" s="29"/>
      <c r="D615" s="29"/>
      <c r="E615" s="29"/>
      <c r="F615" s="29"/>
      <c r="G615" s="287"/>
      <c r="H615" s="31"/>
      <c r="I615" s="31"/>
      <c r="J615" s="33"/>
      <c r="K615" s="33"/>
      <c r="L615" s="33"/>
      <c r="M615" s="33"/>
      <c r="N615" s="81"/>
      <c r="O615" s="33"/>
      <c r="P615" s="35"/>
      <c r="Q615" s="36"/>
      <c r="R615" s="36"/>
    </row>
    <row r="616" ht="22.5" customHeight="1">
      <c r="A616" s="38"/>
      <c r="B616" s="26"/>
      <c r="C616" s="29"/>
      <c r="D616" s="29"/>
      <c r="E616" s="29"/>
      <c r="F616" s="29"/>
      <c r="G616" s="287"/>
      <c r="H616" s="31"/>
      <c r="I616" s="31"/>
      <c r="J616" s="33"/>
      <c r="K616" s="33"/>
      <c r="L616" s="33"/>
      <c r="M616" s="33"/>
      <c r="N616" s="81"/>
      <c r="O616" s="33"/>
      <c r="P616" s="35"/>
      <c r="Q616" s="36"/>
      <c r="R616" s="36"/>
    </row>
    <row r="617" ht="22.5" customHeight="1">
      <c r="A617" s="38"/>
      <c r="B617" s="26"/>
      <c r="C617" s="29"/>
      <c r="D617" s="29"/>
      <c r="E617" s="29"/>
      <c r="F617" s="29"/>
      <c r="G617" s="287"/>
      <c r="H617" s="31"/>
      <c r="I617" s="31"/>
      <c r="J617" s="33"/>
      <c r="K617" s="33"/>
      <c r="L617" s="33"/>
      <c r="M617" s="33"/>
      <c r="N617" s="81"/>
      <c r="O617" s="33"/>
      <c r="P617" s="35"/>
      <c r="Q617" s="36"/>
      <c r="R617" s="36"/>
    </row>
    <row r="618" ht="22.5" customHeight="1">
      <c r="A618" s="38"/>
      <c r="B618" s="26"/>
      <c r="C618" s="29"/>
      <c r="D618" s="29"/>
      <c r="E618" s="29"/>
      <c r="F618" s="29"/>
      <c r="G618" s="287"/>
      <c r="H618" s="31"/>
      <c r="I618" s="31"/>
      <c r="J618" s="33"/>
      <c r="K618" s="33"/>
      <c r="L618" s="33"/>
      <c r="M618" s="33"/>
      <c r="N618" s="81"/>
      <c r="O618" s="33"/>
      <c r="P618" s="35"/>
      <c r="Q618" s="36"/>
      <c r="R618" s="36"/>
    </row>
    <row r="619" ht="22.5" customHeight="1">
      <c r="A619" s="38"/>
      <c r="B619" s="26"/>
      <c r="C619" s="29"/>
      <c r="D619" s="29"/>
      <c r="E619" s="29"/>
      <c r="F619" s="29"/>
      <c r="G619" s="287"/>
      <c r="H619" s="31"/>
      <c r="I619" s="31"/>
      <c r="J619" s="33"/>
      <c r="K619" s="33"/>
      <c r="L619" s="33"/>
      <c r="M619" s="33"/>
      <c r="N619" s="81"/>
      <c r="O619" s="33"/>
      <c r="P619" s="35"/>
      <c r="Q619" s="36"/>
      <c r="R619" s="36"/>
    </row>
    <row r="620" ht="22.5" customHeight="1">
      <c r="A620" s="38"/>
      <c r="B620" s="26"/>
      <c r="C620" s="29"/>
      <c r="D620" s="29"/>
      <c r="E620" s="29"/>
      <c r="F620" s="29"/>
      <c r="G620" s="287"/>
      <c r="H620" s="31"/>
      <c r="I620" s="31"/>
      <c r="J620" s="33"/>
      <c r="K620" s="33"/>
      <c r="L620" s="33"/>
      <c r="M620" s="33"/>
      <c r="N620" s="81"/>
      <c r="O620" s="33"/>
      <c r="P620" s="35"/>
      <c r="Q620" s="36"/>
      <c r="R620" s="36"/>
    </row>
    <row r="621" ht="22.5" customHeight="1">
      <c r="A621" s="38"/>
      <c r="B621" s="26"/>
      <c r="C621" s="29"/>
      <c r="D621" s="29"/>
      <c r="E621" s="29"/>
      <c r="F621" s="29"/>
      <c r="G621" s="287"/>
      <c r="H621" s="31"/>
      <c r="I621" s="31"/>
      <c r="J621" s="33"/>
      <c r="K621" s="33"/>
      <c r="L621" s="33"/>
      <c r="M621" s="33"/>
      <c r="N621" s="81"/>
      <c r="O621" s="33"/>
      <c r="P621" s="35"/>
      <c r="Q621" s="36"/>
      <c r="R621" s="36"/>
    </row>
    <row r="622" ht="22.5" customHeight="1">
      <c r="A622" s="38"/>
      <c r="B622" s="26"/>
      <c r="C622" s="29"/>
      <c r="D622" s="29"/>
      <c r="E622" s="29"/>
      <c r="F622" s="29"/>
      <c r="G622" s="287"/>
      <c r="H622" s="31"/>
      <c r="I622" s="31"/>
      <c r="J622" s="33"/>
      <c r="K622" s="33"/>
      <c r="L622" s="33"/>
      <c r="M622" s="33"/>
      <c r="N622" s="81"/>
      <c r="O622" s="33"/>
      <c r="P622" s="35"/>
      <c r="Q622" s="36"/>
      <c r="R622" s="36"/>
    </row>
    <row r="623" ht="22.5" customHeight="1">
      <c r="A623" s="38"/>
      <c r="B623" s="26"/>
      <c r="C623" s="29"/>
      <c r="D623" s="29"/>
      <c r="E623" s="29"/>
      <c r="F623" s="29"/>
      <c r="G623" s="287"/>
      <c r="H623" s="31"/>
      <c r="I623" s="31"/>
      <c r="J623" s="33"/>
      <c r="K623" s="33"/>
      <c r="L623" s="33"/>
      <c r="M623" s="33"/>
      <c r="N623" s="81"/>
      <c r="O623" s="33"/>
      <c r="P623" s="35"/>
      <c r="Q623" s="36"/>
      <c r="R623" s="36"/>
    </row>
    <row r="624" ht="22.5" customHeight="1">
      <c r="A624" s="38"/>
      <c r="B624" s="26"/>
      <c r="C624" s="29"/>
      <c r="D624" s="29"/>
      <c r="E624" s="29"/>
      <c r="F624" s="29"/>
      <c r="G624" s="287"/>
      <c r="H624" s="31"/>
      <c r="I624" s="31"/>
      <c r="J624" s="33"/>
      <c r="K624" s="33"/>
      <c r="L624" s="33"/>
      <c r="M624" s="33"/>
      <c r="N624" s="81"/>
      <c r="O624" s="33"/>
      <c r="P624" s="35"/>
      <c r="Q624" s="36"/>
      <c r="R624" s="36"/>
    </row>
    <row r="625" ht="22.5" customHeight="1">
      <c r="A625" s="38"/>
      <c r="B625" s="26"/>
      <c r="C625" s="29"/>
      <c r="D625" s="29"/>
      <c r="E625" s="29"/>
      <c r="F625" s="29"/>
      <c r="G625" s="287"/>
      <c r="H625" s="31"/>
      <c r="I625" s="31"/>
      <c r="J625" s="33"/>
      <c r="K625" s="33"/>
      <c r="L625" s="33"/>
      <c r="M625" s="33"/>
      <c r="N625" s="81"/>
      <c r="O625" s="33"/>
      <c r="P625" s="35"/>
      <c r="Q625" s="36"/>
      <c r="R625" s="36"/>
    </row>
    <row r="626" ht="22.5" customHeight="1">
      <c r="A626" s="38"/>
      <c r="B626" s="26"/>
      <c r="C626" s="29"/>
      <c r="D626" s="29"/>
      <c r="E626" s="29"/>
      <c r="F626" s="29"/>
      <c r="G626" s="287"/>
      <c r="H626" s="31"/>
      <c r="I626" s="31"/>
      <c r="J626" s="33"/>
      <c r="K626" s="33"/>
      <c r="L626" s="33"/>
      <c r="M626" s="33"/>
      <c r="N626" s="81"/>
      <c r="O626" s="33"/>
      <c r="P626" s="35"/>
      <c r="Q626" s="36"/>
      <c r="R626" s="36"/>
    </row>
    <row r="627" ht="22.5" customHeight="1">
      <c r="A627" s="38"/>
      <c r="B627" s="26"/>
      <c r="C627" s="29"/>
      <c r="D627" s="29"/>
      <c r="E627" s="29"/>
      <c r="F627" s="29"/>
      <c r="G627" s="287"/>
      <c r="H627" s="31"/>
      <c r="I627" s="31"/>
      <c r="J627" s="33"/>
      <c r="K627" s="33"/>
      <c r="L627" s="33"/>
      <c r="M627" s="33"/>
      <c r="N627" s="81"/>
      <c r="O627" s="33"/>
      <c r="P627" s="35"/>
      <c r="Q627" s="36"/>
      <c r="R627" s="36"/>
    </row>
    <row r="628" ht="22.5" customHeight="1">
      <c r="A628" s="38"/>
      <c r="B628" s="26"/>
      <c r="C628" s="29"/>
      <c r="D628" s="29"/>
      <c r="E628" s="29"/>
      <c r="F628" s="29"/>
      <c r="G628" s="287"/>
      <c r="H628" s="31"/>
      <c r="I628" s="31"/>
      <c r="J628" s="33"/>
      <c r="K628" s="33"/>
      <c r="L628" s="33"/>
      <c r="M628" s="33"/>
      <c r="N628" s="81"/>
      <c r="O628" s="33"/>
      <c r="P628" s="35"/>
      <c r="Q628" s="36"/>
      <c r="R628" s="36"/>
    </row>
    <row r="629" ht="22.5" customHeight="1">
      <c r="A629" s="38"/>
      <c r="B629" s="26"/>
      <c r="C629" s="29"/>
      <c r="D629" s="29"/>
      <c r="E629" s="29"/>
      <c r="F629" s="29"/>
      <c r="G629" s="287"/>
      <c r="H629" s="31"/>
      <c r="I629" s="31"/>
      <c r="J629" s="33"/>
      <c r="K629" s="33"/>
      <c r="L629" s="33"/>
      <c r="M629" s="33"/>
      <c r="N629" s="81"/>
      <c r="O629" s="33"/>
      <c r="P629" s="35"/>
      <c r="Q629" s="36"/>
      <c r="R629" s="36"/>
    </row>
    <row r="630" ht="22.5" customHeight="1">
      <c r="A630" s="38"/>
      <c r="B630" s="26"/>
      <c r="C630" s="29"/>
      <c r="D630" s="29"/>
      <c r="E630" s="29"/>
      <c r="F630" s="29"/>
      <c r="G630" s="287"/>
      <c r="H630" s="31"/>
      <c r="I630" s="31"/>
      <c r="J630" s="33"/>
      <c r="K630" s="33"/>
      <c r="L630" s="33"/>
      <c r="M630" s="33"/>
      <c r="N630" s="81"/>
      <c r="O630" s="33"/>
      <c r="P630" s="35"/>
      <c r="Q630" s="36"/>
      <c r="R630" s="36"/>
    </row>
    <row r="631" ht="22.5" customHeight="1">
      <c r="A631" s="38"/>
      <c r="B631" s="26"/>
      <c r="C631" s="29"/>
      <c r="D631" s="29"/>
      <c r="E631" s="29"/>
      <c r="F631" s="29"/>
      <c r="G631" s="287"/>
      <c r="H631" s="31"/>
      <c r="I631" s="31"/>
      <c r="J631" s="33"/>
      <c r="K631" s="33"/>
      <c r="L631" s="33"/>
      <c r="M631" s="33"/>
      <c r="N631" s="81"/>
      <c r="O631" s="33"/>
      <c r="P631" s="35"/>
      <c r="Q631" s="36"/>
      <c r="R631" s="36"/>
    </row>
    <row r="632" ht="22.5" customHeight="1">
      <c r="A632" s="38"/>
      <c r="B632" s="26"/>
      <c r="C632" s="29"/>
      <c r="D632" s="29"/>
      <c r="E632" s="29"/>
      <c r="F632" s="29"/>
      <c r="G632" s="287"/>
      <c r="H632" s="31"/>
      <c r="I632" s="31"/>
      <c r="J632" s="33"/>
      <c r="K632" s="33"/>
      <c r="L632" s="33"/>
      <c r="M632" s="33"/>
      <c r="N632" s="81"/>
      <c r="O632" s="33"/>
      <c r="P632" s="35"/>
      <c r="Q632" s="36"/>
      <c r="R632" s="36"/>
    </row>
    <row r="633" ht="22.5" customHeight="1">
      <c r="A633" s="38"/>
      <c r="B633" s="26"/>
      <c r="C633" s="29"/>
      <c r="D633" s="29"/>
      <c r="E633" s="29"/>
      <c r="F633" s="29"/>
      <c r="G633" s="287"/>
      <c r="H633" s="31"/>
      <c r="I633" s="31"/>
      <c r="J633" s="33"/>
      <c r="K633" s="33"/>
      <c r="L633" s="33"/>
      <c r="M633" s="33"/>
      <c r="N633" s="81"/>
      <c r="O633" s="33"/>
      <c r="P633" s="35"/>
      <c r="Q633" s="36"/>
      <c r="R633" s="36"/>
    </row>
    <row r="634" ht="22.5" customHeight="1">
      <c r="A634" s="38"/>
      <c r="B634" s="26"/>
      <c r="C634" s="29"/>
      <c r="D634" s="29"/>
      <c r="E634" s="29"/>
      <c r="F634" s="29"/>
      <c r="G634" s="287"/>
      <c r="H634" s="31"/>
      <c r="I634" s="31"/>
      <c r="J634" s="33"/>
      <c r="K634" s="33"/>
      <c r="L634" s="33"/>
      <c r="M634" s="33"/>
      <c r="N634" s="81"/>
      <c r="O634" s="33"/>
      <c r="P634" s="35"/>
      <c r="Q634" s="36"/>
      <c r="R634" s="36"/>
    </row>
    <row r="635" ht="22.5" customHeight="1">
      <c r="A635" s="38"/>
      <c r="B635" s="26"/>
      <c r="C635" s="29"/>
      <c r="D635" s="29"/>
      <c r="E635" s="29"/>
      <c r="F635" s="29"/>
      <c r="G635" s="287"/>
      <c r="H635" s="31"/>
      <c r="I635" s="31"/>
      <c r="J635" s="33"/>
      <c r="K635" s="33"/>
      <c r="L635" s="33"/>
      <c r="M635" s="33"/>
      <c r="N635" s="81"/>
      <c r="O635" s="33"/>
      <c r="P635" s="35"/>
      <c r="Q635" s="36"/>
      <c r="R635" s="36"/>
    </row>
    <row r="636" ht="22.5" customHeight="1">
      <c r="A636" s="38"/>
      <c r="B636" s="26"/>
      <c r="C636" s="29"/>
      <c r="D636" s="29"/>
      <c r="E636" s="29"/>
      <c r="F636" s="29"/>
      <c r="G636" s="287"/>
      <c r="H636" s="31"/>
      <c r="I636" s="31"/>
      <c r="J636" s="33"/>
      <c r="K636" s="33"/>
      <c r="L636" s="33"/>
      <c r="M636" s="33"/>
      <c r="N636" s="81"/>
      <c r="O636" s="33"/>
      <c r="P636" s="35"/>
      <c r="Q636" s="36"/>
      <c r="R636" s="36"/>
    </row>
    <row r="637" ht="22.5" customHeight="1">
      <c r="A637" s="38"/>
      <c r="B637" s="26"/>
      <c r="C637" s="29"/>
      <c r="D637" s="29"/>
      <c r="E637" s="29"/>
      <c r="F637" s="29"/>
      <c r="G637" s="287"/>
      <c r="H637" s="31"/>
      <c r="I637" s="31"/>
      <c r="J637" s="33"/>
      <c r="K637" s="33"/>
      <c r="L637" s="33"/>
      <c r="M637" s="33"/>
      <c r="N637" s="81"/>
      <c r="O637" s="33"/>
      <c r="P637" s="35"/>
      <c r="Q637" s="36"/>
      <c r="R637" s="36"/>
    </row>
    <row r="638" ht="22.5" customHeight="1">
      <c r="A638" s="38"/>
      <c r="B638" s="26"/>
      <c r="C638" s="29"/>
      <c r="D638" s="29"/>
      <c r="E638" s="29"/>
      <c r="F638" s="29"/>
      <c r="G638" s="287"/>
      <c r="H638" s="31"/>
      <c r="I638" s="31"/>
      <c r="J638" s="33"/>
      <c r="K638" s="33"/>
      <c r="L638" s="33"/>
      <c r="M638" s="33"/>
      <c r="N638" s="81"/>
      <c r="O638" s="33"/>
      <c r="P638" s="35"/>
      <c r="Q638" s="36"/>
      <c r="R638" s="36"/>
    </row>
    <row r="639" ht="22.5" customHeight="1">
      <c r="A639" s="38"/>
      <c r="B639" s="26"/>
      <c r="C639" s="29"/>
      <c r="D639" s="29"/>
      <c r="E639" s="29"/>
      <c r="F639" s="29"/>
      <c r="G639" s="287"/>
      <c r="H639" s="31"/>
      <c r="I639" s="31"/>
      <c r="J639" s="33"/>
      <c r="K639" s="33"/>
      <c r="L639" s="33"/>
      <c r="M639" s="33"/>
      <c r="N639" s="81"/>
      <c r="O639" s="33"/>
      <c r="P639" s="35"/>
      <c r="Q639" s="36"/>
      <c r="R639" s="36"/>
    </row>
    <row r="640" ht="22.5" customHeight="1">
      <c r="A640" s="38"/>
      <c r="B640" s="26"/>
      <c r="C640" s="29"/>
      <c r="D640" s="29"/>
      <c r="E640" s="29"/>
      <c r="F640" s="29"/>
      <c r="G640" s="287"/>
      <c r="H640" s="31"/>
      <c r="I640" s="31"/>
      <c r="J640" s="33"/>
      <c r="K640" s="33"/>
      <c r="L640" s="33"/>
      <c r="M640" s="33"/>
      <c r="N640" s="81"/>
      <c r="O640" s="33"/>
      <c r="P640" s="35"/>
      <c r="Q640" s="36"/>
      <c r="R640" s="36"/>
    </row>
    <row r="641" ht="22.5" customHeight="1">
      <c r="A641" s="38"/>
      <c r="B641" s="26"/>
      <c r="C641" s="29"/>
      <c r="D641" s="29"/>
      <c r="E641" s="29"/>
      <c r="F641" s="29"/>
      <c r="G641" s="287"/>
      <c r="H641" s="31"/>
      <c r="I641" s="31"/>
      <c r="J641" s="33"/>
      <c r="K641" s="33"/>
      <c r="L641" s="33"/>
      <c r="M641" s="33"/>
      <c r="N641" s="81"/>
      <c r="O641" s="33"/>
      <c r="P641" s="35"/>
      <c r="Q641" s="36"/>
      <c r="R641" s="36"/>
    </row>
    <row r="642" ht="22.5" customHeight="1">
      <c r="A642" s="38"/>
      <c r="B642" s="26"/>
      <c r="C642" s="29"/>
      <c r="D642" s="29"/>
      <c r="E642" s="29"/>
      <c r="F642" s="29"/>
      <c r="G642" s="287"/>
      <c r="H642" s="31"/>
      <c r="I642" s="31"/>
      <c r="J642" s="33"/>
      <c r="K642" s="33"/>
      <c r="L642" s="33"/>
      <c r="M642" s="33"/>
      <c r="N642" s="81"/>
      <c r="O642" s="33"/>
      <c r="P642" s="35"/>
      <c r="Q642" s="36"/>
      <c r="R642" s="36"/>
    </row>
    <row r="643" ht="22.5" customHeight="1">
      <c r="A643" s="38"/>
      <c r="B643" s="26"/>
      <c r="C643" s="29"/>
      <c r="D643" s="29"/>
      <c r="E643" s="29"/>
      <c r="F643" s="29"/>
      <c r="G643" s="287"/>
      <c r="H643" s="31"/>
      <c r="I643" s="31"/>
      <c r="J643" s="33"/>
      <c r="K643" s="33"/>
      <c r="L643" s="33"/>
      <c r="M643" s="33"/>
      <c r="N643" s="81"/>
      <c r="O643" s="33"/>
      <c r="P643" s="35"/>
      <c r="Q643" s="36"/>
      <c r="R643" s="36"/>
    </row>
    <row r="644" ht="22.5" customHeight="1">
      <c r="A644" s="38"/>
      <c r="B644" s="26"/>
      <c r="C644" s="29"/>
      <c r="D644" s="29"/>
      <c r="E644" s="29"/>
      <c r="F644" s="29"/>
      <c r="G644" s="287"/>
      <c r="H644" s="31"/>
      <c r="I644" s="31"/>
      <c r="J644" s="33"/>
      <c r="K644" s="33"/>
      <c r="L644" s="33"/>
      <c r="M644" s="33"/>
      <c r="N644" s="81"/>
      <c r="O644" s="33"/>
      <c r="P644" s="35"/>
      <c r="Q644" s="36"/>
      <c r="R644" s="36"/>
    </row>
    <row r="645" ht="22.5" customHeight="1">
      <c r="A645" s="38"/>
      <c r="B645" s="26"/>
      <c r="C645" s="29"/>
      <c r="D645" s="29"/>
      <c r="E645" s="29"/>
      <c r="F645" s="29"/>
      <c r="G645" s="287"/>
      <c r="H645" s="31"/>
      <c r="I645" s="31"/>
      <c r="J645" s="33"/>
      <c r="K645" s="33"/>
      <c r="L645" s="33"/>
      <c r="M645" s="33"/>
      <c r="N645" s="81"/>
      <c r="O645" s="33"/>
      <c r="P645" s="35"/>
      <c r="Q645" s="36"/>
      <c r="R645" s="36"/>
    </row>
    <row r="646" ht="22.5" customHeight="1">
      <c r="A646" s="38"/>
      <c r="B646" s="26"/>
      <c r="C646" s="29"/>
      <c r="D646" s="29"/>
      <c r="E646" s="29"/>
      <c r="F646" s="29"/>
      <c r="G646" s="287"/>
      <c r="H646" s="31"/>
      <c r="I646" s="31"/>
      <c r="J646" s="33"/>
      <c r="K646" s="33"/>
      <c r="L646" s="33"/>
      <c r="M646" s="33"/>
      <c r="N646" s="81"/>
      <c r="O646" s="33"/>
      <c r="P646" s="35"/>
      <c r="Q646" s="36"/>
      <c r="R646" s="36"/>
    </row>
    <row r="647" ht="22.5" customHeight="1">
      <c r="A647" s="38"/>
      <c r="B647" s="26"/>
      <c r="C647" s="29"/>
      <c r="D647" s="29"/>
      <c r="E647" s="29"/>
      <c r="F647" s="29"/>
      <c r="G647" s="287"/>
      <c r="H647" s="31"/>
      <c r="I647" s="31"/>
      <c r="J647" s="33"/>
      <c r="K647" s="33"/>
      <c r="L647" s="33"/>
      <c r="M647" s="33"/>
      <c r="N647" s="81"/>
      <c r="O647" s="33"/>
      <c r="P647" s="35"/>
      <c r="Q647" s="36"/>
      <c r="R647" s="36"/>
    </row>
    <row r="648" ht="22.5" customHeight="1">
      <c r="A648" s="38"/>
      <c r="B648" s="26"/>
      <c r="C648" s="29"/>
      <c r="D648" s="29"/>
      <c r="E648" s="29"/>
      <c r="F648" s="29"/>
      <c r="G648" s="287"/>
      <c r="H648" s="31"/>
      <c r="I648" s="31"/>
      <c r="J648" s="33"/>
      <c r="K648" s="33"/>
      <c r="L648" s="33"/>
      <c r="M648" s="33"/>
      <c r="N648" s="81"/>
      <c r="O648" s="33"/>
      <c r="P648" s="35"/>
      <c r="Q648" s="36"/>
      <c r="R648" s="36"/>
    </row>
    <row r="649" ht="22.5" customHeight="1">
      <c r="A649" s="38"/>
      <c r="B649" s="26"/>
      <c r="C649" s="29"/>
      <c r="D649" s="29"/>
      <c r="E649" s="29"/>
      <c r="F649" s="29"/>
      <c r="G649" s="287"/>
      <c r="H649" s="31"/>
      <c r="I649" s="31"/>
      <c r="J649" s="33"/>
      <c r="K649" s="33"/>
      <c r="L649" s="33"/>
      <c r="M649" s="33"/>
      <c r="N649" s="81"/>
      <c r="O649" s="33"/>
      <c r="P649" s="35"/>
      <c r="Q649" s="36"/>
      <c r="R649" s="36"/>
    </row>
    <row r="650" ht="22.5" customHeight="1">
      <c r="A650" s="38"/>
      <c r="B650" s="26"/>
      <c r="C650" s="29"/>
      <c r="D650" s="29"/>
      <c r="E650" s="29"/>
      <c r="F650" s="29"/>
      <c r="G650" s="287"/>
      <c r="H650" s="31"/>
      <c r="I650" s="31"/>
      <c r="J650" s="33"/>
      <c r="K650" s="33"/>
      <c r="L650" s="33"/>
      <c r="M650" s="33"/>
      <c r="N650" s="81"/>
      <c r="O650" s="33"/>
      <c r="P650" s="35"/>
      <c r="Q650" s="36"/>
      <c r="R650" s="36"/>
    </row>
    <row r="651" ht="22.5" customHeight="1">
      <c r="A651" s="38"/>
      <c r="B651" s="26"/>
      <c r="C651" s="29"/>
      <c r="D651" s="29"/>
      <c r="E651" s="29"/>
      <c r="F651" s="29"/>
      <c r="G651" s="287"/>
      <c r="H651" s="31"/>
      <c r="I651" s="31"/>
      <c r="J651" s="33"/>
      <c r="K651" s="33"/>
      <c r="L651" s="33"/>
      <c r="M651" s="33"/>
      <c r="N651" s="81"/>
      <c r="O651" s="33"/>
      <c r="P651" s="35"/>
      <c r="Q651" s="36"/>
      <c r="R651" s="36"/>
    </row>
    <row r="652" ht="22.5" customHeight="1">
      <c r="A652" s="38"/>
      <c r="B652" s="26"/>
      <c r="C652" s="29"/>
      <c r="D652" s="29"/>
      <c r="E652" s="29"/>
      <c r="F652" s="29"/>
      <c r="G652" s="287"/>
      <c r="H652" s="31"/>
      <c r="I652" s="31"/>
      <c r="J652" s="33"/>
      <c r="K652" s="33"/>
      <c r="L652" s="33"/>
      <c r="M652" s="33"/>
      <c r="N652" s="81"/>
      <c r="O652" s="33"/>
      <c r="P652" s="35"/>
      <c r="Q652" s="36"/>
      <c r="R652" s="36"/>
    </row>
    <row r="653" ht="22.5" customHeight="1">
      <c r="A653" s="38"/>
      <c r="B653" s="26"/>
      <c r="C653" s="29"/>
      <c r="D653" s="29"/>
      <c r="E653" s="29"/>
      <c r="F653" s="29"/>
      <c r="G653" s="287"/>
      <c r="H653" s="31"/>
      <c r="I653" s="31"/>
      <c r="J653" s="33"/>
      <c r="K653" s="33"/>
      <c r="L653" s="33"/>
      <c r="M653" s="33"/>
      <c r="N653" s="81"/>
      <c r="O653" s="33"/>
      <c r="P653" s="35"/>
      <c r="Q653" s="36"/>
      <c r="R653" s="36"/>
    </row>
    <row r="654" ht="22.5" customHeight="1">
      <c r="A654" s="38"/>
      <c r="B654" s="26"/>
      <c r="C654" s="29"/>
      <c r="D654" s="29"/>
      <c r="E654" s="29"/>
      <c r="F654" s="29"/>
      <c r="G654" s="287"/>
      <c r="H654" s="31"/>
      <c r="I654" s="31"/>
      <c r="J654" s="33"/>
      <c r="K654" s="33"/>
      <c r="L654" s="33"/>
      <c r="M654" s="33"/>
      <c r="N654" s="81"/>
      <c r="O654" s="33"/>
      <c r="P654" s="35"/>
      <c r="Q654" s="36"/>
      <c r="R654" s="36"/>
    </row>
    <row r="655" ht="22.5" customHeight="1">
      <c r="A655" s="38"/>
      <c r="B655" s="26"/>
      <c r="C655" s="29"/>
      <c r="D655" s="29"/>
      <c r="E655" s="29"/>
      <c r="F655" s="29"/>
      <c r="G655" s="287"/>
      <c r="H655" s="31"/>
      <c r="I655" s="31"/>
      <c r="J655" s="33"/>
      <c r="K655" s="33"/>
      <c r="L655" s="33"/>
      <c r="M655" s="33"/>
      <c r="N655" s="81"/>
      <c r="O655" s="33"/>
      <c r="P655" s="35"/>
      <c r="Q655" s="36"/>
      <c r="R655" s="36"/>
    </row>
    <row r="656" ht="22.5" customHeight="1">
      <c r="A656" s="38"/>
      <c r="B656" s="26"/>
      <c r="C656" s="29"/>
      <c r="D656" s="29"/>
      <c r="E656" s="29"/>
      <c r="F656" s="29"/>
      <c r="G656" s="287"/>
      <c r="H656" s="31"/>
      <c r="I656" s="31"/>
      <c r="J656" s="33"/>
      <c r="K656" s="33"/>
      <c r="L656" s="33"/>
      <c r="M656" s="33"/>
      <c r="N656" s="81"/>
      <c r="O656" s="33"/>
      <c r="P656" s="35"/>
      <c r="Q656" s="36"/>
      <c r="R656" s="36"/>
    </row>
    <row r="657" ht="22.5" customHeight="1">
      <c r="A657" s="38"/>
      <c r="B657" s="26"/>
      <c r="C657" s="29"/>
      <c r="D657" s="29"/>
      <c r="E657" s="29"/>
      <c r="F657" s="29"/>
      <c r="G657" s="287"/>
      <c r="H657" s="31"/>
      <c r="I657" s="31"/>
      <c r="J657" s="33"/>
      <c r="K657" s="33"/>
      <c r="L657" s="33"/>
      <c r="M657" s="33"/>
      <c r="N657" s="81"/>
      <c r="O657" s="33"/>
      <c r="P657" s="35"/>
      <c r="Q657" s="36"/>
      <c r="R657" s="36"/>
    </row>
    <row r="658" ht="22.5" customHeight="1">
      <c r="A658" s="38"/>
      <c r="B658" s="26"/>
      <c r="C658" s="29"/>
      <c r="D658" s="29"/>
      <c r="E658" s="29"/>
      <c r="F658" s="29"/>
      <c r="G658" s="287"/>
      <c r="H658" s="31"/>
      <c r="I658" s="31"/>
      <c r="J658" s="33"/>
      <c r="K658" s="33"/>
      <c r="L658" s="33"/>
      <c r="M658" s="33"/>
      <c r="N658" s="81"/>
      <c r="O658" s="33"/>
      <c r="P658" s="35"/>
      <c r="Q658" s="36"/>
      <c r="R658" s="36"/>
    </row>
    <row r="659" ht="22.5" customHeight="1">
      <c r="A659" s="38"/>
      <c r="B659" s="26"/>
      <c r="C659" s="29"/>
      <c r="D659" s="29"/>
      <c r="E659" s="29"/>
      <c r="F659" s="29"/>
      <c r="G659" s="287"/>
      <c r="H659" s="31"/>
      <c r="I659" s="31"/>
      <c r="J659" s="33"/>
      <c r="K659" s="33"/>
      <c r="L659" s="33"/>
      <c r="M659" s="33"/>
      <c r="N659" s="81"/>
      <c r="O659" s="33"/>
      <c r="P659" s="35"/>
      <c r="Q659" s="36"/>
      <c r="R659" s="36"/>
    </row>
    <row r="660" ht="22.5" customHeight="1">
      <c r="A660" s="38"/>
      <c r="B660" s="26"/>
      <c r="C660" s="29"/>
      <c r="D660" s="29"/>
      <c r="E660" s="29"/>
      <c r="F660" s="29"/>
      <c r="G660" s="287"/>
      <c r="H660" s="31"/>
      <c r="I660" s="31"/>
      <c r="J660" s="33"/>
      <c r="K660" s="33"/>
      <c r="L660" s="33"/>
      <c r="M660" s="33"/>
      <c r="N660" s="81"/>
      <c r="O660" s="33"/>
      <c r="P660" s="35"/>
      <c r="Q660" s="36"/>
      <c r="R660" s="36"/>
    </row>
    <row r="661" ht="22.5" customHeight="1">
      <c r="A661" s="38"/>
      <c r="B661" s="26"/>
      <c r="C661" s="29"/>
      <c r="D661" s="29"/>
      <c r="E661" s="29"/>
      <c r="F661" s="29"/>
      <c r="G661" s="287"/>
      <c r="H661" s="31"/>
      <c r="I661" s="31"/>
      <c r="J661" s="33"/>
      <c r="K661" s="33"/>
      <c r="L661" s="33"/>
      <c r="M661" s="33"/>
      <c r="N661" s="81"/>
      <c r="O661" s="33"/>
      <c r="P661" s="35"/>
      <c r="Q661" s="36"/>
      <c r="R661" s="36"/>
    </row>
    <row r="662" ht="22.5" customHeight="1">
      <c r="A662" s="38"/>
      <c r="B662" s="26"/>
      <c r="C662" s="29"/>
      <c r="D662" s="29"/>
      <c r="E662" s="29"/>
      <c r="F662" s="29"/>
      <c r="G662" s="287"/>
      <c r="H662" s="31"/>
      <c r="I662" s="31"/>
      <c r="J662" s="33"/>
      <c r="K662" s="33"/>
      <c r="L662" s="33"/>
      <c r="M662" s="33"/>
      <c r="N662" s="81"/>
      <c r="O662" s="33"/>
      <c r="P662" s="35"/>
      <c r="Q662" s="36"/>
      <c r="R662" s="36"/>
    </row>
    <row r="663" ht="22.5" customHeight="1">
      <c r="A663" s="38"/>
      <c r="B663" s="26"/>
      <c r="C663" s="29"/>
      <c r="D663" s="29"/>
      <c r="E663" s="29"/>
      <c r="F663" s="29"/>
      <c r="G663" s="287"/>
      <c r="H663" s="31"/>
      <c r="I663" s="31"/>
      <c r="J663" s="33"/>
      <c r="K663" s="33"/>
      <c r="L663" s="33"/>
      <c r="M663" s="33"/>
      <c r="N663" s="81"/>
      <c r="O663" s="33"/>
      <c r="P663" s="35"/>
      <c r="Q663" s="36"/>
      <c r="R663" s="36"/>
    </row>
    <row r="664" ht="22.5" customHeight="1">
      <c r="A664" s="38"/>
      <c r="B664" s="26"/>
      <c r="C664" s="29"/>
      <c r="D664" s="29"/>
      <c r="E664" s="29"/>
      <c r="F664" s="29"/>
      <c r="G664" s="287"/>
      <c r="H664" s="31"/>
      <c r="I664" s="31"/>
      <c r="J664" s="33"/>
      <c r="K664" s="33"/>
      <c r="L664" s="33"/>
      <c r="M664" s="33"/>
      <c r="N664" s="81"/>
      <c r="O664" s="33"/>
      <c r="P664" s="35"/>
      <c r="Q664" s="36"/>
      <c r="R664" s="36"/>
    </row>
    <row r="665" ht="22.5" customHeight="1">
      <c r="A665" s="38"/>
      <c r="B665" s="26"/>
      <c r="C665" s="29"/>
      <c r="D665" s="29"/>
      <c r="E665" s="29"/>
      <c r="F665" s="29"/>
      <c r="G665" s="287"/>
      <c r="H665" s="31"/>
      <c r="I665" s="31"/>
      <c r="J665" s="33"/>
      <c r="K665" s="33"/>
      <c r="L665" s="33"/>
      <c r="M665" s="33"/>
      <c r="N665" s="81"/>
      <c r="O665" s="33"/>
      <c r="P665" s="35"/>
      <c r="Q665" s="36"/>
      <c r="R665" s="36"/>
    </row>
    <row r="666" ht="22.5" customHeight="1">
      <c r="A666" s="38"/>
      <c r="B666" s="26"/>
      <c r="C666" s="29"/>
      <c r="D666" s="29"/>
      <c r="E666" s="29"/>
      <c r="F666" s="29"/>
      <c r="G666" s="287"/>
      <c r="H666" s="31"/>
      <c r="I666" s="31"/>
      <c r="J666" s="33"/>
      <c r="K666" s="33"/>
      <c r="L666" s="33"/>
      <c r="M666" s="33"/>
      <c r="N666" s="81"/>
      <c r="O666" s="33"/>
      <c r="P666" s="35"/>
      <c r="Q666" s="36"/>
      <c r="R666" s="36"/>
    </row>
    <row r="667" ht="22.5" customHeight="1">
      <c r="A667" s="38"/>
      <c r="B667" s="26"/>
      <c r="C667" s="29"/>
      <c r="D667" s="29"/>
      <c r="E667" s="29"/>
      <c r="F667" s="29"/>
      <c r="G667" s="287"/>
      <c r="H667" s="31"/>
      <c r="I667" s="31"/>
      <c r="J667" s="33"/>
      <c r="K667" s="33"/>
      <c r="L667" s="33"/>
      <c r="M667" s="33"/>
      <c r="N667" s="81"/>
      <c r="O667" s="33"/>
      <c r="P667" s="35"/>
      <c r="Q667" s="36"/>
      <c r="R667" s="36"/>
    </row>
    <row r="668" ht="22.5" customHeight="1">
      <c r="A668" s="38"/>
      <c r="B668" s="26"/>
      <c r="C668" s="29"/>
      <c r="D668" s="29"/>
      <c r="E668" s="29"/>
      <c r="F668" s="29"/>
      <c r="G668" s="287"/>
      <c r="H668" s="31"/>
      <c r="I668" s="31"/>
      <c r="J668" s="33"/>
      <c r="K668" s="33"/>
      <c r="L668" s="33"/>
      <c r="M668" s="33"/>
      <c r="N668" s="81"/>
      <c r="O668" s="33"/>
      <c r="P668" s="35"/>
      <c r="Q668" s="36"/>
      <c r="R668" s="36"/>
    </row>
    <row r="669" ht="22.5" customHeight="1">
      <c r="A669" s="38"/>
      <c r="B669" s="26"/>
      <c r="C669" s="29"/>
      <c r="D669" s="29"/>
      <c r="E669" s="29"/>
      <c r="F669" s="29"/>
      <c r="G669" s="287"/>
      <c r="H669" s="31"/>
      <c r="I669" s="31"/>
      <c r="J669" s="33"/>
      <c r="K669" s="33"/>
      <c r="L669" s="33"/>
      <c r="M669" s="33"/>
      <c r="N669" s="81"/>
      <c r="O669" s="33"/>
      <c r="P669" s="35"/>
      <c r="Q669" s="36"/>
      <c r="R669" s="36"/>
    </row>
    <row r="670" ht="22.5" customHeight="1">
      <c r="A670" s="38"/>
      <c r="B670" s="26"/>
      <c r="C670" s="29"/>
      <c r="D670" s="29"/>
      <c r="E670" s="29"/>
      <c r="F670" s="29"/>
      <c r="G670" s="287"/>
      <c r="H670" s="31"/>
      <c r="I670" s="31"/>
      <c r="J670" s="33"/>
      <c r="K670" s="33"/>
      <c r="L670" s="33"/>
      <c r="M670" s="33"/>
      <c r="N670" s="81"/>
      <c r="O670" s="33"/>
      <c r="P670" s="35"/>
      <c r="Q670" s="36"/>
      <c r="R670" s="36"/>
    </row>
    <row r="671" ht="22.5" customHeight="1">
      <c r="A671" s="38"/>
      <c r="B671" s="26"/>
      <c r="C671" s="29"/>
      <c r="D671" s="29"/>
      <c r="E671" s="29"/>
      <c r="F671" s="29"/>
      <c r="G671" s="287"/>
      <c r="H671" s="31"/>
      <c r="I671" s="31"/>
      <c r="J671" s="33"/>
      <c r="K671" s="33"/>
      <c r="L671" s="33"/>
      <c r="M671" s="33"/>
      <c r="N671" s="81"/>
      <c r="O671" s="33"/>
      <c r="P671" s="35"/>
      <c r="Q671" s="36"/>
      <c r="R671" s="36"/>
    </row>
    <row r="672" ht="22.5" customHeight="1">
      <c r="A672" s="38"/>
      <c r="B672" s="26"/>
      <c r="C672" s="29"/>
      <c r="D672" s="29"/>
      <c r="E672" s="29"/>
      <c r="F672" s="29"/>
      <c r="G672" s="287"/>
      <c r="H672" s="31"/>
      <c r="I672" s="31"/>
      <c r="J672" s="33"/>
      <c r="K672" s="33"/>
      <c r="L672" s="33"/>
      <c r="M672" s="33"/>
      <c r="N672" s="81"/>
      <c r="O672" s="33"/>
      <c r="P672" s="35"/>
      <c r="Q672" s="36"/>
      <c r="R672" s="36"/>
    </row>
    <row r="673" ht="22.5" customHeight="1">
      <c r="A673" s="38"/>
      <c r="B673" s="26"/>
      <c r="C673" s="29"/>
      <c r="D673" s="29"/>
      <c r="E673" s="29"/>
      <c r="F673" s="29"/>
      <c r="G673" s="287"/>
      <c r="H673" s="31"/>
      <c r="I673" s="31"/>
      <c r="J673" s="33"/>
      <c r="K673" s="33"/>
      <c r="L673" s="33"/>
      <c r="M673" s="33"/>
      <c r="N673" s="81"/>
      <c r="O673" s="33"/>
      <c r="P673" s="35"/>
      <c r="Q673" s="36"/>
      <c r="R673" s="36"/>
    </row>
    <row r="674" ht="22.5" customHeight="1">
      <c r="A674" s="38"/>
      <c r="B674" s="26"/>
      <c r="C674" s="29"/>
      <c r="D674" s="29"/>
      <c r="E674" s="29"/>
      <c r="F674" s="29"/>
      <c r="G674" s="287"/>
      <c r="H674" s="31"/>
      <c r="I674" s="31"/>
      <c r="J674" s="33"/>
      <c r="K674" s="33"/>
      <c r="L674" s="33"/>
      <c r="M674" s="33"/>
      <c r="N674" s="81"/>
      <c r="O674" s="33"/>
      <c r="P674" s="35"/>
      <c r="Q674" s="36"/>
      <c r="R674" s="36"/>
    </row>
    <row r="675" ht="22.5" customHeight="1">
      <c r="A675" s="38"/>
      <c r="B675" s="26"/>
      <c r="C675" s="29"/>
      <c r="D675" s="29"/>
      <c r="E675" s="29"/>
      <c r="F675" s="29"/>
      <c r="G675" s="287"/>
      <c r="H675" s="31"/>
      <c r="I675" s="31"/>
      <c r="J675" s="33"/>
      <c r="K675" s="33"/>
      <c r="L675" s="33"/>
      <c r="M675" s="33"/>
      <c r="N675" s="81"/>
      <c r="O675" s="33"/>
      <c r="P675" s="35"/>
      <c r="Q675" s="36"/>
      <c r="R675" s="36"/>
    </row>
    <row r="676" ht="22.5" customHeight="1">
      <c r="A676" s="38"/>
      <c r="B676" s="26"/>
      <c r="C676" s="29"/>
      <c r="D676" s="29"/>
      <c r="E676" s="29"/>
      <c r="F676" s="29"/>
      <c r="G676" s="287"/>
      <c r="H676" s="31"/>
      <c r="I676" s="31"/>
      <c r="J676" s="33"/>
      <c r="K676" s="33"/>
      <c r="L676" s="33"/>
      <c r="M676" s="33"/>
      <c r="N676" s="81"/>
      <c r="O676" s="33"/>
      <c r="P676" s="35"/>
      <c r="Q676" s="36"/>
      <c r="R676" s="36"/>
    </row>
    <row r="677" ht="22.5" customHeight="1">
      <c r="A677" s="38"/>
      <c r="B677" s="26"/>
      <c r="C677" s="29"/>
      <c r="D677" s="29"/>
      <c r="E677" s="29"/>
      <c r="F677" s="29"/>
      <c r="G677" s="287"/>
      <c r="H677" s="31"/>
      <c r="I677" s="31"/>
      <c r="J677" s="33"/>
      <c r="K677" s="33"/>
      <c r="L677" s="33"/>
      <c r="M677" s="33"/>
      <c r="N677" s="81"/>
      <c r="O677" s="33"/>
      <c r="P677" s="35"/>
      <c r="Q677" s="36"/>
      <c r="R677" s="36"/>
    </row>
    <row r="678" ht="22.5" customHeight="1">
      <c r="A678" s="38"/>
      <c r="B678" s="26"/>
      <c r="C678" s="29"/>
      <c r="D678" s="29"/>
      <c r="E678" s="29"/>
      <c r="F678" s="29"/>
      <c r="G678" s="287"/>
      <c r="H678" s="31"/>
      <c r="I678" s="31"/>
      <c r="J678" s="33"/>
      <c r="K678" s="33"/>
      <c r="L678" s="33"/>
      <c r="M678" s="33"/>
      <c r="N678" s="81"/>
      <c r="O678" s="33"/>
      <c r="P678" s="35"/>
      <c r="Q678" s="36"/>
      <c r="R678" s="36"/>
    </row>
    <row r="679" ht="22.5" customHeight="1">
      <c r="A679" s="38"/>
      <c r="B679" s="26"/>
      <c r="C679" s="29"/>
      <c r="D679" s="29"/>
      <c r="E679" s="29"/>
      <c r="F679" s="29"/>
      <c r="G679" s="287"/>
      <c r="H679" s="31"/>
      <c r="I679" s="31"/>
      <c r="J679" s="33"/>
      <c r="K679" s="33"/>
      <c r="L679" s="33"/>
      <c r="M679" s="33"/>
      <c r="N679" s="81"/>
      <c r="O679" s="33"/>
      <c r="P679" s="35"/>
      <c r="Q679" s="36"/>
      <c r="R679" s="36"/>
    </row>
    <row r="680" ht="22.5" customHeight="1">
      <c r="A680" s="38"/>
      <c r="B680" s="26"/>
      <c r="C680" s="29"/>
      <c r="D680" s="29"/>
      <c r="E680" s="29"/>
      <c r="F680" s="29"/>
      <c r="G680" s="287"/>
      <c r="H680" s="31"/>
      <c r="I680" s="31"/>
      <c r="J680" s="33"/>
      <c r="K680" s="33"/>
      <c r="L680" s="33"/>
      <c r="M680" s="33"/>
      <c r="N680" s="81"/>
      <c r="O680" s="33"/>
      <c r="P680" s="35"/>
      <c r="Q680" s="36"/>
      <c r="R680" s="36"/>
    </row>
    <row r="681" ht="22.5" customHeight="1">
      <c r="A681" s="38"/>
      <c r="B681" s="26"/>
      <c r="C681" s="29"/>
      <c r="D681" s="29"/>
      <c r="E681" s="29"/>
      <c r="F681" s="29"/>
      <c r="G681" s="287"/>
      <c r="H681" s="31"/>
      <c r="I681" s="31"/>
      <c r="J681" s="33"/>
      <c r="K681" s="33"/>
      <c r="L681" s="33"/>
      <c r="M681" s="33"/>
      <c r="N681" s="81"/>
      <c r="O681" s="33"/>
      <c r="P681" s="35"/>
      <c r="Q681" s="36"/>
      <c r="R681" s="36"/>
    </row>
    <row r="682" ht="22.5" customHeight="1">
      <c r="A682" s="38"/>
      <c r="B682" s="26"/>
      <c r="C682" s="29"/>
      <c r="D682" s="29"/>
      <c r="E682" s="29"/>
      <c r="F682" s="29"/>
      <c r="G682" s="287"/>
      <c r="H682" s="31"/>
      <c r="I682" s="31"/>
      <c r="J682" s="33"/>
      <c r="K682" s="33"/>
      <c r="L682" s="33"/>
      <c r="M682" s="33"/>
      <c r="N682" s="81"/>
      <c r="O682" s="33"/>
      <c r="P682" s="35"/>
      <c r="Q682" s="36"/>
      <c r="R682" s="36"/>
    </row>
    <row r="683" ht="22.5" customHeight="1">
      <c r="A683" s="38"/>
      <c r="B683" s="26"/>
      <c r="C683" s="29"/>
      <c r="D683" s="29"/>
      <c r="E683" s="29"/>
      <c r="F683" s="29"/>
      <c r="G683" s="287"/>
      <c r="H683" s="31"/>
      <c r="I683" s="31"/>
      <c r="J683" s="33"/>
      <c r="K683" s="33"/>
      <c r="L683" s="33"/>
      <c r="M683" s="33"/>
      <c r="N683" s="81"/>
      <c r="O683" s="33"/>
      <c r="P683" s="35"/>
      <c r="Q683" s="36"/>
      <c r="R683" s="36"/>
    </row>
    <row r="684" ht="22.5" customHeight="1">
      <c r="A684" s="38"/>
      <c r="B684" s="26"/>
      <c r="C684" s="29"/>
      <c r="D684" s="29"/>
      <c r="E684" s="29"/>
      <c r="F684" s="29"/>
      <c r="G684" s="287"/>
      <c r="H684" s="31"/>
      <c r="I684" s="31"/>
      <c r="J684" s="33"/>
      <c r="K684" s="33"/>
      <c r="L684" s="33"/>
      <c r="M684" s="33"/>
      <c r="N684" s="81"/>
      <c r="O684" s="33"/>
      <c r="P684" s="35"/>
      <c r="Q684" s="36"/>
      <c r="R684" s="36"/>
    </row>
    <row r="685" ht="22.5" customHeight="1">
      <c r="A685" s="38"/>
      <c r="B685" s="26"/>
      <c r="C685" s="29"/>
      <c r="D685" s="29"/>
      <c r="E685" s="29"/>
      <c r="F685" s="29"/>
      <c r="G685" s="287"/>
      <c r="H685" s="31"/>
      <c r="I685" s="31"/>
      <c r="J685" s="33"/>
      <c r="K685" s="33"/>
      <c r="L685" s="33"/>
      <c r="M685" s="33"/>
      <c r="N685" s="81"/>
      <c r="O685" s="33"/>
      <c r="P685" s="35"/>
      <c r="Q685" s="36"/>
      <c r="R685" s="36"/>
    </row>
    <row r="686" ht="22.5" customHeight="1">
      <c r="A686" s="38"/>
      <c r="B686" s="26"/>
      <c r="C686" s="29"/>
      <c r="D686" s="29"/>
      <c r="E686" s="29"/>
      <c r="F686" s="29"/>
      <c r="G686" s="287"/>
      <c r="H686" s="31"/>
      <c r="I686" s="31"/>
      <c r="J686" s="33"/>
      <c r="K686" s="33"/>
      <c r="L686" s="33"/>
      <c r="M686" s="33"/>
      <c r="N686" s="81"/>
      <c r="O686" s="33"/>
      <c r="P686" s="35"/>
      <c r="Q686" s="36"/>
      <c r="R686" s="36"/>
    </row>
    <row r="687" ht="22.5" customHeight="1">
      <c r="A687" s="38"/>
      <c r="B687" s="26"/>
      <c r="C687" s="29"/>
      <c r="D687" s="29"/>
      <c r="E687" s="29"/>
      <c r="F687" s="29"/>
      <c r="G687" s="287"/>
      <c r="H687" s="31"/>
      <c r="I687" s="31"/>
      <c r="J687" s="33"/>
      <c r="K687" s="33"/>
      <c r="L687" s="33"/>
      <c r="M687" s="33"/>
      <c r="N687" s="81"/>
      <c r="O687" s="33"/>
      <c r="P687" s="35"/>
      <c r="Q687" s="36"/>
      <c r="R687" s="36"/>
    </row>
    <row r="688" ht="22.5" customHeight="1">
      <c r="A688" s="38"/>
      <c r="B688" s="26"/>
      <c r="C688" s="29"/>
      <c r="D688" s="29"/>
      <c r="E688" s="29"/>
      <c r="F688" s="29"/>
      <c r="G688" s="287"/>
      <c r="H688" s="31"/>
      <c r="I688" s="31"/>
      <c r="J688" s="33"/>
      <c r="K688" s="33"/>
      <c r="L688" s="33"/>
      <c r="M688" s="33"/>
      <c r="N688" s="81"/>
      <c r="O688" s="33"/>
      <c r="P688" s="35"/>
      <c r="Q688" s="36"/>
      <c r="R688" s="36"/>
    </row>
    <row r="689" ht="22.5" customHeight="1">
      <c r="A689" s="38"/>
      <c r="B689" s="26"/>
      <c r="C689" s="29"/>
      <c r="D689" s="29"/>
      <c r="E689" s="29"/>
      <c r="F689" s="29"/>
      <c r="G689" s="287"/>
      <c r="H689" s="31"/>
      <c r="I689" s="31"/>
      <c r="J689" s="33"/>
      <c r="K689" s="33"/>
      <c r="L689" s="33"/>
      <c r="M689" s="33"/>
      <c r="N689" s="81"/>
      <c r="O689" s="33"/>
      <c r="P689" s="35"/>
      <c r="Q689" s="36"/>
      <c r="R689" s="36"/>
    </row>
    <row r="690" ht="22.5" customHeight="1">
      <c r="A690" s="38"/>
      <c r="B690" s="26"/>
      <c r="C690" s="29"/>
      <c r="D690" s="29"/>
      <c r="E690" s="29"/>
      <c r="F690" s="29"/>
      <c r="G690" s="287"/>
      <c r="H690" s="31"/>
      <c r="I690" s="31"/>
      <c r="J690" s="33"/>
      <c r="K690" s="33"/>
      <c r="L690" s="33"/>
      <c r="M690" s="33"/>
      <c r="N690" s="81"/>
      <c r="O690" s="33"/>
      <c r="P690" s="35"/>
      <c r="Q690" s="36"/>
      <c r="R690" s="36"/>
    </row>
    <row r="691" ht="22.5" customHeight="1">
      <c r="A691" s="38"/>
      <c r="B691" s="26"/>
      <c r="C691" s="29"/>
      <c r="D691" s="29"/>
      <c r="E691" s="29"/>
      <c r="F691" s="29"/>
      <c r="G691" s="287"/>
      <c r="H691" s="31"/>
      <c r="I691" s="31"/>
      <c r="J691" s="33"/>
      <c r="K691" s="33"/>
      <c r="L691" s="33"/>
      <c r="M691" s="33"/>
      <c r="N691" s="81"/>
      <c r="O691" s="33"/>
      <c r="P691" s="35"/>
      <c r="Q691" s="36"/>
      <c r="R691" s="36"/>
    </row>
    <row r="692" ht="22.5" customHeight="1">
      <c r="A692" s="38"/>
      <c r="B692" s="26"/>
      <c r="C692" s="29"/>
      <c r="D692" s="29"/>
      <c r="E692" s="29"/>
      <c r="F692" s="29"/>
      <c r="G692" s="287"/>
      <c r="H692" s="31"/>
      <c r="I692" s="31"/>
      <c r="J692" s="33"/>
      <c r="K692" s="33"/>
      <c r="L692" s="33"/>
      <c r="M692" s="33"/>
      <c r="N692" s="81"/>
      <c r="O692" s="33"/>
      <c r="P692" s="35"/>
      <c r="Q692" s="36"/>
      <c r="R692" s="36"/>
    </row>
    <row r="693" ht="22.5" customHeight="1">
      <c r="A693" s="38"/>
      <c r="B693" s="26"/>
      <c r="C693" s="29"/>
      <c r="D693" s="29"/>
      <c r="E693" s="29"/>
      <c r="F693" s="29"/>
      <c r="G693" s="287"/>
      <c r="H693" s="31"/>
      <c r="I693" s="31"/>
      <c r="J693" s="33"/>
      <c r="K693" s="33"/>
      <c r="L693" s="33"/>
      <c r="M693" s="33"/>
      <c r="N693" s="81"/>
      <c r="O693" s="33"/>
      <c r="P693" s="35"/>
      <c r="Q693" s="36"/>
      <c r="R693" s="36"/>
    </row>
    <row r="694" ht="22.5" customHeight="1">
      <c r="A694" s="38"/>
      <c r="B694" s="26"/>
      <c r="C694" s="29"/>
      <c r="D694" s="29"/>
      <c r="E694" s="29"/>
      <c r="F694" s="29"/>
      <c r="G694" s="287"/>
      <c r="H694" s="31"/>
      <c r="I694" s="31"/>
      <c r="J694" s="33"/>
      <c r="K694" s="33"/>
      <c r="L694" s="33"/>
      <c r="M694" s="33"/>
      <c r="N694" s="81"/>
      <c r="O694" s="33"/>
      <c r="P694" s="35"/>
      <c r="Q694" s="36"/>
      <c r="R694" s="36"/>
    </row>
    <row r="695" ht="22.5" customHeight="1">
      <c r="A695" s="38"/>
      <c r="B695" s="26"/>
      <c r="C695" s="29"/>
      <c r="D695" s="29"/>
      <c r="E695" s="29"/>
      <c r="F695" s="29"/>
      <c r="G695" s="287"/>
      <c r="H695" s="31"/>
      <c r="I695" s="31"/>
      <c r="J695" s="33"/>
      <c r="K695" s="33"/>
      <c r="L695" s="33"/>
      <c r="M695" s="33"/>
      <c r="N695" s="81"/>
      <c r="O695" s="33"/>
      <c r="P695" s="35"/>
      <c r="Q695" s="36"/>
      <c r="R695" s="36"/>
    </row>
    <row r="696" ht="22.5" customHeight="1">
      <c r="A696" s="38"/>
      <c r="B696" s="26"/>
      <c r="C696" s="29"/>
      <c r="D696" s="29"/>
      <c r="E696" s="29"/>
      <c r="F696" s="29"/>
      <c r="G696" s="287"/>
      <c r="H696" s="31"/>
      <c r="I696" s="31"/>
      <c r="J696" s="33"/>
      <c r="K696" s="33"/>
      <c r="L696" s="33"/>
      <c r="M696" s="33"/>
      <c r="N696" s="81"/>
      <c r="O696" s="33"/>
      <c r="P696" s="35"/>
      <c r="Q696" s="36"/>
      <c r="R696" s="36"/>
    </row>
    <row r="697" ht="22.5" customHeight="1">
      <c r="A697" s="38"/>
      <c r="B697" s="26"/>
      <c r="C697" s="29"/>
      <c r="D697" s="29"/>
      <c r="E697" s="29"/>
      <c r="F697" s="29"/>
      <c r="G697" s="287"/>
      <c r="H697" s="31"/>
      <c r="I697" s="31"/>
      <c r="J697" s="33"/>
      <c r="K697" s="33"/>
      <c r="L697" s="33"/>
      <c r="M697" s="33"/>
      <c r="N697" s="81"/>
      <c r="O697" s="33"/>
      <c r="P697" s="35"/>
      <c r="Q697" s="36"/>
      <c r="R697" s="36"/>
    </row>
    <row r="698" ht="22.5" customHeight="1">
      <c r="A698" s="38"/>
      <c r="B698" s="26"/>
      <c r="C698" s="29"/>
      <c r="D698" s="29"/>
      <c r="E698" s="29"/>
      <c r="F698" s="29"/>
      <c r="G698" s="287"/>
      <c r="H698" s="31"/>
      <c r="I698" s="31"/>
      <c r="J698" s="33"/>
      <c r="K698" s="33"/>
      <c r="L698" s="33"/>
      <c r="M698" s="33"/>
      <c r="N698" s="81"/>
      <c r="O698" s="33"/>
      <c r="P698" s="35"/>
      <c r="Q698" s="36"/>
      <c r="R698" s="36"/>
    </row>
    <row r="699" ht="22.5" customHeight="1">
      <c r="A699" s="38"/>
      <c r="B699" s="26"/>
      <c r="C699" s="29"/>
      <c r="D699" s="29"/>
      <c r="E699" s="29"/>
      <c r="F699" s="29"/>
      <c r="G699" s="287"/>
      <c r="H699" s="31"/>
      <c r="I699" s="31"/>
      <c r="J699" s="33"/>
      <c r="K699" s="33"/>
      <c r="L699" s="33"/>
      <c r="M699" s="33"/>
      <c r="N699" s="81"/>
      <c r="O699" s="33"/>
      <c r="P699" s="35"/>
      <c r="Q699" s="36"/>
      <c r="R699" s="36"/>
    </row>
    <row r="700" ht="22.5" customHeight="1">
      <c r="A700" s="38"/>
      <c r="B700" s="26"/>
      <c r="C700" s="29"/>
      <c r="D700" s="29"/>
      <c r="E700" s="29"/>
      <c r="F700" s="29"/>
      <c r="G700" s="287"/>
      <c r="H700" s="31"/>
      <c r="I700" s="31"/>
      <c r="J700" s="33"/>
      <c r="K700" s="33"/>
      <c r="L700" s="33"/>
      <c r="M700" s="33"/>
      <c r="N700" s="81"/>
      <c r="O700" s="33"/>
      <c r="P700" s="35"/>
      <c r="Q700" s="36"/>
      <c r="R700" s="36"/>
    </row>
    <row r="701" ht="22.5" customHeight="1">
      <c r="A701" s="38"/>
      <c r="B701" s="26"/>
      <c r="C701" s="29"/>
      <c r="D701" s="29"/>
      <c r="E701" s="29"/>
      <c r="F701" s="29"/>
      <c r="G701" s="287"/>
      <c r="H701" s="31"/>
      <c r="I701" s="31"/>
      <c r="J701" s="33"/>
      <c r="K701" s="33"/>
      <c r="L701" s="33"/>
      <c r="M701" s="33"/>
      <c r="N701" s="81"/>
      <c r="O701" s="33"/>
      <c r="P701" s="35"/>
      <c r="Q701" s="36"/>
      <c r="R701" s="36"/>
    </row>
    <row r="702" ht="22.5" customHeight="1">
      <c r="A702" s="38"/>
      <c r="B702" s="26"/>
      <c r="C702" s="29"/>
      <c r="D702" s="29"/>
      <c r="E702" s="29"/>
      <c r="F702" s="29"/>
      <c r="G702" s="287"/>
      <c r="H702" s="31"/>
      <c r="I702" s="31"/>
      <c r="J702" s="33"/>
      <c r="K702" s="33"/>
      <c r="L702" s="33"/>
      <c r="M702" s="33"/>
      <c r="N702" s="81"/>
      <c r="O702" s="33"/>
      <c r="P702" s="35"/>
      <c r="Q702" s="36"/>
      <c r="R702" s="36"/>
    </row>
    <row r="703" ht="22.5" customHeight="1">
      <c r="A703" s="38"/>
      <c r="B703" s="26"/>
      <c r="C703" s="29"/>
      <c r="D703" s="29"/>
      <c r="E703" s="29"/>
      <c r="F703" s="29"/>
      <c r="G703" s="287"/>
      <c r="H703" s="31"/>
      <c r="I703" s="31"/>
      <c r="J703" s="33"/>
      <c r="K703" s="33"/>
      <c r="L703" s="33"/>
      <c r="M703" s="33"/>
      <c r="N703" s="81"/>
      <c r="O703" s="33"/>
      <c r="P703" s="35"/>
      <c r="Q703" s="36"/>
      <c r="R703" s="36"/>
    </row>
    <row r="704" ht="22.5" customHeight="1">
      <c r="A704" s="38"/>
      <c r="B704" s="26"/>
      <c r="C704" s="29"/>
      <c r="D704" s="29"/>
      <c r="E704" s="29"/>
      <c r="F704" s="29"/>
      <c r="G704" s="287"/>
      <c r="H704" s="31"/>
      <c r="I704" s="31"/>
      <c r="J704" s="33"/>
      <c r="K704" s="33"/>
      <c r="L704" s="33"/>
      <c r="M704" s="33"/>
      <c r="N704" s="81"/>
      <c r="O704" s="33"/>
      <c r="P704" s="35"/>
      <c r="Q704" s="36"/>
      <c r="R704" s="36"/>
    </row>
    <row r="705" ht="22.5" customHeight="1">
      <c r="A705" s="38"/>
      <c r="B705" s="26"/>
      <c r="C705" s="29"/>
      <c r="D705" s="29"/>
      <c r="E705" s="29"/>
      <c r="F705" s="29"/>
      <c r="G705" s="287"/>
      <c r="H705" s="31"/>
      <c r="I705" s="31"/>
      <c r="J705" s="33"/>
      <c r="K705" s="33"/>
      <c r="L705" s="33"/>
      <c r="M705" s="33"/>
      <c r="N705" s="81"/>
      <c r="O705" s="33"/>
      <c r="P705" s="35"/>
      <c r="Q705" s="36"/>
      <c r="R705" s="36"/>
    </row>
    <row r="706" ht="22.5" customHeight="1">
      <c r="A706" s="38"/>
      <c r="B706" s="26"/>
      <c r="C706" s="29"/>
      <c r="D706" s="29"/>
      <c r="E706" s="29"/>
      <c r="F706" s="29"/>
      <c r="G706" s="287"/>
      <c r="H706" s="31"/>
      <c r="I706" s="31"/>
      <c r="J706" s="33"/>
      <c r="K706" s="33"/>
      <c r="L706" s="33"/>
      <c r="M706" s="33"/>
      <c r="N706" s="81"/>
      <c r="O706" s="33"/>
      <c r="P706" s="35"/>
      <c r="Q706" s="36"/>
      <c r="R706" s="36"/>
    </row>
    <row r="707" ht="22.5" customHeight="1">
      <c r="A707" s="38"/>
      <c r="B707" s="26"/>
      <c r="C707" s="29"/>
      <c r="D707" s="29"/>
      <c r="E707" s="29"/>
      <c r="F707" s="29"/>
      <c r="G707" s="287"/>
      <c r="H707" s="31"/>
      <c r="I707" s="31"/>
      <c r="J707" s="33"/>
      <c r="K707" s="33"/>
      <c r="L707" s="33"/>
      <c r="M707" s="33"/>
      <c r="N707" s="81"/>
      <c r="O707" s="33"/>
      <c r="P707" s="35"/>
      <c r="Q707" s="36"/>
      <c r="R707" s="36"/>
    </row>
    <row r="708" ht="22.5" customHeight="1">
      <c r="A708" s="38"/>
      <c r="B708" s="26"/>
      <c r="C708" s="29"/>
      <c r="D708" s="29"/>
      <c r="E708" s="29"/>
      <c r="F708" s="29"/>
      <c r="G708" s="287"/>
      <c r="H708" s="31"/>
      <c r="I708" s="31"/>
      <c r="J708" s="33"/>
      <c r="K708" s="33"/>
      <c r="L708" s="33"/>
      <c r="M708" s="33"/>
      <c r="N708" s="81"/>
      <c r="O708" s="33"/>
      <c r="P708" s="35"/>
      <c r="Q708" s="36"/>
      <c r="R708" s="36"/>
    </row>
    <row r="709" ht="22.5" customHeight="1">
      <c r="A709" s="38"/>
      <c r="B709" s="26"/>
      <c r="C709" s="29"/>
      <c r="D709" s="29"/>
      <c r="E709" s="29"/>
      <c r="F709" s="29"/>
      <c r="G709" s="287"/>
      <c r="H709" s="31"/>
      <c r="I709" s="31"/>
      <c r="J709" s="33"/>
      <c r="K709" s="33"/>
      <c r="L709" s="33"/>
      <c r="M709" s="33"/>
      <c r="N709" s="81"/>
      <c r="O709" s="33"/>
      <c r="P709" s="35"/>
      <c r="Q709" s="36"/>
      <c r="R709" s="36"/>
    </row>
    <row r="710" ht="22.5" customHeight="1">
      <c r="A710" s="38"/>
      <c r="B710" s="26"/>
      <c r="C710" s="29"/>
      <c r="D710" s="29"/>
      <c r="E710" s="29"/>
      <c r="F710" s="29"/>
      <c r="G710" s="287"/>
      <c r="H710" s="31"/>
      <c r="I710" s="31"/>
      <c r="J710" s="33"/>
      <c r="K710" s="33"/>
      <c r="L710" s="33"/>
      <c r="M710" s="33"/>
      <c r="N710" s="81"/>
      <c r="O710" s="33"/>
      <c r="P710" s="35"/>
      <c r="Q710" s="36"/>
      <c r="R710" s="36"/>
    </row>
    <row r="711" ht="22.5" customHeight="1">
      <c r="A711" s="38"/>
      <c r="B711" s="26"/>
      <c r="C711" s="29"/>
      <c r="D711" s="29"/>
      <c r="E711" s="29"/>
      <c r="F711" s="29"/>
      <c r="G711" s="287"/>
      <c r="H711" s="31"/>
      <c r="I711" s="31"/>
      <c r="J711" s="33"/>
      <c r="K711" s="33"/>
      <c r="L711" s="33"/>
      <c r="M711" s="33"/>
      <c r="N711" s="81"/>
      <c r="O711" s="33"/>
      <c r="P711" s="35"/>
      <c r="Q711" s="36"/>
      <c r="R711" s="36"/>
    </row>
    <row r="712" ht="22.5" customHeight="1">
      <c r="A712" s="38"/>
      <c r="B712" s="26"/>
      <c r="C712" s="29"/>
      <c r="D712" s="29"/>
      <c r="E712" s="29"/>
      <c r="F712" s="29"/>
      <c r="G712" s="287"/>
      <c r="H712" s="31"/>
      <c r="I712" s="31"/>
      <c r="J712" s="33"/>
      <c r="K712" s="33"/>
      <c r="L712" s="33"/>
      <c r="M712" s="33"/>
      <c r="N712" s="81"/>
      <c r="O712" s="33"/>
      <c r="P712" s="35"/>
      <c r="Q712" s="36"/>
      <c r="R712" s="36"/>
    </row>
    <row r="713" ht="22.5" customHeight="1">
      <c r="A713" s="38"/>
      <c r="B713" s="26"/>
      <c r="C713" s="29"/>
      <c r="D713" s="29"/>
      <c r="E713" s="29"/>
      <c r="F713" s="29"/>
      <c r="G713" s="287"/>
      <c r="H713" s="31"/>
      <c r="I713" s="31"/>
      <c r="J713" s="33"/>
      <c r="K713" s="33"/>
      <c r="L713" s="33"/>
      <c r="M713" s="33"/>
      <c r="N713" s="81"/>
      <c r="O713" s="33"/>
      <c r="P713" s="35"/>
      <c r="Q713" s="36"/>
      <c r="R713" s="36"/>
    </row>
    <row r="714" ht="22.5" customHeight="1">
      <c r="A714" s="38"/>
      <c r="B714" s="26"/>
      <c r="C714" s="29"/>
      <c r="D714" s="29"/>
      <c r="E714" s="29"/>
      <c r="F714" s="29"/>
      <c r="G714" s="287"/>
      <c r="H714" s="31"/>
      <c r="I714" s="31"/>
      <c r="J714" s="33"/>
      <c r="K714" s="33"/>
      <c r="L714" s="33"/>
      <c r="M714" s="33"/>
      <c r="N714" s="81"/>
      <c r="O714" s="33"/>
      <c r="P714" s="35"/>
      <c r="Q714" s="36"/>
      <c r="R714" s="36"/>
    </row>
    <row r="715" ht="22.5" customHeight="1">
      <c r="A715" s="38"/>
      <c r="B715" s="26"/>
      <c r="C715" s="29"/>
      <c r="D715" s="29"/>
      <c r="E715" s="29"/>
      <c r="F715" s="29"/>
      <c r="G715" s="287"/>
      <c r="H715" s="31"/>
      <c r="I715" s="31"/>
      <c r="J715" s="33"/>
      <c r="K715" s="33"/>
      <c r="L715" s="33"/>
      <c r="M715" s="33"/>
      <c r="N715" s="81"/>
      <c r="O715" s="33"/>
      <c r="P715" s="35"/>
      <c r="Q715" s="36"/>
      <c r="R715" s="36"/>
    </row>
    <row r="716" ht="22.5" customHeight="1">
      <c r="A716" s="38"/>
      <c r="B716" s="26"/>
      <c r="C716" s="29"/>
      <c r="D716" s="29"/>
      <c r="E716" s="29"/>
      <c r="F716" s="29"/>
      <c r="G716" s="287"/>
      <c r="H716" s="31"/>
      <c r="I716" s="31"/>
      <c r="J716" s="33"/>
      <c r="K716" s="33"/>
      <c r="L716" s="33"/>
      <c r="M716" s="33"/>
      <c r="N716" s="81"/>
      <c r="O716" s="33"/>
      <c r="P716" s="35"/>
      <c r="Q716" s="36"/>
      <c r="R716" s="36"/>
    </row>
    <row r="717" ht="22.5" customHeight="1">
      <c r="A717" s="38"/>
      <c r="B717" s="26"/>
      <c r="C717" s="29"/>
      <c r="D717" s="29"/>
      <c r="E717" s="29"/>
      <c r="F717" s="29"/>
      <c r="G717" s="287"/>
      <c r="H717" s="31"/>
      <c r="I717" s="31"/>
      <c r="J717" s="33"/>
      <c r="K717" s="33"/>
      <c r="L717" s="33"/>
      <c r="M717" s="33"/>
      <c r="N717" s="81"/>
      <c r="O717" s="33"/>
      <c r="P717" s="35"/>
      <c r="Q717" s="36"/>
      <c r="R717" s="36"/>
    </row>
    <row r="718" ht="22.5" customHeight="1">
      <c r="A718" s="38"/>
      <c r="B718" s="26"/>
      <c r="C718" s="29"/>
      <c r="D718" s="29"/>
      <c r="E718" s="29"/>
      <c r="F718" s="29"/>
      <c r="G718" s="287"/>
      <c r="H718" s="31"/>
      <c r="I718" s="31"/>
      <c r="J718" s="33"/>
      <c r="K718" s="33"/>
      <c r="L718" s="33"/>
      <c r="M718" s="33"/>
      <c r="N718" s="81"/>
      <c r="O718" s="33"/>
      <c r="P718" s="35"/>
      <c r="Q718" s="36"/>
      <c r="R718" s="36"/>
    </row>
    <row r="719" ht="22.5" customHeight="1">
      <c r="A719" s="38"/>
      <c r="B719" s="26"/>
      <c r="C719" s="29"/>
      <c r="D719" s="29"/>
      <c r="E719" s="29"/>
      <c r="F719" s="29"/>
      <c r="G719" s="287"/>
      <c r="H719" s="31"/>
      <c r="I719" s="31"/>
      <c r="J719" s="33"/>
      <c r="K719" s="33"/>
      <c r="L719" s="33"/>
      <c r="M719" s="33"/>
      <c r="N719" s="81"/>
      <c r="O719" s="33"/>
      <c r="P719" s="35"/>
      <c r="Q719" s="36"/>
      <c r="R719" s="36"/>
    </row>
    <row r="720" ht="22.5" customHeight="1">
      <c r="A720" s="38"/>
      <c r="B720" s="26"/>
      <c r="C720" s="29"/>
      <c r="D720" s="29"/>
      <c r="E720" s="29"/>
      <c r="F720" s="29"/>
      <c r="G720" s="287"/>
      <c r="H720" s="31"/>
      <c r="I720" s="31"/>
      <c r="J720" s="33"/>
      <c r="K720" s="33"/>
      <c r="L720" s="33"/>
      <c r="M720" s="33"/>
      <c r="N720" s="81"/>
      <c r="O720" s="33"/>
      <c r="P720" s="35"/>
      <c r="Q720" s="36"/>
      <c r="R720" s="36"/>
    </row>
    <row r="721" ht="22.5" customHeight="1">
      <c r="A721" s="38"/>
      <c r="B721" s="26"/>
      <c r="C721" s="29"/>
      <c r="D721" s="29"/>
      <c r="E721" s="29"/>
      <c r="F721" s="29"/>
      <c r="G721" s="287"/>
      <c r="H721" s="31"/>
      <c r="I721" s="31"/>
      <c r="J721" s="33"/>
      <c r="K721" s="33"/>
      <c r="L721" s="33"/>
      <c r="M721" s="33"/>
      <c r="N721" s="81"/>
      <c r="O721" s="33"/>
      <c r="P721" s="35"/>
      <c r="Q721" s="36"/>
      <c r="R721" s="36"/>
    </row>
    <row r="722" ht="22.5" customHeight="1">
      <c r="A722" s="38"/>
      <c r="B722" s="26"/>
      <c r="C722" s="29"/>
      <c r="D722" s="29"/>
      <c r="E722" s="29"/>
      <c r="F722" s="29"/>
      <c r="G722" s="287"/>
      <c r="H722" s="31"/>
      <c r="I722" s="31"/>
      <c r="J722" s="33"/>
      <c r="K722" s="33"/>
      <c r="L722" s="33"/>
      <c r="M722" s="33"/>
      <c r="N722" s="81"/>
      <c r="O722" s="33"/>
      <c r="P722" s="35"/>
      <c r="Q722" s="36"/>
      <c r="R722" s="36"/>
    </row>
    <row r="723" ht="22.5" customHeight="1">
      <c r="A723" s="38"/>
      <c r="B723" s="26"/>
      <c r="C723" s="29"/>
      <c r="D723" s="29"/>
      <c r="E723" s="29"/>
      <c r="F723" s="29"/>
      <c r="G723" s="287"/>
      <c r="H723" s="31"/>
      <c r="I723" s="31"/>
      <c r="J723" s="33"/>
      <c r="K723" s="33"/>
      <c r="L723" s="33"/>
      <c r="M723" s="33"/>
      <c r="N723" s="81"/>
      <c r="O723" s="33"/>
      <c r="P723" s="35"/>
      <c r="Q723" s="36"/>
      <c r="R723" s="36"/>
    </row>
    <row r="724" ht="22.5" customHeight="1">
      <c r="A724" s="38"/>
      <c r="B724" s="26"/>
      <c r="C724" s="29"/>
      <c r="D724" s="29"/>
      <c r="E724" s="29"/>
      <c r="F724" s="29"/>
      <c r="G724" s="287"/>
      <c r="H724" s="31"/>
      <c r="I724" s="31"/>
      <c r="J724" s="33"/>
      <c r="K724" s="33"/>
      <c r="L724" s="33"/>
      <c r="M724" s="33"/>
      <c r="N724" s="81"/>
      <c r="O724" s="33"/>
      <c r="P724" s="35"/>
      <c r="Q724" s="36"/>
      <c r="R724" s="36"/>
    </row>
    <row r="725" ht="22.5" customHeight="1">
      <c r="A725" s="38"/>
      <c r="B725" s="26"/>
      <c r="C725" s="29"/>
      <c r="D725" s="29"/>
      <c r="E725" s="29"/>
      <c r="F725" s="29"/>
      <c r="G725" s="287"/>
      <c r="H725" s="31"/>
      <c r="I725" s="31"/>
      <c r="J725" s="33"/>
      <c r="K725" s="33"/>
      <c r="L725" s="33"/>
      <c r="M725" s="33"/>
      <c r="N725" s="81"/>
      <c r="O725" s="33"/>
      <c r="P725" s="35"/>
      <c r="Q725" s="36"/>
      <c r="R725" s="36"/>
    </row>
    <row r="726" ht="22.5" customHeight="1">
      <c r="A726" s="38"/>
      <c r="B726" s="26"/>
      <c r="C726" s="29"/>
      <c r="D726" s="29"/>
      <c r="E726" s="29"/>
      <c r="F726" s="29"/>
      <c r="G726" s="287"/>
      <c r="H726" s="31"/>
      <c r="I726" s="31"/>
      <c r="J726" s="33"/>
      <c r="K726" s="33"/>
      <c r="L726" s="33"/>
      <c r="M726" s="33"/>
      <c r="N726" s="81"/>
      <c r="O726" s="33"/>
      <c r="P726" s="35"/>
      <c r="Q726" s="36"/>
      <c r="R726" s="36"/>
    </row>
    <row r="727" ht="22.5" customHeight="1">
      <c r="A727" s="38"/>
      <c r="B727" s="26"/>
      <c r="C727" s="29"/>
      <c r="D727" s="29"/>
      <c r="E727" s="29"/>
      <c r="F727" s="29"/>
      <c r="G727" s="287"/>
      <c r="H727" s="31"/>
      <c r="I727" s="31"/>
      <c r="J727" s="33"/>
      <c r="K727" s="33"/>
      <c r="L727" s="33"/>
      <c r="M727" s="33"/>
      <c r="N727" s="81"/>
      <c r="O727" s="33"/>
      <c r="P727" s="35"/>
      <c r="Q727" s="36"/>
      <c r="R727" s="36"/>
    </row>
    <row r="728" ht="22.5" customHeight="1">
      <c r="A728" s="38"/>
      <c r="B728" s="26"/>
      <c r="C728" s="29"/>
      <c r="D728" s="29"/>
      <c r="E728" s="29"/>
      <c r="F728" s="29"/>
      <c r="G728" s="287"/>
      <c r="H728" s="31"/>
      <c r="I728" s="31"/>
      <c r="J728" s="33"/>
      <c r="K728" s="33"/>
      <c r="L728" s="33"/>
      <c r="M728" s="33"/>
      <c r="N728" s="81"/>
      <c r="O728" s="33"/>
      <c r="P728" s="35"/>
      <c r="Q728" s="36"/>
      <c r="R728" s="36"/>
    </row>
    <row r="729" ht="22.5" customHeight="1">
      <c r="A729" s="38"/>
      <c r="B729" s="26"/>
      <c r="C729" s="29"/>
      <c r="D729" s="29"/>
      <c r="E729" s="29"/>
      <c r="F729" s="29"/>
      <c r="G729" s="287"/>
      <c r="H729" s="31"/>
      <c r="I729" s="31"/>
      <c r="J729" s="33"/>
      <c r="K729" s="33"/>
      <c r="L729" s="33"/>
      <c r="M729" s="33"/>
      <c r="N729" s="81"/>
      <c r="O729" s="33"/>
      <c r="P729" s="35"/>
      <c r="Q729" s="36"/>
      <c r="R729" s="36"/>
    </row>
    <row r="730" ht="22.5" customHeight="1">
      <c r="A730" s="38"/>
      <c r="B730" s="26"/>
      <c r="C730" s="29"/>
      <c r="D730" s="29"/>
      <c r="E730" s="29"/>
      <c r="F730" s="29"/>
      <c r="G730" s="287"/>
      <c r="H730" s="31"/>
      <c r="I730" s="31"/>
      <c r="J730" s="33"/>
      <c r="K730" s="33"/>
      <c r="L730" s="33"/>
      <c r="M730" s="33"/>
      <c r="N730" s="81"/>
      <c r="O730" s="33"/>
      <c r="P730" s="35"/>
      <c r="Q730" s="36"/>
      <c r="R730" s="36"/>
    </row>
    <row r="731" ht="22.5" customHeight="1">
      <c r="A731" s="38"/>
      <c r="B731" s="26"/>
      <c r="C731" s="29"/>
      <c r="D731" s="29"/>
      <c r="E731" s="29"/>
      <c r="F731" s="29"/>
      <c r="G731" s="287"/>
      <c r="H731" s="31"/>
      <c r="I731" s="31"/>
      <c r="J731" s="33"/>
      <c r="K731" s="33"/>
      <c r="L731" s="33"/>
      <c r="M731" s="33"/>
      <c r="N731" s="81"/>
      <c r="O731" s="33"/>
      <c r="P731" s="35"/>
      <c r="Q731" s="36"/>
      <c r="R731" s="36"/>
    </row>
    <row r="732" ht="22.5" customHeight="1">
      <c r="A732" s="38"/>
      <c r="B732" s="26"/>
      <c r="C732" s="29"/>
      <c r="D732" s="29"/>
      <c r="E732" s="29"/>
      <c r="F732" s="29"/>
      <c r="G732" s="287"/>
      <c r="H732" s="31"/>
      <c r="I732" s="31"/>
      <c r="J732" s="33"/>
      <c r="K732" s="33"/>
      <c r="L732" s="33"/>
      <c r="M732" s="33"/>
      <c r="N732" s="81"/>
      <c r="O732" s="33"/>
      <c r="P732" s="35"/>
      <c r="Q732" s="36"/>
      <c r="R732" s="36"/>
    </row>
    <row r="733" ht="22.5" customHeight="1">
      <c r="A733" s="38"/>
      <c r="B733" s="26"/>
      <c r="C733" s="29"/>
      <c r="D733" s="29"/>
      <c r="E733" s="29"/>
      <c r="F733" s="29"/>
      <c r="G733" s="287"/>
      <c r="H733" s="31"/>
      <c r="I733" s="31"/>
      <c r="J733" s="33"/>
      <c r="K733" s="33"/>
      <c r="L733" s="33"/>
      <c r="M733" s="33"/>
      <c r="N733" s="81"/>
      <c r="O733" s="33"/>
      <c r="P733" s="35"/>
      <c r="Q733" s="36"/>
      <c r="R733" s="36"/>
    </row>
    <row r="734" ht="22.5" customHeight="1">
      <c r="A734" s="38"/>
      <c r="B734" s="26"/>
      <c r="C734" s="29"/>
      <c r="D734" s="29"/>
      <c r="E734" s="29"/>
      <c r="F734" s="29"/>
      <c r="G734" s="287"/>
      <c r="H734" s="31"/>
      <c r="I734" s="31"/>
      <c r="J734" s="33"/>
      <c r="K734" s="33"/>
      <c r="L734" s="33"/>
      <c r="M734" s="33"/>
      <c r="N734" s="81"/>
      <c r="O734" s="33"/>
      <c r="P734" s="35"/>
      <c r="Q734" s="36"/>
      <c r="R734" s="36"/>
    </row>
    <row r="735" ht="22.5" customHeight="1">
      <c r="A735" s="38"/>
      <c r="B735" s="26"/>
      <c r="C735" s="29"/>
      <c r="D735" s="29"/>
      <c r="E735" s="29"/>
      <c r="F735" s="29"/>
      <c r="G735" s="287"/>
      <c r="H735" s="31"/>
      <c r="I735" s="31"/>
      <c r="J735" s="33"/>
      <c r="K735" s="33"/>
      <c r="L735" s="33"/>
      <c r="M735" s="33"/>
      <c r="N735" s="81"/>
      <c r="O735" s="33"/>
      <c r="P735" s="35"/>
      <c r="Q735" s="36"/>
      <c r="R735" s="36"/>
    </row>
    <row r="736" ht="22.5" customHeight="1">
      <c r="A736" s="38"/>
      <c r="B736" s="26"/>
      <c r="C736" s="29"/>
      <c r="D736" s="29"/>
      <c r="E736" s="29"/>
      <c r="F736" s="29"/>
      <c r="G736" s="287"/>
      <c r="H736" s="31"/>
      <c r="I736" s="31"/>
      <c r="J736" s="33"/>
      <c r="K736" s="33"/>
      <c r="L736" s="33"/>
      <c r="M736" s="33"/>
      <c r="N736" s="81"/>
      <c r="O736" s="33"/>
      <c r="P736" s="35"/>
      <c r="Q736" s="36"/>
      <c r="R736" s="36"/>
    </row>
    <row r="737" ht="22.5" customHeight="1">
      <c r="A737" s="38"/>
      <c r="B737" s="26"/>
      <c r="C737" s="29"/>
      <c r="D737" s="29"/>
      <c r="E737" s="29"/>
      <c r="F737" s="29"/>
      <c r="G737" s="287"/>
      <c r="H737" s="31"/>
      <c r="I737" s="31"/>
      <c r="J737" s="33"/>
      <c r="K737" s="33"/>
      <c r="L737" s="33"/>
      <c r="M737" s="33"/>
      <c r="N737" s="81"/>
      <c r="O737" s="33"/>
      <c r="P737" s="35"/>
      <c r="Q737" s="36"/>
      <c r="R737" s="36"/>
    </row>
    <row r="738" ht="22.5" customHeight="1">
      <c r="A738" s="38"/>
      <c r="B738" s="26"/>
      <c r="C738" s="29"/>
      <c r="D738" s="29"/>
      <c r="E738" s="29"/>
      <c r="F738" s="29"/>
      <c r="G738" s="287"/>
      <c r="H738" s="31"/>
      <c r="I738" s="31"/>
      <c r="J738" s="33"/>
      <c r="K738" s="33"/>
      <c r="L738" s="33"/>
      <c r="M738" s="33"/>
      <c r="N738" s="81"/>
      <c r="O738" s="33"/>
      <c r="P738" s="35"/>
      <c r="Q738" s="36"/>
      <c r="R738" s="36"/>
    </row>
    <row r="739" ht="22.5" customHeight="1">
      <c r="A739" s="38"/>
      <c r="B739" s="26"/>
      <c r="C739" s="29"/>
      <c r="D739" s="29"/>
      <c r="E739" s="29"/>
      <c r="F739" s="29"/>
      <c r="G739" s="287"/>
      <c r="H739" s="31"/>
      <c r="I739" s="31"/>
      <c r="J739" s="33"/>
      <c r="K739" s="33"/>
      <c r="L739" s="33"/>
      <c r="M739" s="33"/>
      <c r="N739" s="81"/>
      <c r="O739" s="33"/>
      <c r="P739" s="35"/>
      <c r="Q739" s="36"/>
      <c r="R739" s="36"/>
    </row>
    <row r="740" ht="22.5" customHeight="1">
      <c r="A740" s="38"/>
      <c r="B740" s="26"/>
      <c r="C740" s="29"/>
      <c r="D740" s="29"/>
      <c r="E740" s="29"/>
      <c r="F740" s="29"/>
      <c r="G740" s="287"/>
      <c r="H740" s="31"/>
      <c r="I740" s="31"/>
      <c r="J740" s="33"/>
      <c r="K740" s="33"/>
      <c r="L740" s="33"/>
      <c r="M740" s="33"/>
      <c r="N740" s="81"/>
      <c r="O740" s="33"/>
      <c r="P740" s="35"/>
      <c r="Q740" s="36"/>
      <c r="R740" s="36"/>
    </row>
    <row r="741" ht="22.5" customHeight="1">
      <c r="A741" s="38"/>
      <c r="B741" s="26"/>
      <c r="C741" s="29"/>
      <c r="D741" s="29"/>
      <c r="E741" s="29"/>
      <c r="F741" s="29"/>
      <c r="G741" s="287"/>
      <c r="H741" s="31"/>
      <c r="I741" s="31"/>
      <c r="J741" s="33"/>
      <c r="K741" s="33"/>
      <c r="L741" s="33"/>
      <c r="M741" s="33"/>
      <c r="N741" s="81"/>
      <c r="O741" s="33"/>
      <c r="P741" s="35"/>
      <c r="Q741" s="36"/>
      <c r="R741" s="36"/>
    </row>
    <row r="742" ht="22.5" customHeight="1">
      <c r="A742" s="38"/>
      <c r="B742" s="26"/>
      <c r="C742" s="29"/>
      <c r="D742" s="29"/>
      <c r="E742" s="29"/>
      <c r="F742" s="29"/>
      <c r="G742" s="287"/>
      <c r="H742" s="31"/>
      <c r="I742" s="31"/>
      <c r="J742" s="33"/>
      <c r="K742" s="33"/>
      <c r="L742" s="33"/>
      <c r="M742" s="33"/>
      <c r="N742" s="81"/>
      <c r="O742" s="33"/>
      <c r="P742" s="35"/>
      <c r="Q742" s="36"/>
      <c r="R742" s="36"/>
    </row>
    <row r="743" ht="22.5" customHeight="1">
      <c r="A743" s="38"/>
      <c r="B743" s="26"/>
      <c r="C743" s="29"/>
      <c r="D743" s="29"/>
      <c r="E743" s="29"/>
      <c r="F743" s="29"/>
      <c r="G743" s="287"/>
      <c r="H743" s="31"/>
      <c r="I743" s="31"/>
      <c r="J743" s="33"/>
      <c r="K743" s="33"/>
      <c r="L743" s="33"/>
      <c r="M743" s="33"/>
      <c r="N743" s="81"/>
      <c r="O743" s="33"/>
      <c r="P743" s="35"/>
      <c r="Q743" s="36"/>
      <c r="R743" s="36"/>
    </row>
    <row r="744" ht="22.5" customHeight="1">
      <c r="A744" s="38"/>
      <c r="B744" s="26"/>
      <c r="C744" s="29"/>
      <c r="D744" s="29"/>
      <c r="E744" s="29"/>
      <c r="F744" s="29"/>
      <c r="G744" s="287"/>
      <c r="H744" s="31"/>
      <c r="I744" s="31"/>
      <c r="J744" s="33"/>
      <c r="K744" s="33"/>
      <c r="L744" s="33"/>
      <c r="M744" s="33"/>
      <c r="N744" s="81"/>
      <c r="O744" s="33"/>
      <c r="P744" s="35"/>
      <c r="Q744" s="36"/>
      <c r="R744" s="36"/>
    </row>
    <row r="745" ht="22.5" customHeight="1">
      <c r="A745" s="38"/>
      <c r="B745" s="26"/>
      <c r="C745" s="29"/>
      <c r="D745" s="29"/>
      <c r="E745" s="29"/>
      <c r="F745" s="29"/>
      <c r="G745" s="287"/>
      <c r="H745" s="31"/>
      <c r="I745" s="31"/>
      <c r="J745" s="33"/>
      <c r="K745" s="33"/>
      <c r="L745" s="33"/>
      <c r="M745" s="33"/>
      <c r="N745" s="81"/>
      <c r="O745" s="33"/>
      <c r="P745" s="35"/>
      <c r="Q745" s="36"/>
      <c r="R745" s="36"/>
    </row>
    <row r="746" ht="22.5" customHeight="1">
      <c r="A746" s="38"/>
      <c r="B746" s="26"/>
      <c r="C746" s="29"/>
      <c r="D746" s="29"/>
      <c r="E746" s="29"/>
      <c r="F746" s="29"/>
      <c r="G746" s="287"/>
      <c r="H746" s="31"/>
      <c r="I746" s="31"/>
      <c r="J746" s="33"/>
      <c r="K746" s="33"/>
      <c r="L746" s="33"/>
      <c r="M746" s="33"/>
      <c r="N746" s="81"/>
      <c r="O746" s="33"/>
      <c r="P746" s="35"/>
      <c r="Q746" s="36"/>
      <c r="R746" s="36"/>
    </row>
    <row r="747" ht="22.5" customHeight="1">
      <c r="A747" s="38"/>
      <c r="B747" s="26"/>
      <c r="C747" s="29"/>
      <c r="D747" s="29"/>
      <c r="E747" s="29"/>
      <c r="F747" s="29"/>
      <c r="G747" s="287"/>
      <c r="H747" s="31"/>
      <c r="I747" s="31"/>
      <c r="J747" s="33"/>
      <c r="K747" s="33"/>
      <c r="L747" s="33"/>
      <c r="M747" s="33"/>
      <c r="N747" s="81"/>
      <c r="O747" s="33"/>
      <c r="P747" s="35"/>
      <c r="Q747" s="36"/>
      <c r="R747" s="36"/>
    </row>
    <row r="748" ht="22.5" customHeight="1">
      <c r="A748" s="38"/>
      <c r="B748" s="26"/>
      <c r="C748" s="29"/>
      <c r="D748" s="29"/>
      <c r="E748" s="29"/>
      <c r="F748" s="29"/>
      <c r="G748" s="287"/>
      <c r="H748" s="31"/>
      <c r="I748" s="31"/>
      <c r="J748" s="33"/>
      <c r="K748" s="33"/>
      <c r="L748" s="33"/>
      <c r="M748" s="33"/>
      <c r="N748" s="81"/>
      <c r="O748" s="33"/>
      <c r="P748" s="35"/>
      <c r="Q748" s="36"/>
      <c r="R748" s="36"/>
    </row>
    <row r="749" ht="22.5" customHeight="1">
      <c r="A749" s="38"/>
      <c r="B749" s="26"/>
      <c r="C749" s="29"/>
      <c r="D749" s="29"/>
      <c r="E749" s="29"/>
      <c r="F749" s="29"/>
      <c r="G749" s="287"/>
      <c r="H749" s="31"/>
      <c r="I749" s="31"/>
      <c r="J749" s="33"/>
      <c r="K749" s="33"/>
      <c r="L749" s="33"/>
      <c r="M749" s="33"/>
      <c r="N749" s="81"/>
      <c r="O749" s="33"/>
      <c r="P749" s="35"/>
      <c r="Q749" s="36"/>
      <c r="R749" s="36"/>
    </row>
    <row r="750" ht="22.5" customHeight="1">
      <c r="A750" s="38"/>
      <c r="B750" s="26"/>
      <c r="C750" s="29"/>
      <c r="D750" s="29"/>
      <c r="E750" s="29"/>
      <c r="F750" s="29"/>
      <c r="G750" s="287"/>
      <c r="H750" s="31"/>
      <c r="I750" s="31"/>
      <c r="J750" s="33"/>
      <c r="K750" s="33"/>
      <c r="L750" s="33"/>
      <c r="M750" s="33"/>
      <c r="N750" s="81"/>
      <c r="O750" s="33"/>
      <c r="P750" s="35"/>
      <c r="Q750" s="36"/>
      <c r="R750" s="36"/>
    </row>
    <row r="751" ht="22.5" customHeight="1">
      <c r="A751" s="38"/>
      <c r="B751" s="26"/>
      <c r="C751" s="29"/>
      <c r="D751" s="29"/>
      <c r="E751" s="29"/>
      <c r="F751" s="29"/>
      <c r="G751" s="287"/>
      <c r="H751" s="31"/>
      <c r="I751" s="31"/>
      <c r="J751" s="33"/>
      <c r="K751" s="33"/>
      <c r="L751" s="33"/>
      <c r="M751" s="33"/>
      <c r="N751" s="81"/>
      <c r="O751" s="33"/>
      <c r="P751" s="35"/>
      <c r="Q751" s="36"/>
      <c r="R751" s="36"/>
    </row>
    <row r="752" ht="22.5" customHeight="1">
      <c r="A752" s="38"/>
      <c r="B752" s="26"/>
      <c r="C752" s="29"/>
      <c r="D752" s="29"/>
      <c r="E752" s="29"/>
      <c r="F752" s="29"/>
      <c r="G752" s="287"/>
      <c r="H752" s="31"/>
      <c r="I752" s="31"/>
      <c r="J752" s="33"/>
      <c r="K752" s="33"/>
      <c r="L752" s="33"/>
      <c r="M752" s="33"/>
      <c r="N752" s="81"/>
      <c r="O752" s="33"/>
      <c r="P752" s="35"/>
      <c r="Q752" s="36"/>
      <c r="R752" s="36"/>
    </row>
    <row r="753" ht="22.5" customHeight="1">
      <c r="A753" s="38"/>
      <c r="B753" s="26"/>
      <c r="C753" s="29"/>
      <c r="D753" s="29"/>
      <c r="E753" s="29"/>
      <c r="F753" s="29"/>
      <c r="G753" s="287"/>
      <c r="H753" s="31"/>
      <c r="I753" s="31"/>
      <c r="J753" s="33"/>
      <c r="K753" s="33"/>
      <c r="L753" s="33"/>
      <c r="M753" s="33"/>
      <c r="N753" s="81"/>
      <c r="O753" s="33"/>
      <c r="P753" s="35"/>
      <c r="Q753" s="36"/>
      <c r="R753" s="36"/>
    </row>
    <row r="754" ht="22.5" customHeight="1">
      <c r="A754" s="38"/>
      <c r="B754" s="26"/>
      <c r="C754" s="29"/>
      <c r="D754" s="29"/>
      <c r="E754" s="29"/>
      <c r="F754" s="29"/>
      <c r="G754" s="287"/>
      <c r="H754" s="31"/>
      <c r="I754" s="31"/>
      <c r="J754" s="33"/>
      <c r="K754" s="33"/>
      <c r="L754" s="33"/>
      <c r="M754" s="33"/>
      <c r="N754" s="81"/>
      <c r="O754" s="33"/>
      <c r="P754" s="35"/>
      <c r="Q754" s="36"/>
      <c r="R754" s="36"/>
    </row>
    <row r="755" ht="22.5" customHeight="1">
      <c r="A755" s="38"/>
      <c r="B755" s="26"/>
      <c r="C755" s="29"/>
      <c r="D755" s="29"/>
      <c r="E755" s="29"/>
      <c r="F755" s="29"/>
      <c r="G755" s="287"/>
      <c r="H755" s="31"/>
      <c r="I755" s="31"/>
      <c r="J755" s="33"/>
      <c r="K755" s="33"/>
      <c r="L755" s="33"/>
      <c r="M755" s="33"/>
      <c r="N755" s="81"/>
      <c r="O755" s="33"/>
      <c r="P755" s="35"/>
      <c r="Q755" s="36"/>
      <c r="R755" s="36"/>
    </row>
    <row r="756" ht="22.5" customHeight="1">
      <c r="A756" s="38"/>
      <c r="B756" s="26"/>
      <c r="C756" s="29"/>
      <c r="D756" s="29"/>
      <c r="E756" s="29"/>
      <c r="F756" s="29"/>
      <c r="G756" s="287"/>
      <c r="H756" s="31"/>
      <c r="I756" s="31"/>
      <c r="J756" s="33"/>
      <c r="K756" s="33"/>
      <c r="L756" s="33"/>
      <c r="M756" s="33"/>
      <c r="N756" s="81"/>
      <c r="O756" s="33"/>
      <c r="P756" s="35"/>
      <c r="Q756" s="36"/>
      <c r="R756" s="36"/>
    </row>
    <row r="757" ht="22.5" customHeight="1">
      <c r="A757" s="38"/>
      <c r="B757" s="26"/>
      <c r="C757" s="29"/>
      <c r="D757" s="29"/>
      <c r="E757" s="29"/>
      <c r="F757" s="29"/>
      <c r="G757" s="287"/>
      <c r="H757" s="31"/>
      <c r="I757" s="31"/>
      <c r="J757" s="33"/>
      <c r="K757" s="33"/>
      <c r="L757" s="33"/>
      <c r="M757" s="33"/>
      <c r="N757" s="81"/>
      <c r="O757" s="33"/>
      <c r="P757" s="35"/>
      <c r="Q757" s="36"/>
      <c r="R757" s="36"/>
    </row>
    <row r="758" ht="22.5" customHeight="1">
      <c r="A758" s="38"/>
      <c r="B758" s="26"/>
      <c r="C758" s="29"/>
      <c r="D758" s="29"/>
      <c r="E758" s="29"/>
      <c r="F758" s="29"/>
      <c r="G758" s="287"/>
      <c r="H758" s="31"/>
      <c r="I758" s="31"/>
      <c r="J758" s="33"/>
      <c r="K758" s="33"/>
      <c r="L758" s="33"/>
      <c r="M758" s="33"/>
      <c r="N758" s="81"/>
      <c r="O758" s="33"/>
      <c r="P758" s="35"/>
      <c r="Q758" s="36"/>
      <c r="R758" s="36"/>
    </row>
    <row r="759" ht="22.5" customHeight="1">
      <c r="A759" s="38"/>
      <c r="B759" s="26"/>
      <c r="C759" s="29"/>
      <c r="D759" s="29"/>
      <c r="E759" s="29"/>
      <c r="F759" s="29"/>
      <c r="G759" s="287"/>
      <c r="H759" s="31"/>
      <c r="I759" s="31"/>
      <c r="J759" s="33"/>
      <c r="K759" s="33"/>
      <c r="L759" s="33"/>
      <c r="M759" s="33"/>
      <c r="N759" s="81"/>
      <c r="O759" s="33"/>
      <c r="P759" s="35"/>
      <c r="Q759" s="36"/>
      <c r="R759" s="36"/>
    </row>
    <row r="760" ht="22.5" customHeight="1">
      <c r="A760" s="38"/>
      <c r="B760" s="26"/>
      <c r="C760" s="29"/>
      <c r="D760" s="29"/>
      <c r="E760" s="29"/>
      <c r="F760" s="29"/>
      <c r="G760" s="287"/>
      <c r="H760" s="31"/>
      <c r="I760" s="31"/>
      <c r="J760" s="33"/>
      <c r="K760" s="33"/>
      <c r="L760" s="33"/>
      <c r="M760" s="33"/>
      <c r="N760" s="81"/>
      <c r="O760" s="33"/>
      <c r="P760" s="35"/>
      <c r="Q760" s="36"/>
      <c r="R760" s="36"/>
    </row>
    <row r="761" ht="22.5" customHeight="1">
      <c r="A761" s="38"/>
      <c r="B761" s="26"/>
      <c r="C761" s="29"/>
      <c r="D761" s="29"/>
      <c r="E761" s="29"/>
      <c r="F761" s="29"/>
      <c r="G761" s="287"/>
      <c r="H761" s="31"/>
      <c r="I761" s="31"/>
      <c r="J761" s="33"/>
      <c r="K761" s="33"/>
      <c r="L761" s="33"/>
      <c r="M761" s="33"/>
      <c r="N761" s="81"/>
      <c r="O761" s="33"/>
      <c r="P761" s="35"/>
      <c r="Q761" s="36"/>
      <c r="R761" s="36"/>
    </row>
    <row r="762" ht="22.5" customHeight="1">
      <c r="A762" s="38"/>
      <c r="B762" s="26"/>
      <c r="C762" s="29"/>
      <c r="D762" s="29"/>
      <c r="E762" s="29"/>
      <c r="F762" s="29"/>
      <c r="G762" s="287"/>
      <c r="H762" s="31"/>
      <c r="I762" s="31"/>
      <c r="J762" s="33"/>
      <c r="K762" s="33"/>
      <c r="L762" s="33"/>
      <c r="M762" s="33"/>
      <c r="N762" s="81"/>
      <c r="O762" s="33"/>
      <c r="P762" s="35"/>
      <c r="Q762" s="36"/>
      <c r="R762" s="36"/>
    </row>
    <row r="763" ht="22.5" customHeight="1">
      <c r="A763" s="38"/>
      <c r="B763" s="26"/>
      <c r="C763" s="29"/>
      <c r="D763" s="29"/>
      <c r="E763" s="29"/>
      <c r="F763" s="29"/>
      <c r="G763" s="287"/>
      <c r="H763" s="31"/>
      <c r="I763" s="31"/>
      <c r="J763" s="33"/>
      <c r="K763" s="33"/>
      <c r="L763" s="33"/>
      <c r="M763" s="33"/>
      <c r="N763" s="81"/>
      <c r="O763" s="33"/>
      <c r="P763" s="35"/>
      <c r="Q763" s="36"/>
      <c r="R763" s="36"/>
    </row>
    <row r="764" ht="22.5" customHeight="1">
      <c r="A764" s="38"/>
      <c r="B764" s="26"/>
      <c r="C764" s="29"/>
      <c r="D764" s="29"/>
      <c r="E764" s="29"/>
      <c r="F764" s="29"/>
      <c r="G764" s="287"/>
      <c r="H764" s="31"/>
      <c r="I764" s="31"/>
      <c r="J764" s="33"/>
      <c r="K764" s="33"/>
      <c r="L764" s="33"/>
      <c r="M764" s="33"/>
      <c r="N764" s="81"/>
      <c r="O764" s="33"/>
      <c r="P764" s="35"/>
      <c r="Q764" s="36"/>
      <c r="R764" s="36"/>
    </row>
    <row r="765" ht="22.5" customHeight="1">
      <c r="A765" s="38"/>
      <c r="B765" s="26"/>
      <c r="C765" s="29"/>
      <c r="D765" s="29"/>
      <c r="E765" s="29"/>
      <c r="F765" s="29"/>
      <c r="G765" s="287"/>
      <c r="H765" s="31"/>
      <c r="I765" s="31"/>
      <c r="J765" s="33"/>
      <c r="K765" s="33"/>
      <c r="L765" s="33"/>
      <c r="M765" s="33"/>
      <c r="N765" s="81"/>
      <c r="O765" s="33"/>
      <c r="P765" s="35"/>
      <c r="Q765" s="36"/>
      <c r="R765" s="36"/>
    </row>
    <row r="766" ht="22.5" customHeight="1">
      <c r="A766" s="38"/>
      <c r="B766" s="26"/>
      <c r="C766" s="29"/>
      <c r="D766" s="29"/>
      <c r="E766" s="29"/>
      <c r="F766" s="29"/>
      <c r="G766" s="287"/>
      <c r="H766" s="31"/>
      <c r="I766" s="31"/>
      <c r="J766" s="33"/>
      <c r="K766" s="33"/>
      <c r="L766" s="33"/>
      <c r="M766" s="33"/>
      <c r="N766" s="81"/>
      <c r="O766" s="33"/>
      <c r="P766" s="35"/>
      <c r="Q766" s="36"/>
      <c r="R766" s="36"/>
    </row>
    <row r="767" ht="22.5" customHeight="1">
      <c r="A767" s="38"/>
      <c r="B767" s="26"/>
      <c r="C767" s="29"/>
      <c r="D767" s="29"/>
      <c r="E767" s="29"/>
      <c r="F767" s="29"/>
      <c r="G767" s="287"/>
      <c r="H767" s="31"/>
      <c r="I767" s="31"/>
      <c r="J767" s="33"/>
      <c r="K767" s="33"/>
      <c r="L767" s="33"/>
      <c r="M767" s="33"/>
      <c r="N767" s="81"/>
      <c r="O767" s="33"/>
      <c r="P767" s="35"/>
      <c r="Q767" s="36"/>
      <c r="R767" s="36"/>
    </row>
    <row r="768" ht="22.5" customHeight="1">
      <c r="A768" s="38"/>
      <c r="B768" s="26"/>
      <c r="C768" s="29"/>
      <c r="D768" s="29"/>
      <c r="E768" s="29"/>
      <c r="F768" s="29"/>
      <c r="G768" s="287"/>
      <c r="H768" s="31"/>
      <c r="I768" s="31"/>
      <c r="J768" s="33"/>
      <c r="K768" s="33"/>
      <c r="L768" s="33"/>
      <c r="M768" s="33"/>
      <c r="N768" s="81"/>
      <c r="O768" s="33"/>
      <c r="P768" s="35"/>
      <c r="Q768" s="36"/>
      <c r="R768" s="36"/>
    </row>
    <row r="769" ht="22.5" customHeight="1">
      <c r="A769" s="38"/>
      <c r="B769" s="26"/>
      <c r="C769" s="29"/>
      <c r="D769" s="29"/>
      <c r="E769" s="29"/>
      <c r="F769" s="29"/>
      <c r="G769" s="287"/>
      <c r="H769" s="31"/>
      <c r="I769" s="31"/>
      <c r="J769" s="33"/>
      <c r="K769" s="33"/>
      <c r="L769" s="33"/>
      <c r="M769" s="33"/>
      <c r="N769" s="81"/>
      <c r="O769" s="33"/>
      <c r="P769" s="35"/>
      <c r="Q769" s="36"/>
      <c r="R769" s="36"/>
    </row>
    <row r="770" ht="22.5" customHeight="1">
      <c r="A770" s="38"/>
      <c r="B770" s="26"/>
      <c r="C770" s="29"/>
      <c r="D770" s="29"/>
      <c r="E770" s="29"/>
      <c r="F770" s="29"/>
      <c r="G770" s="287"/>
      <c r="H770" s="31"/>
      <c r="I770" s="31"/>
      <c r="J770" s="33"/>
      <c r="K770" s="33"/>
      <c r="L770" s="33"/>
      <c r="M770" s="33"/>
      <c r="N770" s="81"/>
      <c r="O770" s="33"/>
      <c r="P770" s="35"/>
      <c r="Q770" s="36"/>
      <c r="R770" s="36"/>
    </row>
    <row r="771" ht="22.5" customHeight="1">
      <c r="A771" s="38"/>
      <c r="B771" s="26"/>
      <c r="C771" s="29"/>
      <c r="D771" s="29"/>
      <c r="E771" s="29"/>
      <c r="F771" s="29"/>
      <c r="G771" s="287"/>
      <c r="H771" s="31"/>
      <c r="I771" s="31"/>
      <c r="J771" s="33"/>
      <c r="K771" s="33"/>
      <c r="L771" s="33"/>
      <c r="M771" s="33"/>
      <c r="N771" s="81"/>
      <c r="O771" s="33"/>
      <c r="P771" s="35"/>
      <c r="Q771" s="36"/>
      <c r="R771" s="36"/>
    </row>
    <row r="772" ht="22.5" customHeight="1">
      <c r="A772" s="38"/>
      <c r="B772" s="26"/>
      <c r="C772" s="29"/>
      <c r="D772" s="29"/>
      <c r="E772" s="29"/>
      <c r="F772" s="29"/>
      <c r="G772" s="287"/>
      <c r="H772" s="31"/>
      <c r="I772" s="31"/>
      <c r="J772" s="33"/>
      <c r="K772" s="33"/>
      <c r="L772" s="33"/>
      <c r="M772" s="33"/>
      <c r="N772" s="81"/>
      <c r="O772" s="33"/>
      <c r="P772" s="35"/>
      <c r="Q772" s="36"/>
      <c r="R772" s="36"/>
    </row>
    <row r="773" ht="22.5" customHeight="1">
      <c r="A773" s="38"/>
      <c r="B773" s="26"/>
      <c r="C773" s="29"/>
      <c r="D773" s="29"/>
      <c r="E773" s="29"/>
      <c r="F773" s="29"/>
      <c r="G773" s="287"/>
      <c r="H773" s="31"/>
      <c r="I773" s="31"/>
      <c r="J773" s="33"/>
      <c r="K773" s="33"/>
      <c r="L773" s="33"/>
      <c r="M773" s="33"/>
      <c r="N773" s="81"/>
      <c r="O773" s="33"/>
      <c r="P773" s="35"/>
      <c r="Q773" s="36"/>
      <c r="R773" s="36"/>
    </row>
    <row r="774" ht="22.5" customHeight="1">
      <c r="A774" s="38"/>
      <c r="B774" s="26"/>
      <c r="C774" s="29"/>
      <c r="D774" s="29"/>
      <c r="E774" s="29"/>
      <c r="F774" s="29"/>
      <c r="G774" s="287"/>
      <c r="H774" s="31"/>
      <c r="I774" s="31"/>
      <c r="J774" s="33"/>
      <c r="K774" s="33"/>
      <c r="L774" s="33"/>
      <c r="M774" s="33"/>
      <c r="N774" s="81"/>
      <c r="O774" s="33"/>
      <c r="P774" s="35"/>
      <c r="Q774" s="36"/>
      <c r="R774" s="36"/>
    </row>
    <row r="775" ht="22.5" customHeight="1">
      <c r="A775" s="38"/>
      <c r="B775" s="26"/>
      <c r="C775" s="29"/>
      <c r="D775" s="29"/>
      <c r="E775" s="29"/>
      <c r="F775" s="29"/>
      <c r="G775" s="287"/>
      <c r="H775" s="31"/>
      <c r="I775" s="31"/>
      <c r="J775" s="33"/>
      <c r="K775" s="33"/>
      <c r="L775" s="33"/>
      <c r="M775" s="33"/>
      <c r="N775" s="81"/>
      <c r="O775" s="33"/>
      <c r="P775" s="35"/>
      <c r="Q775" s="36"/>
      <c r="R775" s="36"/>
    </row>
    <row r="776" ht="22.5" customHeight="1">
      <c r="A776" s="38"/>
      <c r="B776" s="26"/>
      <c r="C776" s="29"/>
      <c r="D776" s="29"/>
      <c r="E776" s="29"/>
      <c r="F776" s="29"/>
      <c r="G776" s="287"/>
      <c r="H776" s="31"/>
      <c r="I776" s="31"/>
      <c r="J776" s="33"/>
      <c r="K776" s="33"/>
      <c r="L776" s="33"/>
      <c r="M776" s="33"/>
      <c r="N776" s="81"/>
      <c r="O776" s="33"/>
      <c r="P776" s="35"/>
      <c r="Q776" s="36"/>
      <c r="R776" s="36"/>
    </row>
    <row r="777" ht="22.5" customHeight="1">
      <c r="A777" s="38"/>
      <c r="B777" s="26"/>
      <c r="C777" s="29"/>
      <c r="D777" s="29"/>
      <c r="E777" s="29"/>
      <c r="F777" s="29"/>
      <c r="G777" s="287"/>
      <c r="H777" s="31"/>
      <c r="I777" s="31"/>
      <c r="J777" s="33"/>
      <c r="K777" s="33"/>
      <c r="L777" s="33"/>
      <c r="M777" s="33"/>
      <c r="N777" s="81"/>
      <c r="O777" s="33"/>
      <c r="P777" s="35"/>
      <c r="Q777" s="36"/>
      <c r="R777" s="36"/>
    </row>
    <row r="778" ht="22.5" customHeight="1">
      <c r="A778" s="38"/>
      <c r="B778" s="26"/>
      <c r="C778" s="29"/>
      <c r="D778" s="29"/>
      <c r="E778" s="29"/>
      <c r="F778" s="29"/>
      <c r="G778" s="287"/>
      <c r="H778" s="31"/>
      <c r="I778" s="31"/>
      <c r="J778" s="33"/>
      <c r="K778" s="33"/>
      <c r="L778" s="33"/>
      <c r="M778" s="33"/>
      <c r="N778" s="81"/>
      <c r="O778" s="33"/>
      <c r="P778" s="35"/>
      <c r="Q778" s="36"/>
      <c r="R778" s="36"/>
    </row>
    <row r="779" ht="22.5" customHeight="1">
      <c r="A779" s="38"/>
      <c r="B779" s="26"/>
      <c r="C779" s="29"/>
      <c r="D779" s="29"/>
      <c r="E779" s="29"/>
      <c r="F779" s="29"/>
      <c r="G779" s="287"/>
      <c r="H779" s="31"/>
      <c r="I779" s="31"/>
      <c r="J779" s="33"/>
      <c r="K779" s="33"/>
      <c r="L779" s="33"/>
      <c r="M779" s="33"/>
      <c r="N779" s="81"/>
      <c r="O779" s="33"/>
      <c r="P779" s="35"/>
      <c r="Q779" s="36"/>
      <c r="R779" s="36"/>
    </row>
    <row r="780" ht="22.5" customHeight="1">
      <c r="A780" s="38"/>
      <c r="B780" s="26"/>
      <c r="C780" s="29"/>
      <c r="D780" s="29"/>
      <c r="E780" s="29"/>
      <c r="F780" s="29"/>
      <c r="G780" s="287"/>
      <c r="H780" s="31"/>
      <c r="I780" s="31"/>
      <c r="J780" s="33"/>
      <c r="K780" s="33"/>
      <c r="L780" s="33"/>
      <c r="M780" s="33"/>
      <c r="N780" s="81"/>
      <c r="O780" s="33"/>
      <c r="P780" s="35"/>
      <c r="Q780" s="36"/>
      <c r="R780" s="36"/>
    </row>
    <row r="781" ht="22.5" customHeight="1">
      <c r="A781" s="38"/>
      <c r="B781" s="26"/>
      <c r="C781" s="29"/>
      <c r="D781" s="29"/>
      <c r="E781" s="29"/>
      <c r="F781" s="29"/>
      <c r="G781" s="287"/>
      <c r="H781" s="31"/>
      <c r="I781" s="31"/>
      <c r="J781" s="33"/>
      <c r="K781" s="33"/>
      <c r="L781" s="33"/>
      <c r="M781" s="33"/>
      <c r="N781" s="81"/>
      <c r="O781" s="33"/>
      <c r="P781" s="35"/>
      <c r="Q781" s="36"/>
      <c r="R781" s="36"/>
    </row>
    <row r="782" ht="22.5" customHeight="1">
      <c r="A782" s="38"/>
      <c r="B782" s="26"/>
      <c r="C782" s="29"/>
      <c r="D782" s="29"/>
      <c r="E782" s="29"/>
      <c r="F782" s="29"/>
      <c r="G782" s="287"/>
      <c r="H782" s="31"/>
      <c r="I782" s="31"/>
      <c r="J782" s="33"/>
      <c r="K782" s="33"/>
      <c r="L782" s="33"/>
      <c r="M782" s="33"/>
      <c r="N782" s="81"/>
      <c r="O782" s="33"/>
      <c r="P782" s="35"/>
      <c r="Q782" s="36"/>
      <c r="R782" s="36"/>
    </row>
    <row r="783" ht="22.5" customHeight="1">
      <c r="A783" s="38"/>
      <c r="B783" s="26"/>
      <c r="C783" s="29"/>
      <c r="D783" s="29"/>
      <c r="E783" s="29"/>
      <c r="F783" s="29"/>
      <c r="G783" s="287"/>
      <c r="H783" s="31"/>
      <c r="I783" s="31"/>
      <c r="J783" s="33"/>
      <c r="K783" s="33"/>
      <c r="L783" s="33"/>
      <c r="M783" s="33"/>
      <c r="N783" s="81"/>
      <c r="O783" s="33"/>
      <c r="P783" s="35"/>
      <c r="Q783" s="36"/>
      <c r="R783" s="36"/>
    </row>
    <row r="784" ht="22.5" customHeight="1">
      <c r="A784" s="38"/>
      <c r="B784" s="26"/>
      <c r="C784" s="29"/>
      <c r="D784" s="29"/>
      <c r="E784" s="29"/>
      <c r="F784" s="29"/>
      <c r="G784" s="287"/>
      <c r="H784" s="31"/>
      <c r="I784" s="31"/>
      <c r="J784" s="33"/>
      <c r="K784" s="33"/>
      <c r="L784" s="33"/>
      <c r="M784" s="33"/>
      <c r="N784" s="81"/>
      <c r="O784" s="33"/>
      <c r="P784" s="35"/>
      <c r="Q784" s="36"/>
      <c r="R784" s="36"/>
    </row>
    <row r="785" ht="22.5" customHeight="1">
      <c r="A785" s="38"/>
      <c r="B785" s="26"/>
      <c r="C785" s="29"/>
      <c r="D785" s="29"/>
      <c r="E785" s="29"/>
      <c r="F785" s="29"/>
      <c r="G785" s="287"/>
      <c r="H785" s="31"/>
      <c r="I785" s="31"/>
      <c r="J785" s="33"/>
      <c r="K785" s="33"/>
      <c r="L785" s="33"/>
      <c r="M785" s="33"/>
      <c r="N785" s="81"/>
      <c r="O785" s="33"/>
      <c r="P785" s="35"/>
      <c r="Q785" s="36"/>
      <c r="R785" s="36"/>
    </row>
    <row r="786" ht="22.5" customHeight="1">
      <c r="A786" s="38"/>
      <c r="B786" s="26"/>
      <c r="C786" s="29"/>
      <c r="D786" s="29"/>
      <c r="E786" s="29"/>
      <c r="F786" s="29"/>
      <c r="G786" s="287"/>
      <c r="H786" s="31"/>
      <c r="I786" s="31"/>
      <c r="J786" s="33"/>
      <c r="K786" s="33"/>
      <c r="L786" s="33"/>
      <c r="M786" s="33"/>
      <c r="N786" s="81"/>
      <c r="O786" s="33"/>
      <c r="P786" s="35"/>
      <c r="Q786" s="36"/>
      <c r="R786" s="36"/>
    </row>
    <row r="787" ht="22.5" customHeight="1">
      <c r="A787" s="38"/>
      <c r="B787" s="26"/>
      <c r="C787" s="29"/>
      <c r="D787" s="29"/>
      <c r="E787" s="29"/>
      <c r="F787" s="29"/>
      <c r="G787" s="287"/>
      <c r="H787" s="31"/>
      <c r="I787" s="31"/>
      <c r="J787" s="33"/>
      <c r="K787" s="33"/>
      <c r="L787" s="33"/>
      <c r="M787" s="33"/>
      <c r="N787" s="81"/>
      <c r="O787" s="33"/>
      <c r="P787" s="35"/>
      <c r="Q787" s="36"/>
      <c r="R787" s="36"/>
    </row>
    <row r="788" ht="22.5" customHeight="1">
      <c r="A788" s="38"/>
      <c r="B788" s="26"/>
      <c r="C788" s="29"/>
      <c r="D788" s="29"/>
      <c r="E788" s="29"/>
      <c r="F788" s="29"/>
      <c r="G788" s="287"/>
      <c r="H788" s="31"/>
      <c r="I788" s="31"/>
      <c r="J788" s="33"/>
      <c r="K788" s="33"/>
      <c r="L788" s="33"/>
      <c r="M788" s="33"/>
      <c r="N788" s="81"/>
      <c r="O788" s="33"/>
      <c r="P788" s="35"/>
      <c r="Q788" s="36"/>
      <c r="R788" s="36"/>
    </row>
    <row r="789" ht="22.5" customHeight="1">
      <c r="A789" s="38"/>
      <c r="B789" s="26"/>
      <c r="C789" s="29"/>
      <c r="D789" s="29"/>
      <c r="E789" s="29"/>
      <c r="F789" s="29"/>
      <c r="G789" s="287"/>
      <c r="H789" s="31"/>
      <c r="I789" s="31"/>
      <c r="J789" s="33"/>
      <c r="K789" s="33"/>
      <c r="L789" s="33"/>
      <c r="M789" s="33"/>
      <c r="N789" s="81"/>
      <c r="O789" s="33"/>
      <c r="P789" s="35"/>
      <c r="Q789" s="36"/>
      <c r="R789" s="36"/>
    </row>
    <row r="790" ht="22.5" customHeight="1">
      <c r="A790" s="38"/>
      <c r="B790" s="26"/>
      <c r="C790" s="29"/>
      <c r="D790" s="29"/>
      <c r="E790" s="29"/>
      <c r="F790" s="29"/>
      <c r="G790" s="287"/>
      <c r="H790" s="31"/>
      <c r="I790" s="31"/>
      <c r="J790" s="33"/>
      <c r="K790" s="33"/>
      <c r="L790" s="33"/>
      <c r="M790" s="33"/>
      <c r="N790" s="81"/>
      <c r="O790" s="33"/>
      <c r="P790" s="35"/>
      <c r="Q790" s="36"/>
      <c r="R790" s="36"/>
    </row>
    <row r="791" ht="22.5" customHeight="1">
      <c r="A791" s="38"/>
      <c r="B791" s="26"/>
      <c r="C791" s="29"/>
      <c r="D791" s="29"/>
      <c r="E791" s="29"/>
      <c r="F791" s="29"/>
      <c r="G791" s="287"/>
      <c r="H791" s="31"/>
      <c r="I791" s="31"/>
      <c r="J791" s="33"/>
      <c r="K791" s="33"/>
      <c r="L791" s="33"/>
      <c r="M791" s="33"/>
      <c r="N791" s="81"/>
      <c r="O791" s="33"/>
      <c r="P791" s="35"/>
      <c r="Q791" s="36"/>
      <c r="R791" s="36"/>
    </row>
    <row r="792" ht="22.5" customHeight="1">
      <c r="A792" s="38"/>
      <c r="B792" s="26"/>
      <c r="C792" s="29"/>
      <c r="D792" s="29"/>
      <c r="E792" s="29"/>
      <c r="F792" s="29"/>
      <c r="G792" s="287"/>
      <c r="H792" s="31"/>
      <c r="I792" s="31"/>
      <c r="J792" s="33"/>
      <c r="K792" s="33"/>
      <c r="L792" s="33"/>
      <c r="M792" s="33"/>
      <c r="N792" s="81"/>
      <c r="O792" s="33"/>
      <c r="P792" s="35"/>
      <c r="Q792" s="36"/>
      <c r="R792" s="36"/>
    </row>
    <row r="793" ht="22.5" customHeight="1">
      <c r="A793" s="38"/>
      <c r="B793" s="26"/>
      <c r="C793" s="29"/>
      <c r="D793" s="29"/>
      <c r="E793" s="29"/>
      <c r="F793" s="29"/>
      <c r="G793" s="287"/>
      <c r="H793" s="31"/>
      <c r="I793" s="31"/>
      <c r="J793" s="33"/>
      <c r="K793" s="33"/>
      <c r="L793" s="33"/>
      <c r="M793" s="33"/>
      <c r="N793" s="81"/>
      <c r="O793" s="33"/>
      <c r="P793" s="35"/>
      <c r="Q793" s="36"/>
      <c r="R793" s="36"/>
    </row>
    <row r="794" ht="22.5" customHeight="1">
      <c r="A794" s="38"/>
      <c r="B794" s="26"/>
      <c r="C794" s="29"/>
      <c r="D794" s="29"/>
      <c r="E794" s="29"/>
      <c r="F794" s="29"/>
      <c r="G794" s="287"/>
      <c r="H794" s="31"/>
      <c r="I794" s="31"/>
      <c r="J794" s="33"/>
      <c r="K794" s="33"/>
      <c r="L794" s="33"/>
      <c r="M794" s="33"/>
      <c r="N794" s="81"/>
      <c r="O794" s="33"/>
      <c r="P794" s="35"/>
      <c r="Q794" s="36"/>
      <c r="R794" s="36"/>
    </row>
    <row r="795" ht="22.5" customHeight="1">
      <c r="A795" s="38"/>
      <c r="B795" s="26"/>
      <c r="C795" s="29"/>
      <c r="D795" s="29"/>
      <c r="E795" s="29"/>
      <c r="F795" s="29"/>
      <c r="G795" s="287"/>
      <c r="H795" s="31"/>
      <c r="I795" s="31"/>
      <c r="J795" s="33"/>
      <c r="K795" s="33"/>
      <c r="L795" s="33"/>
      <c r="M795" s="33"/>
      <c r="N795" s="81"/>
      <c r="O795" s="33"/>
      <c r="P795" s="35"/>
      <c r="Q795" s="36"/>
      <c r="R795" s="36"/>
    </row>
    <row r="796" ht="22.5" customHeight="1">
      <c r="A796" s="38"/>
      <c r="B796" s="26"/>
      <c r="C796" s="29"/>
      <c r="D796" s="29"/>
      <c r="E796" s="29"/>
      <c r="F796" s="29"/>
      <c r="G796" s="287"/>
      <c r="H796" s="31"/>
      <c r="I796" s="31"/>
      <c r="J796" s="33"/>
      <c r="K796" s="33"/>
      <c r="L796" s="33"/>
      <c r="M796" s="33"/>
      <c r="N796" s="81"/>
      <c r="O796" s="33"/>
      <c r="P796" s="35"/>
      <c r="Q796" s="36"/>
      <c r="R796" s="36"/>
    </row>
    <row r="797" ht="22.5" customHeight="1">
      <c r="A797" s="38"/>
      <c r="B797" s="26"/>
      <c r="C797" s="29"/>
      <c r="D797" s="29"/>
      <c r="E797" s="29"/>
      <c r="F797" s="29"/>
      <c r="G797" s="287"/>
      <c r="H797" s="31"/>
      <c r="I797" s="31"/>
      <c r="J797" s="33"/>
      <c r="K797" s="33"/>
      <c r="L797" s="33"/>
      <c r="M797" s="33"/>
      <c r="N797" s="81"/>
      <c r="O797" s="33"/>
      <c r="P797" s="35"/>
      <c r="Q797" s="36"/>
      <c r="R797" s="36"/>
    </row>
    <row r="798" ht="22.5" customHeight="1">
      <c r="A798" s="38"/>
      <c r="B798" s="26"/>
      <c r="C798" s="29"/>
      <c r="D798" s="29"/>
      <c r="E798" s="29"/>
      <c r="F798" s="29"/>
      <c r="G798" s="287"/>
      <c r="H798" s="31"/>
      <c r="I798" s="31"/>
      <c r="J798" s="33"/>
      <c r="K798" s="33"/>
      <c r="L798" s="33"/>
      <c r="M798" s="33"/>
      <c r="N798" s="81"/>
      <c r="O798" s="33"/>
      <c r="P798" s="35"/>
      <c r="Q798" s="36"/>
      <c r="R798" s="36"/>
    </row>
    <row r="799" ht="22.5" customHeight="1">
      <c r="A799" s="38"/>
      <c r="B799" s="26"/>
      <c r="C799" s="29"/>
      <c r="D799" s="29"/>
      <c r="E799" s="29"/>
      <c r="F799" s="29"/>
      <c r="G799" s="287"/>
      <c r="H799" s="31"/>
      <c r="I799" s="31"/>
      <c r="J799" s="33"/>
      <c r="K799" s="33"/>
      <c r="L799" s="33"/>
      <c r="M799" s="33"/>
      <c r="N799" s="81"/>
      <c r="O799" s="33"/>
      <c r="P799" s="35"/>
      <c r="Q799" s="36"/>
      <c r="R799" s="36"/>
    </row>
    <row r="800" ht="22.5" customHeight="1">
      <c r="A800" s="38"/>
      <c r="B800" s="26"/>
      <c r="C800" s="29"/>
      <c r="D800" s="29"/>
      <c r="E800" s="29"/>
      <c r="F800" s="29"/>
      <c r="G800" s="287"/>
      <c r="H800" s="31"/>
      <c r="I800" s="31"/>
      <c r="J800" s="33"/>
      <c r="K800" s="33"/>
      <c r="L800" s="33"/>
      <c r="M800" s="33"/>
      <c r="N800" s="81"/>
      <c r="O800" s="33"/>
      <c r="P800" s="35"/>
      <c r="Q800" s="36"/>
      <c r="R800" s="36"/>
    </row>
    <row r="801" ht="22.5" customHeight="1">
      <c r="A801" s="38"/>
      <c r="B801" s="26"/>
      <c r="C801" s="29"/>
      <c r="D801" s="29"/>
      <c r="E801" s="29"/>
      <c r="F801" s="29"/>
      <c r="G801" s="287"/>
      <c r="H801" s="31"/>
      <c r="I801" s="31"/>
      <c r="J801" s="33"/>
      <c r="K801" s="33"/>
      <c r="L801" s="33"/>
      <c r="M801" s="33"/>
      <c r="N801" s="81"/>
      <c r="O801" s="33"/>
      <c r="P801" s="35"/>
      <c r="Q801" s="36"/>
      <c r="R801" s="36"/>
    </row>
    <row r="802" ht="22.5" customHeight="1">
      <c r="A802" s="38"/>
      <c r="B802" s="26"/>
      <c r="C802" s="29"/>
      <c r="D802" s="29"/>
      <c r="E802" s="29"/>
      <c r="F802" s="29"/>
      <c r="G802" s="287"/>
      <c r="H802" s="31"/>
      <c r="I802" s="31"/>
      <c r="J802" s="33"/>
      <c r="K802" s="33"/>
      <c r="L802" s="33"/>
      <c r="M802" s="33"/>
      <c r="N802" s="81"/>
      <c r="O802" s="33"/>
      <c r="P802" s="35"/>
      <c r="Q802" s="36"/>
      <c r="R802" s="36"/>
    </row>
    <row r="803" ht="22.5" customHeight="1">
      <c r="A803" s="38"/>
      <c r="B803" s="26"/>
      <c r="C803" s="29"/>
      <c r="D803" s="29"/>
      <c r="E803" s="29"/>
      <c r="F803" s="29"/>
      <c r="G803" s="287"/>
      <c r="H803" s="31"/>
      <c r="I803" s="31"/>
      <c r="J803" s="33"/>
      <c r="K803" s="33"/>
      <c r="L803" s="33"/>
      <c r="M803" s="33"/>
      <c r="N803" s="81"/>
      <c r="O803" s="33"/>
      <c r="P803" s="35"/>
      <c r="Q803" s="36"/>
      <c r="R803" s="36"/>
    </row>
    <row r="804" ht="22.5" customHeight="1">
      <c r="A804" s="38"/>
      <c r="B804" s="26"/>
      <c r="C804" s="29"/>
      <c r="D804" s="29"/>
      <c r="E804" s="29"/>
      <c r="F804" s="29"/>
      <c r="G804" s="287"/>
      <c r="H804" s="31"/>
      <c r="I804" s="31"/>
      <c r="J804" s="33"/>
      <c r="K804" s="33"/>
      <c r="L804" s="33"/>
      <c r="M804" s="33"/>
      <c r="N804" s="81"/>
      <c r="O804" s="33"/>
      <c r="P804" s="35"/>
      <c r="Q804" s="36"/>
      <c r="R804" s="36"/>
    </row>
    <row r="805" ht="22.5" customHeight="1">
      <c r="A805" s="38"/>
      <c r="B805" s="26"/>
      <c r="C805" s="29"/>
      <c r="D805" s="29"/>
      <c r="E805" s="29"/>
      <c r="F805" s="29"/>
      <c r="G805" s="287"/>
      <c r="H805" s="31"/>
      <c r="I805" s="31"/>
      <c r="J805" s="33"/>
      <c r="K805" s="33"/>
      <c r="L805" s="33"/>
      <c r="M805" s="33"/>
      <c r="N805" s="81"/>
      <c r="O805" s="33"/>
      <c r="P805" s="35"/>
      <c r="Q805" s="36"/>
      <c r="R805" s="36"/>
    </row>
    <row r="806" ht="22.5" customHeight="1">
      <c r="A806" s="38"/>
      <c r="B806" s="26"/>
      <c r="C806" s="29"/>
      <c r="D806" s="29"/>
      <c r="E806" s="29"/>
      <c r="F806" s="29"/>
      <c r="G806" s="287"/>
      <c r="H806" s="31"/>
      <c r="I806" s="31"/>
      <c r="J806" s="33"/>
      <c r="K806" s="33"/>
      <c r="L806" s="33"/>
      <c r="M806" s="33"/>
      <c r="N806" s="81"/>
      <c r="O806" s="33"/>
      <c r="P806" s="35"/>
      <c r="Q806" s="36"/>
      <c r="R806" s="36"/>
    </row>
    <row r="807" ht="22.5" customHeight="1">
      <c r="A807" s="38"/>
      <c r="B807" s="26"/>
      <c r="C807" s="29"/>
      <c r="D807" s="29"/>
      <c r="E807" s="29"/>
      <c r="F807" s="29"/>
      <c r="G807" s="287"/>
      <c r="H807" s="31"/>
      <c r="I807" s="31"/>
      <c r="J807" s="33"/>
      <c r="K807" s="33"/>
      <c r="L807" s="33"/>
      <c r="M807" s="33"/>
      <c r="N807" s="81"/>
      <c r="O807" s="33"/>
      <c r="P807" s="35"/>
      <c r="Q807" s="36"/>
      <c r="R807" s="36"/>
    </row>
    <row r="808" ht="22.5" customHeight="1">
      <c r="A808" s="38"/>
      <c r="B808" s="26"/>
      <c r="C808" s="29"/>
      <c r="D808" s="29"/>
      <c r="E808" s="29"/>
      <c r="F808" s="29"/>
      <c r="G808" s="287"/>
      <c r="H808" s="31"/>
      <c r="I808" s="31"/>
      <c r="J808" s="33"/>
      <c r="K808" s="33"/>
      <c r="L808" s="33"/>
      <c r="M808" s="33"/>
      <c r="N808" s="81"/>
      <c r="O808" s="33"/>
      <c r="P808" s="35"/>
      <c r="Q808" s="36"/>
      <c r="R808" s="36"/>
    </row>
    <row r="809" ht="22.5" customHeight="1">
      <c r="A809" s="38"/>
      <c r="B809" s="26"/>
      <c r="C809" s="29"/>
      <c r="D809" s="29"/>
      <c r="E809" s="29"/>
      <c r="F809" s="29"/>
      <c r="G809" s="287"/>
      <c r="H809" s="31"/>
      <c r="I809" s="31"/>
      <c r="J809" s="33"/>
      <c r="K809" s="33"/>
      <c r="L809" s="33"/>
      <c r="M809" s="33"/>
      <c r="N809" s="81"/>
      <c r="O809" s="33"/>
      <c r="P809" s="35"/>
      <c r="Q809" s="36"/>
      <c r="R809" s="36"/>
    </row>
    <row r="810" ht="22.5" customHeight="1">
      <c r="A810" s="38"/>
      <c r="B810" s="26"/>
      <c r="C810" s="29"/>
      <c r="D810" s="29"/>
      <c r="E810" s="29"/>
      <c r="F810" s="29"/>
      <c r="G810" s="287"/>
      <c r="H810" s="31"/>
      <c r="I810" s="31"/>
      <c r="J810" s="33"/>
      <c r="K810" s="33"/>
      <c r="L810" s="33"/>
      <c r="M810" s="33"/>
      <c r="N810" s="81"/>
      <c r="O810" s="33"/>
      <c r="P810" s="35"/>
      <c r="Q810" s="36"/>
      <c r="R810" s="36"/>
    </row>
    <row r="811" ht="22.5" customHeight="1">
      <c r="A811" s="38"/>
      <c r="B811" s="26"/>
      <c r="C811" s="29"/>
      <c r="D811" s="29"/>
      <c r="E811" s="29"/>
      <c r="F811" s="29"/>
      <c r="G811" s="287"/>
      <c r="H811" s="31"/>
      <c r="I811" s="31"/>
      <c r="J811" s="33"/>
      <c r="K811" s="33"/>
      <c r="L811" s="33"/>
      <c r="M811" s="33"/>
      <c r="N811" s="81"/>
      <c r="O811" s="33"/>
      <c r="P811" s="35"/>
      <c r="Q811" s="36"/>
      <c r="R811" s="36"/>
    </row>
    <row r="812" ht="22.5" customHeight="1">
      <c r="A812" s="38"/>
      <c r="B812" s="26"/>
      <c r="C812" s="29"/>
      <c r="D812" s="29"/>
      <c r="E812" s="29"/>
      <c r="F812" s="29"/>
      <c r="G812" s="287"/>
      <c r="H812" s="31"/>
      <c r="I812" s="31"/>
      <c r="J812" s="33"/>
      <c r="K812" s="33"/>
      <c r="L812" s="33"/>
      <c r="M812" s="33"/>
      <c r="N812" s="81"/>
      <c r="O812" s="33"/>
      <c r="P812" s="35"/>
      <c r="Q812" s="36"/>
      <c r="R812" s="36"/>
    </row>
    <row r="813" ht="22.5" customHeight="1">
      <c r="A813" s="38"/>
      <c r="B813" s="26"/>
      <c r="C813" s="29"/>
      <c r="D813" s="29"/>
      <c r="E813" s="29"/>
      <c r="F813" s="29"/>
      <c r="G813" s="287"/>
      <c r="H813" s="31"/>
      <c r="I813" s="31"/>
      <c r="J813" s="33"/>
      <c r="K813" s="33"/>
      <c r="L813" s="33"/>
      <c r="M813" s="33"/>
      <c r="N813" s="81"/>
      <c r="O813" s="33"/>
      <c r="P813" s="35"/>
      <c r="Q813" s="36"/>
      <c r="R813" s="36"/>
    </row>
    <row r="814" ht="22.5" customHeight="1">
      <c r="A814" s="38"/>
      <c r="B814" s="26"/>
      <c r="C814" s="29"/>
      <c r="D814" s="29"/>
      <c r="E814" s="29"/>
      <c r="F814" s="29"/>
      <c r="G814" s="287"/>
      <c r="H814" s="31"/>
      <c r="I814" s="31"/>
      <c r="J814" s="33"/>
      <c r="K814" s="33"/>
      <c r="L814" s="33"/>
      <c r="M814" s="33"/>
      <c r="N814" s="81"/>
      <c r="O814" s="33"/>
      <c r="P814" s="35"/>
      <c r="Q814" s="36"/>
      <c r="R814" s="36"/>
    </row>
    <row r="815" ht="22.5" customHeight="1">
      <c r="A815" s="38"/>
      <c r="B815" s="26"/>
      <c r="C815" s="29"/>
      <c r="D815" s="29"/>
      <c r="E815" s="29"/>
      <c r="F815" s="29"/>
      <c r="G815" s="287"/>
      <c r="H815" s="31"/>
      <c r="I815" s="31"/>
      <c r="J815" s="33"/>
      <c r="K815" s="33"/>
      <c r="L815" s="33"/>
      <c r="M815" s="33"/>
      <c r="N815" s="81"/>
      <c r="O815" s="33"/>
      <c r="P815" s="35"/>
      <c r="Q815" s="36"/>
      <c r="R815" s="36"/>
    </row>
    <row r="816" ht="22.5" customHeight="1">
      <c r="A816" s="38"/>
      <c r="B816" s="26"/>
      <c r="C816" s="29"/>
      <c r="D816" s="29"/>
      <c r="E816" s="29"/>
      <c r="F816" s="29"/>
      <c r="G816" s="287"/>
      <c r="H816" s="31"/>
      <c r="I816" s="31"/>
      <c r="J816" s="33"/>
      <c r="K816" s="33"/>
      <c r="L816" s="33"/>
      <c r="M816" s="33"/>
      <c r="N816" s="81"/>
      <c r="O816" s="33"/>
      <c r="P816" s="35"/>
      <c r="Q816" s="36"/>
      <c r="R816" s="36"/>
    </row>
    <row r="817" ht="22.5" customHeight="1">
      <c r="A817" s="38"/>
      <c r="B817" s="26"/>
      <c r="C817" s="29"/>
      <c r="D817" s="29"/>
      <c r="E817" s="29"/>
      <c r="F817" s="29"/>
      <c r="G817" s="287"/>
      <c r="H817" s="31"/>
      <c r="I817" s="31"/>
      <c r="J817" s="33"/>
      <c r="K817" s="33"/>
      <c r="L817" s="33"/>
      <c r="M817" s="33"/>
      <c r="N817" s="81"/>
      <c r="O817" s="33"/>
      <c r="P817" s="35"/>
      <c r="Q817" s="36"/>
      <c r="R817" s="36"/>
    </row>
    <row r="818" ht="22.5" customHeight="1">
      <c r="A818" s="38"/>
      <c r="B818" s="26"/>
      <c r="C818" s="29"/>
      <c r="D818" s="29"/>
      <c r="E818" s="29"/>
      <c r="F818" s="29"/>
      <c r="G818" s="287"/>
      <c r="H818" s="31"/>
      <c r="I818" s="31"/>
      <c r="J818" s="33"/>
      <c r="K818" s="33"/>
      <c r="L818" s="33"/>
      <c r="M818" s="33"/>
      <c r="N818" s="81"/>
      <c r="O818" s="33"/>
      <c r="P818" s="35"/>
      <c r="Q818" s="36"/>
      <c r="R818" s="36"/>
    </row>
    <row r="819" ht="22.5" customHeight="1">
      <c r="A819" s="38"/>
      <c r="B819" s="26"/>
      <c r="C819" s="29"/>
      <c r="D819" s="29"/>
      <c r="E819" s="29"/>
      <c r="F819" s="29"/>
      <c r="G819" s="287"/>
      <c r="H819" s="31"/>
      <c r="I819" s="31"/>
      <c r="J819" s="33"/>
      <c r="K819" s="33"/>
      <c r="L819" s="33"/>
      <c r="M819" s="33"/>
      <c r="N819" s="81"/>
      <c r="O819" s="33"/>
      <c r="P819" s="35"/>
      <c r="Q819" s="36"/>
      <c r="R819" s="36"/>
    </row>
    <row r="820" ht="22.5" customHeight="1">
      <c r="A820" s="38"/>
      <c r="B820" s="26"/>
      <c r="C820" s="29"/>
      <c r="D820" s="29"/>
      <c r="E820" s="29"/>
      <c r="F820" s="29"/>
      <c r="G820" s="287"/>
      <c r="H820" s="31"/>
      <c r="I820" s="31"/>
      <c r="J820" s="33"/>
      <c r="K820" s="33"/>
      <c r="L820" s="33"/>
      <c r="M820" s="33"/>
      <c r="N820" s="81"/>
      <c r="O820" s="33"/>
      <c r="P820" s="35"/>
      <c r="Q820" s="36"/>
      <c r="R820" s="36"/>
    </row>
    <row r="821" ht="22.5" customHeight="1">
      <c r="A821" s="38"/>
      <c r="B821" s="26"/>
      <c r="C821" s="29"/>
      <c r="D821" s="29"/>
      <c r="E821" s="29"/>
      <c r="F821" s="29"/>
      <c r="G821" s="287"/>
      <c r="H821" s="31"/>
      <c r="I821" s="31"/>
      <c r="J821" s="33"/>
      <c r="K821" s="33"/>
      <c r="L821" s="33"/>
      <c r="M821" s="33"/>
      <c r="N821" s="81"/>
      <c r="O821" s="33"/>
      <c r="P821" s="35"/>
      <c r="Q821" s="36"/>
      <c r="R821" s="36"/>
    </row>
    <row r="822" ht="22.5" customHeight="1">
      <c r="A822" s="38"/>
      <c r="B822" s="26"/>
      <c r="C822" s="29"/>
      <c r="D822" s="29"/>
      <c r="E822" s="29"/>
      <c r="F822" s="29"/>
      <c r="G822" s="287"/>
      <c r="H822" s="31"/>
      <c r="I822" s="31"/>
      <c r="J822" s="33"/>
      <c r="K822" s="33"/>
      <c r="L822" s="33"/>
      <c r="M822" s="33"/>
      <c r="N822" s="81"/>
      <c r="O822" s="33"/>
      <c r="P822" s="35"/>
      <c r="Q822" s="36"/>
      <c r="R822" s="36"/>
    </row>
    <row r="823" ht="22.5" customHeight="1">
      <c r="A823" s="38"/>
      <c r="B823" s="26"/>
      <c r="C823" s="29"/>
      <c r="D823" s="29"/>
      <c r="E823" s="29"/>
      <c r="F823" s="29"/>
      <c r="G823" s="287"/>
      <c r="H823" s="31"/>
      <c r="I823" s="31"/>
      <c r="J823" s="33"/>
      <c r="K823" s="33"/>
      <c r="L823" s="33"/>
      <c r="M823" s="33"/>
      <c r="N823" s="81"/>
      <c r="O823" s="33"/>
      <c r="P823" s="35"/>
      <c r="Q823" s="36"/>
      <c r="R823" s="36"/>
    </row>
    <row r="824" ht="22.5" customHeight="1">
      <c r="A824" s="38"/>
      <c r="B824" s="26"/>
      <c r="C824" s="29"/>
      <c r="D824" s="29"/>
      <c r="E824" s="29"/>
      <c r="F824" s="29"/>
      <c r="G824" s="287"/>
      <c r="H824" s="31"/>
      <c r="I824" s="31"/>
      <c r="J824" s="33"/>
      <c r="K824" s="33"/>
      <c r="L824" s="33"/>
      <c r="M824" s="33"/>
      <c r="N824" s="81"/>
      <c r="O824" s="33"/>
      <c r="P824" s="35"/>
      <c r="Q824" s="36"/>
      <c r="R824" s="36"/>
    </row>
    <row r="825" ht="22.5" customHeight="1">
      <c r="A825" s="38"/>
      <c r="B825" s="26"/>
      <c r="C825" s="29"/>
      <c r="D825" s="29"/>
      <c r="E825" s="29"/>
      <c r="F825" s="29"/>
      <c r="G825" s="287"/>
      <c r="H825" s="31"/>
      <c r="I825" s="31"/>
      <c r="J825" s="33"/>
      <c r="K825" s="33"/>
      <c r="L825" s="33"/>
      <c r="M825" s="33"/>
      <c r="N825" s="81"/>
      <c r="O825" s="33"/>
      <c r="P825" s="35"/>
      <c r="Q825" s="36"/>
      <c r="R825" s="36"/>
    </row>
    <row r="826" ht="22.5" customHeight="1">
      <c r="A826" s="38"/>
      <c r="B826" s="26"/>
      <c r="C826" s="29"/>
      <c r="D826" s="29"/>
      <c r="E826" s="29"/>
      <c r="F826" s="29"/>
      <c r="G826" s="287"/>
      <c r="H826" s="31"/>
      <c r="I826" s="31"/>
      <c r="J826" s="33"/>
      <c r="K826" s="33"/>
      <c r="L826" s="33"/>
      <c r="M826" s="33"/>
      <c r="N826" s="81"/>
      <c r="O826" s="33"/>
      <c r="P826" s="35"/>
      <c r="Q826" s="36"/>
      <c r="R826" s="36"/>
    </row>
    <row r="827" ht="22.5" customHeight="1">
      <c r="A827" s="38"/>
      <c r="B827" s="26"/>
      <c r="C827" s="29"/>
      <c r="D827" s="29"/>
      <c r="E827" s="29"/>
      <c r="F827" s="29"/>
      <c r="G827" s="287"/>
      <c r="H827" s="31"/>
      <c r="I827" s="31"/>
      <c r="J827" s="33"/>
      <c r="K827" s="33"/>
      <c r="L827" s="33"/>
      <c r="M827" s="33"/>
      <c r="N827" s="81"/>
      <c r="O827" s="33"/>
      <c r="P827" s="35"/>
      <c r="Q827" s="36"/>
      <c r="R827" s="36"/>
    </row>
    <row r="828" ht="22.5" customHeight="1">
      <c r="A828" s="38"/>
      <c r="B828" s="26"/>
      <c r="C828" s="29"/>
      <c r="D828" s="29"/>
      <c r="E828" s="29"/>
      <c r="F828" s="29"/>
      <c r="G828" s="287"/>
      <c r="H828" s="31"/>
      <c r="I828" s="31"/>
      <c r="J828" s="33"/>
      <c r="K828" s="33"/>
      <c r="L828" s="33"/>
      <c r="M828" s="33"/>
      <c r="N828" s="81"/>
      <c r="O828" s="33"/>
      <c r="P828" s="35"/>
      <c r="Q828" s="36"/>
      <c r="R828" s="36"/>
    </row>
    <row r="829" ht="22.5" customHeight="1">
      <c r="A829" s="38"/>
      <c r="B829" s="26"/>
      <c r="C829" s="29"/>
      <c r="D829" s="29"/>
      <c r="E829" s="29"/>
      <c r="F829" s="29"/>
      <c r="G829" s="287"/>
      <c r="H829" s="31"/>
      <c r="I829" s="31"/>
      <c r="J829" s="33"/>
      <c r="K829" s="33"/>
      <c r="L829" s="33"/>
      <c r="M829" s="33"/>
      <c r="N829" s="81"/>
      <c r="O829" s="33"/>
      <c r="P829" s="35"/>
      <c r="Q829" s="36"/>
      <c r="R829" s="36"/>
    </row>
    <row r="830" ht="22.5" customHeight="1">
      <c r="A830" s="38"/>
      <c r="B830" s="26"/>
      <c r="C830" s="29"/>
      <c r="D830" s="29"/>
      <c r="E830" s="29"/>
      <c r="F830" s="29"/>
      <c r="G830" s="287"/>
      <c r="H830" s="31"/>
      <c r="I830" s="31"/>
      <c r="J830" s="33"/>
      <c r="K830" s="33"/>
      <c r="L830" s="33"/>
      <c r="M830" s="33"/>
      <c r="N830" s="81"/>
      <c r="O830" s="33"/>
      <c r="P830" s="35"/>
      <c r="Q830" s="36"/>
      <c r="R830" s="36"/>
    </row>
    <row r="831" ht="22.5" customHeight="1">
      <c r="A831" s="38"/>
      <c r="B831" s="26"/>
      <c r="C831" s="29"/>
      <c r="D831" s="29"/>
      <c r="E831" s="29"/>
      <c r="F831" s="29"/>
      <c r="G831" s="287"/>
      <c r="H831" s="31"/>
      <c r="I831" s="31"/>
      <c r="J831" s="33"/>
      <c r="K831" s="33"/>
      <c r="L831" s="33"/>
      <c r="M831" s="33"/>
      <c r="N831" s="81"/>
      <c r="O831" s="33"/>
      <c r="P831" s="35"/>
      <c r="Q831" s="36"/>
      <c r="R831" s="36"/>
    </row>
    <row r="832" ht="22.5" customHeight="1">
      <c r="A832" s="38"/>
      <c r="B832" s="26"/>
      <c r="C832" s="29"/>
      <c r="D832" s="29"/>
      <c r="E832" s="29"/>
      <c r="F832" s="29"/>
      <c r="G832" s="287"/>
      <c r="H832" s="31"/>
      <c r="I832" s="31"/>
      <c r="J832" s="33"/>
      <c r="K832" s="33"/>
      <c r="L832" s="33"/>
      <c r="M832" s="33"/>
      <c r="N832" s="81"/>
      <c r="O832" s="33"/>
      <c r="P832" s="35"/>
      <c r="Q832" s="36"/>
      <c r="R832" s="36"/>
    </row>
    <row r="833" ht="22.5" customHeight="1">
      <c r="A833" s="38"/>
      <c r="B833" s="26"/>
      <c r="C833" s="29"/>
      <c r="D833" s="29"/>
      <c r="E833" s="29"/>
      <c r="F833" s="29"/>
      <c r="G833" s="287"/>
      <c r="H833" s="31"/>
      <c r="I833" s="31"/>
      <c r="J833" s="33"/>
      <c r="K833" s="33"/>
      <c r="L833" s="33"/>
      <c r="M833" s="33"/>
      <c r="N833" s="81"/>
      <c r="O833" s="33"/>
      <c r="P833" s="35"/>
      <c r="Q833" s="36"/>
      <c r="R833" s="36"/>
    </row>
    <row r="834" ht="22.5" customHeight="1">
      <c r="A834" s="38"/>
      <c r="B834" s="26"/>
      <c r="C834" s="29"/>
      <c r="D834" s="29"/>
      <c r="E834" s="29"/>
      <c r="F834" s="29"/>
      <c r="G834" s="287"/>
      <c r="H834" s="31"/>
      <c r="I834" s="31"/>
      <c r="J834" s="33"/>
      <c r="K834" s="33"/>
      <c r="L834" s="33"/>
      <c r="M834" s="33"/>
      <c r="N834" s="81"/>
      <c r="O834" s="33"/>
      <c r="P834" s="35"/>
      <c r="Q834" s="36"/>
      <c r="R834" s="36"/>
    </row>
    <row r="835" ht="22.5" customHeight="1">
      <c r="A835" s="38"/>
      <c r="B835" s="26"/>
      <c r="C835" s="29"/>
      <c r="D835" s="29"/>
      <c r="E835" s="29"/>
      <c r="F835" s="29"/>
      <c r="G835" s="287"/>
      <c r="H835" s="31"/>
      <c r="I835" s="31"/>
      <c r="J835" s="33"/>
      <c r="K835" s="33"/>
      <c r="L835" s="33"/>
      <c r="M835" s="33"/>
      <c r="N835" s="81"/>
      <c r="O835" s="33"/>
      <c r="P835" s="35"/>
      <c r="Q835" s="36"/>
      <c r="R835" s="36"/>
    </row>
    <row r="836" ht="22.5" customHeight="1">
      <c r="A836" s="38"/>
      <c r="B836" s="26"/>
      <c r="C836" s="29"/>
      <c r="D836" s="29"/>
      <c r="E836" s="29"/>
      <c r="F836" s="29"/>
      <c r="G836" s="287"/>
      <c r="H836" s="31"/>
      <c r="I836" s="31"/>
      <c r="J836" s="33"/>
      <c r="K836" s="33"/>
      <c r="L836" s="33"/>
      <c r="M836" s="33"/>
      <c r="N836" s="81"/>
      <c r="O836" s="33"/>
      <c r="P836" s="35"/>
      <c r="Q836" s="36"/>
      <c r="R836" s="36"/>
    </row>
    <row r="837" ht="22.5" customHeight="1">
      <c r="A837" s="38"/>
      <c r="B837" s="26"/>
      <c r="C837" s="29"/>
      <c r="D837" s="29"/>
      <c r="E837" s="29"/>
      <c r="F837" s="29"/>
      <c r="G837" s="287"/>
      <c r="H837" s="31"/>
      <c r="I837" s="31"/>
      <c r="J837" s="33"/>
      <c r="K837" s="33"/>
      <c r="L837" s="33"/>
      <c r="M837" s="33"/>
      <c r="N837" s="81"/>
      <c r="O837" s="33"/>
      <c r="P837" s="35"/>
      <c r="Q837" s="36"/>
      <c r="R837" s="36"/>
    </row>
    <row r="838" ht="22.5" customHeight="1">
      <c r="A838" s="38"/>
      <c r="B838" s="26"/>
      <c r="C838" s="29"/>
      <c r="D838" s="29"/>
      <c r="E838" s="29"/>
      <c r="F838" s="29"/>
      <c r="G838" s="287"/>
      <c r="H838" s="31"/>
      <c r="I838" s="31"/>
      <c r="J838" s="33"/>
      <c r="K838" s="33"/>
      <c r="L838" s="33"/>
      <c r="M838" s="33"/>
      <c r="N838" s="81"/>
      <c r="O838" s="33"/>
      <c r="P838" s="35"/>
      <c r="Q838" s="36"/>
      <c r="R838" s="36"/>
    </row>
    <row r="839" ht="22.5" customHeight="1">
      <c r="A839" s="38"/>
      <c r="B839" s="26"/>
      <c r="C839" s="29"/>
      <c r="D839" s="29"/>
      <c r="E839" s="29"/>
      <c r="F839" s="29"/>
      <c r="G839" s="287"/>
      <c r="H839" s="31"/>
      <c r="I839" s="31"/>
      <c r="J839" s="33"/>
      <c r="K839" s="33"/>
      <c r="L839" s="33"/>
      <c r="M839" s="33"/>
      <c r="N839" s="81"/>
      <c r="O839" s="33"/>
      <c r="P839" s="35"/>
      <c r="Q839" s="36"/>
      <c r="R839" s="36"/>
    </row>
    <row r="840" ht="22.5" customHeight="1">
      <c r="A840" s="38"/>
      <c r="B840" s="26"/>
      <c r="C840" s="29"/>
      <c r="D840" s="29"/>
      <c r="E840" s="29"/>
      <c r="F840" s="29"/>
      <c r="G840" s="287"/>
      <c r="H840" s="31"/>
      <c r="I840" s="31"/>
      <c r="J840" s="33"/>
      <c r="K840" s="33"/>
      <c r="L840" s="33"/>
      <c r="M840" s="33"/>
      <c r="N840" s="81"/>
      <c r="O840" s="33"/>
      <c r="P840" s="35"/>
      <c r="Q840" s="36"/>
      <c r="R840" s="36"/>
    </row>
    <row r="841" ht="22.5" customHeight="1">
      <c r="A841" s="38"/>
      <c r="B841" s="26"/>
      <c r="C841" s="29"/>
      <c r="D841" s="29"/>
      <c r="E841" s="29"/>
      <c r="F841" s="29"/>
      <c r="G841" s="287"/>
      <c r="H841" s="31"/>
      <c r="I841" s="31"/>
      <c r="J841" s="33"/>
      <c r="K841" s="33"/>
      <c r="L841" s="33"/>
      <c r="M841" s="33"/>
      <c r="N841" s="81"/>
      <c r="O841" s="33"/>
      <c r="P841" s="35"/>
      <c r="Q841" s="36"/>
      <c r="R841" s="36"/>
    </row>
    <row r="842" ht="22.5" customHeight="1">
      <c r="A842" s="38"/>
      <c r="B842" s="26"/>
      <c r="C842" s="29"/>
      <c r="D842" s="29"/>
      <c r="E842" s="29"/>
      <c r="F842" s="29"/>
      <c r="G842" s="287"/>
      <c r="H842" s="31"/>
      <c r="I842" s="31"/>
      <c r="J842" s="33"/>
      <c r="K842" s="33"/>
      <c r="L842" s="33"/>
      <c r="M842" s="33"/>
      <c r="N842" s="81"/>
      <c r="O842" s="33"/>
      <c r="P842" s="35"/>
      <c r="Q842" s="36"/>
      <c r="R842" s="36"/>
    </row>
    <row r="843" ht="22.5" customHeight="1">
      <c r="A843" s="38"/>
      <c r="B843" s="26"/>
      <c r="C843" s="29"/>
      <c r="D843" s="29"/>
      <c r="E843" s="29"/>
      <c r="F843" s="29"/>
      <c r="G843" s="287"/>
      <c r="H843" s="31"/>
      <c r="I843" s="31"/>
      <c r="J843" s="33"/>
      <c r="K843" s="33"/>
      <c r="L843" s="33"/>
      <c r="M843" s="33"/>
      <c r="N843" s="81"/>
      <c r="O843" s="33"/>
      <c r="P843" s="35"/>
      <c r="Q843" s="36"/>
      <c r="R843" s="36"/>
    </row>
    <row r="844" ht="22.5" customHeight="1">
      <c r="A844" s="38"/>
      <c r="B844" s="26"/>
      <c r="C844" s="29"/>
      <c r="D844" s="29"/>
      <c r="E844" s="29"/>
      <c r="F844" s="29"/>
      <c r="G844" s="287"/>
      <c r="H844" s="31"/>
      <c r="I844" s="31"/>
      <c r="J844" s="33"/>
      <c r="K844" s="33"/>
      <c r="L844" s="33"/>
      <c r="M844" s="33"/>
      <c r="N844" s="81"/>
      <c r="O844" s="33"/>
      <c r="P844" s="35"/>
      <c r="Q844" s="36"/>
      <c r="R844" s="36"/>
    </row>
    <row r="845" ht="22.5" customHeight="1">
      <c r="A845" s="38"/>
      <c r="B845" s="26"/>
      <c r="C845" s="29"/>
      <c r="D845" s="29"/>
      <c r="E845" s="29"/>
      <c r="F845" s="29"/>
      <c r="G845" s="287"/>
      <c r="H845" s="31"/>
      <c r="I845" s="31"/>
      <c r="J845" s="33"/>
      <c r="K845" s="33"/>
      <c r="L845" s="33"/>
      <c r="M845" s="33"/>
      <c r="N845" s="81"/>
      <c r="O845" s="33"/>
      <c r="P845" s="35"/>
      <c r="Q845" s="36"/>
      <c r="R845" s="36"/>
    </row>
    <row r="846" ht="22.5" customHeight="1">
      <c r="A846" s="38"/>
      <c r="B846" s="26"/>
      <c r="C846" s="29"/>
      <c r="D846" s="29"/>
      <c r="E846" s="29"/>
      <c r="F846" s="29"/>
      <c r="G846" s="287"/>
      <c r="H846" s="31"/>
      <c r="I846" s="31"/>
      <c r="J846" s="33"/>
      <c r="K846" s="33"/>
      <c r="L846" s="33"/>
      <c r="M846" s="33"/>
      <c r="N846" s="81"/>
      <c r="O846" s="33"/>
      <c r="P846" s="35"/>
      <c r="Q846" s="36"/>
      <c r="R846" s="36"/>
    </row>
    <row r="847" ht="22.5" customHeight="1">
      <c r="A847" s="38"/>
      <c r="B847" s="26"/>
      <c r="C847" s="29"/>
      <c r="D847" s="29"/>
      <c r="E847" s="29"/>
      <c r="F847" s="29"/>
      <c r="G847" s="287"/>
      <c r="H847" s="31"/>
      <c r="I847" s="31"/>
      <c r="J847" s="33"/>
      <c r="K847" s="33"/>
      <c r="L847" s="33"/>
      <c r="M847" s="33"/>
      <c r="N847" s="81"/>
      <c r="O847" s="33"/>
      <c r="P847" s="35"/>
      <c r="Q847" s="36"/>
      <c r="R847" s="36"/>
    </row>
    <row r="848" ht="22.5" customHeight="1">
      <c r="A848" s="38"/>
      <c r="B848" s="26"/>
      <c r="C848" s="29"/>
      <c r="D848" s="29"/>
      <c r="E848" s="29"/>
      <c r="F848" s="29"/>
      <c r="G848" s="287"/>
      <c r="H848" s="31"/>
      <c r="I848" s="31"/>
      <c r="J848" s="33"/>
      <c r="K848" s="33"/>
      <c r="L848" s="33"/>
      <c r="M848" s="33"/>
      <c r="N848" s="81"/>
      <c r="O848" s="33"/>
      <c r="P848" s="35"/>
      <c r="Q848" s="36"/>
      <c r="R848" s="36"/>
    </row>
    <row r="849" ht="22.5" customHeight="1">
      <c r="A849" s="38"/>
      <c r="B849" s="26"/>
      <c r="C849" s="29"/>
      <c r="D849" s="29"/>
      <c r="E849" s="29"/>
      <c r="F849" s="29"/>
      <c r="G849" s="287"/>
      <c r="H849" s="31"/>
      <c r="I849" s="31"/>
      <c r="J849" s="33"/>
      <c r="K849" s="33"/>
      <c r="L849" s="33"/>
      <c r="M849" s="33"/>
      <c r="N849" s="81"/>
      <c r="O849" s="33"/>
      <c r="P849" s="35"/>
      <c r="Q849" s="36"/>
      <c r="R849" s="36"/>
    </row>
    <row r="850" ht="22.5" customHeight="1">
      <c r="A850" s="38"/>
      <c r="B850" s="26"/>
      <c r="C850" s="29"/>
      <c r="D850" s="29"/>
      <c r="E850" s="29"/>
      <c r="F850" s="29"/>
      <c r="G850" s="287"/>
      <c r="H850" s="31"/>
      <c r="I850" s="31"/>
      <c r="J850" s="33"/>
      <c r="K850" s="33"/>
      <c r="L850" s="33"/>
      <c r="M850" s="33"/>
      <c r="N850" s="81"/>
      <c r="O850" s="33"/>
      <c r="P850" s="35"/>
      <c r="Q850" s="36"/>
      <c r="R850" s="36"/>
    </row>
    <row r="851" ht="22.5" customHeight="1">
      <c r="A851" s="38"/>
      <c r="B851" s="26"/>
      <c r="C851" s="29"/>
      <c r="D851" s="29"/>
      <c r="E851" s="29"/>
      <c r="F851" s="29"/>
      <c r="G851" s="287"/>
      <c r="H851" s="31"/>
      <c r="I851" s="31"/>
      <c r="J851" s="33"/>
      <c r="K851" s="33"/>
      <c r="L851" s="33"/>
      <c r="M851" s="33"/>
      <c r="N851" s="81"/>
      <c r="O851" s="33"/>
      <c r="P851" s="35"/>
      <c r="Q851" s="36"/>
      <c r="R851" s="36"/>
    </row>
    <row r="852" ht="22.5" customHeight="1">
      <c r="A852" s="38"/>
      <c r="B852" s="26"/>
      <c r="C852" s="29"/>
      <c r="D852" s="29"/>
      <c r="E852" s="29"/>
      <c r="F852" s="29"/>
      <c r="G852" s="287"/>
      <c r="H852" s="31"/>
      <c r="I852" s="31"/>
      <c r="J852" s="33"/>
      <c r="K852" s="33"/>
      <c r="L852" s="33"/>
      <c r="M852" s="33"/>
      <c r="N852" s="81"/>
      <c r="O852" s="33"/>
      <c r="P852" s="35"/>
      <c r="Q852" s="36"/>
      <c r="R852" s="36"/>
    </row>
    <row r="853" ht="22.5" customHeight="1">
      <c r="A853" s="38"/>
      <c r="B853" s="26"/>
      <c r="C853" s="29"/>
      <c r="D853" s="29"/>
      <c r="E853" s="29"/>
      <c r="F853" s="29"/>
      <c r="G853" s="287"/>
      <c r="H853" s="31"/>
      <c r="I853" s="31"/>
      <c r="J853" s="33"/>
      <c r="K853" s="33"/>
      <c r="L853" s="33"/>
      <c r="M853" s="33"/>
      <c r="N853" s="81"/>
      <c r="O853" s="33"/>
      <c r="P853" s="35"/>
      <c r="Q853" s="36"/>
      <c r="R853" s="36"/>
    </row>
    <row r="854" ht="22.5" customHeight="1">
      <c r="A854" s="38"/>
      <c r="B854" s="26"/>
      <c r="C854" s="29"/>
      <c r="D854" s="29"/>
      <c r="E854" s="29"/>
      <c r="F854" s="29"/>
      <c r="G854" s="287"/>
      <c r="H854" s="31"/>
      <c r="I854" s="31"/>
      <c r="J854" s="33"/>
      <c r="K854" s="33"/>
      <c r="L854" s="33"/>
      <c r="M854" s="33"/>
      <c r="N854" s="81"/>
      <c r="O854" s="33"/>
      <c r="P854" s="35"/>
      <c r="Q854" s="36"/>
      <c r="R854" s="36"/>
    </row>
    <row r="855" ht="22.5" customHeight="1">
      <c r="A855" s="38"/>
      <c r="B855" s="26"/>
      <c r="C855" s="29"/>
      <c r="D855" s="29"/>
      <c r="E855" s="29"/>
      <c r="F855" s="29"/>
      <c r="G855" s="287"/>
      <c r="H855" s="31"/>
      <c r="I855" s="31"/>
      <c r="J855" s="33"/>
      <c r="K855" s="33"/>
      <c r="L855" s="33"/>
      <c r="M855" s="33"/>
      <c r="N855" s="81"/>
      <c r="O855" s="33"/>
      <c r="P855" s="35"/>
      <c r="Q855" s="36"/>
      <c r="R855" s="36"/>
    </row>
    <row r="856" ht="22.5" customHeight="1">
      <c r="A856" s="38"/>
      <c r="B856" s="26"/>
      <c r="C856" s="29"/>
      <c r="D856" s="29"/>
      <c r="E856" s="29"/>
      <c r="F856" s="29"/>
      <c r="G856" s="287"/>
      <c r="H856" s="31"/>
      <c r="I856" s="31"/>
      <c r="J856" s="33"/>
      <c r="K856" s="33"/>
      <c r="L856" s="33"/>
      <c r="M856" s="33"/>
      <c r="N856" s="81"/>
      <c r="O856" s="33"/>
      <c r="P856" s="35"/>
      <c r="Q856" s="36"/>
      <c r="R856" s="36"/>
    </row>
    <row r="857" ht="22.5" customHeight="1">
      <c r="A857" s="38"/>
      <c r="B857" s="26"/>
      <c r="C857" s="29"/>
      <c r="D857" s="29"/>
      <c r="E857" s="29"/>
      <c r="F857" s="29"/>
      <c r="G857" s="287"/>
      <c r="H857" s="31"/>
      <c r="I857" s="31"/>
      <c r="J857" s="33"/>
      <c r="K857" s="33"/>
      <c r="L857" s="33"/>
      <c r="M857" s="33"/>
      <c r="N857" s="81"/>
      <c r="O857" s="33"/>
      <c r="P857" s="35"/>
      <c r="Q857" s="36"/>
      <c r="R857" s="36"/>
    </row>
    <row r="858" ht="22.5" customHeight="1">
      <c r="A858" s="38"/>
      <c r="B858" s="26"/>
      <c r="C858" s="29"/>
      <c r="D858" s="29"/>
      <c r="E858" s="29"/>
      <c r="F858" s="29"/>
      <c r="G858" s="287"/>
      <c r="H858" s="31"/>
      <c r="I858" s="31"/>
      <c r="J858" s="33"/>
      <c r="K858" s="33"/>
      <c r="L858" s="33"/>
      <c r="M858" s="33"/>
      <c r="N858" s="81"/>
      <c r="O858" s="33"/>
      <c r="P858" s="35"/>
      <c r="Q858" s="36"/>
      <c r="R858" s="36"/>
    </row>
    <row r="859" ht="22.5" customHeight="1">
      <c r="A859" s="38"/>
      <c r="B859" s="26"/>
      <c r="C859" s="29"/>
      <c r="D859" s="29"/>
      <c r="E859" s="29"/>
      <c r="F859" s="29"/>
      <c r="G859" s="287"/>
      <c r="H859" s="31"/>
      <c r="I859" s="31"/>
      <c r="J859" s="33"/>
      <c r="K859" s="33"/>
      <c r="L859" s="33"/>
      <c r="M859" s="33"/>
      <c r="N859" s="81"/>
      <c r="O859" s="33"/>
      <c r="P859" s="35"/>
      <c r="Q859" s="36"/>
      <c r="R859" s="36"/>
    </row>
    <row r="860" ht="22.5" customHeight="1">
      <c r="A860" s="38"/>
      <c r="B860" s="26"/>
      <c r="C860" s="29"/>
      <c r="D860" s="29"/>
      <c r="E860" s="29"/>
      <c r="F860" s="29"/>
      <c r="G860" s="287"/>
      <c r="H860" s="31"/>
      <c r="I860" s="31"/>
      <c r="J860" s="33"/>
      <c r="K860" s="33"/>
      <c r="L860" s="33"/>
      <c r="M860" s="33"/>
      <c r="N860" s="81"/>
      <c r="O860" s="33"/>
      <c r="P860" s="35"/>
      <c r="Q860" s="36"/>
      <c r="R860" s="36"/>
    </row>
    <row r="861" ht="22.5" customHeight="1">
      <c r="A861" s="38"/>
      <c r="B861" s="26"/>
      <c r="C861" s="29"/>
      <c r="D861" s="29"/>
      <c r="E861" s="29"/>
      <c r="F861" s="29"/>
      <c r="G861" s="287"/>
      <c r="H861" s="31"/>
      <c r="I861" s="31"/>
      <c r="J861" s="33"/>
      <c r="K861" s="33"/>
      <c r="L861" s="33"/>
      <c r="M861" s="33"/>
      <c r="N861" s="81"/>
      <c r="O861" s="33"/>
      <c r="P861" s="35"/>
      <c r="Q861" s="36"/>
      <c r="R861" s="36"/>
    </row>
    <row r="862" ht="22.5" customHeight="1">
      <c r="A862" s="38"/>
      <c r="B862" s="26"/>
      <c r="C862" s="29"/>
      <c r="D862" s="29"/>
      <c r="E862" s="29"/>
      <c r="F862" s="29"/>
      <c r="G862" s="287"/>
      <c r="H862" s="31"/>
      <c r="I862" s="31"/>
      <c r="J862" s="33"/>
      <c r="K862" s="33"/>
      <c r="L862" s="33"/>
      <c r="M862" s="33"/>
      <c r="N862" s="81"/>
      <c r="O862" s="33"/>
      <c r="P862" s="35"/>
      <c r="Q862" s="36"/>
      <c r="R862" s="36"/>
    </row>
    <row r="863" ht="22.5" customHeight="1">
      <c r="A863" s="38"/>
      <c r="B863" s="26"/>
      <c r="C863" s="29"/>
      <c r="D863" s="29"/>
      <c r="E863" s="29"/>
      <c r="F863" s="29"/>
      <c r="G863" s="287"/>
      <c r="H863" s="31"/>
      <c r="I863" s="31"/>
      <c r="J863" s="33"/>
      <c r="K863" s="33"/>
      <c r="L863" s="33"/>
      <c r="M863" s="33"/>
      <c r="N863" s="81"/>
      <c r="O863" s="33"/>
      <c r="P863" s="35"/>
      <c r="Q863" s="36"/>
      <c r="R863" s="36"/>
    </row>
    <row r="864" ht="22.5" customHeight="1">
      <c r="A864" s="38"/>
      <c r="B864" s="26"/>
      <c r="C864" s="29"/>
      <c r="D864" s="29"/>
      <c r="E864" s="29"/>
      <c r="F864" s="29"/>
      <c r="G864" s="287"/>
      <c r="H864" s="31"/>
      <c r="I864" s="31"/>
      <c r="J864" s="33"/>
      <c r="K864" s="33"/>
      <c r="L864" s="33"/>
      <c r="M864" s="33"/>
      <c r="N864" s="81"/>
      <c r="O864" s="33"/>
      <c r="P864" s="35"/>
      <c r="Q864" s="36"/>
      <c r="R864" s="36"/>
    </row>
    <row r="865" ht="22.5" customHeight="1">
      <c r="A865" s="38"/>
      <c r="B865" s="26"/>
      <c r="C865" s="29"/>
      <c r="D865" s="29"/>
      <c r="E865" s="29"/>
      <c r="F865" s="29"/>
      <c r="G865" s="287"/>
      <c r="H865" s="31"/>
      <c r="I865" s="31"/>
      <c r="J865" s="33"/>
      <c r="K865" s="33"/>
      <c r="L865" s="33"/>
      <c r="M865" s="33"/>
      <c r="N865" s="81"/>
      <c r="O865" s="33"/>
      <c r="P865" s="35"/>
      <c r="Q865" s="36"/>
      <c r="R865" s="36"/>
    </row>
    <row r="866" ht="22.5" customHeight="1">
      <c r="A866" s="38"/>
      <c r="B866" s="26"/>
      <c r="C866" s="29"/>
      <c r="D866" s="29"/>
      <c r="E866" s="29"/>
      <c r="F866" s="29"/>
      <c r="G866" s="287"/>
      <c r="H866" s="31"/>
      <c r="I866" s="31"/>
      <c r="J866" s="33"/>
      <c r="K866" s="33"/>
      <c r="L866" s="33"/>
      <c r="M866" s="33"/>
      <c r="N866" s="81"/>
      <c r="O866" s="33"/>
      <c r="P866" s="35"/>
      <c r="Q866" s="36"/>
      <c r="R866" s="36"/>
    </row>
    <row r="867" ht="22.5" customHeight="1">
      <c r="A867" s="38"/>
      <c r="B867" s="26"/>
      <c r="C867" s="29"/>
      <c r="D867" s="29"/>
      <c r="E867" s="29"/>
      <c r="F867" s="29"/>
      <c r="G867" s="287"/>
      <c r="H867" s="31"/>
      <c r="I867" s="31"/>
      <c r="J867" s="33"/>
      <c r="K867" s="33"/>
      <c r="L867" s="33"/>
      <c r="M867" s="33"/>
      <c r="N867" s="81"/>
      <c r="O867" s="33"/>
      <c r="P867" s="35"/>
      <c r="Q867" s="36"/>
      <c r="R867" s="36"/>
    </row>
    <row r="868" ht="22.5" customHeight="1">
      <c r="A868" s="38"/>
      <c r="B868" s="26"/>
      <c r="C868" s="29"/>
      <c r="D868" s="29"/>
      <c r="E868" s="29"/>
      <c r="F868" s="29"/>
      <c r="G868" s="287"/>
      <c r="H868" s="31"/>
      <c r="I868" s="31"/>
      <c r="J868" s="33"/>
      <c r="K868" s="33"/>
      <c r="L868" s="33"/>
      <c r="M868" s="33"/>
      <c r="N868" s="81"/>
      <c r="O868" s="33"/>
      <c r="P868" s="35"/>
      <c r="Q868" s="36"/>
      <c r="R868" s="36"/>
    </row>
    <row r="869" ht="22.5" customHeight="1">
      <c r="A869" s="38"/>
      <c r="B869" s="26"/>
      <c r="C869" s="29"/>
      <c r="D869" s="29"/>
      <c r="E869" s="29"/>
      <c r="F869" s="29"/>
      <c r="G869" s="287"/>
      <c r="H869" s="31"/>
      <c r="I869" s="31"/>
      <c r="J869" s="33"/>
      <c r="K869" s="33"/>
      <c r="L869" s="33"/>
      <c r="M869" s="33"/>
      <c r="N869" s="81"/>
      <c r="O869" s="33"/>
      <c r="P869" s="35"/>
      <c r="Q869" s="36"/>
      <c r="R869" s="36"/>
    </row>
    <row r="870" ht="22.5" customHeight="1">
      <c r="A870" s="38"/>
      <c r="B870" s="26"/>
      <c r="C870" s="29"/>
      <c r="D870" s="29"/>
      <c r="E870" s="29"/>
      <c r="F870" s="29"/>
      <c r="G870" s="287"/>
      <c r="H870" s="31"/>
      <c r="I870" s="31"/>
      <c r="J870" s="33"/>
      <c r="K870" s="33"/>
      <c r="L870" s="33"/>
      <c r="M870" s="33"/>
      <c r="N870" s="81"/>
      <c r="O870" s="33"/>
      <c r="P870" s="35"/>
      <c r="Q870" s="36"/>
      <c r="R870" s="36"/>
    </row>
    <row r="871" ht="22.5" customHeight="1">
      <c r="A871" s="38"/>
      <c r="B871" s="26"/>
      <c r="C871" s="29"/>
      <c r="D871" s="29"/>
      <c r="E871" s="29"/>
      <c r="F871" s="29"/>
      <c r="G871" s="287"/>
      <c r="H871" s="31"/>
      <c r="I871" s="31"/>
      <c r="J871" s="33"/>
      <c r="K871" s="33"/>
      <c r="L871" s="33"/>
      <c r="M871" s="33"/>
      <c r="N871" s="81"/>
      <c r="O871" s="33"/>
      <c r="P871" s="35"/>
      <c r="Q871" s="36"/>
      <c r="R871" s="36"/>
    </row>
    <row r="872" ht="22.5" customHeight="1">
      <c r="A872" s="38"/>
      <c r="B872" s="26"/>
      <c r="C872" s="29"/>
      <c r="D872" s="29"/>
      <c r="E872" s="29"/>
      <c r="F872" s="29"/>
      <c r="G872" s="287"/>
      <c r="H872" s="31"/>
      <c r="I872" s="31"/>
      <c r="J872" s="33"/>
      <c r="K872" s="33"/>
      <c r="L872" s="33"/>
      <c r="M872" s="33"/>
      <c r="N872" s="81"/>
      <c r="O872" s="33"/>
      <c r="P872" s="35"/>
      <c r="Q872" s="36"/>
      <c r="R872" s="36"/>
    </row>
    <row r="873" ht="22.5" customHeight="1">
      <c r="A873" s="38"/>
      <c r="B873" s="26"/>
      <c r="C873" s="29"/>
      <c r="D873" s="29"/>
      <c r="E873" s="29"/>
      <c r="F873" s="29"/>
      <c r="G873" s="287"/>
      <c r="H873" s="31"/>
      <c r="I873" s="31"/>
      <c r="J873" s="33"/>
      <c r="K873" s="33"/>
      <c r="L873" s="33"/>
      <c r="M873" s="33"/>
      <c r="N873" s="81"/>
      <c r="O873" s="33"/>
      <c r="P873" s="35"/>
      <c r="Q873" s="36"/>
      <c r="R873" s="36"/>
    </row>
    <row r="874" ht="22.5" customHeight="1">
      <c r="A874" s="38"/>
      <c r="B874" s="26"/>
      <c r="C874" s="29"/>
      <c r="D874" s="29"/>
      <c r="E874" s="29"/>
      <c r="F874" s="29"/>
      <c r="G874" s="287"/>
      <c r="H874" s="31"/>
      <c r="I874" s="31"/>
      <c r="J874" s="33"/>
      <c r="K874" s="33"/>
      <c r="L874" s="33"/>
      <c r="M874" s="33"/>
      <c r="N874" s="81"/>
      <c r="O874" s="33"/>
      <c r="P874" s="35"/>
      <c r="Q874" s="36"/>
      <c r="R874" s="36"/>
    </row>
    <row r="875" ht="22.5" customHeight="1">
      <c r="A875" s="38"/>
      <c r="B875" s="26"/>
      <c r="C875" s="29"/>
      <c r="D875" s="29"/>
      <c r="E875" s="29"/>
      <c r="F875" s="29"/>
      <c r="G875" s="287"/>
      <c r="H875" s="31"/>
      <c r="I875" s="31"/>
      <c r="J875" s="33"/>
      <c r="K875" s="33"/>
      <c r="L875" s="33"/>
      <c r="M875" s="33"/>
      <c r="N875" s="81"/>
      <c r="O875" s="33"/>
      <c r="P875" s="35"/>
      <c r="Q875" s="36"/>
      <c r="R875" s="36"/>
    </row>
    <row r="876" ht="22.5" customHeight="1">
      <c r="A876" s="38"/>
      <c r="B876" s="26"/>
      <c r="C876" s="29"/>
      <c r="D876" s="29"/>
      <c r="E876" s="29"/>
      <c r="F876" s="29"/>
      <c r="G876" s="287"/>
      <c r="H876" s="31"/>
      <c r="I876" s="31"/>
      <c r="J876" s="33"/>
      <c r="K876" s="33"/>
      <c r="L876" s="33"/>
      <c r="M876" s="33"/>
      <c r="N876" s="81"/>
      <c r="O876" s="33"/>
      <c r="P876" s="35"/>
      <c r="Q876" s="36"/>
      <c r="R876" s="36"/>
    </row>
    <row r="877" ht="22.5" customHeight="1">
      <c r="A877" s="38"/>
      <c r="B877" s="26"/>
      <c r="C877" s="29"/>
      <c r="D877" s="29"/>
      <c r="E877" s="29"/>
      <c r="F877" s="29"/>
      <c r="G877" s="287"/>
      <c r="H877" s="31"/>
      <c r="I877" s="31"/>
      <c r="J877" s="33"/>
      <c r="K877" s="33"/>
      <c r="L877" s="33"/>
      <c r="M877" s="33"/>
      <c r="N877" s="81"/>
      <c r="O877" s="33"/>
      <c r="P877" s="35"/>
      <c r="Q877" s="36"/>
      <c r="R877" s="36"/>
    </row>
    <row r="878" ht="22.5" customHeight="1">
      <c r="A878" s="38"/>
      <c r="B878" s="26"/>
      <c r="C878" s="29"/>
      <c r="D878" s="29"/>
      <c r="E878" s="29"/>
      <c r="F878" s="29"/>
      <c r="G878" s="287"/>
      <c r="H878" s="31"/>
      <c r="I878" s="31"/>
      <c r="J878" s="33"/>
      <c r="K878" s="33"/>
      <c r="L878" s="33"/>
      <c r="M878" s="33"/>
      <c r="N878" s="81"/>
      <c r="O878" s="33"/>
      <c r="P878" s="35"/>
      <c r="Q878" s="36"/>
      <c r="R878" s="36"/>
    </row>
    <row r="879" ht="22.5" customHeight="1">
      <c r="A879" s="38"/>
      <c r="B879" s="26"/>
      <c r="C879" s="29"/>
      <c r="D879" s="29"/>
      <c r="E879" s="29"/>
      <c r="F879" s="29"/>
      <c r="G879" s="287"/>
      <c r="H879" s="31"/>
      <c r="I879" s="31"/>
      <c r="J879" s="33"/>
      <c r="K879" s="33"/>
      <c r="L879" s="33"/>
      <c r="M879" s="33"/>
      <c r="N879" s="81"/>
      <c r="O879" s="33"/>
      <c r="P879" s="35"/>
      <c r="Q879" s="36"/>
      <c r="R879" s="36"/>
    </row>
    <row r="880" ht="22.5" customHeight="1">
      <c r="A880" s="38"/>
      <c r="B880" s="26"/>
      <c r="C880" s="29"/>
      <c r="D880" s="29"/>
      <c r="E880" s="29"/>
      <c r="F880" s="29"/>
      <c r="G880" s="287"/>
      <c r="H880" s="31"/>
      <c r="I880" s="31"/>
      <c r="J880" s="33"/>
      <c r="K880" s="33"/>
      <c r="L880" s="33"/>
      <c r="M880" s="33"/>
      <c r="N880" s="81"/>
      <c r="O880" s="33"/>
      <c r="P880" s="35"/>
      <c r="Q880" s="36"/>
      <c r="R880" s="36"/>
    </row>
    <row r="881" ht="22.5" customHeight="1">
      <c r="A881" s="38"/>
      <c r="B881" s="26"/>
      <c r="C881" s="29"/>
      <c r="D881" s="29"/>
      <c r="E881" s="29"/>
      <c r="F881" s="29"/>
      <c r="G881" s="287"/>
      <c r="H881" s="31"/>
      <c r="I881" s="31"/>
      <c r="J881" s="33"/>
      <c r="K881" s="33"/>
      <c r="L881" s="33"/>
      <c r="M881" s="33"/>
      <c r="N881" s="81"/>
      <c r="O881" s="33"/>
      <c r="P881" s="35"/>
      <c r="Q881" s="36"/>
      <c r="R881" s="36"/>
    </row>
    <row r="882" ht="22.5" customHeight="1">
      <c r="A882" s="38"/>
      <c r="B882" s="26"/>
      <c r="C882" s="29"/>
      <c r="D882" s="29"/>
      <c r="E882" s="29"/>
      <c r="F882" s="29"/>
      <c r="G882" s="287"/>
      <c r="H882" s="31"/>
      <c r="I882" s="31"/>
      <c r="J882" s="33"/>
      <c r="K882" s="33"/>
      <c r="L882" s="33"/>
      <c r="M882" s="33"/>
      <c r="N882" s="81"/>
      <c r="O882" s="33"/>
      <c r="P882" s="35"/>
      <c r="Q882" s="36"/>
      <c r="R882" s="36"/>
    </row>
    <row r="883" ht="22.5" customHeight="1">
      <c r="A883" s="38"/>
      <c r="B883" s="26"/>
      <c r="C883" s="29"/>
      <c r="D883" s="29"/>
      <c r="E883" s="29"/>
      <c r="F883" s="29"/>
      <c r="G883" s="287"/>
      <c r="H883" s="31"/>
      <c r="I883" s="31"/>
      <c r="J883" s="33"/>
      <c r="K883" s="33"/>
      <c r="L883" s="33"/>
      <c r="M883" s="33"/>
      <c r="N883" s="81"/>
      <c r="O883" s="33"/>
      <c r="P883" s="35"/>
      <c r="Q883" s="36"/>
      <c r="R883" s="36"/>
    </row>
    <row r="884" ht="22.5" customHeight="1">
      <c r="A884" s="38"/>
      <c r="B884" s="26"/>
      <c r="C884" s="29"/>
      <c r="D884" s="29"/>
      <c r="E884" s="29"/>
      <c r="F884" s="29"/>
      <c r="G884" s="287"/>
      <c r="H884" s="31"/>
      <c r="I884" s="31"/>
      <c r="J884" s="33"/>
      <c r="K884" s="33"/>
      <c r="L884" s="33"/>
      <c r="M884" s="33"/>
      <c r="N884" s="81"/>
      <c r="O884" s="33"/>
      <c r="P884" s="35"/>
      <c r="Q884" s="36"/>
      <c r="R884" s="36"/>
    </row>
    <row r="885" ht="22.5" customHeight="1">
      <c r="A885" s="38"/>
      <c r="B885" s="26"/>
      <c r="C885" s="29"/>
      <c r="D885" s="29"/>
      <c r="E885" s="29"/>
      <c r="F885" s="29"/>
      <c r="G885" s="287"/>
      <c r="H885" s="31"/>
      <c r="I885" s="31"/>
      <c r="J885" s="33"/>
      <c r="K885" s="33"/>
      <c r="L885" s="33"/>
      <c r="M885" s="33"/>
      <c r="N885" s="81"/>
      <c r="O885" s="33"/>
      <c r="P885" s="35"/>
      <c r="Q885" s="36"/>
      <c r="R885" s="36"/>
    </row>
    <row r="886" ht="22.5" customHeight="1">
      <c r="A886" s="38"/>
      <c r="B886" s="26"/>
      <c r="C886" s="29"/>
      <c r="D886" s="29"/>
      <c r="E886" s="29"/>
      <c r="F886" s="29"/>
      <c r="G886" s="287"/>
      <c r="H886" s="31"/>
      <c r="I886" s="31"/>
      <c r="J886" s="33"/>
      <c r="K886" s="33"/>
      <c r="L886" s="33"/>
      <c r="M886" s="33"/>
      <c r="N886" s="81"/>
      <c r="O886" s="33"/>
      <c r="P886" s="35"/>
      <c r="Q886" s="36"/>
      <c r="R886" s="36"/>
    </row>
    <row r="887" ht="22.5" customHeight="1">
      <c r="A887" s="38"/>
      <c r="B887" s="26"/>
      <c r="C887" s="29"/>
      <c r="D887" s="29"/>
      <c r="E887" s="29"/>
      <c r="F887" s="29"/>
      <c r="G887" s="287"/>
      <c r="H887" s="31"/>
      <c r="I887" s="31"/>
      <c r="J887" s="33"/>
      <c r="K887" s="33"/>
      <c r="L887" s="33"/>
      <c r="M887" s="33"/>
      <c r="N887" s="81"/>
      <c r="O887" s="33"/>
      <c r="P887" s="35"/>
      <c r="Q887" s="36"/>
      <c r="R887" s="36"/>
    </row>
    <row r="888" ht="22.5" customHeight="1">
      <c r="A888" s="38"/>
      <c r="B888" s="26"/>
      <c r="C888" s="29"/>
      <c r="D888" s="29"/>
      <c r="E888" s="29"/>
      <c r="F888" s="29"/>
      <c r="G888" s="287"/>
      <c r="H888" s="31"/>
      <c r="I888" s="31"/>
      <c r="J888" s="33"/>
      <c r="K888" s="33"/>
      <c r="L888" s="33"/>
      <c r="M888" s="33"/>
      <c r="N888" s="81"/>
      <c r="O888" s="33"/>
      <c r="P888" s="35"/>
      <c r="Q888" s="36"/>
      <c r="R888" s="36"/>
    </row>
    <row r="889" ht="22.5" customHeight="1">
      <c r="A889" s="38"/>
      <c r="B889" s="26"/>
      <c r="C889" s="29"/>
      <c r="D889" s="29"/>
      <c r="E889" s="29"/>
      <c r="F889" s="29"/>
      <c r="G889" s="287"/>
      <c r="H889" s="31"/>
      <c r="I889" s="31"/>
      <c r="J889" s="33"/>
      <c r="K889" s="33"/>
      <c r="L889" s="33"/>
      <c r="M889" s="33"/>
      <c r="N889" s="81"/>
      <c r="O889" s="33"/>
      <c r="P889" s="35"/>
      <c r="Q889" s="36"/>
      <c r="R889" s="36"/>
    </row>
    <row r="890" ht="22.5" customHeight="1">
      <c r="A890" s="38"/>
      <c r="B890" s="26"/>
      <c r="C890" s="29"/>
      <c r="D890" s="29"/>
      <c r="E890" s="29"/>
      <c r="F890" s="29"/>
      <c r="G890" s="287"/>
      <c r="H890" s="31"/>
      <c r="I890" s="31"/>
      <c r="J890" s="33"/>
      <c r="K890" s="33"/>
      <c r="L890" s="33"/>
      <c r="M890" s="33"/>
      <c r="N890" s="81"/>
      <c r="O890" s="33"/>
      <c r="P890" s="35"/>
      <c r="Q890" s="36"/>
      <c r="R890" s="36"/>
    </row>
    <row r="891" ht="22.5" customHeight="1">
      <c r="A891" s="38"/>
      <c r="B891" s="26"/>
      <c r="C891" s="29"/>
      <c r="D891" s="29"/>
      <c r="E891" s="29"/>
      <c r="F891" s="29"/>
      <c r="G891" s="287"/>
      <c r="H891" s="31"/>
      <c r="I891" s="31"/>
      <c r="J891" s="33"/>
      <c r="K891" s="33"/>
      <c r="L891" s="33"/>
      <c r="M891" s="33"/>
      <c r="N891" s="81"/>
      <c r="O891" s="33"/>
      <c r="P891" s="35"/>
      <c r="Q891" s="36"/>
      <c r="R891" s="36"/>
    </row>
    <row r="892" ht="22.5" customHeight="1">
      <c r="A892" s="38"/>
      <c r="B892" s="26"/>
      <c r="C892" s="29"/>
      <c r="D892" s="29"/>
      <c r="E892" s="29"/>
      <c r="F892" s="29"/>
      <c r="G892" s="287"/>
      <c r="H892" s="31"/>
      <c r="I892" s="31"/>
      <c r="J892" s="33"/>
      <c r="K892" s="33"/>
      <c r="L892" s="33"/>
      <c r="M892" s="33"/>
      <c r="N892" s="81"/>
      <c r="O892" s="33"/>
      <c r="P892" s="35"/>
      <c r="Q892" s="36"/>
      <c r="R892" s="36"/>
    </row>
    <row r="893" ht="22.5" customHeight="1">
      <c r="A893" s="38"/>
      <c r="B893" s="26"/>
      <c r="C893" s="29"/>
      <c r="D893" s="29"/>
      <c r="E893" s="29"/>
      <c r="F893" s="29"/>
      <c r="G893" s="287"/>
      <c r="H893" s="31"/>
      <c r="I893" s="31"/>
      <c r="J893" s="33"/>
      <c r="K893" s="33"/>
      <c r="L893" s="33"/>
      <c r="M893" s="33"/>
      <c r="N893" s="81"/>
      <c r="O893" s="33"/>
      <c r="P893" s="35"/>
      <c r="Q893" s="36"/>
      <c r="R893" s="36"/>
    </row>
    <row r="894" ht="22.5" customHeight="1">
      <c r="A894" s="38"/>
      <c r="B894" s="26"/>
      <c r="C894" s="29"/>
      <c r="D894" s="29"/>
      <c r="E894" s="29"/>
      <c r="F894" s="29"/>
      <c r="G894" s="287"/>
      <c r="H894" s="31"/>
      <c r="I894" s="31"/>
      <c r="J894" s="33"/>
      <c r="K894" s="33"/>
      <c r="L894" s="33"/>
      <c r="M894" s="33"/>
      <c r="N894" s="81"/>
      <c r="O894" s="33"/>
      <c r="P894" s="35"/>
      <c r="Q894" s="36"/>
      <c r="R894" s="36"/>
    </row>
    <row r="895" ht="22.5" customHeight="1">
      <c r="A895" s="38"/>
      <c r="B895" s="26"/>
      <c r="C895" s="29"/>
      <c r="D895" s="29"/>
      <c r="E895" s="29"/>
      <c r="F895" s="29"/>
      <c r="G895" s="287"/>
      <c r="H895" s="31"/>
      <c r="I895" s="31"/>
      <c r="J895" s="33"/>
      <c r="K895" s="33"/>
      <c r="L895" s="33"/>
      <c r="M895" s="33"/>
      <c r="N895" s="81"/>
      <c r="O895" s="33"/>
      <c r="P895" s="35"/>
      <c r="Q895" s="36"/>
      <c r="R895" s="36"/>
    </row>
    <row r="896" ht="22.5" customHeight="1">
      <c r="A896" s="38"/>
      <c r="B896" s="26"/>
      <c r="C896" s="29"/>
      <c r="D896" s="29"/>
      <c r="E896" s="29"/>
      <c r="F896" s="29"/>
      <c r="G896" s="287"/>
      <c r="H896" s="31"/>
      <c r="I896" s="31"/>
      <c r="J896" s="33"/>
      <c r="K896" s="33"/>
      <c r="L896" s="33"/>
      <c r="M896" s="33"/>
      <c r="N896" s="81"/>
      <c r="O896" s="33"/>
      <c r="P896" s="35"/>
      <c r="Q896" s="36"/>
      <c r="R896" s="36"/>
    </row>
    <row r="897" ht="22.5" customHeight="1">
      <c r="A897" s="38"/>
      <c r="B897" s="26"/>
      <c r="C897" s="29"/>
      <c r="D897" s="29"/>
      <c r="E897" s="29"/>
      <c r="F897" s="29"/>
      <c r="G897" s="287"/>
      <c r="H897" s="31"/>
      <c r="I897" s="31"/>
      <c r="J897" s="33"/>
      <c r="K897" s="33"/>
      <c r="L897" s="33"/>
      <c r="M897" s="33"/>
      <c r="N897" s="81"/>
      <c r="O897" s="33"/>
      <c r="P897" s="35"/>
      <c r="Q897" s="36"/>
      <c r="R897" s="36"/>
    </row>
    <row r="898" ht="22.5" customHeight="1">
      <c r="A898" s="38"/>
      <c r="B898" s="26"/>
      <c r="C898" s="29"/>
      <c r="D898" s="29"/>
      <c r="E898" s="29"/>
      <c r="F898" s="29"/>
      <c r="G898" s="287"/>
      <c r="H898" s="31"/>
      <c r="I898" s="31"/>
      <c r="J898" s="33"/>
      <c r="K898" s="33"/>
      <c r="L898" s="33"/>
      <c r="M898" s="33"/>
      <c r="N898" s="81"/>
      <c r="O898" s="33"/>
      <c r="P898" s="35"/>
      <c r="Q898" s="36"/>
      <c r="R898" s="36"/>
    </row>
    <row r="899" ht="22.5" customHeight="1">
      <c r="A899" s="38"/>
      <c r="B899" s="26"/>
      <c r="C899" s="29"/>
      <c r="D899" s="29"/>
      <c r="E899" s="29"/>
      <c r="F899" s="29"/>
      <c r="G899" s="287"/>
      <c r="H899" s="31"/>
      <c r="I899" s="31"/>
      <c r="J899" s="33"/>
      <c r="K899" s="33"/>
      <c r="L899" s="33"/>
      <c r="M899" s="33"/>
      <c r="N899" s="81"/>
      <c r="O899" s="33"/>
      <c r="P899" s="35"/>
      <c r="Q899" s="36"/>
      <c r="R899" s="36"/>
    </row>
    <row r="900" ht="22.5" customHeight="1">
      <c r="A900" s="38"/>
      <c r="B900" s="26"/>
      <c r="C900" s="29"/>
      <c r="D900" s="29"/>
      <c r="E900" s="29"/>
      <c r="F900" s="29"/>
      <c r="G900" s="287"/>
      <c r="H900" s="31"/>
      <c r="I900" s="31"/>
      <c r="J900" s="33"/>
      <c r="K900" s="33"/>
      <c r="L900" s="33"/>
      <c r="M900" s="33"/>
      <c r="N900" s="81"/>
      <c r="O900" s="33"/>
      <c r="P900" s="35"/>
      <c r="Q900" s="36"/>
      <c r="R900" s="36"/>
    </row>
    <row r="901" ht="22.5" customHeight="1">
      <c r="A901" s="38"/>
      <c r="B901" s="26"/>
      <c r="C901" s="29"/>
      <c r="D901" s="29"/>
      <c r="E901" s="29"/>
      <c r="F901" s="29"/>
      <c r="G901" s="287"/>
      <c r="H901" s="31"/>
      <c r="I901" s="31"/>
      <c r="J901" s="33"/>
      <c r="K901" s="33"/>
      <c r="L901" s="33"/>
      <c r="M901" s="33"/>
      <c r="N901" s="81"/>
      <c r="O901" s="33"/>
      <c r="P901" s="35"/>
      <c r="Q901" s="36"/>
      <c r="R901" s="36"/>
    </row>
    <row r="902" ht="22.5" customHeight="1">
      <c r="A902" s="38"/>
      <c r="B902" s="26"/>
      <c r="C902" s="29"/>
      <c r="D902" s="29"/>
      <c r="E902" s="29"/>
      <c r="F902" s="29"/>
      <c r="G902" s="287"/>
      <c r="H902" s="31"/>
      <c r="I902" s="31"/>
      <c r="J902" s="33"/>
      <c r="K902" s="33"/>
      <c r="L902" s="33"/>
      <c r="M902" s="33"/>
      <c r="N902" s="81"/>
      <c r="O902" s="33"/>
      <c r="P902" s="35"/>
      <c r="Q902" s="36"/>
      <c r="R902" s="36"/>
    </row>
    <row r="903" ht="22.5" customHeight="1">
      <c r="A903" s="38"/>
      <c r="B903" s="26"/>
      <c r="C903" s="29"/>
      <c r="D903" s="29"/>
      <c r="E903" s="29"/>
      <c r="F903" s="29"/>
      <c r="G903" s="287"/>
      <c r="H903" s="31"/>
      <c r="I903" s="31"/>
      <c r="J903" s="33"/>
      <c r="K903" s="33"/>
      <c r="L903" s="33"/>
      <c r="M903" s="33"/>
      <c r="N903" s="81"/>
      <c r="O903" s="33"/>
      <c r="P903" s="35"/>
      <c r="Q903" s="36"/>
      <c r="R903" s="36"/>
    </row>
    <row r="904" ht="22.5" customHeight="1">
      <c r="A904" s="38"/>
      <c r="B904" s="26"/>
      <c r="C904" s="29"/>
      <c r="D904" s="29"/>
      <c r="E904" s="29"/>
      <c r="F904" s="29"/>
      <c r="G904" s="287"/>
      <c r="H904" s="31"/>
      <c r="I904" s="31"/>
      <c r="J904" s="33"/>
      <c r="K904" s="33"/>
      <c r="L904" s="33"/>
      <c r="M904" s="33"/>
      <c r="N904" s="81"/>
      <c r="O904" s="33"/>
      <c r="P904" s="35"/>
      <c r="Q904" s="36"/>
      <c r="R904" s="36"/>
    </row>
    <row r="905" ht="22.5" customHeight="1">
      <c r="A905" s="38"/>
      <c r="B905" s="26"/>
      <c r="C905" s="29"/>
      <c r="D905" s="29"/>
      <c r="E905" s="29"/>
      <c r="F905" s="29"/>
      <c r="G905" s="287"/>
      <c r="H905" s="31"/>
      <c r="I905" s="31"/>
      <c r="J905" s="33"/>
      <c r="K905" s="33"/>
      <c r="L905" s="33"/>
      <c r="M905" s="33"/>
      <c r="N905" s="81"/>
      <c r="O905" s="33"/>
      <c r="P905" s="35"/>
      <c r="Q905" s="36"/>
      <c r="R905" s="36"/>
    </row>
    <row r="906" ht="22.5" customHeight="1">
      <c r="A906" s="38"/>
      <c r="B906" s="26"/>
      <c r="C906" s="29"/>
      <c r="D906" s="29"/>
      <c r="E906" s="29"/>
      <c r="F906" s="29"/>
      <c r="G906" s="287"/>
      <c r="H906" s="31"/>
      <c r="I906" s="31"/>
      <c r="J906" s="33"/>
      <c r="K906" s="33"/>
      <c r="L906" s="33"/>
      <c r="M906" s="33"/>
      <c r="N906" s="81"/>
      <c r="O906" s="33"/>
      <c r="P906" s="35"/>
      <c r="Q906" s="36"/>
      <c r="R906" s="36"/>
    </row>
    <row r="907" ht="22.5" customHeight="1">
      <c r="A907" s="38"/>
      <c r="B907" s="26"/>
      <c r="C907" s="29"/>
      <c r="D907" s="29"/>
      <c r="E907" s="29"/>
      <c r="F907" s="29"/>
      <c r="G907" s="287"/>
      <c r="H907" s="31"/>
      <c r="I907" s="31"/>
      <c r="J907" s="33"/>
      <c r="K907" s="33"/>
      <c r="L907" s="33"/>
      <c r="M907" s="33"/>
      <c r="N907" s="81"/>
      <c r="O907" s="33"/>
      <c r="P907" s="35"/>
      <c r="Q907" s="36"/>
      <c r="R907" s="36"/>
    </row>
    <row r="908" ht="22.5" customHeight="1">
      <c r="A908" s="38"/>
      <c r="B908" s="26"/>
      <c r="C908" s="29"/>
      <c r="D908" s="29"/>
      <c r="E908" s="29"/>
      <c r="F908" s="29"/>
      <c r="G908" s="287"/>
      <c r="H908" s="31"/>
      <c r="I908" s="31"/>
      <c r="J908" s="33"/>
      <c r="K908" s="33"/>
      <c r="L908" s="33"/>
      <c r="M908" s="33"/>
      <c r="N908" s="81"/>
      <c r="O908" s="33"/>
      <c r="P908" s="35"/>
      <c r="Q908" s="36"/>
      <c r="R908" s="36"/>
    </row>
    <row r="909" ht="22.5" customHeight="1">
      <c r="A909" s="38"/>
      <c r="B909" s="26"/>
      <c r="C909" s="29"/>
      <c r="D909" s="29"/>
      <c r="E909" s="29"/>
      <c r="F909" s="29"/>
      <c r="G909" s="287"/>
      <c r="H909" s="31"/>
      <c r="I909" s="31"/>
      <c r="J909" s="33"/>
      <c r="K909" s="33"/>
      <c r="L909" s="33"/>
      <c r="M909" s="33"/>
      <c r="N909" s="81"/>
      <c r="O909" s="33"/>
      <c r="P909" s="35"/>
      <c r="Q909" s="36"/>
      <c r="R909" s="36"/>
    </row>
    <row r="910" ht="22.5" customHeight="1">
      <c r="A910" s="38"/>
      <c r="B910" s="26"/>
      <c r="C910" s="29"/>
      <c r="D910" s="29"/>
      <c r="E910" s="29"/>
      <c r="F910" s="29"/>
      <c r="G910" s="287"/>
      <c r="H910" s="31"/>
      <c r="I910" s="31"/>
      <c r="J910" s="33"/>
      <c r="K910" s="33"/>
      <c r="L910" s="33"/>
      <c r="M910" s="33"/>
      <c r="N910" s="81"/>
      <c r="O910" s="33"/>
      <c r="P910" s="35"/>
      <c r="Q910" s="36"/>
      <c r="R910" s="36"/>
    </row>
    <row r="911" ht="22.5" customHeight="1">
      <c r="A911" s="38"/>
      <c r="B911" s="26"/>
      <c r="C911" s="29"/>
      <c r="D911" s="29"/>
      <c r="E911" s="29"/>
      <c r="F911" s="29"/>
      <c r="G911" s="287"/>
      <c r="H911" s="31"/>
      <c r="I911" s="31"/>
      <c r="J911" s="33"/>
      <c r="K911" s="33"/>
      <c r="L911" s="33"/>
      <c r="M911" s="33"/>
      <c r="N911" s="81"/>
      <c r="O911" s="33"/>
      <c r="P911" s="35"/>
      <c r="Q911" s="36"/>
      <c r="R911" s="36"/>
    </row>
    <row r="912" ht="22.5" customHeight="1">
      <c r="A912" s="38"/>
      <c r="B912" s="26"/>
      <c r="C912" s="29"/>
      <c r="D912" s="29"/>
      <c r="E912" s="29"/>
      <c r="F912" s="29"/>
      <c r="G912" s="287"/>
      <c r="H912" s="31"/>
      <c r="I912" s="31"/>
      <c r="J912" s="33"/>
      <c r="K912" s="33"/>
      <c r="L912" s="33"/>
      <c r="M912" s="33"/>
      <c r="N912" s="81"/>
      <c r="O912" s="33"/>
      <c r="P912" s="35"/>
      <c r="Q912" s="36"/>
      <c r="R912" s="36"/>
    </row>
    <row r="913" ht="22.5" customHeight="1">
      <c r="A913" s="38"/>
      <c r="B913" s="26"/>
      <c r="C913" s="29"/>
      <c r="D913" s="29"/>
      <c r="E913" s="29"/>
      <c r="F913" s="29"/>
      <c r="G913" s="287"/>
      <c r="H913" s="31"/>
      <c r="I913" s="31"/>
      <c r="J913" s="33"/>
      <c r="K913" s="33"/>
      <c r="L913" s="33"/>
      <c r="M913" s="33"/>
      <c r="N913" s="81"/>
      <c r="O913" s="33"/>
      <c r="P913" s="35"/>
      <c r="Q913" s="36"/>
      <c r="R913" s="36"/>
    </row>
    <row r="914" ht="22.5" customHeight="1">
      <c r="A914" s="38"/>
      <c r="B914" s="26"/>
      <c r="C914" s="29"/>
      <c r="D914" s="29"/>
      <c r="E914" s="29"/>
      <c r="F914" s="29"/>
      <c r="G914" s="287"/>
      <c r="H914" s="31"/>
      <c r="I914" s="31"/>
      <c r="J914" s="33"/>
      <c r="K914" s="33"/>
      <c r="L914" s="33"/>
      <c r="M914" s="33"/>
      <c r="N914" s="81"/>
      <c r="O914" s="33"/>
      <c r="P914" s="35"/>
      <c r="Q914" s="36"/>
      <c r="R914" s="36"/>
    </row>
    <row r="915" ht="22.5" customHeight="1">
      <c r="A915" s="38"/>
      <c r="B915" s="26"/>
      <c r="C915" s="29"/>
      <c r="D915" s="29"/>
      <c r="E915" s="29"/>
      <c r="F915" s="29"/>
      <c r="G915" s="287"/>
      <c r="H915" s="31"/>
      <c r="I915" s="31"/>
      <c r="J915" s="33"/>
      <c r="K915" s="33"/>
      <c r="L915" s="33"/>
      <c r="M915" s="33"/>
      <c r="N915" s="81"/>
      <c r="O915" s="33"/>
      <c r="P915" s="35"/>
      <c r="Q915" s="36"/>
      <c r="R915" s="36"/>
    </row>
    <row r="916" ht="22.5" customHeight="1">
      <c r="A916" s="38"/>
      <c r="B916" s="26"/>
      <c r="C916" s="29"/>
      <c r="D916" s="29"/>
      <c r="E916" s="29"/>
      <c r="F916" s="29"/>
      <c r="G916" s="287"/>
      <c r="H916" s="31"/>
      <c r="I916" s="31"/>
      <c r="J916" s="33"/>
      <c r="K916" s="33"/>
      <c r="L916" s="33"/>
      <c r="M916" s="33"/>
      <c r="N916" s="81"/>
      <c r="O916" s="33"/>
      <c r="P916" s="35"/>
      <c r="Q916" s="36"/>
      <c r="R916" s="36"/>
    </row>
    <row r="917" ht="22.5" customHeight="1">
      <c r="A917" s="38"/>
      <c r="B917" s="26"/>
      <c r="C917" s="29"/>
      <c r="D917" s="29"/>
      <c r="E917" s="29"/>
      <c r="F917" s="29"/>
      <c r="G917" s="287"/>
      <c r="H917" s="31"/>
      <c r="I917" s="31"/>
      <c r="J917" s="33"/>
      <c r="K917" s="33"/>
      <c r="L917" s="33"/>
      <c r="M917" s="33"/>
      <c r="N917" s="81"/>
      <c r="O917" s="33"/>
      <c r="P917" s="35"/>
      <c r="Q917" s="36"/>
      <c r="R917" s="36"/>
    </row>
    <row r="918" ht="22.5" customHeight="1">
      <c r="A918" s="38"/>
      <c r="B918" s="26"/>
      <c r="C918" s="29"/>
      <c r="D918" s="29"/>
      <c r="E918" s="29"/>
      <c r="F918" s="29"/>
      <c r="G918" s="287"/>
      <c r="H918" s="31"/>
      <c r="I918" s="31"/>
      <c r="J918" s="33"/>
      <c r="K918" s="33"/>
      <c r="L918" s="33"/>
      <c r="M918" s="33"/>
      <c r="N918" s="81"/>
      <c r="O918" s="33"/>
      <c r="P918" s="35"/>
      <c r="Q918" s="36"/>
      <c r="R918" s="36"/>
    </row>
    <row r="919" ht="22.5" customHeight="1">
      <c r="A919" s="38"/>
      <c r="B919" s="26"/>
      <c r="C919" s="29"/>
      <c r="D919" s="29"/>
      <c r="E919" s="29"/>
      <c r="F919" s="29"/>
      <c r="G919" s="287"/>
      <c r="H919" s="31"/>
      <c r="I919" s="31"/>
      <c r="J919" s="33"/>
      <c r="K919" s="33"/>
      <c r="L919" s="33"/>
      <c r="M919" s="33"/>
      <c r="N919" s="81"/>
      <c r="O919" s="33"/>
      <c r="P919" s="35"/>
      <c r="Q919" s="36"/>
      <c r="R919" s="36"/>
    </row>
    <row r="920" ht="22.5" customHeight="1">
      <c r="A920" s="38"/>
      <c r="B920" s="26"/>
      <c r="C920" s="29"/>
      <c r="D920" s="29"/>
      <c r="E920" s="29"/>
      <c r="F920" s="29"/>
      <c r="G920" s="287"/>
      <c r="H920" s="31"/>
      <c r="I920" s="31"/>
      <c r="J920" s="33"/>
      <c r="K920" s="33"/>
      <c r="L920" s="33"/>
      <c r="M920" s="33"/>
      <c r="N920" s="81"/>
      <c r="O920" s="33"/>
      <c r="P920" s="35"/>
      <c r="Q920" s="36"/>
      <c r="R920" s="36"/>
    </row>
    <row r="921" ht="22.5" customHeight="1">
      <c r="A921" s="38"/>
      <c r="B921" s="26"/>
      <c r="C921" s="29"/>
      <c r="D921" s="29"/>
      <c r="E921" s="29"/>
      <c r="F921" s="29"/>
      <c r="G921" s="287"/>
      <c r="H921" s="31"/>
      <c r="I921" s="31"/>
      <c r="J921" s="33"/>
      <c r="K921" s="33"/>
      <c r="L921" s="33"/>
      <c r="M921" s="33"/>
      <c r="N921" s="81"/>
      <c r="O921" s="33"/>
      <c r="P921" s="35"/>
      <c r="Q921" s="36"/>
      <c r="R921" s="36"/>
    </row>
    <row r="922" ht="22.5" customHeight="1">
      <c r="A922" s="38"/>
      <c r="B922" s="26"/>
      <c r="C922" s="29"/>
      <c r="D922" s="29"/>
      <c r="E922" s="29"/>
      <c r="F922" s="29"/>
      <c r="G922" s="287"/>
      <c r="H922" s="31"/>
      <c r="I922" s="31"/>
      <c r="J922" s="33"/>
      <c r="K922" s="33"/>
      <c r="L922" s="33"/>
      <c r="M922" s="33"/>
      <c r="N922" s="81"/>
      <c r="O922" s="33"/>
      <c r="P922" s="35"/>
      <c r="Q922" s="36"/>
      <c r="R922" s="36"/>
    </row>
    <row r="923" ht="22.5" customHeight="1">
      <c r="A923" s="38"/>
      <c r="B923" s="26"/>
      <c r="C923" s="29"/>
      <c r="D923" s="29"/>
      <c r="E923" s="29"/>
      <c r="F923" s="29"/>
      <c r="G923" s="287"/>
      <c r="H923" s="31"/>
      <c r="I923" s="31"/>
      <c r="J923" s="33"/>
      <c r="K923" s="33"/>
      <c r="L923" s="33"/>
      <c r="M923" s="33"/>
      <c r="N923" s="81"/>
      <c r="O923" s="33"/>
      <c r="P923" s="35"/>
      <c r="Q923" s="36"/>
      <c r="R923" s="36"/>
    </row>
    <row r="924" ht="22.5" customHeight="1">
      <c r="A924" s="38"/>
      <c r="B924" s="26"/>
      <c r="C924" s="29"/>
      <c r="D924" s="29"/>
      <c r="E924" s="29"/>
      <c r="F924" s="29"/>
      <c r="G924" s="287"/>
      <c r="H924" s="31"/>
      <c r="I924" s="31"/>
      <c r="J924" s="33"/>
      <c r="K924" s="33"/>
      <c r="L924" s="33"/>
      <c r="M924" s="33"/>
      <c r="N924" s="81"/>
      <c r="O924" s="33"/>
      <c r="P924" s="35"/>
      <c r="Q924" s="36"/>
      <c r="R924" s="36"/>
    </row>
    <row r="925" ht="22.5" customHeight="1">
      <c r="A925" s="38"/>
      <c r="B925" s="26"/>
      <c r="C925" s="29"/>
      <c r="D925" s="29"/>
      <c r="E925" s="29"/>
      <c r="F925" s="29"/>
      <c r="G925" s="287"/>
      <c r="H925" s="31"/>
      <c r="I925" s="31"/>
      <c r="J925" s="33"/>
      <c r="K925" s="33"/>
      <c r="L925" s="33"/>
      <c r="M925" s="33"/>
      <c r="N925" s="81"/>
      <c r="O925" s="33"/>
      <c r="P925" s="35"/>
      <c r="Q925" s="36"/>
      <c r="R925" s="36"/>
    </row>
    <row r="926" ht="22.5" customHeight="1">
      <c r="A926" s="38"/>
      <c r="B926" s="26"/>
      <c r="C926" s="29"/>
      <c r="D926" s="29"/>
      <c r="E926" s="29"/>
      <c r="F926" s="29"/>
      <c r="G926" s="287"/>
      <c r="H926" s="31"/>
      <c r="I926" s="31"/>
      <c r="J926" s="33"/>
      <c r="K926" s="33"/>
      <c r="L926" s="33"/>
      <c r="M926" s="33"/>
      <c r="N926" s="81"/>
      <c r="O926" s="33"/>
      <c r="P926" s="35"/>
      <c r="Q926" s="36"/>
      <c r="R926" s="36"/>
    </row>
    <row r="927" ht="22.5" customHeight="1">
      <c r="A927" s="38"/>
      <c r="B927" s="26"/>
      <c r="C927" s="29"/>
      <c r="D927" s="29"/>
      <c r="E927" s="29"/>
      <c r="F927" s="29"/>
      <c r="G927" s="287"/>
      <c r="H927" s="31"/>
      <c r="I927" s="31"/>
      <c r="J927" s="33"/>
      <c r="K927" s="33"/>
      <c r="L927" s="33"/>
      <c r="M927" s="33"/>
      <c r="N927" s="81"/>
      <c r="O927" s="33"/>
      <c r="P927" s="35"/>
      <c r="Q927" s="36"/>
      <c r="R927" s="36"/>
    </row>
    <row r="928" ht="22.5" customHeight="1">
      <c r="A928" s="38"/>
      <c r="B928" s="26"/>
      <c r="C928" s="29"/>
      <c r="D928" s="29"/>
      <c r="E928" s="29"/>
      <c r="F928" s="29"/>
      <c r="G928" s="287"/>
      <c r="H928" s="31"/>
      <c r="I928" s="31"/>
      <c r="J928" s="33"/>
      <c r="K928" s="33"/>
      <c r="L928" s="33"/>
      <c r="M928" s="33"/>
      <c r="N928" s="81"/>
      <c r="O928" s="33"/>
      <c r="P928" s="35"/>
      <c r="Q928" s="36"/>
      <c r="R928" s="36"/>
    </row>
    <row r="929" ht="22.5" customHeight="1">
      <c r="A929" s="38"/>
      <c r="B929" s="26"/>
      <c r="C929" s="29"/>
      <c r="D929" s="29"/>
      <c r="E929" s="29"/>
      <c r="F929" s="29"/>
      <c r="G929" s="287"/>
      <c r="H929" s="31"/>
      <c r="I929" s="31"/>
      <c r="J929" s="33"/>
      <c r="K929" s="33"/>
      <c r="L929" s="33"/>
      <c r="M929" s="33"/>
      <c r="N929" s="81"/>
      <c r="O929" s="33"/>
      <c r="P929" s="35"/>
      <c r="Q929" s="36"/>
      <c r="R929" s="36"/>
    </row>
    <row r="930" ht="22.5" customHeight="1">
      <c r="A930" s="38"/>
      <c r="B930" s="26"/>
      <c r="C930" s="29"/>
      <c r="D930" s="29"/>
      <c r="E930" s="29"/>
      <c r="F930" s="29"/>
      <c r="G930" s="287"/>
      <c r="H930" s="31"/>
      <c r="I930" s="31"/>
      <c r="J930" s="33"/>
      <c r="K930" s="33"/>
      <c r="L930" s="33"/>
      <c r="M930" s="33"/>
      <c r="N930" s="81"/>
      <c r="O930" s="33"/>
      <c r="P930" s="35"/>
      <c r="Q930" s="36"/>
      <c r="R930" s="36"/>
    </row>
    <row r="931" ht="22.5" customHeight="1">
      <c r="A931" s="38"/>
      <c r="B931" s="26"/>
      <c r="C931" s="29"/>
      <c r="D931" s="29"/>
      <c r="E931" s="29"/>
      <c r="F931" s="29"/>
      <c r="G931" s="287"/>
      <c r="H931" s="31"/>
      <c r="I931" s="31"/>
      <c r="J931" s="33"/>
      <c r="K931" s="33"/>
      <c r="L931" s="33"/>
      <c r="M931" s="33"/>
      <c r="N931" s="81"/>
      <c r="O931" s="33"/>
      <c r="P931" s="35"/>
      <c r="Q931" s="36"/>
      <c r="R931" s="36"/>
    </row>
    <row r="932" ht="22.5" customHeight="1">
      <c r="A932" s="38"/>
      <c r="B932" s="26"/>
      <c r="C932" s="29"/>
      <c r="D932" s="29"/>
      <c r="E932" s="29"/>
      <c r="F932" s="29"/>
      <c r="G932" s="287"/>
      <c r="H932" s="31"/>
      <c r="I932" s="31"/>
      <c r="J932" s="33"/>
      <c r="K932" s="33"/>
      <c r="L932" s="33"/>
      <c r="M932" s="33"/>
      <c r="N932" s="81"/>
      <c r="O932" s="33"/>
      <c r="P932" s="35"/>
      <c r="Q932" s="36"/>
      <c r="R932" s="36"/>
    </row>
    <row r="933" ht="22.5" customHeight="1">
      <c r="A933" s="38"/>
      <c r="B933" s="26"/>
      <c r="C933" s="29"/>
      <c r="D933" s="29"/>
      <c r="E933" s="29"/>
      <c r="F933" s="29"/>
      <c r="G933" s="287"/>
      <c r="H933" s="31"/>
      <c r="I933" s="31"/>
      <c r="J933" s="33"/>
      <c r="K933" s="33"/>
      <c r="L933" s="33"/>
      <c r="M933" s="33"/>
      <c r="N933" s="81"/>
      <c r="O933" s="33"/>
      <c r="P933" s="35"/>
      <c r="Q933" s="36"/>
      <c r="R933" s="36"/>
    </row>
    <row r="934" ht="22.5" customHeight="1">
      <c r="A934" s="38"/>
      <c r="B934" s="26"/>
      <c r="C934" s="29"/>
      <c r="D934" s="29"/>
      <c r="E934" s="29"/>
      <c r="F934" s="29"/>
      <c r="G934" s="287"/>
      <c r="H934" s="31"/>
      <c r="I934" s="31"/>
      <c r="J934" s="33"/>
      <c r="K934" s="33"/>
      <c r="L934" s="33"/>
      <c r="M934" s="33"/>
      <c r="N934" s="81"/>
      <c r="O934" s="33"/>
      <c r="P934" s="35"/>
      <c r="Q934" s="36"/>
      <c r="R934" s="36"/>
    </row>
    <row r="935" ht="22.5" customHeight="1">
      <c r="A935" s="38"/>
      <c r="B935" s="26"/>
      <c r="C935" s="29"/>
      <c r="D935" s="29"/>
      <c r="E935" s="29"/>
      <c r="F935" s="29"/>
      <c r="G935" s="287"/>
      <c r="H935" s="31"/>
      <c r="I935" s="31"/>
      <c r="J935" s="33"/>
      <c r="K935" s="33"/>
      <c r="L935" s="33"/>
      <c r="M935" s="33"/>
      <c r="N935" s="81"/>
      <c r="O935" s="33"/>
      <c r="P935" s="35"/>
      <c r="Q935" s="36"/>
      <c r="R935" s="36"/>
    </row>
    <row r="936" ht="22.5" customHeight="1">
      <c r="A936" s="38"/>
      <c r="B936" s="26"/>
      <c r="C936" s="29"/>
      <c r="D936" s="29"/>
      <c r="E936" s="29"/>
      <c r="F936" s="29"/>
      <c r="G936" s="287"/>
      <c r="H936" s="31"/>
      <c r="I936" s="31"/>
      <c r="J936" s="33"/>
      <c r="K936" s="33"/>
      <c r="L936" s="33"/>
      <c r="M936" s="33"/>
      <c r="N936" s="81"/>
      <c r="O936" s="33"/>
      <c r="P936" s="35"/>
      <c r="Q936" s="36"/>
      <c r="R936" s="36"/>
    </row>
    <row r="937" ht="22.5" customHeight="1">
      <c r="A937" s="38"/>
      <c r="B937" s="26"/>
      <c r="C937" s="29"/>
      <c r="D937" s="29"/>
      <c r="E937" s="29"/>
      <c r="F937" s="29"/>
      <c r="G937" s="287"/>
      <c r="H937" s="31"/>
      <c r="I937" s="31"/>
      <c r="J937" s="33"/>
      <c r="K937" s="33"/>
      <c r="L937" s="33"/>
      <c r="M937" s="33"/>
      <c r="N937" s="81"/>
      <c r="O937" s="33"/>
      <c r="P937" s="35"/>
      <c r="Q937" s="36"/>
      <c r="R937" s="36"/>
    </row>
    <row r="938" ht="22.5" customHeight="1">
      <c r="A938" s="38"/>
      <c r="B938" s="26"/>
      <c r="C938" s="29"/>
      <c r="D938" s="29"/>
      <c r="E938" s="29"/>
      <c r="F938" s="29"/>
      <c r="G938" s="287"/>
      <c r="H938" s="31"/>
      <c r="I938" s="31"/>
      <c r="J938" s="33"/>
      <c r="K938" s="33"/>
      <c r="L938" s="33"/>
      <c r="M938" s="33"/>
      <c r="N938" s="81"/>
      <c r="O938" s="33"/>
      <c r="P938" s="35"/>
      <c r="Q938" s="36"/>
      <c r="R938" s="36"/>
    </row>
    <row r="939" ht="22.5" customHeight="1">
      <c r="A939" s="38"/>
      <c r="B939" s="26"/>
      <c r="C939" s="29"/>
      <c r="D939" s="29"/>
      <c r="E939" s="29"/>
      <c r="F939" s="29"/>
      <c r="G939" s="287"/>
      <c r="H939" s="31"/>
      <c r="I939" s="31"/>
      <c r="J939" s="33"/>
      <c r="K939" s="33"/>
      <c r="L939" s="33"/>
      <c r="M939" s="33"/>
      <c r="N939" s="81"/>
      <c r="O939" s="33"/>
      <c r="P939" s="35"/>
      <c r="Q939" s="36"/>
      <c r="R939" s="36"/>
    </row>
    <row r="940" ht="22.5" customHeight="1">
      <c r="A940" s="38"/>
      <c r="B940" s="26"/>
      <c r="C940" s="29"/>
      <c r="D940" s="29"/>
      <c r="E940" s="29"/>
      <c r="F940" s="29"/>
      <c r="G940" s="287"/>
      <c r="H940" s="31"/>
      <c r="I940" s="31"/>
      <c r="J940" s="33"/>
      <c r="K940" s="33"/>
      <c r="L940" s="33"/>
      <c r="M940" s="33"/>
      <c r="N940" s="81"/>
      <c r="O940" s="33"/>
      <c r="P940" s="35"/>
      <c r="Q940" s="36"/>
      <c r="R940" s="36"/>
    </row>
    <row r="941" ht="22.5" customHeight="1">
      <c r="A941" s="38"/>
      <c r="B941" s="26"/>
      <c r="C941" s="29"/>
      <c r="D941" s="29"/>
      <c r="E941" s="29"/>
      <c r="F941" s="29"/>
      <c r="G941" s="287"/>
      <c r="H941" s="31"/>
      <c r="I941" s="31"/>
      <c r="J941" s="33"/>
      <c r="K941" s="33"/>
      <c r="L941" s="33"/>
      <c r="M941" s="33"/>
      <c r="N941" s="81"/>
      <c r="O941" s="33"/>
      <c r="P941" s="35"/>
      <c r="Q941" s="36"/>
      <c r="R941" s="36"/>
    </row>
    <row r="942" ht="22.5" customHeight="1">
      <c r="A942" s="38"/>
      <c r="B942" s="26"/>
      <c r="C942" s="29"/>
      <c r="D942" s="29"/>
      <c r="E942" s="29"/>
      <c r="F942" s="29"/>
      <c r="G942" s="287"/>
      <c r="H942" s="31"/>
      <c r="I942" s="31"/>
      <c r="J942" s="33"/>
      <c r="K942" s="33"/>
      <c r="L942" s="33"/>
      <c r="M942" s="33"/>
      <c r="N942" s="81"/>
      <c r="O942" s="33"/>
      <c r="P942" s="35"/>
      <c r="Q942" s="36"/>
      <c r="R942" s="36"/>
    </row>
    <row r="943" ht="22.5" customHeight="1">
      <c r="A943" s="38"/>
      <c r="B943" s="26"/>
      <c r="C943" s="29"/>
      <c r="D943" s="29"/>
      <c r="E943" s="29"/>
      <c r="F943" s="29"/>
      <c r="G943" s="287"/>
      <c r="H943" s="31"/>
      <c r="I943" s="31"/>
      <c r="J943" s="33"/>
      <c r="K943" s="33"/>
      <c r="L943" s="33"/>
      <c r="M943" s="33"/>
      <c r="N943" s="81"/>
      <c r="O943" s="33"/>
      <c r="P943" s="35"/>
      <c r="Q943" s="36"/>
      <c r="R943" s="36"/>
    </row>
    <row r="944" ht="22.5" customHeight="1">
      <c r="A944" s="38"/>
      <c r="B944" s="26"/>
      <c r="C944" s="29"/>
      <c r="D944" s="29"/>
      <c r="E944" s="29"/>
      <c r="F944" s="29"/>
      <c r="G944" s="287"/>
      <c r="H944" s="31"/>
      <c r="I944" s="31"/>
      <c r="J944" s="33"/>
      <c r="K944" s="33"/>
      <c r="L944" s="33"/>
      <c r="M944" s="33"/>
      <c r="N944" s="81"/>
      <c r="O944" s="33"/>
      <c r="P944" s="35"/>
      <c r="Q944" s="36"/>
      <c r="R944" s="36"/>
    </row>
    <row r="945" ht="22.5" customHeight="1">
      <c r="A945" s="38"/>
      <c r="B945" s="26"/>
      <c r="C945" s="29"/>
      <c r="D945" s="29"/>
      <c r="E945" s="29"/>
      <c r="F945" s="29"/>
      <c r="G945" s="287"/>
      <c r="H945" s="31"/>
      <c r="I945" s="31"/>
      <c r="J945" s="33"/>
      <c r="K945" s="33"/>
      <c r="L945" s="33"/>
      <c r="M945" s="33"/>
      <c r="N945" s="81"/>
      <c r="O945" s="33"/>
      <c r="P945" s="35"/>
      <c r="Q945" s="36"/>
      <c r="R945" s="36"/>
    </row>
    <row r="946" ht="22.5" customHeight="1">
      <c r="A946" s="38"/>
      <c r="B946" s="26"/>
      <c r="C946" s="29"/>
      <c r="D946" s="29"/>
      <c r="E946" s="29"/>
      <c r="F946" s="29"/>
      <c r="G946" s="287"/>
      <c r="H946" s="31"/>
      <c r="I946" s="31"/>
      <c r="J946" s="33"/>
      <c r="K946" s="33"/>
      <c r="L946" s="33"/>
      <c r="M946" s="33"/>
      <c r="N946" s="81"/>
      <c r="O946" s="33"/>
      <c r="P946" s="35"/>
      <c r="Q946" s="36"/>
      <c r="R946" s="36"/>
    </row>
    <row r="947" ht="22.5" customHeight="1">
      <c r="A947" s="38"/>
      <c r="B947" s="26"/>
      <c r="C947" s="29"/>
      <c r="D947" s="29"/>
      <c r="E947" s="29"/>
      <c r="F947" s="29"/>
      <c r="G947" s="287"/>
      <c r="H947" s="31"/>
      <c r="I947" s="31"/>
      <c r="J947" s="33"/>
      <c r="K947" s="33"/>
      <c r="L947" s="33"/>
      <c r="M947" s="33"/>
      <c r="N947" s="81"/>
      <c r="O947" s="33"/>
      <c r="P947" s="35"/>
      <c r="Q947" s="36"/>
      <c r="R947" s="36"/>
    </row>
    <row r="948" ht="22.5" customHeight="1">
      <c r="A948" s="38"/>
      <c r="B948" s="26"/>
      <c r="C948" s="29"/>
      <c r="D948" s="29"/>
      <c r="E948" s="29"/>
      <c r="F948" s="29"/>
      <c r="G948" s="287"/>
      <c r="H948" s="31"/>
      <c r="I948" s="31"/>
      <c r="J948" s="33"/>
      <c r="K948" s="33"/>
      <c r="L948" s="33"/>
      <c r="M948" s="33"/>
      <c r="N948" s="81"/>
      <c r="O948" s="33"/>
      <c r="P948" s="35"/>
      <c r="Q948" s="36"/>
      <c r="R948" s="36"/>
    </row>
    <row r="949" ht="22.5" customHeight="1">
      <c r="A949" s="38"/>
      <c r="B949" s="26"/>
      <c r="C949" s="29"/>
      <c r="D949" s="29"/>
      <c r="E949" s="29"/>
      <c r="F949" s="29"/>
      <c r="G949" s="287"/>
      <c r="H949" s="31"/>
      <c r="I949" s="31"/>
      <c r="J949" s="33"/>
      <c r="K949" s="33"/>
      <c r="L949" s="33"/>
      <c r="M949" s="33"/>
      <c r="N949" s="81"/>
      <c r="O949" s="33"/>
      <c r="P949" s="35"/>
      <c r="Q949" s="36"/>
      <c r="R949" s="36"/>
    </row>
    <row r="950" ht="22.5" customHeight="1">
      <c r="A950" s="38"/>
      <c r="B950" s="26"/>
      <c r="C950" s="29"/>
      <c r="D950" s="29"/>
      <c r="E950" s="29"/>
      <c r="F950" s="29"/>
      <c r="G950" s="287"/>
      <c r="H950" s="31"/>
      <c r="I950" s="31"/>
      <c r="J950" s="33"/>
      <c r="K950" s="33"/>
      <c r="L950" s="33"/>
      <c r="M950" s="33"/>
      <c r="N950" s="81"/>
      <c r="O950" s="33"/>
      <c r="P950" s="35"/>
      <c r="Q950" s="36"/>
      <c r="R950" s="36"/>
    </row>
    <row r="951" ht="22.5" customHeight="1">
      <c r="A951" s="38"/>
      <c r="B951" s="26"/>
      <c r="C951" s="29"/>
      <c r="D951" s="29"/>
      <c r="E951" s="29"/>
      <c r="F951" s="29"/>
      <c r="G951" s="287"/>
      <c r="H951" s="31"/>
      <c r="I951" s="31"/>
      <c r="J951" s="33"/>
      <c r="K951" s="33"/>
      <c r="L951" s="33"/>
      <c r="M951" s="33"/>
      <c r="N951" s="81"/>
      <c r="O951" s="33"/>
      <c r="P951" s="35"/>
      <c r="Q951" s="36"/>
      <c r="R951" s="36"/>
    </row>
    <row r="952" ht="22.5" customHeight="1">
      <c r="A952" s="38"/>
      <c r="B952" s="26"/>
      <c r="C952" s="29"/>
      <c r="D952" s="29"/>
      <c r="E952" s="29"/>
      <c r="F952" s="29"/>
      <c r="G952" s="287"/>
      <c r="H952" s="31"/>
      <c r="I952" s="31"/>
      <c r="J952" s="33"/>
      <c r="K952" s="33"/>
      <c r="L952" s="33"/>
      <c r="M952" s="33"/>
      <c r="N952" s="81"/>
      <c r="O952" s="33"/>
      <c r="P952" s="35"/>
      <c r="Q952" s="36"/>
      <c r="R952" s="36"/>
    </row>
    <row r="953" ht="22.5" customHeight="1">
      <c r="A953" s="38"/>
      <c r="B953" s="26"/>
      <c r="C953" s="29"/>
      <c r="D953" s="29"/>
      <c r="E953" s="29"/>
      <c r="F953" s="29"/>
      <c r="G953" s="287"/>
      <c r="H953" s="31"/>
      <c r="I953" s="31"/>
      <c r="J953" s="33"/>
      <c r="K953" s="33"/>
      <c r="L953" s="33"/>
      <c r="M953" s="33"/>
      <c r="N953" s="81"/>
      <c r="O953" s="33"/>
      <c r="P953" s="35"/>
      <c r="Q953" s="36"/>
      <c r="R953" s="36"/>
    </row>
    <row r="954" ht="22.5" customHeight="1">
      <c r="A954" s="38"/>
      <c r="B954" s="26"/>
      <c r="C954" s="29"/>
      <c r="D954" s="29"/>
      <c r="E954" s="29"/>
      <c r="F954" s="29"/>
      <c r="G954" s="287"/>
      <c r="H954" s="31"/>
      <c r="I954" s="31"/>
      <c r="J954" s="33"/>
      <c r="K954" s="33"/>
      <c r="L954" s="33"/>
      <c r="M954" s="33"/>
      <c r="N954" s="81"/>
      <c r="O954" s="33"/>
      <c r="P954" s="35"/>
      <c r="Q954" s="36"/>
      <c r="R954" s="36"/>
    </row>
    <row r="955" ht="22.5" customHeight="1">
      <c r="A955" s="38"/>
      <c r="B955" s="26"/>
      <c r="C955" s="29"/>
      <c r="D955" s="29"/>
      <c r="E955" s="29"/>
      <c r="F955" s="29"/>
      <c r="G955" s="287"/>
      <c r="H955" s="31"/>
      <c r="I955" s="31"/>
      <c r="J955" s="33"/>
      <c r="K955" s="33"/>
      <c r="L955" s="33"/>
      <c r="M955" s="33"/>
      <c r="N955" s="81"/>
      <c r="O955" s="33"/>
      <c r="P955" s="35"/>
      <c r="Q955" s="36"/>
      <c r="R955" s="36"/>
    </row>
    <row r="956" ht="22.5" customHeight="1">
      <c r="A956" s="38"/>
      <c r="B956" s="26"/>
      <c r="C956" s="29"/>
      <c r="D956" s="29"/>
      <c r="E956" s="29"/>
      <c r="F956" s="29"/>
      <c r="G956" s="287"/>
      <c r="H956" s="31"/>
      <c r="I956" s="31"/>
      <c r="J956" s="33"/>
      <c r="K956" s="33"/>
      <c r="L956" s="33"/>
      <c r="M956" s="33"/>
      <c r="N956" s="81"/>
      <c r="O956" s="33"/>
      <c r="P956" s="35"/>
      <c r="Q956" s="36"/>
      <c r="R956" s="36"/>
    </row>
    <row r="957" ht="22.5" customHeight="1">
      <c r="A957" s="38"/>
      <c r="B957" s="26"/>
      <c r="C957" s="29"/>
      <c r="D957" s="29"/>
      <c r="E957" s="29"/>
      <c r="F957" s="29"/>
      <c r="G957" s="287"/>
      <c r="H957" s="31"/>
      <c r="I957" s="31"/>
      <c r="J957" s="33"/>
      <c r="K957" s="33"/>
      <c r="L957" s="33"/>
      <c r="M957" s="33"/>
      <c r="N957" s="81"/>
      <c r="O957" s="33"/>
      <c r="P957" s="35"/>
      <c r="Q957" s="36"/>
      <c r="R957" s="36"/>
    </row>
    <row r="958" ht="22.5" customHeight="1">
      <c r="A958" s="38"/>
      <c r="B958" s="26"/>
      <c r="C958" s="29"/>
      <c r="D958" s="29"/>
      <c r="E958" s="29"/>
      <c r="F958" s="29"/>
      <c r="G958" s="287"/>
      <c r="H958" s="31"/>
      <c r="I958" s="31"/>
      <c r="J958" s="33"/>
      <c r="K958" s="33"/>
      <c r="L958" s="33"/>
      <c r="M958" s="33"/>
      <c r="N958" s="81"/>
      <c r="O958" s="33"/>
      <c r="P958" s="35"/>
      <c r="Q958" s="36"/>
      <c r="R958" s="36"/>
    </row>
    <row r="959" ht="22.5" customHeight="1">
      <c r="A959" s="38"/>
      <c r="B959" s="26"/>
      <c r="C959" s="29"/>
      <c r="D959" s="29"/>
      <c r="E959" s="29"/>
      <c r="F959" s="29"/>
      <c r="G959" s="287"/>
      <c r="H959" s="31"/>
      <c r="I959" s="31"/>
      <c r="J959" s="33"/>
      <c r="K959" s="33"/>
      <c r="L959" s="33"/>
      <c r="M959" s="33"/>
      <c r="N959" s="81"/>
      <c r="O959" s="33"/>
      <c r="P959" s="35"/>
      <c r="Q959" s="36"/>
      <c r="R959" s="36"/>
    </row>
    <row r="960" ht="22.5" customHeight="1">
      <c r="A960" s="38"/>
      <c r="B960" s="26"/>
      <c r="C960" s="29"/>
      <c r="D960" s="29"/>
      <c r="E960" s="29"/>
      <c r="F960" s="29"/>
      <c r="G960" s="287"/>
      <c r="H960" s="31"/>
      <c r="I960" s="31"/>
      <c r="J960" s="33"/>
      <c r="K960" s="33"/>
      <c r="L960" s="33"/>
      <c r="M960" s="33"/>
      <c r="N960" s="81"/>
      <c r="O960" s="33"/>
      <c r="P960" s="35"/>
      <c r="Q960" s="36"/>
      <c r="R960" s="36"/>
    </row>
    <row r="961" ht="22.5" customHeight="1">
      <c r="A961" s="38"/>
      <c r="B961" s="26"/>
      <c r="C961" s="29"/>
      <c r="D961" s="29"/>
      <c r="E961" s="29"/>
      <c r="F961" s="29"/>
      <c r="G961" s="287"/>
      <c r="H961" s="31"/>
      <c r="I961" s="31"/>
      <c r="J961" s="33"/>
      <c r="K961" s="33"/>
      <c r="L961" s="33"/>
      <c r="M961" s="33"/>
      <c r="N961" s="81"/>
      <c r="O961" s="33"/>
      <c r="P961" s="35"/>
      <c r="Q961" s="36"/>
      <c r="R961" s="36"/>
    </row>
    <row r="962" ht="22.5" customHeight="1">
      <c r="A962" s="38"/>
      <c r="B962" s="26"/>
      <c r="C962" s="29"/>
      <c r="D962" s="29"/>
      <c r="E962" s="29"/>
      <c r="F962" s="29"/>
      <c r="G962" s="287"/>
      <c r="H962" s="31"/>
      <c r="I962" s="31"/>
      <c r="J962" s="33"/>
      <c r="K962" s="33"/>
      <c r="L962" s="33"/>
      <c r="M962" s="33"/>
      <c r="N962" s="81"/>
      <c r="O962" s="33"/>
      <c r="P962" s="35"/>
      <c r="Q962" s="36"/>
      <c r="R962" s="36"/>
    </row>
    <row r="963" ht="22.5" customHeight="1">
      <c r="A963" s="38"/>
      <c r="B963" s="26"/>
      <c r="C963" s="29"/>
      <c r="D963" s="29"/>
      <c r="E963" s="29"/>
      <c r="F963" s="29"/>
      <c r="G963" s="287"/>
      <c r="H963" s="31"/>
      <c r="I963" s="31"/>
      <c r="J963" s="33"/>
      <c r="K963" s="33"/>
      <c r="L963" s="33"/>
      <c r="M963" s="33"/>
      <c r="N963" s="81"/>
      <c r="O963" s="33"/>
      <c r="P963" s="35"/>
      <c r="Q963" s="36"/>
      <c r="R963" s="36"/>
    </row>
    <row r="964" ht="22.5" customHeight="1">
      <c r="A964" s="38"/>
      <c r="B964" s="26"/>
      <c r="C964" s="29"/>
      <c r="D964" s="29"/>
      <c r="E964" s="29"/>
      <c r="F964" s="29"/>
      <c r="G964" s="287"/>
      <c r="H964" s="31"/>
      <c r="I964" s="31"/>
      <c r="J964" s="33"/>
      <c r="K964" s="33"/>
      <c r="L964" s="33"/>
      <c r="M964" s="33"/>
      <c r="N964" s="81"/>
      <c r="O964" s="33"/>
      <c r="P964" s="35"/>
      <c r="Q964" s="36"/>
      <c r="R964" s="36"/>
    </row>
    <row r="965" ht="22.5" customHeight="1">
      <c r="A965" s="38"/>
      <c r="B965" s="26"/>
      <c r="C965" s="29"/>
      <c r="D965" s="29"/>
      <c r="E965" s="29"/>
      <c r="F965" s="29"/>
      <c r="G965" s="287"/>
      <c r="H965" s="31"/>
      <c r="I965" s="31"/>
      <c r="J965" s="33"/>
      <c r="K965" s="33"/>
      <c r="L965" s="33"/>
      <c r="M965" s="33"/>
      <c r="N965" s="81"/>
      <c r="O965" s="33"/>
      <c r="P965" s="35"/>
      <c r="Q965" s="36"/>
      <c r="R965" s="36"/>
    </row>
    <row r="966" ht="22.5" customHeight="1">
      <c r="A966" s="38"/>
      <c r="B966" s="26"/>
      <c r="C966" s="29"/>
      <c r="D966" s="29"/>
      <c r="E966" s="29"/>
      <c r="F966" s="29"/>
      <c r="G966" s="287"/>
      <c r="H966" s="31"/>
      <c r="I966" s="31"/>
      <c r="J966" s="33"/>
      <c r="K966" s="33"/>
      <c r="L966" s="33"/>
      <c r="M966" s="33"/>
      <c r="N966" s="81"/>
      <c r="O966" s="33"/>
      <c r="P966" s="35"/>
      <c r="Q966" s="36"/>
      <c r="R966" s="36"/>
    </row>
    <row r="967" ht="22.5" customHeight="1">
      <c r="A967" s="38"/>
      <c r="B967" s="26"/>
      <c r="C967" s="29"/>
      <c r="D967" s="29"/>
      <c r="E967" s="29"/>
      <c r="F967" s="29"/>
      <c r="G967" s="287"/>
      <c r="H967" s="31"/>
      <c r="I967" s="31"/>
      <c r="J967" s="33"/>
      <c r="K967" s="33"/>
      <c r="L967" s="33"/>
      <c r="M967" s="33"/>
      <c r="N967" s="81"/>
      <c r="O967" s="33"/>
      <c r="P967" s="35"/>
      <c r="Q967" s="36"/>
      <c r="R967" s="36"/>
    </row>
    <row r="968" ht="22.5" customHeight="1">
      <c r="A968" s="38"/>
      <c r="B968" s="26"/>
      <c r="C968" s="29"/>
      <c r="D968" s="29"/>
      <c r="E968" s="29"/>
      <c r="F968" s="29"/>
      <c r="G968" s="287"/>
      <c r="H968" s="31"/>
      <c r="I968" s="31"/>
      <c r="J968" s="33"/>
      <c r="K968" s="33"/>
      <c r="L968" s="33"/>
      <c r="M968" s="33"/>
      <c r="N968" s="81"/>
      <c r="O968" s="33"/>
      <c r="P968" s="35"/>
      <c r="Q968" s="36"/>
      <c r="R968" s="36"/>
    </row>
    <row r="969" ht="22.5" customHeight="1">
      <c r="A969" s="38"/>
      <c r="B969" s="26"/>
      <c r="C969" s="29"/>
      <c r="D969" s="29"/>
      <c r="E969" s="29"/>
      <c r="F969" s="29"/>
      <c r="G969" s="287"/>
      <c r="H969" s="31"/>
      <c r="I969" s="31"/>
      <c r="J969" s="33"/>
      <c r="K969" s="33"/>
      <c r="L969" s="33"/>
      <c r="M969" s="33"/>
      <c r="N969" s="81"/>
      <c r="O969" s="33"/>
      <c r="P969" s="35"/>
      <c r="Q969" s="36"/>
      <c r="R969" s="36"/>
    </row>
    <row r="970" ht="22.5" customHeight="1">
      <c r="A970" s="38"/>
      <c r="B970" s="26"/>
      <c r="C970" s="29"/>
      <c r="D970" s="29"/>
      <c r="E970" s="29"/>
      <c r="F970" s="29"/>
      <c r="G970" s="287"/>
      <c r="H970" s="31"/>
      <c r="I970" s="31"/>
      <c r="J970" s="33"/>
      <c r="K970" s="33"/>
      <c r="L970" s="33"/>
      <c r="M970" s="33"/>
      <c r="N970" s="81"/>
      <c r="O970" s="33"/>
      <c r="P970" s="35"/>
      <c r="Q970" s="36"/>
      <c r="R970" s="36"/>
    </row>
    <row r="971" ht="22.5" customHeight="1">
      <c r="A971" s="38"/>
      <c r="B971" s="26"/>
      <c r="C971" s="29"/>
      <c r="D971" s="29"/>
      <c r="E971" s="29"/>
      <c r="F971" s="29"/>
      <c r="G971" s="287"/>
      <c r="H971" s="31"/>
      <c r="I971" s="31"/>
      <c r="J971" s="33"/>
      <c r="K971" s="33"/>
      <c r="L971" s="33"/>
      <c r="M971" s="33"/>
      <c r="N971" s="81"/>
      <c r="O971" s="33"/>
      <c r="P971" s="35"/>
      <c r="Q971" s="36"/>
      <c r="R971" s="36"/>
    </row>
    <row r="972" ht="22.5" customHeight="1">
      <c r="A972" s="38"/>
      <c r="B972" s="26"/>
      <c r="C972" s="29"/>
      <c r="D972" s="29"/>
      <c r="E972" s="29"/>
      <c r="F972" s="29"/>
      <c r="G972" s="287"/>
      <c r="H972" s="31"/>
      <c r="I972" s="31"/>
      <c r="J972" s="33"/>
      <c r="K972" s="33"/>
      <c r="L972" s="33"/>
      <c r="M972" s="33"/>
      <c r="N972" s="81"/>
      <c r="O972" s="33"/>
      <c r="P972" s="35"/>
      <c r="Q972" s="36"/>
      <c r="R972" s="36"/>
    </row>
    <row r="973" ht="22.5" customHeight="1">
      <c r="A973" s="38"/>
      <c r="B973" s="26"/>
      <c r="C973" s="29"/>
      <c r="D973" s="29"/>
      <c r="E973" s="29"/>
      <c r="F973" s="29"/>
      <c r="G973" s="287"/>
      <c r="H973" s="31"/>
      <c r="I973" s="31"/>
      <c r="J973" s="33"/>
      <c r="K973" s="33"/>
      <c r="L973" s="33"/>
      <c r="M973" s="33"/>
      <c r="N973" s="81"/>
      <c r="O973" s="33"/>
      <c r="P973" s="35"/>
      <c r="Q973" s="36"/>
      <c r="R973" s="36"/>
    </row>
    <row r="974" ht="22.5" customHeight="1">
      <c r="A974" s="38"/>
      <c r="B974" s="26"/>
      <c r="C974" s="29"/>
      <c r="D974" s="29"/>
      <c r="E974" s="29"/>
      <c r="F974" s="29"/>
      <c r="G974" s="287"/>
      <c r="H974" s="31"/>
      <c r="I974" s="31"/>
      <c r="J974" s="33"/>
      <c r="K974" s="33"/>
      <c r="L974" s="33"/>
      <c r="M974" s="33"/>
      <c r="N974" s="81"/>
      <c r="O974" s="33"/>
      <c r="P974" s="35"/>
      <c r="Q974" s="36"/>
      <c r="R974" s="36"/>
    </row>
    <row r="975" ht="22.5" customHeight="1">
      <c r="A975" s="38"/>
      <c r="B975" s="26"/>
      <c r="C975" s="29"/>
      <c r="D975" s="29"/>
      <c r="E975" s="29"/>
      <c r="F975" s="29"/>
      <c r="G975" s="287"/>
      <c r="H975" s="31"/>
      <c r="I975" s="31"/>
      <c r="J975" s="33"/>
      <c r="K975" s="33"/>
      <c r="L975" s="33"/>
      <c r="M975" s="33"/>
      <c r="N975" s="81"/>
      <c r="O975" s="33"/>
      <c r="P975" s="35"/>
      <c r="Q975" s="36"/>
      <c r="R975" s="36"/>
    </row>
    <row r="976" ht="22.5" customHeight="1">
      <c r="A976" s="38"/>
      <c r="B976" s="26"/>
      <c r="C976" s="29"/>
      <c r="D976" s="29"/>
      <c r="E976" s="29"/>
      <c r="F976" s="29"/>
      <c r="G976" s="287"/>
      <c r="H976" s="31"/>
      <c r="I976" s="31"/>
      <c r="J976" s="33"/>
      <c r="K976" s="33"/>
      <c r="L976" s="33"/>
      <c r="M976" s="33"/>
      <c r="N976" s="81"/>
      <c r="O976" s="33"/>
      <c r="P976" s="35"/>
      <c r="Q976" s="36"/>
      <c r="R976" s="36"/>
    </row>
    <row r="977" ht="22.5" customHeight="1">
      <c r="A977" s="38"/>
      <c r="B977" s="26"/>
      <c r="C977" s="29"/>
      <c r="D977" s="29"/>
      <c r="E977" s="29"/>
      <c r="F977" s="29"/>
      <c r="G977" s="287"/>
      <c r="H977" s="31"/>
      <c r="I977" s="31"/>
      <c r="J977" s="33"/>
      <c r="K977" s="33"/>
      <c r="L977" s="33"/>
      <c r="M977" s="33"/>
      <c r="N977" s="81"/>
      <c r="O977" s="33"/>
      <c r="P977" s="35"/>
      <c r="Q977" s="36"/>
      <c r="R977" s="36"/>
    </row>
    <row r="978" ht="22.5" customHeight="1">
      <c r="A978" s="38"/>
      <c r="B978" s="26"/>
      <c r="C978" s="29"/>
      <c r="D978" s="29"/>
      <c r="E978" s="29"/>
      <c r="F978" s="29"/>
      <c r="G978" s="287"/>
      <c r="H978" s="31"/>
      <c r="I978" s="31"/>
      <c r="J978" s="33"/>
      <c r="K978" s="33"/>
      <c r="L978" s="33"/>
      <c r="M978" s="33"/>
      <c r="N978" s="81"/>
      <c r="O978" s="33"/>
      <c r="P978" s="35"/>
      <c r="Q978" s="36"/>
      <c r="R978" s="36"/>
    </row>
    <row r="979" ht="22.5" customHeight="1">
      <c r="A979" s="38"/>
      <c r="B979" s="26"/>
      <c r="C979" s="29"/>
      <c r="D979" s="29"/>
      <c r="E979" s="29"/>
      <c r="F979" s="29"/>
      <c r="G979" s="287"/>
      <c r="H979" s="31"/>
      <c r="I979" s="31"/>
      <c r="J979" s="33"/>
      <c r="K979" s="33"/>
      <c r="L979" s="33"/>
      <c r="M979" s="33"/>
      <c r="N979" s="81"/>
      <c r="O979" s="33"/>
      <c r="P979" s="35"/>
      <c r="Q979" s="36"/>
      <c r="R979" s="36"/>
    </row>
    <row r="980" ht="22.5" customHeight="1">
      <c r="A980" s="38"/>
      <c r="B980" s="26"/>
      <c r="C980" s="29"/>
      <c r="D980" s="29"/>
      <c r="E980" s="29"/>
      <c r="F980" s="29"/>
      <c r="G980" s="287"/>
      <c r="H980" s="31"/>
      <c r="I980" s="31"/>
      <c r="J980" s="33"/>
      <c r="K980" s="33"/>
      <c r="L980" s="33"/>
      <c r="M980" s="33"/>
      <c r="N980" s="81"/>
      <c r="O980" s="33"/>
      <c r="P980" s="35"/>
      <c r="Q980" s="36"/>
      <c r="R980" s="36"/>
    </row>
    <row r="981" ht="22.5" customHeight="1">
      <c r="A981" s="38"/>
      <c r="B981" s="26"/>
      <c r="C981" s="29"/>
      <c r="D981" s="29"/>
      <c r="E981" s="29"/>
      <c r="F981" s="29"/>
      <c r="G981" s="287"/>
      <c r="H981" s="31"/>
      <c r="I981" s="31"/>
      <c r="J981" s="33"/>
      <c r="K981" s="33"/>
      <c r="L981" s="33"/>
      <c r="M981" s="33"/>
      <c r="N981" s="81"/>
      <c r="O981" s="33"/>
      <c r="P981" s="35"/>
      <c r="Q981" s="36"/>
      <c r="R981" s="36"/>
    </row>
    <row r="982" ht="22.5" customHeight="1">
      <c r="A982" s="38"/>
      <c r="B982" s="26"/>
      <c r="C982" s="29"/>
      <c r="D982" s="29"/>
      <c r="E982" s="29"/>
      <c r="F982" s="29"/>
      <c r="G982" s="287"/>
      <c r="H982" s="31"/>
      <c r="I982" s="31"/>
      <c r="J982" s="33"/>
      <c r="K982" s="33"/>
      <c r="L982" s="33"/>
      <c r="M982" s="33"/>
      <c r="N982" s="81"/>
      <c r="O982" s="33"/>
      <c r="P982" s="35"/>
      <c r="Q982" s="36"/>
      <c r="R982" s="36"/>
    </row>
    <row r="983" ht="22.5" customHeight="1">
      <c r="A983" s="38"/>
      <c r="B983" s="26"/>
      <c r="C983" s="29"/>
      <c r="D983" s="29"/>
      <c r="E983" s="29"/>
      <c r="F983" s="29"/>
      <c r="G983" s="287"/>
      <c r="H983" s="31"/>
      <c r="I983" s="31"/>
      <c r="J983" s="33"/>
      <c r="K983" s="33"/>
      <c r="L983" s="33"/>
      <c r="M983" s="33"/>
      <c r="N983" s="81"/>
      <c r="O983" s="33"/>
      <c r="P983" s="35"/>
      <c r="Q983" s="36"/>
      <c r="R983" s="36"/>
    </row>
    <row r="984" ht="22.5" customHeight="1">
      <c r="A984" s="38"/>
      <c r="B984" s="26"/>
      <c r="C984" s="29"/>
      <c r="D984" s="29"/>
      <c r="E984" s="29"/>
      <c r="F984" s="29"/>
      <c r="G984" s="287"/>
      <c r="H984" s="31"/>
      <c r="I984" s="31"/>
      <c r="J984" s="33"/>
      <c r="K984" s="33"/>
      <c r="L984" s="33"/>
      <c r="M984" s="33"/>
      <c r="N984" s="81"/>
      <c r="O984" s="33"/>
      <c r="P984" s="35"/>
      <c r="Q984" s="36"/>
      <c r="R984" s="36"/>
    </row>
    <row r="985" ht="22.5" customHeight="1">
      <c r="A985" s="38"/>
      <c r="B985" s="26"/>
      <c r="C985" s="29"/>
      <c r="D985" s="29"/>
      <c r="E985" s="29"/>
      <c r="F985" s="29"/>
      <c r="G985" s="287"/>
      <c r="H985" s="31"/>
      <c r="I985" s="31"/>
      <c r="J985" s="33"/>
      <c r="K985" s="33"/>
      <c r="L985" s="33"/>
      <c r="M985" s="33"/>
      <c r="N985" s="81"/>
      <c r="O985" s="33"/>
      <c r="P985" s="35"/>
      <c r="Q985" s="36"/>
      <c r="R985" s="36"/>
    </row>
    <row r="986" ht="22.5" customHeight="1">
      <c r="A986" s="38"/>
      <c r="B986" s="26"/>
      <c r="C986" s="29"/>
      <c r="D986" s="29"/>
      <c r="E986" s="29"/>
      <c r="F986" s="29"/>
      <c r="G986" s="287"/>
      <c r="H986" s="31"/>
      <c r="I986" s="31"/>
      <c r="J986" s="33"/>
      <c r="K986" s="33"/>
      <c r="L986" s="33"/>
      <c r="M986" s="33"/>
      <c r="N986" s="81"/>
      <c r="O986" s="33"/>
      <c r="P986" s="35"/>
      <c r="Q986" s="36"/>
      <c r="R986" s="36"/>
    </row>
    <row r="987" ht="22.5" customHeight="1">
      <c r="A987" s="38"/>
      <c r="B987" s="26"/>
      <c r="C987" s="29"/>
      <c r="D987" s="29"/>
      <c r="E987" s="29"/>
      <c r="F987" s="29"/>
      <c r="G987" s="287"/>
      <c r="H987" s="31"/>
      <c r="I987" s="31"/>
      <c r="J987" s="33"/>
      <c r="K987" s="33"/>
      <c r="L987" s="33"/>
      <c r="M987" s="33"/>
      <c r="N987" s="81"/>
      <c r="O987" s="33"/>
      <c r="P987" s="35"/>
      <c r="Q987" s="36"/>
      <c r="R987" s="36"/>
    </row>
    <row r="988" ht="22.5" customHeight="1">
      <c r="A988" s="38"/>
      <c r="B988" s="26"/>
      <c r="C988" s="29"/>
      <c r="D988" s="29"/>
      <c r="E988" s="29"/>
      <c r="F988" s="29"/>
      <c r="G988" s="287"/>
      <c r="H988" s="31"/>
      <c r="I988" s="31"/>
      <c r="J988" s="33"/>
      <c r="K988" s="33"/>
      <c r="L988" s="33"/>
      <c r="M988" s="33"/>
      <c r="N988" s="81"/>
      <c r="O988" s="33"/>
      <c r="P988" s="35"/>
      <c r="Q988" s="36"/>
      <c r="R988" s="36"/>
    </row>
    <row r="989" ht="22.5" customHeight="1">
      <c r="A989" s="38"/>
      <c r="B989" s="26"/>
      <c r="C989" s="29"/>
      <c r="D989" s="29"/>
      <c r="E989" s="29"/>
      <c r="F989" s="29"/>
      <c r="G989" s="287"/>
      <c r="H989" s="31"/>
      <c r="I989" s="31"/>
      <c r="J989" s="33"/>
      <c r="K989" s="33"/>
      <c r="L989" s="33"/>
      <c r="M989" s="33"/>
      <c r="N989" s="81"/>
      <c r="O989" s="33"/>
      <c r="P989" s="35"/>
      <c r="Q989" s="36"/>
      <c r="R989" s="36"/>
    </row>
    <row r="990" ht="22.5" customHeight="1">
      <c r="A990" s="38"/>
      <c r="B990" s="26"/>
      <c r="C990" s="29"/>
      <c r="D990" s="29"/>
      <c r="E990" s="29"/>
      <c r="F990" s="29"/>
      <c r="G990" s="287"/>
      <c r="H990" s="31"/>
      <c r="I990" s="31"/>
      <c r="J990" s="33"/>
      <c r="K990" s="33"/>
      <c r="L990" s="33"/>
      <c r="M990" s="33"/>
      <c r="N990" s="81"/>
      <c r="O990" s="33"/>
      <c r="P990" s="35"/>
      <c r="Q990" s="36"/>
      <c r="R990" s="36"/>
    </row>
    <row r="991" ht="22.5" customHeight="1">
      <c r="A991" s="38"/>
      <c r="B991" s="26"/>
      <c r="C991" s="29"/>
      <c r="D991" s="29"/>
      <c r="E991" s="29"/>
      <c r="F991" s="29"/>
      <c r="G991" s="287"/>
      <c r="H991" s="31"/>
      <c r="I991" s="31"/>
      <c r="J991" s="33"/>
      <c r="K991" s="33"/>
      <c r="L991" s="33"/>
      <c r="M991" s="33"/>
      <c r="N991" s="81"/>
      <c r="O991" s="33"/>
      <c r="P991" s="35"/>
      <c r="Q991" s="36"/>
      <c r="R991" s="36"/>
    </row>
    <row r="992" ht="22.5" customHeight="1">
      <c r="A992" s="38"/>
      <c r="B992" s="26"/>
      <c r="C992" s="29"/>
      <c r="D992" s="29"/>
      <c r="E992" s="29"/>
      <c r="F992" s="29"/>
      <c r="G992" s="287"/>
      <c r="H992" s="31"/>
      <c r="I992" s="31"/>
      <c r="J992" s="33"/>
      <c r="K992" s="33"/>
      <c r="L992" s="33"/>
      <c r="M992" s="33"/>
      <c r="N992" s="81"/>
      <c r="O992" s="33"/>
      <c r="P992" s="35"/>
      <c r="Q992" s="36"/>
      <c r="R992" s="36"/>
    </row>
    <row r="993" ht="22.5" customHeight="1">
      <c r="A993" s="38"/>
      <c r="B993" s="26"/>
      <c r="C993" s="29"/>
      <c r="D993" s="29"/>
      <c r="E993" s="29"/>
      <c r="F993" s="29"/>
      <c r="G993" s="287"/>
      <c r="H993" s="31"/>
      <c r="I993" s="31"/>
      <c r="J993" s="33"/>
      <c r="K993" s="33"/>
      <c r="L993" s="33"/>
      <c r="M993" s="33"/>
      <c r="N993" s="81"/>
      <c r="O993" s="33"/>
      <c r="P993" s="35"/>
      <c r="Q993" s="36"/>
      <c r="R993" s="36"/>
    </row>
    <row r="994" ht="22.5" customHeight="1">
      <c r="A994" s="38"/>
      <c r="B994" s="26"/>
      <c r="C994" s="29"/>
      <c r="D994" s="29"/>
      <c r="E994" s="29"/>
      <c r="F994" s="29"/>
      <c r="G994" s="287"/>
      <c r="H994" s="31"/>
      <c r="I994" s="31"/>
      <c r="J994" s="33"/>
      <c r="K994" s="33"/>
      <c r="L994" s="33"/>
      <c r="M994" s="33"/>
      <c r="N994" s="81"/>
      <c r="O994" s="33"/>
      <c r="P994" s="35"/>
      <c r="Q994" s="36"/>
      <c r="R994" s="36"/>
    </row>
    <row r="995" ht="22.5" customHeight="1">
      <c r="A995" s="38"/>
      <c r="B995" s="26"/>
      <c r="C995" s="29"/>
      <c r="D995" s="29"/>
      <c r="E995" s="29"/>
      <c r="F995" s="29"/>
      <c r="G995" s="287"/>
      <c r="H995" s="31"/>
      <c r="I995" s="31"/>
      <c r="J995" s="33"/>
      <c r="K995" s="33"/>
      <c r="L995" s="33"/>
      <c r="M995" s="33"/>
      <c r="N995" s="81"/>
      <c r="O995" s="33"/>
      <c r="P995" s="35"/>
      <c r="Q995" s="36"/>
      <c r="R995" s="36"/>
    </row>
    <row r="996" ht="22.5" customHeight="1">
      <c r="A996" s="38"/>
      <c r="B996" s="26"/>
      <c r="C996" s="29"/>
      <c r="D996" s="29"/>
      <c r="E996" s="29"/>
      <c r="F996" s="29"/>
      <c r="G996" s="287"/>
      <c r="H996" s="31"/>
      <c r="I996" s="31"/>
      <c r="J996" s="33"/>
      <c r="K996" s="33"/>
      <c r="L996" s="33"/>
      <c r="M996" s="33"/>
      <c r="N996" s="81"/>
      <c r="O996" s="33"/>
      <c r="P996" s="35"/>
      <c r="Q996" s="36"/>
      <c r="R996" s="36"/>
    </row>
    <row r="997" ht="22.5" customHeight="1">
      <c r="A997" s="38"/>
      <c r="B997" s="26"/>
      <c r="C997" s="29"/>
      <c r="D997" s="29"/>
      <c r="E997" s="29"/>
      <c r="F997" s="29"/>
      <c r="G997" s="287"/>
      <c r="H997" s="31"/>
      <c r="I997" s="31"/>
      <c r="J997" s="33"/>
      <c r="K997" s="33"/>
      <c r="L997" s="33"/>
      <c r="M997" s="33"/>
      <c r="N997" s="81"/>
      <c r="O997" s="33"/>
      <c r="P997" s="35"/>
      <c r="Q997" s="36"/>
      <c r="R997" s="36"/>
    </row>
    <row r="998" ht="22.5" customHeight="1">
      <c r="A998" s="38"/>
      <c r="B998" s="26"/>
      <c r="C998" s="29"/>
      <c r="D998" s="29"/>
      <c r="E998" s="29"/>
      <c r="F998" s="29"/>
      <c r="G998" s="287"/>
      <c r="H998" s="31"/>
      <c r="I998" s="31"/>
      <c r="J998" s="33"/>
      <c r="K998" s="33"/>
      <c r="L998" s="33"/>
      <c r="M998" s="33"/>
      <c r="N998" s="81"/>
      <c r="O998" s="33"/>
      <c r="P998" s="35"/>
      <c r="Q998" s="36"/>
      <c r="R998" s="36"/>
    </row>
    <row r="999" ht="22.5" customHeight="1">
      <c r="A999" s="38"/>
      <c r="B999" s="26"/>
      <c r="C999" s="29"/>
      <c r="D999" s="29"/>
      <c r="E999" s="29"/>
      <c r="F999" s="29"/>
      <c r="G999" s="287"/>
      <c r="H999" s="31"/>
      <c r="I999" s="31"/>
      <c r="J999" s="33"/>
      <c r="K999" s="33"/>
      <c r="L999" s="33"/>
      <c r="M999" s="33"/>
      <c r="N999" s="81"/>
      <c r="O999" s="33"/>
      <c r="P999" s="35"/>
      <c r="Q999" s="36"/>
      <c r="R999" s="36"/>
    </row>
    <row r="1000" ht="22.5" customHeight="1">
      <c r="A1000" s="38"/>
      <c r="B1000" s="26"/>
      <c r="C1000" s="29"/>
      <c r="D1000" s="29"/>
      <c r="E1000" s="29"/>
      <c r="F1000" s="29"/>
      <c r="G1000" s="287"/>
      <c r="H1000" s="31"/>
      <c r="I1000" s="31"/>
      <c r="J1000" s="33"/>
      <c r="K1000" s="33"/>
      <c r="L1000" s="33"/>
      <c r="M1000" s="33"/>
      <c r="N1000" s="81"/>
      <c r="O1000" s="33"/>
      <c r="P1000" s="35"/>
      <c r="Q1000" s="36"/>
      <c r="R1000" s="36"/>
    </row>
    <row r="1001" ht="22.5" customHeight="1">
      <c r="A1001" s="38"/>
      <c r="B1001" s="26"/>
      <c r="C1001" s="29"/>
      <c r="D1001" s="29"/>
      <c r="E1001" s="29"/>
      <c r="F1001" s="29"/>
      <c r="G1001" s="287"/>
      <c r="H1001" s="31"/>
      <c r="I1001" s="31"/>
      <c r="J1001" s="33"/>
      <c r="K1001" s="33"/>
      <c r="L1001" s="33"/>
      <c r="M1001" s="33"/>
      <c r="N1001" s="81"/>
      <c r="O1001" s="33"/>
      <c r="P1001" s="35"/>
      <c r="Q1001" s="36"/>
      <c r="R1001" s="36"/>
    </row>
    <row r="1002" ht="22.5" customHeight="1">
      <c r="A1002" s="38"/>
      <c r="B1002" s="26"/>
      <c r="C1002" s="29"/>
      <c r="D1002" s="29"/>
      <c r="E1002" s="29"/>
      <c r="F1002" s="29"/>
      <c r="G1002" s="287"/>
      <c r="H1002" s="31"/>
      <c r="I1002" s="31"/>
      <c r="J1002" s="33"/>
      <c r="K1002" s="33"/>
      <c r="L1002" s="33"/>
      <c r="M1002" s="33"/>
      <c r="N1002" s="81"/>
      <c r="O1002" s="33"/>
      <c r="P1002" s="35"/>
      <c r="Q1002" s="36"/>
      <c r="R1002" s="36"/>
    </row>
    <row r="1003" ht="22.5" customHeight="1">
      <c r="A1003" s="38"/>
      <c r="B1003" s="26"/>
      <c r="C1003" s="29"/>
      <c r="D1003" s="29"/>
      <c r="E1003" s="29"/>
      <c r="F1003" s="29"/>
      <c r="G1003" s="287"/>
      <c r="H1003" s="31"/>
      <c r="I1003" s="31"/>
      <c r="J1003" s="33"/>
      <c r="K1003" s="33"/>
      <c r="L1003" s="33"/>
      <c r="M1003" s="33"/>
      <c r="N1003" s="81"/>
      <c r="O1003" s="33"/>
      <c r="P1003" s="35"/>
      <c r="Q1003" s="36"/>
      <c r="R1003" s="36"/>
    </row>
    <row r="1004" ht="22.5" customHeight="1">
      <c r="A1004" s="38"/>
      <c r="B1004" s="26"/>
      <c r="C1004" s="29"/>
      <c r="D1004" s="29"/>
      <c r="E1004" s="29"/>
      <c r="F1004" s="29"/>
      <c r="G1004" s="287"/>
      <c r="H1004" s="31"/>
      <c r="I1004" s="31"/>
      <c r="J1004" s="33"/>
      <c r="K1004" s="33"/>
      <c r="L1004" s="33"/>
      <c r="M1004" s="33"/>
      <c r="N1004" s="81"/>
      <c r="O1004" s="33"/>
      <c r="P1004" s="35"/>
      <c r="Q1004" s="36"/>
      <c r="R1004" s="36"/>
    </row>
    <row r="1005" ht="22.5" customHeight="1">
      <c r="A1005" s="38"/>
      <c r="B1005" s="26"/>
      <c r="C1005" s="29"/>
      <c r="D1005" s="29"/>
      <c r="E1005" s="29"/>
      <c r="F1005" s="29"/>
      <c r="G1005" s="287"/>
      <c r="H1005" s="31"/>
      <c r="I1005" s="31"/>
      <c r="J1005" s="33"/>
      <c r="K1005" s="33"/>
      <c r="L1005" s="33"/>
      <c r="M1005" s="33"/>
      <c r="N1005" s="81"/>
      <c r="O1005" s="33"/>
      <c r="P1005" s="35"/>
      <c r="Q1005" s="36"/>
      <c r="R1005" s="36"/>
    </row>
    <row r="1006" ht="22.5" customHeight="1">
      <c r="A1006" s="38"/>
      <c r="B1006" s="26"/>
      <c r="C1006" s="29"/>
      <c r="D1006" s="29"/>
      <c r="E1006" s="29"/>
      <c r="F1006" s="29"/>
      <c r="G1006" s="287"/>
      <c r="H1006" s="31"/>
      <c r="I1006" s="31"/>
      <c r="J1006" s="33"/>
      <c r="K1006" s="33"/>
      <c r="L1006" s="33"/>
      <c r="M1006" s="33"/>
      <c r="N1006" s="81"/>
      <c r="O1006" s="33"/>
      <c r="P1006" s="35"/>
      <c r="Q1006" s="36"/>
      <c r="R1006" s="36"/>
    </row>
    <row r="1007" ht="22.5" customHeight="1">
      <c r="A1007" s="38"/>
      <c r="B1007" s="26"/>
      <c r="C1007" s="29"/>
      <c r="D1007" s="29"/>
      <c r="E1007" s="29"/>
      <c r="F1007" s="29"/>
      <c r="G1007" s="287"/>
      <c r="H1007" s="31"/>
      <c r="I1007" s="31"/>
      <c r="J1007" s="33"/>
      <c r="K1007" s="33"/>
      <c r="L1007" s="33"/>
      <c r="M1007" s="33"/>
      <c r="N1007" s="81"/>
      <c r="O1007" s="33"/>
      <c r="P1007" s="35"/>
      <c r="Q1007" s="36"/>
      <c r="R1007" s="36"/>
    </row>
    <row r="1008" ht="22.5" customHeight="1">
      <c r="A1008" s="38"/>
      <c r="B1008" s="26"/>
      <c r="C1008" s="29"/>
      <c r="D1008" s="29"/>
      <c r="E1008" s="29"/>
      <c r="F1008" s="29"/>
      <c r="G1008" s="287"/>
      <c r="H1008" s="31"/>
      <c r="I1008" s="31"/>
      <c r="J1008" s="33"/>
      <c r="K1008" s="33"/>
      <c r="L1008" s="33"/>
      <c r="M1008" s="33"/>
      <c r="N1008" s="81"/>
      <c r="O1008" s="33"/>
      <c r="P1008" s="35"/>
      <c r="Q1008" s="36"/>
      <c r="R1008" s="36"/>
    </row>
    <row r="1009" ht="22.5" customHeight="1">
      <c r="A1009" s="38"/>
      <c r="B1009" s="26"/>
      <c r="C1009" s="29"/>
      <c r="D1009" s="29"/>
      <c r="E1009" s="29"/>
      <c r="F1009" s="29"/>
      <c r="G1009" s="287"/>
      <c r="H1009" s="31"/>
      <c r="I1009" s="31"/>
      <c r="J1009" s="33"/>
      <c r="K1009" s="33"/>
      <c r="L1009" s="33"/>
      <c r="M1009" s="33"/>
      <c r="N1009" s="81"/>
      <c r="O1009" s="33"/>
      <c r="P1009" s="35"/>
      <c r="Q1009" s="36"/>
      <c r="R1009" s="36"/>
    </row>
    <row r="1010" ht="22.5" customHeight="1">
      <c r="A1010" s="38"/>
      <c r="B1010" s="26"/>
      <c r="C1010" s="29"/>
      <c r="D1010" s="29"/>
      <c r="E1010" s="29"/>
      <c r="F1010" s="29"/>
      <c r="G1010" s="287"/>
      <c r="H1010" s="31"/>
      <c r="I1010" s="31"/>
      <c r="J1010" s="33"/>
      <c r="K1010" s="33"/>
      <c r="L1010" s="33"/>
      <c r="M1010" s="33"/>
      <c r="N1010" s="81"/>
      <c r="O1010" s="33"/>
      <c r="P1010" s="35"/>
      <c r="Q1010" s="36"/>
      <c r="R1010" s="36"/>
    </row>
    <row r="1011" ht="22.5" customHeight="1">
      <c r="A1011" s="38"/>
      <c r="B1011" s="26"/>
      <c r="C1011" s="29"/>
      <c r="D1011" s="29"/>
      <c r="E1011" s="29"/>
      <c r="F1011" s="29"/>
      <c r="G1011" s="287"/>
      <c r="H1011" s="31"/>
      <c r="I1011" s="31"/>
      <c r="J1011" s="33"/>
      <c r="K1011" s="33"/>
      <c r="L1011" s="33"/>
      <c r="M1011" s="33"/>
      <c r="N1011" s="81"/>
      <c r="O1011" s="33"/>
      <c r="P1011" s="35"/>
      <c r="Q1011" s="36"/>
      <c r="R1011" s="36"/>
    </row>
    <row r="1012" ht="22.5" customHeight="1">
      <c r="A1012" s="38"/>
      <c r="B1012" s="26"/>
      <c r="C1012" s="29"/>
      <c r="D1012" s="29"/>
      <c r="E1012" s="29"/>
      <c r="F1012" s="29"/>
      <c r="G1012" s="287"/>
      <c r="H1012" s="31"/>
      <c r="I1012" s="31"/>
      <c r="J1012" s="33"/>
      <c r="K1012" s="33"/>
      <c r="L1012" s="33"/>
      <c r="M1012" s="33"/>
      <c r="N1012" s="81"/>
      <c r="O1012" s="33"/>
      <c r="P1012" s="35"/>
      <c r="Q1012" s="36"/>
      <c r="R1012" s="36"/>
    </row>
    <row r="1013" ht="22.5" customHeight="1">
      <c r="A1013" s="38"/>
      <c r="B1013" s="26"/>
      <c r="C1013" s="29"/>
      <c r="D1013" s="29"/>
      <c r="E1013" s="29"/>
      <c r="F1013" s="29"/>
      <c r="G1013" s="287"/>
      <c r="H1013" s="31"/>
      <c r="I1013" s="31"/>
      <c r="J1013" s="33"/>
      <c r="K1013" s="33"/>
      <c r="L1013" s="33"/>
      <c r="M1013" s="33"/>
      <c r="N1013" s="81"/>
      <c r="O1013" s="33"/>
      <c r="P1013" s="35"/>
      <c r="Q1013" s="36"/>
      <c r="R1013" s="36"/>
    </row>
    <row r="1014" ht="22.5" customHeight="1">
      <c r="A1014" s="38"/>
      <c r="B1014" s="26"/>
      <c r="C1014" s="29"/>
      <c r="D1014" s="29"/>
      <c r="E1014" s="29"/>
      <c r="F1014" s="29"/>
      <c r="G1014" s="287"/>
      <c r="H1014" s="31"/>
      <c r="I1014" s="31"/>
      <c r="J1014" s="33"/>
      <c r="K1014" s="33"/>
      <c r="L1014" s="33"/>
      <c r="M1014" s="33"/>
      <c r="N1014" s="81"/>
      <c r="O1014" s="33"/>
      <c r="P1014" s="35"/>
      <c r="Q1014" s="36"/>
      <c r="R1014" s="36"/>
    </row>
    <row r="1015" ht="22.5" customHeight="1">
      <c r="A1015" s="38"/>
      <c r="B1015" s="26"/>
      <c r="C1015" s="29"/>
      <c r="D1015" s="29"/>
      <c r="E1015" s="29"/>
      <c r="F1015" s="29"/>
      <c r="G1015" s="287"/>
      <c r="H1015" s="31"/>
      <c r="I1015" s="31"/>
      <c r="J1015" s="33"/>
      <c r="K1015" s="33"/>
      <c r="L1015" s="33"/>
      <c r="M1015" s="33"/>
      <c r="N1015" s="81"/>
      <c r="O1015" s="33"/>
      <c r="P1015" s="35"/>
      <c r="Q1015" s="36"/>
      <c r="R1015" s="36"/>
    </row>
    <row r="1016" ht="22.5" customHeight="1">
      <c r="A1016" s="38"/>
      <c r="B1016" s="26"/>
      <c r="C1016" s="29"/>
      <c r="D1016" s="29"/>
      <c r="E1016" s="29"/>
      <c r="F1016" s="29"/>
      <c r="G1016" s="287"/>
      <c r="H1016" s="31"/>
      <c r="I1016" s="31"/>
      <c r="J1016" s="33"/>
      <c r="K1016" s="33"/>
      <c r="L1016" s="33"/>
      <c r="M1016" s="33"/>
      <c r="N1016" s="81"/>
      <c r="O1016" s="33"/>
      <c r="P1016" s="35"/>
      <c r="Q1016" s="36"/>
      <c r="R1016" s="36"/>
    </row>
    <row r="1017" ht="22.5" customHeight="1">
      <c r="A1017" s="38"/>
      <c r="B1017" s="26"/>
      <c r="C1017" s="29"/>
      <c r="D1017" s="29"/>
      <c r="E1017" s="29"/>
      <c r="F1017" s="29"/>
      <c r="G1017" s="287"/>
      <c r="H1017" s="31"/>
      <c r="I1017" s="31"/>
      <c r="J1017" s="33"/>
      <c r="K1017" s="33"/>
      <c r="L1017" s="33"/>
      <c r="M1017" s="33"/>
      <c r="N1017" s="81"/>
      <c r="O1017" s="33"/>
      <c r="P1017" s="35"/>
      <c r="Q1017" s="36"/>
      <c r="R1017" s="36"/>
    </row>
    <row r="1018" ht="22.5" customHeight="1">
      <c r="A1018" s="38"/>
      <c r="B1018" s="26"/>
      <c r="C1018" s="29"/>
      <c r="D1018" s="29"/>
      <c r="E1018" s="29"/>
      <c r="F1018" s="29"/>
      <c r="G1018" s="287"/>
      <c r="H1018" s="31"/>
      <c r="I1018" s="31"/>
      <c r="J1018" s="33"/>
      <c r="K1018" s="33"/>
      <c r="L1018" s="33"/>
      <c r="M1018" s="33"/>
      <c r="N1018" s="81"/>
      <c r="O1018" s="33"/>
      <c r="P1018" s="35"/>
      <c r="Q1018" s="36"/>
      <c r="R1018" s="36"/>
    </row>
    <row r="1019" ht="22.5" customHeight="1">
      <c r="A1019" s="38"/>
      <c r="B1019" s="26"/>
      <c r="C1019" s="29"/>
      <c r="D1019" s="29"/>
      <c r="E1019" s="29"/>
      <c r="F1019" s="29"/>
      <c r="G1019" s="287"/>
      <c r="H1019" s="31"/>
      <c r="I1019" s="31"/>
      <c r="J1019" s="33"/>
      <c r="K1019" s="33"/>
      <c r="L1019" s="33"/>
      <c r="M1019" s="33"/>
      <c r="N1019" s="81"/>
      <c r="O1019" s="33"/>
      <c r="P1019" s="35"/>
      <c r="Q1019" s="36"/>
      <c r="R1019" s="36"/>
    </row>
    <row r="1020" ht="22.5" customHeight="1">
      <c r="A1020" s="38"/>
      <c r="B1020" s="26"/>
      <c r="C1020" s="29"/>
      <c r="D1020" s="29"/>
      <c r="E1020" s="29"/>
      <c r="F1020" s="29"/>
      <c r="G1020" s="287"/>
      <c r="H1020" s="31"/>
      <c r="I1020" s="31"/>
      <c r="J1020" s="33"/>
      <c r="K1020" s="33"/>
      <c r="L1020" s="33"/>
      <c r="M1020" s="33"/>
      <c r="N1020" s="81"/>
      <c r="O1020" s="33"/>
      <c r="P1020" s="35"/>
      <c r="Q1020" s="36"/>
      <c r="R1020" s="36"/>
    </row>
    <row r="1021" ht="22.5" customHeight="1">
      <c r="A1021" s="38"/>
      <c r="B1021" s="26"/>
      <c r="C1021" s="29"/>
      <c r="D1021" s="29"/>
      <c r="E1021" s="29"/>
      <c r="F1021" s="29"/>
      <c r="G1021" s="287"/>
      <c r="H1021" s="31"/>
      <c r="I1021" s="31"/>
      <c r="J1021" s="33"/>
      <c r="K1021" s="33"/>
      <c r="L1021" s="33"/>
      <c r="M1021" s="33"/>
      <c r="N1021" s="81"/>
      <c r="O1021" s="33"/>
      <c r="P1021" s="35"/>
      <c r="Q1021" s="36"/>
      <c r="R1021" s="36"/>
    </row>
    <row r="1022" ht="22.5" customHeight="1">
      <c r="A1022" s="38"/>
      <c r="B1022" s="26"/>
      <c r="C1022" s="29"/>
      <c r="D1022" s="29"/>
      <c r="E1022" s="29"/>
      <c r="F1022" s="29"/>
      <c r="G1022" s="287"/>
      <c r="H1022" s="31"/>
      <c r="I1022" s="31"/>
      <c r="J1022" s="33"/>
      <c r="K1022" s="33"/>
      <c r="L1022" s="33"/>
      <c r="M1022" s="33"/>
      <c r="N1022" s="81"/>
      <c r="O1022" s="33"/>
      <c r="P1022" s="35"/>
      <c r="Q1022" s="36"/>
      <c r="R1022" s="36"/>
    </row>
    <row r="1023" ht="22.5" customHeight="1">
      <c r="A1023" s="38"/>
      <c r="B1023" s="26"/>
      <c r="C1023" s="29"/>
      <c r="D1023" s="29"/>
      <c r="E1023" s="29"/>
      <c r="F1023" s="29"/>
      <c r="G1023" s="287"/>
      <c r="H1023" s="31"/>
      <c r="I1023" s="31"/>
      <c r="J1023" s="33"/>
      <c r="K1023" s="33"/>
      <c r="L1023" s="33"/>
      <c r="M1023" s="33"/>
      <c r="N1023" s="81"/>
      <c r="O1023" s="33"/>
      <c r="P1023" s="35"/>
      <c r="Q1023" s="36"/>
      <c r="R1023" s="36"/>
    </row>
    <row r="1024" ht="22.5" customHeight="1">
      <c r="A1024" s="38"/>
      <c r="B1024" s="26"/>
      <c r="C1024" s="29"/>
      <c r="D1024" s="29"/>
      <c r="E1024" s="29"/>
      <c r="F1024" s="29"/>
      <c r="G1024" s="287"/>
      <c r="H1024" s="31"/>
      <c r="I1024" s="31"/>
      <c r="J1024" s="33"/>
      <c r="K1024" s="33"/>
      <c r="L1024" s="33"/>
      <c r="M1024" s="33"/>
      <c r="N1024" s="81"/>
      <c r="O1024" s="33"/>
      <c r="P1024" s="35"/>
      <c r="Q1024" s="36"/>
      <c r="R1024" s="36"/>
    </row>
    <row r="1025" ht="22.5" customHeight="1">
      <c r="A1025" s="38"/>
      <c r="B1025" s="26"/>
      <c r="C1025" s="29"/>
      <c r="D1025" s="29"/>
      <c r="E1025" s="29"/>
      <c r="F1025" s="29"/>
      <c r="G1025" s="287"/>
      <c r="H1025" s="31"/>
      <c r="I1025" s="31"/>
      <c r="J1025" s="33"/>
      <c r="K1025" s="33"/>
      <c r="L1025" s="33"/>
      <c r="M1025" s="33"/>
      <c r="N1025" s="81"/>
      <c r="O1025" s="33"/>
      <c r="P1025" s="35"/>
      <c r="Q1025" s="36"/>
      <c r="R1025" s="36"/>
    </row>
    <row r="1026" ht="22.5" customHeight="1">
      <c r="A1026" s="38"/>
      <c r="B1026" s="26"/>
      <c r="C1026" s="29"/>
      <c r="D1026" s="29"/>
      <c r="E1026" s="29"/>
      <c r="F1026" s="29"/>
      <c r="G1026" s="287"/>
      <c r="H1026" s="31"/>
      <c r="I1026" s="31"/>
      <c r="J1026" s="33"/>
      <c r="K1026" s="33"/>
      <c r="L1026" s="33"/>
      <c r="M1026" s="33"/>
      <c r="N1026" s="81"/>
      <c r="O1026" s="33"/>
      <c r="P1026" s="35"/>
      <c r="Q1026" s="36"/>
      <c r="R1026" s="36"/>
    </row>
    <row r="1027" ht="22.5" customHeight="1">
      <c r="A1027" s="38"/>
      <c r="B1027" s="26"/>
      <c r="C1027" s="29"/>
      <c r="D1027" s="29"/>
      <c r="E1027" s="29"/>
      <c r="F1027" s="29"/>
      <c r="G1027" s="287"/>
      <c r="H1027" s="31"/>
      <c r="I1027" s="31"/>
      <c r="J1027" s="33"/>
      <c r="K1027" s="33"/>
      <c r="L1027" s="33"/>
      <c r="M1027" s="33"/>
      <c r="N1027" s="81"/>
      <c r="O1027" s="33"/>
      <c r="P1027" s="35"/>
      <c r="Q1027" s="36"/>
      <c r="R1027" s="36"/>
    </row>
    <row r="1028" ht="22.5" customHeight="1">
      <c r="A1028" s="38"/>
      <c r="B1028" s="26"/>
      <c r="C1028" s="29"/>
      <c r="D1028" s="29"/>
      <c r="E1028" s="29"/>
      <c r="F1028" s="29"/>
      <c r="G1028" s="287"/>
      <c r="H1028" s="31"/>
      <c r="I1028" s="31"/>
      <c r="J1028" s="33"/>
      <c r="K1028" s="33"/>
      <c r="L1028" s="33"/>
      <c r="M1028" s="33"/>
      <c r="N1028" s="81"/>
      <c r="O1028" s="33"/>
      <c r="P1028" s="35"/>
      <c r="Q1028" s="36"/>
      <c r="R1028" s="36"/>
    </row>
    <row r="1029" ht="22.5" customHeight="1">
      <c r="A1029" s="38"/>
      <c r="B1029" s="26"/>
      <c r="C1029" s="29"/>
      <c r="D1029" s="29"/>
      <c r="E1029" s="29"/>
      <c r="F1029" s="29"/>
      <c r="G1029" s="287"/>
      <c r="H1029" s="31"/>
      <c r="I1029" s="31"/>
      <c r="J1029" s="33"/>
      <c r="K1029" s="33"/>
      <c r="L1029" s="33"/>
      <c r="M1029" s="33"/>
      <c r="N1029" s="81"/>
      <c r="O1029" s="33"/>
      <c r="P1029" s="35"/>
      <c r="Q1029" s="36"/>
      <c r="R1029" s="36"/>
    </row>
    <row r="1030" ht="22.5" customHeight="1">
      <c r="A1030" s="38"/>
      <c r="B1030" s="26"/>
      <c r="C1030" s="29"/>
      <c r="D1030" s="29"/>
      <c r="E1030" s="29"/>
      <c r="F1030" s="29"/>
      <c r="G1030" s="287"/>
      <c r="H1030" s="31"/>
      <c r="I1030" s="31"/>
      <c r="J1030" s="33"/>
      <c r="K1030" s="33"/>
      <c r="L1030" s="33"/>
      <c r="M1030" s="33"/>
      <c r="N1030" s="81"/>
      <c r="O1030" s="33"/>
      <c r="P1030" s="35"/>
      <c r="Q1030" s="36"/>
      <c r="R1030" s="36"/>
    </row>
    <row r="1031" ht="22.5" customHeight="1">
      <c r="A1031" s="38"/>
      <c r="B1031" s="26"/>
      <c r="C1031" s="29"/>
      <c r="D1031" s="29"/>
      <c r="E1031" s="29"/>
      <c r="F1031" s="29"/>
      <c r="G1031" s="287"/>
      <c r="H1031" s="31"/>
      <c r="I1031" s="31"/>
      <c r="J1031" s="33"/>
      <c r="K1031" s="33"/>
      <c r="L1031" s="33"/>
      <c r="M1031" s="33"/>
      <c r="N1031" s="81"/>
      <c r="O1031" s="33"/>
      <c r="P1031" s="35"/>
      <c r="Q1031" s="36"/>
      <c r="R1031" s="36"/>
    </row>
    <row r="1032" ht="22.5" customHeight="1">
      <c r="A1032" s="38"/>
      <c r="B1032" s="26"/>
      <c r="C1032" s="29"/>
      <c r="D1032" s="29"/>
      <c r="E1032" s="29"/>
      <c r="F1032" s="29"/>
      <c r="G1032" s="287"/>
      <c r="H1032" s="31"/>
      <c r="I1032" s="31"/>
      <c r="J1032" s="33"/>
      <c r="K1032" s="33"/>
      <c r="L1032" s="33"/>
      <c r="M1032" s="33"/>
      <c r="N1032" s="81"/>
      <c r="O1032" s="33"/>
      <c r="P1032" s="35"/>
      <c r="Q1032" s="36"/>
      <c r="R1032" s="36"/>
    </row>
    <row r="1033" ht="22.5" customHeight="1">
      <c r="A1033" s="38"/>
      <c r="B1033" s="26"/>
      <c r="C1033" s="29"/>
      <c r="D1033" s="29"/>
      <c r="E1033" s="29"/>
      <c r="F1033" s="29"/>
      <c r="G1033" s="287"/>
      <c r="H1033" s="31"/>
      <c r="I1033" s="31"/>
      <c r="J1033" s="33"/>
      <c r="K1033" s="33"/>
      <c r="L1033" s="33"/>
      <c r="M1033" s="33"/>
      <c r="N1033" s="81"/>
      <c r="O1033" s="33"/>
      <c r="P1033" s="35"/>
      <c r="Q1033" s="36"/>
      <c r="R1033" s="36"/>
    </row>
    <row r="1034" ht="22.5" customHeight="1">
      <c r="A1034" s="38"/>
      <c r="B1034" s="26"/>
      <c r="C1034" s="29"/>
      <c r="D1034" s="29"/>
      <c r="E1034" s="29"/>
      <c r="F1034" s="29"/>
      <c r="G1034" s="287"/>
      <c r="H1034" s="31"/>
      <c r="I1034" s="31"/>
      <c r="J1034" s="33"/>
      <c r="K1034" s="33"/>
      <c r="L1034" s="33"/>
      <c r="M1034" s="33"/>
      <c r="N1034" s="81"/>
      <c r="O1034" s="33"/>
      <c r="P1034" s="35"/>
      <c r="Q1034" s="36"/>
      <c r="R1034" s="36"/>
    </row>
    <row r="1035" ht="22.5" customHeight="1">
      <c r="A1035" s="38"/>
      <c r="B1035" s="26"/>
      <c r="C1035" s="29"/>
      <c r="D1035" s="29"/>
      <c r="E1035" s="29"/>
      <c r="F1035" s="29"/>
      <c r="G1035" s="287"/>
      <c r="H1035" s="31"/>
      <c r="I1035" s="31"/>
      <c r="J1035" s="33"/>
      <c r="K1035" s="33"/>
      <c r="L1035" s="33"/>
      <c r="M1035" s="33"/>
      <c r="N1035" s="81"/>
      <c r="O1035" s="33"/>
      <c r="P1035" s="35"/>
      <c r="Q1035" s="36"/>
      <c r="R1035" s="36"/>
    </row>
    <row r="1036" ht="22.5" customHeight="1">
      <c r="A1036" s="38"/>
      <c r="B1036" s="26"/>
      <c r="C1036" s="29"/>
      <c r="D1036" s="29"/>
      <c r="E1036" s="29"/>
      <c r="F1036" s="29"/>
      <c r="G1036" s="287"/>
      <c r="H1036" s="31"/>
      <c r="I1036" s="31"/>
      <c r="J1036" s="33"/>
      <c r="K1036" s="33"/>
      <c r="L1036" s="33"/>
      <c r="M1036" s="33"/>
      <c r="N1036" s="81"/>
      <c r="O1036" s="33"/>
      <c r="P1036" s="35"/>
      <c r="Q1036" s="36"/>
      <c r="R1036" s="36"/>
    </row>
    <row r="1037" ht="22.5" customHeight="1">
      <c r="A1037" s="38"/>
      <c r="B1037" s="26"/>
      <c r="C1037" s="29"/>
      <c r="D1037" s="29"/>
      <c r="E1037" s="29"/>
      <c r="F1037" s="29"/>
      <c r="G1037" s="287"/>
      <c r="H1037" s="31"/>
      <c r="I1037" s="31"/>
      <c r="J1037" s="33"/>
      <c r="K1037" s="33"/>
      <c r="L1037" s="33"/>
      <c r="M1037" s="33"/>
      <c r="N1037" s="81"/>
      <c r="O1037" s="33"/>
      <c r="P1037" s="35"/>
      <c r="Q1037" s="36"/>
      <c r="R1037" s="36"/>
    </row>
    <row r="1038" ht="22.5" customHeight="1">
      <c r="A1038" s="38"/>
      <c r="B1038" s="26"/>
      <c r="C1038" s="29"/>
      <c r="D1038" s="29"/>
      <c r="E1038" s="29"/>
      <c r="F1038" s="29"/>
      <c r="G1038" s="287"/>
      <c r="H1038" s="31"/>
      <c r="I1038" s="31"/>
      <c r="J1038" s="33"/>
      <c r="K1038" s="33"/>
      <c r="L1038" s="33"/>
      <c r="M1038" s="33"/>
      <c r="N1038" s="81"/>
      <c r="O1038" s="33"/>
      <c r="P1038" s="35"/>
      <c r="Q1038" s="36"/>
      <c r="R1038" s="36"/>
    </row>
    <row r="1039" ht="22.5" customHeight="1">
      <c r="A1039" s="38"/>
      <c r="B1039" s="26"/>
      <c r="C1039" s="29"/>
      <c r="D1039" s="29"/>
      <c r="E1039" s="29"/>
      <c r="F1039" s="29"/>
      <c r="G1039" s="287"/>
      <c r="H1039" s="31"/>
      <c r="I1039" s="31"/>
      <c r="J1039" s="33"/>
      <c r="K1039" s="33"/>
      <c r="L1039" s="33"/>
      <c r="M1039" s="33"/>
      <c r="N1039" s="81"/>
      <c r="O1039" s="33"/>
      <c r="P1039" s="35"/>
      <c r="Q1039" s="36"/>
      <c r="R1039" s="36"/>
    </row>
    <row r="1040" ht="22.5" customHeight="1">
      <c r="A1040" s="38"/>
      <c r="B1040" s="26"/>
      <c r="C1040" s="29"/>
      <c r="D1040" s="29"/>
      <c r="E1040" s="29"/>
      <c r="F1040" s="29"/>
      <c r="G1040" s="287"/>
      <c r="H1040" s="31"/>
      <c r="I1040" s="31"/>
      <c r="J1040" s="33"/>
      <c r="K1040" s="33"/>
      <c r="L1040" s="33"/>
      <c r="M1040" s="33"/>
      <c r="N1040" s="81"/>
      <c r="O1040" s="33"/>
      <c r="P1040" s="35"/>
      <c r="Q1040" s="36"/>
      <c r="R1040" s="36"/>
    </row>
    <row r="1041" ht="22.5" customHeight="1">
      <c r="A1041" s="38"/>
      <c r="B1041" s="26"/>
      <c r="C1041" s="29"/>
      <c r="D1041" s="29"/>
      <c r="E1041" s="29"/>
      <c r="F1041" s="29"/>
      <c r="G1041" s="287"/>
      <c r="H1041" s="31"/>
      <c r="I1041" s="31"/>
      <c r="J1041" s="33"/>
      <c r="K1041" s="33"/>
      <c r="L1041" s="33"/>
      <c r="M1041" s="33"/>
      <c r="N1041" s="81"/>
      <c r="O1041" s="33"/>
      <c r="P1041" s="35"/>
      <c r="Q1041" s="36"/>
      <c r="R1041" s="36"/>
    </row>
    <row r="1042" ht="22.5" customHeight="1">
      <c r="A1042" s="38"/>
      <c r="B1042" s="26"/>
      <c r="C1042" s="29"/>
      <c r="D1042" s="29"/>
      <c r="E1042" s="29"/>
      <c r="F1042" s="29"/>
      <c r="G1042" s="287"/>
      <c r="H1042" s="31"/>
      <c r="I1042" s="31"/>
      <c r="J1042" s="33"/>
      <c r="K1042" s="33"/>
      <c r="L1042" s="33"/>
      <c r="M1042" s="33"/>
      <c r="N1042" s="81"/>
      <c r="O1042" s="33"/>
      <c r="P1042" s="35"/>
      <c r="Q1042" s="36"/>
      <c r="R1042" s="36"/>
    </row>
    <row r="1043" ht="22.5" customHeight="1">
      <c r="A1043" s="38"/>
      <c r="B1043" s="26"/>
      <c r="C1043" s="29"/>
      <c r="D1043" s="29"/>
      <c r="E1043" s="29"/>
      <c r="F1043" s="29"/>
      <c r="G1043" s="287"/>
      <c r="H1043" s="31"/>
      <c r="I1043" s="31"/>
      <c r="J1043" s="33"/>
      <c r="K1043" s="33"/>
      <c r="L1043" s="33"/>
      <c r="M1043" s="33"/>
      <c r="N1043" s="81"/>
      <c r="O1043" s="33"/>
      <c r="P1043" s="35"/>
      <c r="Q1043" s="36"/>
      <c r="R1043" s="36"/>
    </row>
    <row r="1044" ht="22.5" customHeight="1">
      <c r="A1044" s="38"/>
      <c r="B1044" s="26"/>
      <c r="C1044" s="29"/>
      <c r="D1044" s="29"/>
      <c r="E1044" s="29"/>
      <c r="F1044" s="29"/>
      <c r="G1044" s="287"/>
      <c r="H1044" s="31"/>
      <c r="I1044" s="31"/>
      <c r="J1044" s="33"/>
      <c r="K1044" s="33"/>
      <c r="L1044" s="33"/>
      <c r="M1044" s="33"/>
      <c r="N1044" s="81"/>
      <c r="O1044" s="33"/>
      <c r="P1044" s="35"/>
      <c r="Q1044" s="36"/>
      <c r="R1044" s="36"/>
    </row>
    <row r="1045" ht="22.5" customHeight="1">
      <c r="A1045" s="38"/>
      <c r="B1045" s="26"/>
      <c r="C1045" s="29"/>
      <c r="D1045" s="29"/>
      <c r="E1045" s="29"/>
      <c r="F1045" s="29"/>
      <c r="G1045" s="287"/>
      <c r="H1045" s="31"/>
      <c r="I1045" s="31"/>
      <c r="J1045" s="33"/>
      <c r="K1045" s="33"/>
      <c r="L1045" s="33"/>
      <c r="M1045" s="33"/>
      <c r="N1045" s="81"/>
      <c r="O1045" s="33"/>
      <c r="P1045" s="35"/>
      <c r="Q1045" s="36"/>
      <c r="R1045" s="36"/>
    </row>
    <row r="1046" ht="22.5" customHeight="1">
      <c r="A1046" s="38"/>
      <c r="B1046" s="26"/>
      <c r="C1046" s="29"/>
      <c r="D1046" s="29"/>
      <c r="E1046" s="29"/>
      <c r="F1046" s="29"/>
      <c r="G1046" s="287"/>
      <c r="H1046" s="31"/>
      <c r="I1046" s="31"/>
      <c r="J1046" s="33"/>
      <c r="K1046" s="33"/>
      <c r="L1046" s="33"/>
      <c r="M1046" s="33"/>
      <c r="N1046" s="81"/>
      <c r="O1046" s="33"/>
      <c r="P1046" s="35"/>
      <c r="Q1046" s="36"/>
      <c r="R1046" s="36"/>
    </row>
    <row r="1047" ht="22.5" customHeight="1">
      <c r="A1047" s="38"/>
      <c r="B1047" s="26"/>
      <c r="C1047" s="29"/>
      <c r="D1047" s="29"/>
      <c r="E1047" s="29"/>
      <c r="F1047" s="29"/>
      <c r="G1047" s="287"/>
      <c r="H1047" s="31"/>
      <c r="I1047" s="31"/>
      <c r="J1047" s="33"/>
      <c r="K1047" s="33"/>
      <c r="L1047" s="33"/>
      <c r="M1047" s="33"/>
      <c r="N1047" s="81"/>
      <c r="O1047" s="33"/>
      <c r="P1047" s="35"/>
      <c r="Q1047" s="36"/>
      <c r="R1047" s="36"/>
    </row>
    <row r="1048" ht="22.5" customHeight="1">
      <c r="A1048" s="38"/>
      <c r="B1048" s="26"/>
      <c r="C1048" s="29"/>
      <c r="D1048" s="29"/>
      <c r="E1048" s="29"/>
      <c r="F1048" s="29"/>
      <c r="G1048" s="287"/>
      <c r="H1048" s="31"/>
      <c r="I1048" s="31"/>
      <c r="J1048" s="33"/>
      <c r="K1048" s="33"/>
      <c r="L1048" s="33"/>
      <c r="M1048" s="33"/>
      <c r="N1048" s="81"/>
      <c r="O1048" s="33"/>
      <c r="P1048" s="35"/>
      <c r="Q1048" s="36"/>
      <c r="R1048" s="36"/>
    </row>
    <row r="1049" ht="22.5" customHeight="1">
      <c r="A1049" s="38"/>
      <c r="B1049" s="26"/>
      <c r="C1049" s="29"/>
      <c r="D1049" s="29"/>
      <c r="E1049" s="29"/>
      <c r="F1049" s="29"/>
      <c r="G1049" s="287"/>
      <c r="H1049" s="31"/>
      <c r="I1049" s="31"/>
      <c r="J1049" s="33"/>
      <c r="K1049" s="33"/>
      <c r="L1049" s="33"/>
      <c r="M1049" s="33"/>
      <c r="N1049" s="81"/>
      <c r="O1049" s="33"/>
      <c r="P1049" s="35"/>
      <c r="Q1049" s="36"/>
      <c r="R1049" s="36"/>
    </row>
    <row r="1050" ht="22.5" customHeight="1">
      <c r="A1050" s="38"/>
      <c r="B1050" s="26"/>
      <c r="C1050" s="29"/>
      <c r="D1050" s="29"/>
      <c r="E1050" s="29"/>
      <c r="F1050" s="29"/>
      <c r="G1050" s="287"/>
      <c r="H1050" s="31"/>
      <c r="I1050" s="31"/>
      <c r="J1050" s="33"/>
      <c r="K1050" s="33"/>
      <c r="L1050" s="33"/>
      <c r="M1050" s="33"/>
      <c r="N1050" s="81"/>
      <c r="O1050" s="33"/>
      <c r="P1050" s="35"/>
      <c r="Q1050" s="36"/>
      <c r="R1050" s="36"/>
    </row>
    <row r="1051" ht="22.5" customHeight="1">
      <c r="A1051" s="38"/>
      <c r="B1051" s="26"/>
      <c r="C1051" s="29"/>
      <c r="D1051" s="29"/>
      <c r="E1051" s="29"/>
      <c r="F1051" s="29"/>
      <c r="G1051" s="287"/>
      <c r="H1051" s="31"/>
      <c r="I1051" s="31"/>
      <c r="J1051" s="33"/>
      <c r="K1051" s="33"/>
      <c r="L1051" s="33"/>
      <c r="M1051" s="33"/>
      <c r="N1051" s="81"/>
      <c r="O1051" s="33"/>
      <c r="P1051" s="35"/>
      <c r="Q1051" s="36"/>
      <c r="R1051" s="36"/>
    </row>
    <row r="1052" ht="22.5" customHeight="1">
      <c r="A1052" s="38"/>
      <c r="B1052" s="26"/>
      <c r="C1052" s="29"/>
      <c r="D1052" s="29"/>
      <c r="E1052" s="29"/>
      <c r="F1052" s="29"/>
      <c r="G1052" s="287"/>
      <c r="H1052" s="31"/>
      <c r="I1052" s="31"/>
      <c r="J1052" s="33"/>
      <c r="K1052" s="33"/>
      <c r="L1052" s="33"/>
      <c r="M1052" s="33"/>
      <c r="N1052" s="81"/>
      <c r="O1052" s="33"/>
      <c r="P1052" s="35"/>
      <c r="Q1052" s="36"/>
      <c r="R1052" s="36"/>
    </row>
    <row r="1053" ht="22.5" customHeight="1">
      <c r="A1053" s="38"/>
      <c r="B1053" s="26"/>
      <c r="C1053" s="29"/>
      <c r="D1053" s="29"/>
      <c r="E1053" s="29"/>
      <c r="F1053" s="29"/>
      <c r="G1053" s="287"/>
      <c r="H1053" s="31"/>
      <c r="I1053" s="31"/>
      <c r="J1053" s="33"/>
      <c r="K1053" s="33"/>
      <c r="L1053" s="33"/>
      <c r="M1053" s="33"/>
      <c r="N1053" s="81"/>
      <c r="O1053" s="33"/>
      <c r="P1053" s="35"/>
      <c r="Q1053" s="36"/>
      <c r="R1053" s="36"/>
    </row>
    <row r="1054" ht="22.5" customHeight="1">
      <c r="A1054" s="38"/>
      <c r="B1054" s="26"/>
      <c r="C1054" s="29"/>
      <c r="D1054" s="29"/>
      <c r="E1054" s="29"/>
      <c r="F1054" s="29"/>
      <c r="G1054" s="287"/>
      <c r="H1054" s="31"/>
      <c r="I1054" s="31"/>
      <c r="J1054" s="33"/>
      <c r="K1054" s="33"/>
      <c r="L1054" s="33"/>
      <c r="M1054" s="33"/>
      <c r="N1054" s="81"/>
      <c r="O1054" s="33"/>
      <c r="P1054" s="35"/>
      <c r="Q1054" s="36"/>
      <c r="R1054" s="36"/>
    </row>
    <row r="1055" ht="22.5" customHeight="1">
      <c r="A1055" s="38"/>
      <c r="B1055" s="26"/>
      <c r="C1055" s="29"/>
      <c r="D1055" s="29"/>
      <c r="E1055" s="29"/>
      <c r="F1055" s="29"/>
      <c r="G1055" s="287"/>
      <c r="H1055" s="31"/>
      <c r="I1055" s="31"/>
      <c r="J1055" s="33"/>
      <c r="K1055" s="33"/>
      <c r="L1055" s="33"/>
      <c r="M1055" s="33"/>
      <c r="N1055" s="81"/>
      <c r="O1055" s="33"/>
      <c r="P1055" s="35"/>
      <c r="Q1055" s="36"/>
      <c r="R1055" s="36"/>
    </row>
    <row r="1056" ht="22.5" customHeight="1">
      <c r="A1056" s="38"/>
      <c r="B1056" s="26"/>
      <c r="C1056" s="29"/>
      <c r="D1056" s="29"/>
      <c r="E1056" s="29"/>
      <c r="F1056" s="29"/>
      <c r="G1056" s="287"/>
      <c r="H1056" s="31"/>
      <c r="I1056" s="31"/>
      <c r="J1056" s="33"/>
      <c r="K1056" s="33"/>
      <c r="L1056" s="33"/>
      <c r="M1056" s="33"/>
      <c r="N1056" s="81"/>
      <c r="O1056" s="33"/>
      <c r="P1056" s="35"/>
      <c r="Q1056" s="36"/>
      <c r="R1056" s="36"/>
    </row>
    <row r="1057" ht="22.5" customHeight="1">
      <c r="A1057" s="38"/>
      <c r="B1057" s="26"/>
      <c r="C1057" s="29"/>
      <c r="D1057" s="29"/>
      <c r="E1057" s="29"/>
      <c r="F1057" s="29"/>
      <c r="G1057" s="287"/>
      <c r="H1057" s="31"/>
      <c r="I1057" s="31"/>
      <c r="J1057" s="33"/>
      <c r="K1057" s="33"/>
      <c r="L1057" s="33"/>
      <c r="M1057" s="33"/>
      <c r="N1057" s="81"/>
      <c r="O1057" s="33"/>
      <c r="P1057" s="35"/>
      <c r="Q1057" s="36"/>
      <c r="R1057" s="36"/>
    </row>
    <row r="1058" ht="22.5" customHeight="1">
      <c r="A1058" s="38"/>
      <c r="B1058" s="26"/>
      <c r="C1058" s="29"/>
      <c r="D1058" s="29"/>
      <c r="E1058" s="29"/>
      <c r="F1058" s="29"/>
      <c r="G1058" s="287"/>
      <c r="H1058" s="31"/>
      <c r="I1058" s="31"/>
      <c r="J1058" s="33"/>
      <c r="K1058" s="33"/>
      <c r="L1058" s="33"/>
      <c r="M1058" s="33"/>
      <c r="N1058" s="81"/>
      <c r="O1058" s="33"/>
      <c r="P1058" s="35"/>
      <c r="Q1058" s="36"/>
      <c r="R1058" s="36"/>
    </row>
    <row r="1059" ht="22.5" customHeight="1">
      <c r="A1059" s="38"/>
      <c r="B1059" s="26"/>
      <c r="C1059" s="29"/>
      <c r="D1059" s="29"/>
      <c r="E1059" s="29"/>
      <c r="F1059" s="29"/>
      <c r="G1059" s="287"/>
      <c r="H1059" s="31"/>
      <c r="I1059" s="31"/>
      <c r="J1059" s="33"/>
      <c r="K1059" s="33"/>
      <c r="L1059" s="33"/>
      <c r="M1059" s="33"/>
      <c r="N1059" s="81"/>
      <c r="O1059" s="33"/>
      <c r="P1059" s="35"/>
      <c r="Q1059" s="36"/>
      <c r="R1059" s="36"/>
    </row>
    <row r="1060" ht="22.5" customHeight="1">
      <c r="A1060" s="38"/>
      <c r="B1060" s="26"/>
      <c r="C1060" s="29"/>
      <c r="D1060" s="29"/>
      <c r="E1060" s="29"/>
      <c r="F1060" s="29"/>
      <c r="G1060" s="287"/>
      <c r="H1060" s="31"/>
      <c r="I1060" s="31"/>
      <c r="J1060" s="33"/>
      <c r="K1060" s="33"/>
      <c r="L1060" s="33"/>
      <c r="M1060" s="33"/>
      <c r="N1060" s="81"/>
      <c r="O1060" s="33"/>
      <c r="P1060" s="35"/>
      <c r="Q1060" s="36"/>
      <c r="R1060" s="36"/>
    </row>
    <row r="1061" ht="22.5" customHeight="1">
      <c r="A1061" s="38"/>
      <c r="B1061" s="26"/>
      <c r="C1061" s="29"/>
      <c r="D1061" s="29"/>
      <c r="E1061" s="29"/>
      <c r="F1061" s="29"/>
      <c r="G1061" s="287"/>
      <c r="H1061" s="31"/>
      <c r="I1061" s="31"/>
      <c r="J1061" s="33"/>
      <c r="K1061" s="33"/>
      <c r="L1061" s="33"/>
      <c r="M1061" s="33"/>
      <c r="N1061" s="81"/>
      <c r="O1061" s="33"/>
      <c r="P1061" s="35"/>
      <c r="Q1061" s="36"/>
      <c r="R1061" s="36"/>
    </row>
    <row r="1062" ht="22.5" customHeight="1">
      <c r="A1062" s="38"/>
      <c r="B1062" s="26"/>
      <c r="C1062" s="29"/>
      <c r="D1062" s="29"/>
      <c r="E1062" s="29"/>
      <c r="F1062" s="29"/>
      <c r="G1062" s="287"/>
      <c r="H1062" s="31"/>
      <c r="I1062" s="31"/>
      <c r="J1062" s="33"/>
      <c r="K1062" s="33"/>
      <c r="L1062" s="33"/>
      <c r="M1062" s="33"/>
      <c r="N1062" s="81"/>
      <c r="O1062" s="33"/>
      <c r="P1062" s="35"/>
      <c r="Q1062" s="36"/>
      <c r="R1062" s="36"/>
    </row>
    <row r="1063" ht="22.5" customHeight="1">
      <c r="A1063" s="38"/>
      <c r="B1063" s="26"/>
      <c r="C1063" s="29"/>
      <c r="D1063" s="29"/>
      <c r="E1063" s="29"/>
      <c r="F1063" s="29"/>
      <c r="G1063" s="287"/>
      <c r="H1063" s="31"/>
      <c r="I1063" s="31"/>
      <c r="J1063" s="33"/>
      <c r="K1063" s="33"/>
      <c r="L1063" s="33"/>
      <c r="M1063" s="33"/>
      <c r="N1063" s="81"/>
      <c r="O1063" s="33"/>
      <c r="P1063" s="35"/>
      <c r="Q1063" s="36"/>
      <c r="R1063" s="36"/>
    </row>
    <row r="1064" ht="22.5" customHeight="1">
      <c r="A1064" s="38"/>
      <c r="B1064" s="26"/>
      <c r="C1064" s="29"/>
      <c r="D1064" s="29"/>
      <c r="E1064" s="29"/>
      <c r="F1064" s="29"/>
      <c r="G1064" s="287"/>
      <c r="H1064" s="31"/>
      <c r="I1064" s="31"/>
      <c r="J1064" s="33"/>
      <c r="K1064" s="33"/>
      <c r="L1064" s="33"/>
      <c r="M1064" s="33"/>
      <c r="N1064" s="81"/>
      <c r="O1064" s="33"/>
      <c r="P1064" s="35"/>
      <c r="Q1064" s="36"/>
      <c r="R1064" s="36"/>
    </row>
    <row r="1065" ht="22.5" customHeight="1">
      <c r="A1065" s="38"/>
      <c r="B1065" s="26"/>
      <c r="C1065" s="29"/>
      <c r="D1065" s="29"/>
      <c r="E1065" s="29"/>
      <c r="F1065" s="29"/>
      <c r="G1065" s="287"/>
      <c r="H1065" s="31"/>
      <c r="I1065" s="31"/>
      <c r="J1065" s="33"/>
      <c r="K1065" s="33"/>
      <c r="L1065" s="33"/>
      <c r="M1065" s="33"/>
      <c r="N1065" s="81"/>
      <c r="O1065" s="33"/>
      <c r="P1065" s="35"/>
      <c r="Q1065" s="36"/>
      <c r="R1065" s="36"/>
    </row>
    <row r="1066" ht="22.5" customHeight="1">
      <c r="A1066" s="38"/>
      <c r="B1066" s="26"/>
      <c r="C1066" s="29"/>
      <c r="D1066" s="29"/>
      <c r="E1066" s="29"/>
      <c r="F1066" s="29"/>
      <c r="G1066" s="287"/>
      <c r="H1066" s="31"/>
      <c r="I1066" s="31"/>
      <c r="J1066" s="33"/>
      <c r="K1066" s="33"/>
      <c r="L1066" s="33"/>
      <c r="M1066" s="33"/>
      <c r="N1066" s="81"/>
      <c r="O1066" s="33"/>
      <c r="P1066" s="35"/>
      <c r="Q1066" s="36"/>
      <c r="R1066" s="36"/>
    </row>
    <row r="1067" ht="22.5" customHeight="1">
      <c r="A1067" s="38"/>
      <c r="B1067" s="26"/>
      <c r="C1067" s="29"/>
      <c r="D1067" s="29"/>
      <c r="E1067" s="29"/>
      <c r="F1067" s="29"/>
      <c r="G1067" s="287"/>
      <c r="H1067" s="31"/>
      <c r="I1067" s="31"/>
      <c r="J1067" s="33"/>
      <c r="K1067" s="33"/>
      <c r="L1067" s="33"/>
      <c r="M1067" s="33"/>
      <c r="N1067" s="81"/>
      <c r="O1067" s="33"/>
      <c r="P1067" s="35"/>
      <c r="Q1067" s="36"/>
      <c r="R1067" s="36"/>
    </row>
    <row r="1068" ht="22.5" customHeight="1">
      <c r="A1068" s="38"/>
      <c r="B1068" s="26"/>
      <c r="C1068" s="29"/>
      <c r="D1068" s="29"/>
      <c r="E1068" s="29"/>
      <c r="F1068" s="29"/>
      <c r="G1068" s="287"/>
      <c r="H1068" s="31"/>
      <c r="I1068" s="31"/>
      <c r="J1068" s="33"/>
      <c r="K1068" s="33"/>
      <c r="L1068" s="33"/>
      <c r="M1068" s="33"/>
      <c r="N1068" s="81"/>
      <c r="O1068" s="33"/>
      <c r="P1068" s="35"/>
      <c r="Q1068" s="36"/>
      <c r="R1068" s="36"/>
    </row>
    <row r="1069" ht="22.5" customHeight="1">
      <c r="A1069" s="38"/>
      <c r="B1069" s="26"/>
      <c r="C1069" s="29"/>
      <c r="D1069" s="29"/>
      <c r="E1069" s="29"/>
      <c r="F1069" s="29"/>
      <c r="G1069" s="287"/>
      <c r="H1069" s="31"/>
      <c r="I1069" s="31"/>
      <c r="J1069" s="33"/>
      <c r="K1069" s="33"/>
      <c r="L1069" s="33"/>
      <c r="M1069" s="33"/>
      <c r="N1069" s="81"/>
      <c r="O1069" s="33"/>
      <c r="P1069" s="35"/>
      <c r="Q1069" s="36"/>
      <c r="R1069" s="36"/>
    </row>
    <row r="1070" ht="22.5" customHeight="1">
      <c r="A1070" s="38"/>
      <c r="B1070" s="26"/>
      <c r="C1070" s="29"/>
      <c r="D1070" s="29"/>
      <c r="E1070" s="29"/>
      <c r="F1070" s="29"/>
      <c r="G1070" s="287"/>
      <c r="H1070" s="31"/>
      <c r="I1070" s="31"/>
      <c r="J1070" s="33"/>
      <c r="K1070" s="33"/>
      <c r="L1070" s="33"/>
      <c r="M1070" s="33"/>
      <c r="N1070" s="81"/>
      <c r="O1070" s="33"/>
      <c r="P1070" s="35"/>
      <c r="Q1070" s="36"/>
      <c r="R1070" s="36"/>
    </row>
    <row r="1071" ht="22.5" customHeight="1">
      <c r="A1071" s="38"/>
      <c r="B1071" s="26"/>
      <c r="C1071" s="29"/>
      <c r="D1071" s="29"/>
      <c r="E1071" s="29"/>
      <c r="F1071" s="29"/>
      <c r="G1071" s="287"/>
      <c r="H1071" s="31"/>
      <c r="I1071" s="31"/>
      <c r="J1071" s="33"/>
      <c r="K1071" s="33"/>
      <c r="L1071" s="33"/>
      <c r="M1071" s="33"/>
      <c r="N1071" s="81"/>
      <c r="O1071" s="33"/>
      <c r="P1071" s="35"/>
      <c r="Q1071" s="36"/>
      <c r="R1071" s="36"/>
    </row>
    <row r="1072" ht="22.5" customHeight="1">
      <c r="A1072" s="38"/>
      <c r="B1072" s="26"/>
      <c r="C1072" s="29"/>
      <c r="D1072" s="29"/>
      <c r="E1072" s="29"/>
      <c r="F1072" s="29"/>
      <c r="G1072" s="287"/>
      <c r="H1072" s="31"/>
      <c r="I1072" s="31"/>
      <c r="J1072" s="33"/>
      <c r="K1072" s="33"/>
      <c r="L1072" s="33"/>
      <c r="M1072" s="33"/>
      <c r="N1072" s="81"/>
      <c r="O1072" s="33"/>
      <c r="P1072" s="35"/>
      <c r="Q1072" s="36"/>
      <c r="R1072" s="36"/>
    </row>
    <row r="1073" ht="22.5" customHeight="1">
      <c r="A1073" s="38"/>
      <c r="B1073" s="26"/>
      <c r="C1073" s="29"/>
      <c r="D1073" s="29"/>
      <c r="E1073" s="29"/>
      <c r="F1073" s="29"/>
      <c r="G1073" s="287"/>
      <c r="H1073" s="31"/>
      <c r="I1073" s="31"/>
      <c r="J1073" s="33"/>
      <c r="K1073" s="33"/>
      <c r="L1073" s="33"/>
      <c r="M1073" s="33"/>
      <c r="N1073" s="81"/>
      <c r="O1073" s="33"/>
      <c r="P1073" s="35"/>
      <c r="Q1073" s="36"/>
      <c r="R1073" s="36"/>
    </row>
    <row r="1074" ht="22.5" customHeight="1">
      <c r="A1074" s="38"/>
      <c r="B1074" s="26"/>
      <c r="C1074" s="29"/>
      <c r="D1074" s="29"/>
      <c r="E1074" s="29"/>
      <c r="F1074" s="29"/>
      <c r="G1074" s="287"/>
      <c r="H1074" s="31"/>
      <c r="I1074" s="31"/>
      <c r="J1074" s="33"/>
      <c r="K1074" s="33"/>
      <c r="L1074" s="33"/>
      <c r="M1074" s="33"/>
      <c r="N1074" s="81"/>
      <c r="O1074" s="33"/>
      <c r="P1074" s="35"/>
      <c r="Q1074" s="36"/>
      <c r="R1074" s="36"/>
    </row>
    <row r="1075" ht="22.5" customHeight="1">
      <c r="A1075" s="38"/>
      <c r="B1075" s="26"/>
      <c r="C1075" s="29"/>
      <c r="D1075" s="29"/>
      <c r="E1075" s="29"/>
      <c r="F1075" s="29"/>
      <c r="G1075" s="287"/>
      <c r="H1075" s="31"/>
      <c r="I1075" s="31"/>
      <c r="J1075" s="33"/>
      <c r="K1075" s="33"/>
      <c r="L1075" s="33"/>
      <c r="M1075" s="33"/>
      <c r="N1075" s="81"/>
      <c r="O1075" s="33"/>
      <c r="P1075" s="35"/>
      <c r="Q1075" s="36"/>
      <c r="R1075" s="36"/>
    </row>
    <row r="1076" ht="22.5" customHeight="1">
      <c r="A1076" s="38"/>
      <c r="B1076" s="26"/>
      <c r="C1076" s="29"/>
      <c r="D1076" s="29"/>
      <c r="E1076" s="29"/>
      <c r="F1076" s="29"/>
      <c r="G1076" s="287"/>
      <c r="H1076" s="31"/>
      <c r="I1076" s="31"/>
      <c r="J1076" s="33"/>
      <c r="K1076" s="33"/>
      <c r="L1076" s="33"/>
      <c r="M1076" s="33"/>
      <c r="N1076" s="81"/>
      <c r="O1076" s="33"/>
      <c r="P1076" s="35"/>
      <c r="Q1076" s="36"/>
      <c r="R1076" s="36"/>
    </row>
    <row r="1077" ht="22.5" customHeight="1">
      <c r="A1077" s="38"/>
      <c r="B1077" s="26"/>
      <c r="C1077" s="29"/>
      <c r="D1077" s="29"/>
      <c r="E1077" s="29"/>
      <c r="F1077" s="29"/>
      <c r="G1077" s="287"/>
      <c r="H1077" s="31"/>
      <c r="I1077" s="31"/>
      <c r="J1077" s="33"/>
      <c r="K1077" s="33"/>
      <c r="L1077" s="33"/>
      <c r="M1077" s="33"/>
      <c r="N1077" s="81"/>
      <c r="O1077" s="33"/>
      <c r="P1077" s="35"/>
      <c r="Q1077" s="36"/>
      <c r="R1077" s="36"/>
    </row>
    <row r="1078" ht="22.5" customHeight="1">
      <c r="A1078" s="38"/>
      <c r="B1078" s="26"/>
      <c r="C1078" s="29"/>
      <c r="D1078" s="29"/>
      <c r="E1078" s="29"/>
      <c r="F1078" s="29"/>
      <c r="G1078" s="287"/>
      <c r="H1078" s="31"/>
      <c r="I1078" s="31"/>
      <c r="J1078" s="33"/>
      <c r="K1078" s="33"/>
      <c r="L1078" s="33"/>
      <c r="M1078" s="33"/>
      <c r="N1078" s="81"/>
      <c r="O1078" s="33"/>
      <c r="P1078" s="35"/>
      <c r="Q1078" s="36"/>
      <c r="R1078" s="36"/>
    </row>
    <row r="1079" ht="22.5" customHeight="1">
      <c r="A1079" s="38"/>
      <c r="B1079" s="26"/>
      <c r="C1079" s="29"/>
      <c r="D1079" s="29"/>
      <c r="E1079" s="29"/>
      <c r="F1079" s="29"/>
      <c r="G1079" s="287"/>
      <c r="H1079" s="31"/>
      <c r="I1079" s="31"/>
      <c r="J1079" s="33"/>
      <c r="K1079" s="33"/>
      <c r="L1079" s="33"/>
      <c r="M1079" s="33"/>
      <c r="N1079" s="81"/>
      <c r="O1079" s="33"/>
      <c r="P1079" s="35"/>
      <c r="Q1079" s="36"/>
      <c r="R1079" s="36"/>
    </row>
    <row r="1080" ht="22.5" customHeight="1">
      <c r="A1080" s="38"/>
      <c r="B1080" s="26"/>
      <c r="C1080" s="29"/>
      <c r="D1080" s="29"/>
      <c r="E1080" s="29"/>
      <c r="F1080" s="29"/>
      <c r="G1080" s="287"/>
      <c r="H1080" s="31"/>
      <c r="I1080" s="31"/>
      <c r="J1080" s="33"/>
      <c r="K1080" s="33"/>
      <c r="L1080" s="33"/>
      <c r="M1080" s="33"/>
      <c r="N1080" s="81"/>
      <c r="O1080" s="33"/>
      <c r="P1080" s="35"/>
      <c r="Q1080" s="36"/>
      <c r="R1080" s="36"/>
    </row>
    <row r="1081" ht="22.5" customHeight="1">
      <c r="A1081" s="38"/>
      <c r="B1081" s="26"/>
      <c r="C1081" s="29"/>
      <c r="D1081" s="29"/>
      <c r="E1081" s="29"/>
      <c r="F1081" s="29"/>
      <c r="G1081" s="287"/>
      <c r="H1081" s="31"/>
      <c r="I1081" s="31"/>
      <c r="J1081" s="33"/>
      <c r="K1081" s="33"/>
      <c r="L1081" s="33"/>
      <c r="M1081" s="33"/>
      <c r="N1081" s="81"/>
      <c r="O1081" s="33"/>
      <c r="P1081" s="35"/>
      <c r="Q1081" s="36"/>
      <c r="R1081" s="36"/>
    </row>
    <row r="1082" ht="22.5" customHeight="1">
      <c r="A1082" s="38"/>
      <c r="B1082" s="26"/>
      <c r="C1082" s="29"/>
      <c r="D1082" s="29"/>
      <c r="E1082" s="29"/>
      <c r="F1082" s="29"/>
      <c r="G1082" s="287"/>
      <c r="H1082" s="31"/>
      <c r="I1082" s="31"/>
      <c r="J1082" s="33"/>
      <c r="K1082" s="33"/>
      <c r="L1082" s="33"/>
      <c r="M1082" s="33"/>
      <c r="N1082" s="81"/>
      <c r="O1082" s="33"/>
      <c r="P1082" s="35"/>
      <c r="Q1082" s="36"/>
      <c r="R1082" s="36"/>
    </row>
    <row r="1083" ht="22.5" customHeight="1">
      <c r="A1083" s="38"/>
      <c r="B1083" s="26"/>
      <c r="C1083" s="29"/>
      <c r="D1083" s="29"/>
      <c r="E1083" s="29"/>
      <c r="F1083" s="29"/>
      <c r="G1083" s="287"/>
      <c r="H1083" s="31"/>
      <c r="I1083" s="31"/>
      <c r="J1083" s="33"/>
      <c r="K1083" s="33"/>
      <c r="L1083" s="33"/>
      <c r="M1083" s="33"/>
      <c r="N1083" s="81"/>
      <c r="O1083" s="33"/>
      <c r="P1083" s="35"/>
      <c r="Q1083" s="36"/>
      <c r="R1083" s="36"/>
    </row>
    <row r="1084" ht="22.5" customHeight="1">
      <c r="A1084" s="38"/>
      <c r="B1084" s="26"/>
      <c r="C1084" s="29"/>
      <c r="D1084" s="29"/>
      <c r="E1084" s="29"/>
      <c r="F1084" s="29"/>
      <c r="G1084" s="287"/>
      <c r="H1084" s="31"/>
      <c r="I1084" s="31"/>
      <c r="J1084" s="33"/>
      <c r="K1084" s="33"/>
      <c r="L1084" s="33"/>
      <c r="M1084" s="33"/>
      <c r="N1084" s="81"/>
      <c r="O1084" s="33"/>
      <c r="P1084" s="35"/>
      <c r="Q1084" s="36"/>
      <c r="R1084" s="36"/>
    </row>
    <row r="1085" ht="22.5" customHeight="1">
      <c r="A1085" s="38"/>
      <c r="B1085" s="26"/>
      <c r="C1085" s="29"/>
      <c r="D1085" s="29"/>
      <c r="E1085" s="29"/>
      <c r="F1085" s="29"/>
      <c r="G1085" s="287"/>
      <c r="H1085" s="31"/>
      <c r="I1085" s="31"/>
      <c r="J1085" s="33"/>
      <c r="K1085" s="33"/>
      <c r="L1085" s="33"/>
      <c r="M1085" s="33"/>
      <c r="N1085" s="81"/>
      <c r="O1085" s="33"/>
      <c r="P1085" s="35"/>
      <c r="Q1085" s="36"/>
      <c r="R1085" s="36"/>
    </row>
    <row r="1086" ht="22.5" customHeight="1">
      <c r="A1086" s="38"/>
      <c r="B1086" s="26"/>
      <c r="C1086" s="29"/>
      <c r="D1086" s="29"/>
      <c r="E1086" s="29"/>
      <c r="F1086" s="29"/>
      <c r="G1086" s="287"/>
      <c r="H1086" s="31"/>
      <c r="I1086" s="31"/>
      <c r="J1086" s="33"/>
      <c r="K1086" s="33"/>
      <c r="L1086" s="33"/>
      <c r="M1086" s="33"/>
      <c r="N1086" s="81"/>
      <c r="O1086" s="33"/>
      <c r="P1086" s="35"/>
      <c r="Q1086" s="36"/>
      <c r="R1086" s="36"/>
    </row>
    <row r="1087" ht="22.5" customHeight="1">
      <c r="A1087" s="38"/>
      <c r="B1087" s="26"/>
      <c r="C1087" s="29"/>
      <c r="D1087" s="29"/>
      <c r="E1087" s="29"/>
      <c r="F1087" s="29"/>
      <c r="G1087" s="287"/>
      <c r="H1087" s="31"/>
      <c r="I1087" s="31"/>
      <c r="J1087" s="33"/>
      <c r="K1087" s="33"/>
      <c r="L1087" s="33"/>
      <c r="M1087" s="33"/>
      <c r="N1087" s="81"/>
      <c r="O1087" s="33"/>
      <c r="P1087" s="35"/>
      <c r="Q1087" s="36"/>
      <c r="R1087" s="36"/>
    </row>
    <row r="1088" ht="22.5" customHeight="1">
      <c r="A1088" s="38"/>
      <c r="B1088" s="26"/>
      <c r="C1088" s="29"/>
      <c r="D1088" s="29"/>
      <c r="E1088" s="29"/>
      <c r="F1088" s="29"/>
      <c r="G1088" s="287"/>
      <c r="H1088" s="31"/>
      <c r="I1088" s="31"/>
      <c r="J1088" s="33"/>
      <c r="K1088" s="33"/>
      <c r="L1088" s="33"/>
      <c r="M1088" s="33"/>
      <c r="N1088" s="81"/>
      <c r="O1088" s="33"/>
      <c r="P1088" s="35"/>
      <c r="Q1088" s="36"/>
      <c r="R1088" s="36"/>
    </row>
    <row r="1089" ht="22.5" customHeight="1">
      <c r="A1089" s="38"/>
      <c r="B1089" s="26"/>
      <c r="C1089" s="29"/>
      <c r="D1089" s="29"/>
      <c r="E1089" s="29"/>
      <c r="F1089" s="29"/>
      <c r="G1089" s="287"/>
      <c r="H1089" s="31"/>
      <c r="I1089" s="31"/>
      <c r="J1089" s="33"/>
      <c r="K1089" s="33"/>
      <c r="L1089" s="33"/>
      <c r="M1089" s="33"/>
      <c r="N1089" s="81"/>
      <c r="O1089" s="33"/>
      <c r="P1089" s="35"/>
      <c r="Q1089" s="36"/>
      <c r="R1089" s="36"/>
    </row>
    <row r="1090" ht="22.5" customHeight="1">
      <c r="A1090" s="38"/>
      <c r="B1090" s="26"/>
      <c r="C1090" s="29"/>
      <c r="D1090" s="29"/>
      <c r="E1090" s="29"/>
      <c r="F1090" s="29"/>
      <c r="G1090" s="287"/>
      <c r="H1090" s="31"/>
      <c r="I1090" s="31"/>
      <c r="J1090" s="33"/>
      <c r="K1090" s="33"/>
      <c r="L1090" s="33"/>
      <c r="M1090" s="33"/>
      <c r="N1090" s="81"/>
      <c r="O1090" s="33"/>
      <c r="P1090" s="35"/>
      <c r="Q1090" s="36"/>
      <c r="R1090" s="36"/>
    </row>
    <row r="1091" ht="22.5" customHeight="1">
      <c r="A1091" s="38"/>
      <c r="B1091" s="26"/>
      <c r="C1091" s="29"/>
      <c r="D1091" s="29"/>
      <c r="E1091" s="29"/>
      <c r="F1091" s="29"/>
      <c r="G1091" s="287"/>
      <c r="H1091" s="31"/>
      <c r="I1091" s="31"/>
      <c r="J1091" s="33"/>
      <c r="K1091" s="33"/>
      <c r="L1091" s="33"/>
      <c r="M1091" s="33"/>
      <c r="N1091" s="81"/>
      <c r="O1091" s="33"/>
      <c r="P1091" s="35"/>
      <c r="Q1091" s="36"/>
      <c r="R1091" s="36"/>
    </row>
    <row r="1092" ht="22.5" customHeight="1">
      <c r="A1092" s="38"/>
      <c r="B1092" s="26"/>
      <c r="C1092" s="29"/>
      <c r="D1092" s="29"/>
      <c r="E1092" s="29"/>
      <c r="F1092" s="29"/>
      <c r="G1092" s="287"/>
      <c r="H1092" s="31"/>
      <c r="I1092" s="31"/>
      <c r="J1092" s="33"/>
      <c r="K1092" s="33"/>
      <c r="L1092" s="33"/>
      <c r="M1092" s="33"/>
      <c r="N1092" s="81"/>
      <c r="O1092" s="33"/>
      <c r="P1092" s="35"/>
      <c r="Q1092" s="36"/>
      <c r="R1092" s="36"/>
    </row>
    <row r="1093" ht="22.5" customHeight="1">
      <c r="A1093" s="38"/>
      <c r="B1093" s="26"/>
      <c r="C1093" s="29"/>
      <c r="D1093" s="29"/>
      <c r="E1093" s="29"/>
      <c r="F1093" s="29"/>
      <c r="G1093" s="287"/>
      <c r="H1093" s="31"/>
      <c r="I1093" s="31"/>
      <c r="J1093" s="33"/>
      <c r="K1093" s="33"/>
      <c r="L1093" s="33"/>
      <c r="M1093" s="33"/>
      <c r="N1093" s="81"/>
      <c r="O1093" s="33"/>
      <c r="P1093" s="35"/>
      <c r="Q1093" s="36"/>
      <c r="R1093" s="36"/>
    </row>
    <row r="1094" ht="22.5" customHeight="1">
      <c r="A1094" s="38"/>
      <c r="B1094" s="26"/>
      <c r="C1094" s="29"/>
      <c r="D1094" s="29"/>
      <c r="E1094" s="29"/>
      <c r="F1094" s="29"/>
      <c r="G1094" s="287"/>
      <c r="H1094" s="31"/>
      <c r="I1094" s="31"/>
      <c r="J1094" s="33"/>
      <c r="K1094" s="33"/>
      <c r="L1094" s="33"/>
      <c r="M1094" s="33"/>
      <c r="N1094" s="81"/>
      <c r="O1094" s="33"/>
      <c r="P1094" s="35"/>
      <c r="Q1094" s="36"/>
      <c r="R1094" s="36"/>
    </row>
    <row r="1095" ht="22.5" customHeight="1">
      <c r="A1095" s="38"/>
      <c r="B1095" s="26"/>
      <c r="C1095" s="29"/>
      <c r="D1095" s="29"/>
      <c r="E1095" s="29"/>
      <c r="F1095" s="29"/>
      <c r="G1095" s="287"/>
      <c r="H1095" s="31"/>
      <c r="I1095" s="31"/>
      <c r="J1095" s="33"/>
      <c r="K1095" s="33"/>
      <c r="L1095" s="33"/>
      <c r="M1095" s="33"/>
      <c r="N1095" s="81"/>
      <c r="O1095" s="33"/>
      <c r="P1095" s="35"/>
      <c r="Q1095" s="36"/>
      <c r="R1095" s="36"/>
    </row>
    <row r="1096" ht="22.5" customHeight="1">
      <c r="A1096" s="38"/>
      <c r="B1096" s="26"/>
      <c r="C1096" s="29"/>
      <c r="D1096" s="29"/>
      <c r="E1096" s="29"/>
      <c r="F1096" s="29"/>
      <c r="G1096" s="287"/>
      <c r="H1096" s="31"/>
      <c r="I1096" s="31"/>
      <c r="J1096" s="33"/>
      <c r="K1096" s="33"/>
      <c r="L1096" s="33"/>
      <c r="M1096" s="33"/>
      <c r="N1096" s="81"/>
      <c r="O1096" s="33"/>
      <c r="P1096" s="35"/>
      <c r="Q1096" s="36"/>
      <c r="R1096" s="36"/>
    </row>
    <row r="1097" ht="22.5" customHeight="1">
      <c r="A1097" s="38"/>
      <c r="B1097" s="26"/>
      <c r="C1097" s="29"/>
      <c r="D1097" s="29"/>
      <c r="E1097" s="29"/>
      <c r="F1097" s="29"/>
      <c r="G1097" s="287"/>
      <c r="H1097" s="31"/>
      <c r="I1097" s="31"/>
      <c r="J1097" s="33"/>
      <c r="K1097" s="33"/>
      <c r="L1097" s="33"/>
      <c r="M1097" s="33"/>
      <c r="N1097" s="81"/>
      <c r="O1097" s="33"/>
      <c r="P1097" s="35"/>
      <c r="Q1097" s="36"/>
      <c r="R1097" s="36"/>
    </row>
    <row r="1098" ht="22.5" customHeight="1">
      <c r="A1098" s="38"/>
      <c r="B1098" s="26"/>
      <c r="C1098" s="29"/>
      <c r="D1098" s="29"/>
      <c r="E1098" s="29"/>
      <c r="F1098" s="29"/>
      <c r="G1098" s="287"/>
      <c r="H1098" s="31"/>
      <c r="I1098" s="31"/>
      <c r="J1098" s="33"/>
      <c r="K1098" s="33"/>
      <c r="L1098" s="33"/>
      <c r="M1098" s="33"/>
      <c r="N1098" s="81"/>
      <c r="O1098" s="33"/>
      <c r="P1098" s="35"/>
      <c r="Q1098" s="36"/>
      <c r="R1098" s="36"/>
    </row>
    <row r="1099" ht="22.5" customHeight="1">
      <c r="A1099" s="38"/>
      <c r="B1099" s="26"/>
      <c r="C1099" s="29"/>
      <c r="D1099" s="29"/>
      <c r="E1099" s="29"/>
      <c r="F1099" s="29"/>
      <c r="G1099" s="287"/>
      <c r="H1099" s="31"/>
      <c r="I1099" s="31"/>
      <c r="J1099" s="33"/>
      <c r="K1099" s="33"/>
      <c r="L1099" s="33"/>
      <c r="M1099" s="33"/>
      <c r="N1099" s="81"/>
      <c r="O1099" s="33"/>
      <c r="P1099" s="35"/>
      <c r="Q1099" s="36"/>
      <c r="R1099" s="36"/>
    </row>
  </sheetData>
  <conditionalFormatting sqref="A1:J1099">
    <cfRule type="expression" dxfId="6" priority="1">
      <formula>AND($C1&lt;&gt;"", $J1="")</formula>
    </cfRule>
  </conditionalFormatting>
  <dataValidations>
    <dataValidation type="custom" allowBlank="1" showDropDown="1" sqref="N2:N1099">
      <formula1>AND(ISNUMBER(N2),(NOT(OR(NOT(ISERROR(DATEVALUE(N2))), AND(ISNUMBER(N2), LEFT(CELL("format", N2))="D")))))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</v>
      </c>
      <c r="C1" s="1" t="s">
        <v>11</v>
      </c>
      <c r="D1" s="1" t="s">
        <v>13</v>
      </c>
      <c r="E1" s="1" t="s">
        <v>15</v>
      </c>
      <c r="F1" s="1" t="s">
        <v>18</v>
      </c>
      <c r="G1" s="1" t="s">
        <v>20</v>
      </c>
      <c r="H1" s="2" t="s">
        <v>21</v>
      </c>
      <c r="I1" s="2" t="s">
        <v>22</v>
      </c>
      <c r="J1" s="2" t="s">
        <v>23</v>
      </c>
      <c r="K1" s="5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12</v>
      </c>
      <c r="Q1" s="2" t="s">
        <v>29</v>
      </c>
      <c r="R1" s="2" t="s">
        <v>30</v>
      </c>
      <c r="S1" s="2" t="s">
        <v>31</v>
      </c>
      <c r="T1" s="2" t="s">
        <v>32</v>
      </c>
    </row>
    <row r="2">
      <c r="A2" s="6">
        <v>46111.906016990746</v>
      </c>
      <c r="B2" s="2" t="s">
        <v>33</v>
      </c>
      <c r="C2" s="2" t="s">
        <v>34</v>
      </c>
      <c r="D2" s="2">
        <v>5.709779123E9</v>
      </c>
      <c r="E2" s="2" t="s">
        <v>35</v>
      </c>
      <c r="F2" s="2" t="s">
        <v>35</v>
      </c>
      <c r="G2" s="2" t="s">
        <v>36</v>
      </c>
      <c r="H2" s="2" t="s">
        <v>37</v>
      </c>
      <c r="J2" s="7">
        <v>46119.0</v>
      </c>
      <c r="K2" s="2"/>
      <c r="L2" s="2" t="s">
        <v>38</v>
      </c>
      <c r="M2" s="2">
        <v>533742.0</v>
      </c>
      <c r="N2" s="8">
        <v>114.0</v>
      </c>
      <c r="O2" s="2">
        <v>682647.0</v>
      </c>
    </row>
    <row r="3">
      <c r="A3" s="6">
        <v>46117.55326487268</v>
      </c>
      <c r="B3" s="2" t="s">
        <v>39</v>
      </c>
      <c r="C3" s="2" t="s">
        <v>40</v>
      </c>
      <c r="D3" s="2">
        <v>5.708928147E9</v>
      </c>
      <c r="E3" s="2" t="s">
        <v>41</v>
      </c>
      <c r="F3" s="2" t="s">
        <v>41</v>
      </c>
      <c r="G3" s="2" t="s">
        <v>42</v>
      </c>
      <c r="H3" s="2" t="s">
        <v>37</v>
      </c>
      <c r="J3" s="7">
        <v>46119.0</v>
      </c>
      <c r="L3" s="2" t="s">
        <v>38</v>
      </c>
      <c r="M3" s="2">
        <v>533742.0</v>
      </c>
      <c r="N3" s="8">
        <v>144.35</v>
      </c>
      <c r="O3" s="2">
        <v>682647.0</v>
      </c>
      <c r="P3" s="2" t="s">
        <v>43</v>
      </c>
      <c r="Q3" s="2" t="s">
        <v>43</v>
      </c>
    </row>
    <row r="4">
      <c r="A4" s="6">
        <v>46112.79126465278</v>
      </c>
      <c r="B4" s="2" t="s">
        <v>44</v>
      </c>
      <c r="C4" s="2" t="s">
        <v>45</v>
      </c>
      <c r="D4" s="2" t="s">
        <v>46</v>
      </c>
      <c r="E4" s="2" t="s">
        <v>41</v>
      </c>
      <c r="F4" s="2" t="s">
        <v>41</v>
      </c>
      <c r="G4" s="2" t="s">
        <v>47</v>
      </c>
      <c r="H4" s="2" t="s">
        <v>48</v>
      </c>
      <c r="J4" s="7">
        <v>46119.0</v>
      </c>
      <c r="L4" s="2" t="s">
        <v>38</v>
      </c>
      <c r="M4" s="2">
        <v>533742.0</v>
      </c>
      <c r="N4" s="8">
        <v>51.97</v>
      </c>
      <c r="O4" s="2">
        <v>682647.0</v>
      </c>
      <c r="P4" s="2" t="s">
        <v>43</v>
      </c>
      <c r="Q4" s="2" t="s">
        <v>43</v>
      </c>
    </row>
    <row r="5">
      <c r="A5" s="7">
        <v>46113.0</v>
      </c>
      <c r="B5" s="2"/>
      <c r="C5" s="2" t="s">
        <v>49</v>
      </c>
      <c r="D5" s="2" t="s">
        <v>50</v>
      </c>
      <c r="E5" s="9"/>
      <c r="F5" s="9"/>
      <c r="G5" s="2" t="s">
        <v>51</v>
      </c>
      <c r="H5" s="2" t="s">
        <v>37</v>
      </c>
      <c r="J5" s="7">
        <v>46119.0</v>
      </c>
      <c r="L5" s="2" t="s">
        <v>38</v>
      </c>
      <c r="M5" s="2">
        <v>533742.0</v>
      </c>
      <c r="N5" s="8">
        <v>114.0</v>
      </c>
      <c r="O5" s="2">
        <v>682647.0</v>
      </c>
      <c r="P5" s="2" t="s">
        <v>43</v>
      </c>
      <c r="Q5" s="2" t="s">
        <v>43</v>
      </c>
    </row>
    <row r="6">
      <c r="A6" s="6"/>
      <c r="B6" s="2"/>
      <c r="C6" s="2" t="s">
        <v>53</v>
      </c>
      <c r="D6" s="9"/>
      <c r="E6" s="9"/>
      <c r="F6" s="2" t="s">
        <v>41</v>
      </c>
      <c r="G6" s="2" t="s">
        <v>57</v>
      </c>
      <c r="J6" s="7">
        <v>46119.0</v>
      </c>
      <c r="L6" s="2" t="s">
        <v>38</v>
      </c>
      <c r="M6" s="2">
        <v>533742.0</v>
      </c>
      <c r="N6" s="8">
        <v>8.98</v>
      </c>
      <c r="O6" s="2">
        <v>682647.0</v>
      </c>
      <c r="P6" s="2" t="s">
        <v>59</v>
      </c>
      <c r="Q6" s="2" t="s">
        <v>59</v>
      </c>
    </row>
    <row r="7">
      <c r="A7" s="6"/>
      <c r="B7" s="2"/>
      <c r="C7" s="2" t="s">
        <v>53</v>
      </c>
      <c r="D7" s="9"/>
      <c r="E7" s="9"/>
      <c r="F7" s="2" t="s">
        <v>41</v>
      </c>
      <c r="G7" s="2" t="s">
        <v>61</v>
      </c>
      <c r="J7" s="7">
        <v>46119.0</v>
      </c>
      <c r="L7" s="2" t="s">
        <v>38</v>
      </c>
      <c r="M7" s="2">
        <v>533742.0</v>
      </c>
      <c r="N7" s="8">
        <v>42.47</v>
      </c>
      <c r="O7" s="2">
        <v>682647.0</v>
      </c>
      <c r="P7" s="2" t="s">
        <v>59</v>
      </c>
      <c r="Q7" s="2" t="s">
        <v>59</v>
      </c>
    </row>
    <row r="8">
      <c r="A8" s="6"/>
      <c r="B8" s="2"/>
      <c r="C8" s="2" t="s">
        <v>53</v>
      </c>
      <c r="D8" s="9"/>
      <c r="E8" s="2" t="s">
        <v>64</v>
      </c>
      <c r="F8" s="2" t="s">
        <v>64</v>
      </c>
      <c r="G8" s="2" t="s">
        <v>65</v>
      </c>
      <c r="J8" s="7">
        <v>46119.0</v>
      </c>
      <c r="L8" s="2" t="s">
        <v>38</v>
      </c>
      <c r="M8" s="2">
        <v>533742.0</v>
      </c>
      <c r="N8" s="8">
        <v>156.51</v>
      </c>
      <c r="O8" s="2">
        <v>682647.0</v>
      </c>
      <c r="P8" s="2" t="s">
        <v>59</v>
      </c>
      <c r="Q8" s="2" t="s">
        <v>59</v>
      </c>
    </row>
    <row r="9">
      <c r="A9" s="6"/>
      <c r="B9" s="2"/>
      <c r="C9" s="2" t="s">
        <v>53</v>
      </c>
      <c r="D9" s="9"/>
      <c r="E9" s="9"/>
      <c r="F9" s="9"/>
      <c r="G9" s="2" t="s">
        <v>68</v>
      </c>
      <c r="J9" s="7">
        <v>46119.0</v>
      </c>
      <c r="L9" s="2" t="s">
        <v>69</v>
      </c>
      <c r="M9" s="2">
        <v>5.00330489E8</v>
      </c>
      <c r="N9" s="8">
        <v>0.99</v>
      </c>
      <c r="O9" s="2">
        <v>8.00055784E8</v>
      </c>
      <c r="P9" s="2" t="s">
        <v>59</v>
      </c>
      <c r="Q9" s="2" t="s">
        <v>59</v>
      </c>
    </row>
    <row r="10">
      <c r="A10" s="6"/>
      <c r="B10" s="2"/>
      <c r="C10" s="2" t="s">
        <v>53</v>
      </c>
      <c r="D10" s="9"/>
      <c r="E10" s="9"/>
      <c r="F10" s="9"/>
      <c r="G10" s="2" t="s">
        <v>71</v>
      </c>
      <c r="J10" s="7">
        <v>46119.0</v>
      </c>
      <c r="L10" s="2" t="s">
        <v>69</v>
      </c>
      <c r="M10" s="2">
        <v>5.00330489E8</v>
      </c>
      <c r="N10" s="8">
        <v>0.99</v>
      </c>
      <c r="O10" s="2">
        <v>8.00055784E8</v>
      </c>
      <c r="P10" s="2" t="s">
        <v>59</v>
      </c>
      <c r="Q10" s="2" t="s">
        <v>59</v>
      </c>
    </row>
    <row r="11">
      <c r="A11" s="6"/>
      <c r="B11" s="2"/>
      <c r="C11" s="2" t="s">
        <v>53</v>
      </c>
      <c r="D11" s="9"/>
      <c r="E11" s="9"/>
      <c r="F11" s="9"/>
      <c r="G11" s="2" t="s">
        <v>72</v>
      </c>
      <c r="J11" s="7">
        <v>46119.0</v>
      </c>
      <c r="L11" s="2" t="s">
        <v>69</v>
      </c>
      <c r="M11" s="2">
        <v>5.00330489E8</v>
      </c>
      <c r="N11" s="8">
        <v>0.99</v>
      </c>
      <c r="O11" s="2">
        <v>8.00055784E8</v>
      </c>
      <c r="P11" s="2" t="s">
        <v>59</v>
      </c>
      <c r="Q11" s="2" t="s">
        <v>59</v>
      </c>
    </row>
    <row r="12">
      <c r="A12" s="6"/>
      <c r="B12" s="2"/>
      <c r="C12" s="2" t="s">
        <v>53</v>
      </c>
      <c r="D12" s="9"/>
      <c r="E12" s="9"/>
      <c r="F12" s="9"/>
      <c r="G12" s="2" t="s">
        <v>75</v>
      </c>
      <c r="J12" s="7">
        <v>46119.0</v>
      </c>
      <c r="L12" s="2" t="s">
        <v>69</v>
      </c>
      <c r="M12" s="2">
        <v>5.00330489E8</v>
      </c>
      <c r="N12" s="8">
        <v>0.99</v>
      </c>
      <c r="O12" s="2">
        <v>8.00055784E8</v>
      </c>
      <c r="P12" s="2" t="s">
        <v>59</v>
      </c>
      <c r="Q12" s="2" t="s">
        <v>59</v>
      </c>
    </row>
    <row r="13">
      <c r="A13" s="6"/>
      <c r="B13" s="2"/>
      <c r="C13" s="2" t="s">
        <v>53</v>
      </c>
      <c r="D13" s="9"/>
      <c r="E13" s="9"/>
      <c r="F13" s="9"/>
      <c r="G13" s="2" t="s">
        <v>78</v>
      </c>
      <c r="J13" s="7">
        <v>46119.0</v>
      </c>
      <c r="L13" s="2" t="s">
        <v>69</v>
      </c>
      <c r="M13" s="2">
        <v>5.00330489E8</v>
      </c>
      <c r="N13" s="8">
        <v>0.99</v>
      </c>
      <c r="O13" s="2">
        <v>8.00055784E8</v>
      </c>
      <c r="P13" s="2" t="s">
        <v>59</v>
      </c>
      <c r="Q13" s="2" t="s">
        <v>59</v>
      </c>
    </row>
    <row r="14">
      <c r="A14" s="6"/>
      <c r="B14" s="2"/>
      <c r="C14" s="2" t="s">
        <v>53</v>
      </c>
      <c r="D14" s="9"/>
      <c r="E14" s="9"/>
      <c r="F14" s="9"/>
      <c r="G14" s="2" t="s">
        <v>80</v>
      </c>
      <c r="J14" s="7">
        <v>46119.0</v>
      </c>
      <c r="L14" s="2" t="s">
        <v>69</v>
      </c>
      <c r="M14" s="2">
        <v>5.00330489E8</v>
      </c>
      <c r="N14" s="8">
        <v>0.99</v>
      </c>
      <c r="O14" s="2">
        <v>8.00055784E8</v>
      </c>
      <c r="P14" s="2" t="s">
        <v>59</v>
      </c>
      <c r="Q14" s="2" t="s">
        <v>59</v>
      </c>
    </row>
    <row r="15">
      <c r="A15" s="6"/>
      <c r="B15" s="2"/>
      <c r="C15" s="2" t="s">
        <v>53</v>
      </c>
      <c r="D15" s="9"/>
      <c r="E15" s="9"/>
      <c r="F15" s="9"/>
      <c r="G15" s="2" t="s">
        <v>83</v>
      </c>
      <c r="J15" s="7">
        <v>46119.0</v>
      </c>
      <c r="L15" s="2" t="s">
        <v>69</v>
      </c>
      <c r="M15" s="2">
        <v>5.00330489E8</v>
      </c>
      <c r="N15" s="8">
        <v>0.99</v>
      </c>
      <c r="O15" s="2">
        <v>8.00055784E8</v>
      </c>
      <c r="P15" s="2" t="s">
        <v>59</v>
      </c>
      <c r="Q15" s="2" t="s">
        <v>59</v>
      </c>
    </row>
    <row r="16">
      <c r="A16" s="6"/>
      <c r="B16" s="2"/>
      <c r="C16" s="2" t="s">
        <v>53</v>
      </c>
      <c r="D16" s="9"/>
      <c r="E16" s="9"/>
      <c r="F16" s="9"/>
      <c r="G16" s="2" t="s">
        <v>87</v>
      </c>
      <c r="J16" s="7">
        <v>46119.0</v>
      </c>
      <c r="L16" s="2" t="s">
        <v>69</v>
      </c>
      <c r="M16" s="2">
        <v>5.00330489E8</v>
      </c>
      <c r="N16" s="8">
        <v>0.99</v>
      </c>
      <c r="O16" s="2">
        <v>8.00055784E8</v>
      </c>
      <c r="P16" s="2" t="s">
        <v>59</v>
      </c>
      <c r="Q16" s="2" t="s">
        <v>59</v>
      </c>
    </row>
    <row r="17">
      <c r="A17" s="6"/>
      <c r="B17" s="2"/>
      <c r="C17" s="2" t="s">
        <v>53</v>
      </c>
      <c r="D17" s="9"/>
      <c r="E17" s="9"/>
      <c r="F17" s="9"/>
      <c r="G17" s="2" t="s">
        <v>89</v>
      </c>
      <c r="J17" s="7">
        <v>46119.0</v>
      </c>
      <c r="L17" s="2" t="s">
        <v>69</v>
      </c>
      <c r="M17" s="2">
        <v>5.00330489E8</v>
      </c>
      <c r="N17" s="8">
        <v>3.07</v>
      </c>
      <c r="O17" s="2">
        <v>8.00055784E8</v>
      </c>
      <c r="P17" s="2" t="s">
        <v>59</v>
      </c>
      <c r="Q17" s="2" t="s">
        <v>59</v>
      </c>
    </row>
    <row r="18">
      <c r="A18" s="6"/>
      <c r="B18" s="2"/>
      <c r="C18" s="2" t="s">
        <v>53</v>
      </c>
      <c r="D18" s="9"/>
      <c r="E18" s="9"/>
      <c r="F18" s="9"/>
      <c r="G18" s="2" t="s">
        <v>93</v>
      </c>
      <c r="J18" s="7">
        <v>46119.0</v>
      </c>
      <c r="L18" s="2" t="s">
        <v>69</v>
      </c>
      <c r="M18" s="2">
        <v>5.00330489E8</v>
      </c>
      <c r="N18" s="8">
        <v>0.99</v>
      </c>
      <c r="O18" s="2">
        <v>8.00055784E8</v>
      </c>
      <c r="P18" s="2" t="s">
        <v>59</v>
      </c>
      <c r="Q18" s="2" t="s">
        <v>59</v>
      </c>
    </row>
    <row r="19">
      <c r="A19" s="6"/>
      <c r="B19" s="2"/>
      <c r="C19" s="2" t="s">
        <v>53</v>
      </c>
      <c r="D19" s="9"/>
      <c r="E19" s="9"/>
      <c r="F19" s="9"/>
      <c r="G19" s="2" t="s">
        <v>96</v>
      </c>
      <c r="J19" s="7">
        <v>46119.0</v>
      </c>
      <c r="L19" s="2" t="s">
        <v>69</v>
      </c>
      <c r="M19" s="2">
        <v>5.00330489E8</v>
      </c>
      <c r="N19" s="8">
        <v>0.99</v>
      </c>
      <c r="O19" s="2">
        <v>8.00055784E8</v>
      </c>
      <c r="P19" s="2" t="s">
        <v>59</v>
      </c>
      <c r="Q19" s="2" t="s">
        <v>59</v>
      </c>
    </row>
    <row r="20">
      <c r="A20" s="6"/>
      <c r="B20" s="2"/>
      <c r="C20" s="2" t="s">
        <v>53</v>
      </c>
      <c r="D20" s="9"/>
      <c r="E20" s="9"/>
      <c r="F20" s="9"/>
      <c r="G20" s="2" t="s">
        <v>98</v>
      </c>
      <c r="J20" s="7">
        <v>46119.0</v>
      </c>
      <c r="L20" s="2" t="s">
        <v>69</v>
      </c>
      <c r="M20" s="2">
        <v>5.00330489E8</v>
      </c>
      <c r="N20" s="8">
        <v>0.99</v>
      </c>
      <c r="O20" s="2">
        <v>8.00055784E8</v>
      </c>
      <c r="P20" s="2" t="s">
        <v>59</v>
      </c>
      <c r="Q20" s="2" t="s">
        <v>59</v>
      </c>
    </row>
    <row r="21">
      <c r="A21" s="6"/>
      <c r="B21" s="2"/>
      <c r="C21" s="2" t="s">
        <v>53</v>
      </c>
      <c r="D21" s="2"/>
      <c r="E21" s="2"/>
      <c r="F21" s="2"/>
      <c r="G21" s="2" t="s">
        <v>99</v>
      </c>
      <c r="H21" s="2"/>
      <c r="J21" s="7">
        <v>46119.0</v>
      </c>
      <c r="L21" s="2" t="s">
        <v>69</v>
      </c>
      <c r="M21" s="2">
        <v>5.00330489E8</v>
      </c>
      <c r="N21" s="8">
        <v>9.86</v>
      </c>
      <c r="O21" s="2">
        <v>8.00055784E8</v>
      </c>
      <c r="P21" s="2" t="s">
        <v>59</v>
      </c>
      <c r="Q21" s="2" t="s">
        <v>59</v>
      </c>
    </row>
    <row r="22">
      <c r="A22" s="6"/>
      <c r="B22" s="2"/>
      <c r="C22" s="2" t="s">
        <v>53</v>
      </c>
      <c r="D22" s="9"/>
      <c r="E22" s="2"/>
      <c r="F22" s="2"/>
      <c r="G22" s="2" t="s">
        <v>100</v>
      </c>
      <c r="J22" s="7">
        <v>46119.0</v>
      </c>
      <c r="L22" s="2" t="s">
        <v>69</v>
      </c>
      <c r="M22" s="2">
        <v>5.00330489E8</v>
      </c>
      <c r="N22" s="8">
        <v>7.6</v>
      </c>
      <c r="O22" s="2">
        <v>8.00055784E8</v>
      </c>
      <c r="P22" s="2" t="s">
        <v>59</v>
      </c>
      <c r="Q22" s="2" t="s">
        <v>59</v>
      </c>
    </row>
    <row r="23">
      <c r="A23" s="6"/>
      <c r="B23" s="2"/>
      <c r="C23" s="2" t="s">
        <v>53</v>
      </c>
      <c r="D23" s="9"/>
      <c r="E23" s="2" t="s">
        <v>41</v>
      </c>
      <c r="F23" s="2"/>
      <c r="G23" s="2" t="s">
        <v>102</v>
      </c>
      <c r="J23" s="7">
        <v>46119.0</v>
      </c>
      <c r="L23" s="2" t="s">
        <v>69</v>
      </c>
      <c r="M23" s="2">
        <v>5.00330489E8</v>
      </c>
      <c r="N23" s="8">
        <v>158.82</v>
      </c>
      <c r="O23" s="2">
        <v>8.00055784E8</v>
      </c>
      <c r="P23" s="2" t="s">
        <v>59</v>
      </c>
      <c r="Q23" s="2" t="s">
        <v>59</v>
      </c>
    </row>
    <row r="24">
      <c r="A24" s="6"/>
      <c r="B24" s="2"/>
      <c r="C24" s="2" t="s">
        <v>53</v>
      </c>
      <c r="D24" s="9"/>
      <c r="E24" s="2" t="s">
        <v>64</v>
      </c>
      <c r="F24" s="2" t="s">
        <v>64</v>
      </c>
      <c r="G24" s="2" t="s">
        <v>103</v>
      </c>
      <c r="J24" s="7">
        <v>46122.0</v>
      </c>
      <c r="L24" s="2" t="s">
        <v>69</v>
      </c>
      <c r="M24" s="2">
        <v>5.00332009E8</v>
      </c>
      <c r="N24" s="8">
        <v>152.47</v>
      </c>
      <c r="O24" s="2">
        <v>8.00056067E8</v>
      </c>
      <c r="P24" s="2" t="s">
        <v>59</v>
      </c>
      <c r="Q24" s="2" t="s">
        <v>59</v>
      </c>
    </row>
    <row r="25">
      <c r="A25" s="6">
        <v>46121.76347034722</v>
      </c>
      <c r="B25" s="2" t="s">
        <v>104</v>
      </c>
      <c r="C25" s="2" t="s">
        <v>105</v>
      </c>
      <c r="D25" s="2">
        <v>5.702308042E9</v>
      </c>
      <c r="E25" s="2" t="s">
        <v>35</v>
      </c>
      <c r="F25" s="2" t="s">
        <v>35</v>
      </c>
      <c r="G25" s="2" t="s">
        <v>106</v>
      </c>
      <c r="H25" s="2" t="s">
        <v>37</v>
      </c>
      <c r="J25" s="7">
        <v>46122.0</v>
      </c>
      <c r="L25" s="2" t="s">
        <v>69</v>
      </c>
      <c r="M25" s="2">
        <v>5.00332009E8</v>
      </c>
      <c r="N25" s="8">
        <v>152.47</v>
      </c>
      <c r="O25" s="2">
        <v>8.00056067E8</v>
      </c>
      <c r="P25" s="2" t="s">
        <v>43</v>
      </c>
      <c r="Q25" s="2" t="s">
        <v>43</v>
      </c>
    </row>
    <row r="26">
      <c r="A26" s="6">
        <v>46120.656065347226</v>
      </c>
      <c r="B26" s="2" t="s">
        <v>107</v>
      </c>
      <c r="C26" s="2" t="s">
        <v>108</v>
      </c>
      <c r="D26" s="2" t="s">
        <v>109</v>
      </c>
      <c r="E26" s="2" t="s">
        <v>41</v>
      </c>
      <c r="F26" s="2" t="s">
        <v>41</v>
      </c>
      <c r="G26" s="2" t="s">
        <v>110</v>
      </c>
      <c r="H26" s="2" t="s">
        <v>111</v>
      </c>
      <c r="J26" s="7">
        <v>46122.0</v>
      </c>
      <c r="L26" s="2" t="s">
        <v>69</v>
      </c>
      <c r="M26" s="2">
        <v>5.00332009E8</v>
      </c>
      <c r="N26" s="8">
        <v>158.82</v>
      </c>
      <c r="O26" s="2">
        <v>8.00056067E8</v>
      </c>
      <c r="P26" s="2" t="s">
        <v>43</v>
      </c>
      <c r="Q26" s="2" t="s">
        <v>43</v>
      </c>
    </row>
    <row r="27">
      <c r="A27" s="6">
        <v>46118.76351092593</v>
      </c>
      <c r="B27" s="2"/>
      <c r="C27" s="2" t="s">
        <v>112</v>
      </c>
      <c r="D27" s="2"/>
      <c r="E27" s="2" t="s">
        <v>35</v>
      </c>
      <c r="F27" s="2" t="s">
        <v>35</v>
      </c>
      <c r="G27" s="2" t="s">
        <v>113</v>
      </c>
      <c r="H27" s="2" t="s">
        <v>114</v>
      </c>
      <c r="J27" s="7">
        <v>46122.0</v>
      </c>
      <c r="L27" s="2" t="s">
        <v>38</v>
      </c>
      <c r="M27" s="2">
        <v>534611.0</v>
      </c>
      <c r="N27" s="8">
        <v>60.9</v>
      </c>
      <c r="O27" s="2">
        <v>683834.0</v>
      </c>
      <c r="P27" s="2" t="s">
        <v>43</v>
      </c>
      <c r="Q27" s="2" t="s">
        <v>43</v>
      </c>
    </row>
    <row r="28">
      <c r="A28" s="6"/>
      <c r="B28" s="2"/>
      <c r="C28" s="2" t="s">
        <v>115</v>
      </c>
      <c r="D28" s="2" t="s">
        <v>116</v>
      </c>
      <c r="E28" s="2" t="s">
        <v>41</v>
      </c>
      <c r="F28" s="2" t="s">
        <v>41</v>
      </c>
      <c r="G28" s="2" t="s">
        <v>117</v>
      </c>
      <c r="I28" s="2" t="s">
        <v>118</v>
      </c>
      <c r="J28" s="7">
        <v>46122.0</v>
      </c>
      <c r="L28" s="2" t="s">
        <v>38</v>
      </c>
      <c r="M28" s="2">
        <v>534611.0</v>
      </c>
      <c r="N28" s="8">
        <v>50.11</v>
      </c>
      <c r="O28" s="2">
        <v>683834.0</v>
      </c>
      <c r="P28" s="2" t="s">
        <v>43</v>
      </c>
      <c r="Q28" s="2" t="s">
        <v>43</v>
      </c>
    </row>
    <row r="29">
      <c r="A29" s="6"/>
      <c r="B29" s="2"/>
      <c r="C29" s="2" t="s">
        <v>115</v>
      </c>
      <c r="D29" s="2" t="s">
        <v>116</v>
      </c>
      <c r="E29" s="2" t="s">
        <v>41</v>
      </c>
      <c r="F29" s="2" t="s">
        <v>41</v>
      </c>
      <c r="G29" s="2" t="s">
        <v>119</v>
      </c>
      <c r="I29" s="2" t="s">
        <v>120</v>
      </c>
      <c r="J29" s="7">
        <v>46122.0</v>
      </c>
      <c r="L29" s="2" t="s">
        <v>38</v>
      </c>
      <c r="M29" s="2">
        <v>534611.0</v>
      </c>
      <c r="N29" s="8">
        <v>42.47</v>
      </c>
      <c r="O29" s="2">
        <v>683834.0</v>
      </c>
      <c r="P29" s="2" t="s">
        <v>43</v>
      </c>
      <c r="Q29" s="2" t="s">
        <v>43</v>
      </c>
    </row>
    <row r="30">
      <c r="A30" s="6"/>
      <c r="B30" s="2"/>
      <c r="C30" s="2" t="s">
        <v>53</v>
      </c>
      <c r="D30" s="9"/>
      <c r="E30" s="2" t="s">
        <v>64</v>
      </c>
      <c r="F30" s="2" t="s">
        <v>64</v>
      </c>
      <c r="G30" s="2" t="s">
        <v>122</v>
      </c>
      <c r="J30" s="7">
        <v>46122.0</v>
      </c>
      <c r="L30" s="2" t="s">
        <v>38</v>
      </c>
      <c r="M30" s="2">
        <v>534611.0</v>
      </c>
      <c r="N30" s="8">
        <v>132.15</v>
      </c>
      <c r="O30" s="2">
        <v>683834.0</v>
      </c>
      <c r="P30" s="2" t="s">
        <v>59</v>
      </c>
      <c r="Q30" s="2" t="s">
        <v>59</v>
      </c>
    </row>
    <row r="31">
      <c r="A31" s="6">
        <v>46120.65522226851</v>
      </c>
      <c r="B31" s="2" t="s">
        <v>107</v>
      </c>
      <c r="C31" s="2" t="s">
        <v>123</v>
      </c>
      <c r="D31" s="2" t="s">
        <v>124</v>
      </c>
      <c r="E31" s="2" t="s">
        <v>41</v>
      </c>
      <c r="F31" s="2" t="s">
        <v>41</v>
      </c>
      <c r="G31" s="2" t="s">
        <v>125</v>
      </c>
      <c r="H31" s="2" t="s">
        <v>37</v>
      </c>
      <c r="J31" s="7">
        <v>46122.0</v>
      </c>
      <c r="L31" s="2" t="s">
        <v>38</v>
      </c>
      <c r="M31" s="2">
        <v>534611.0</v>
      </c>
      <c r="N31" s="8">
        <v>113.91</v>
      </c>
      <c r="O31" s="2">
        <v>683834.0</v>
      </c>
      <c r="P31" s="2" t="s">
        <v>43</v>
      </c>
      <c r="Q31" s="2" t="s">
        <v>43</v>
      </c>
      <c r="R31" s="2"/>
      <c r="S31" s="2"/>
      <c r="T31" s="2"/>
    </row>
    <row r="32">
      <c r="A32" s="6"/>
      <c r="B32" s="2"/>
      <c r="C32" s="2" t="s">
        <v>53</v>
      </c>
      <c r="D32" s="9"/>
      <c r="E32" s="2" t="s">
        <v>35</v>
      </c>
      <c r="F32" s="2" t="s">
        <v>35</v>
      </c>
      <c r="G32" s="2" t="s">
        <v>126</v>
      </c>
      <c r="J32" s="7">
        <v>46122.0</v>
      </c>
      <c r="L32" s="2" t="s">
        <v>38</v>
      </c>
      <c r="M32" s="2">
        <v>534611.0</v>
      </c>
      <c r="N32" s="8">
        <v>99.28</v>
      </c>
      <c r="O32" s="2">
        <v>683834.0</v>
      </c>
      <c r="P32" s="2" t="s">
        <v>59</v>
      </c>
      <c r="Q32" s="2" t="s">
        <v>59</v>
      </c>
    </row>
    <row r="33">
      <c r="A33" s="6">
        <v>46121.838101932866</v>
      </c>
      <c r="B33" s="2" t="s">
        <v>128</v>
      </c>
      <c r="C33" s="2" t="s">
        <v>129</v>
      </c>
      <c r="D33" s="2"/>
      <c r="E33" s="2" t="s">
        <v>41</v>
      </c>
      <c r="F33" s="2" t="s">
        <v>41</v>
      </c>
      <c r="G33" s="2" t="s">
        <v>130</v>
      </c>
      <c r="H33" s="2" t="s">
        <v>111</v>
      </c>
      <c r="J33" s="7">
        <v>46122.0</v>
      </c>
      <c r="L33" s="2" t="s">
        <v>38</v>
      </c>
      <c r="M33" s="2">
        <v>534611.0</v>
      </c>
      <c r="N33" s="8">
        <v>99.28</v>
      </c>
      <c r="O33" s="2">
        <v>683834.0</v>
      </c>
      <c r="P33" s="2" t="s">
        <v>43</v>
      </c>
      <c r="Q33" s="2" t="s">
        <v>43</v>
      </c>
    </row>
    <row r="34">
      <c r="A34" s="6">
        <v>46121.850088935185</v>
      </c>
      <c r="B34" s="2"/>
      <c r="C34" s="2" t="s">
        <v>53</v>
      </c>
      <c r="D34" s="2"/>
      <c r="E34" s="2" t="s">
        <v>41</v>
      </c>
      <c r="F34" s="2" t="s">
        <v>41</v>
      </c>
      <c r="G34" s="2" t="s">
        <v>131</v>
      </c>
      <c r="H34" s="2"/>
      <c r="J34" s="7">
        <v>46122.0</v>
      </c>
      <c r="L34" s="2" t="s">
        <v>38</v>
      </c>
      <c r="M34" s="2">
        <v>534611.0</v>
      </c>
      <c r="N34" s="8">
        <v>99.28</v>
      </c>
      <c r="O34" s="2">
        <v>683834.0</v>
      </c>
      <c r="P34" s="2" t="s">
        <v>59</v>
      </c>
      <c r="Q34" s="2" t="s">
        <v>59</v>
      </c>
    </row>
    <row r="35">
      <c r="A35" s="6"/>
      <c r="B35" s="2"/>
      <c r="C35" s="2" t="s">
        <v>53</v>
      </c>
      <c r="D35" s="9"/>
      <c r="E35" s="2" t="s">
        <v>64</v>
      </c>
      <c r="F35" s="2" t="s">
        <v>64</v>
      </c>
      <c r="G35" s="2" t="s">
        <v>132</v>
      </c>
      <c r="I35" s="2"/>
      <c r="J35" s="7">
        <v>46125.0</v>
      </c>
      <c r="L35" s="2" t="s">
        <v>38</v>
      </c>
      <c r="M35" s="2">
        <v>535239.0</v>
      </c>
      <c r="N35" s="8">
        <v>144.35</v>
      </c>
      <c r="O35" s="2"/>
      <c r="P35" s="2" t="s">
        <v>59</v>
      </c>
      <c r="Q35" s="2" t="s">
        <v>59</v>
      </c>
    </row>
    <row r="36">
      <c r="A36" s="6"/>
      <c r="B36" s="2"/>
      <c r="C36" s="2" t="s">
        <v>133</v>
      </c>
      <c r="D36" s="9"/>
      <c r="E36" s="2" t="s">
        <v>35</v>
      </c>
      <c r="F36" s="2" t="s">
        <v>35</v>
      </c>
      <c r="G36" s="2" t="s">
        <v>134</v>
      </c>
      <c r="I36" s="2" t="s">
        <v>135</v>
      </c>
      <c r="J36" s="7">
        <v>46125.0</v>
      </c>
      <c r="L36" s="2" t="s">
        <v>38</v>
      </c>
      <c r="M36" s="2">
        <v>535239.0</v>
      </c>
      <c r="N36" s="8">
        <v>144.35</v>
      </c>
      <c r="O36" s="2" t="s">
        <v>59</v>
      </c>
      <c r="P36" s="2" t="s">
        <v>59</v>
      </c>
      <c r="Q36" s="2" t="s">
        <v>59</v>
      </c>
    </row>
    <row r="37">
      <c r="A37" s="6">
        <v>46112.763265138885</v>
      </c>
      <c r="B37" s="2" t="s">
        <v>136</v>
      </c>
      <c r="C37" s="2" t="s">
        <v>137</v>
      </c>
      <c r="D37" s="2">
        <v>2.019066445E9</v>
      </c>
      <c r="E37" s="2" t="s">
        <v>41</v>
      </c>
      <c r="F37" s="2" t="s">
        <v>41</v>
      </c>
      <c r="G37" s="2" t="s">
        <v>138</v>
      </c>
      <c r="H37" s="2" t="s">
        <v>37</v>
      </c>
      <c r="I37" s="2" t="s">
        <v>135</v>
      </c>
      <c r="J37" s="7">
        <v>46125.0</v>
      </c>
      <c r="L37" s="2" t="s">
        <v>38</v>
      </c>
      <c r="M37" s="2">
        <v>535239.0</v>
      </c>
      <c r="N37" s="8">
        <v>144.35</v>
      </c>
      <c r="O37" s="2" t="s">
        <v>59</v>
      </c>
      <c r="P37" s="2" t="s">
        <v>59</v>
      </c>
      <c r="Q37" s="2" t="s">
        <v>59</v>
      </c>
    </row>
    <row r="38">
      <c r="A38" s="6"/>
      <c r="B38" s="2"/>
      <c r="C38" s="2" t="s">
        <v>140</v>
      </c>
      <c r="D38" s="9"/>
      <c r="E38" s="2" t="s">
        <v>35</v>
      </c>
      <c r="F38" s="2" t="s">
        <v>35</v>
      </c>
      <c r="G38" s="2" t="s">
        <v>141</v>
      </c>
      <c r="J38" s="7">
        <v>46125.0</v>
      </c>
      <c r="L38" s="2" t="s">
        <v>38</v>
      </c>
      <c r="M38" s="2">
        <v>535239.0</v>
      </c>
      <c r="N38" s="8">
        <v>131.43</v>
      </c>
      <c r="O38" s="2"/>
    </row>
    <row r="39">
      <c r="A39" s="6">
        <v>46120.65522226851</v>
      </c>
      <c r="B39" s="2" t="s">
        <v>107</v>
      </c>
      <c r="C39" s="2" t="s">
        <v>123</v>
      </c>
      <c r="D39" s="2" t="s">
        <v>124</v>
      </c>
      <c r="E39" s="2" t="s">
        <v>41</v>
      </c>
      <c r="F39" s="2" t="s">
        <v>41</v>
      </c>
      <c r="G39" s="2" t="s">
        <v>144</v>
      </c>
      <c r="H39" s="2" t="s">
        <v>37</v>
      </c>
      <c r="I39" s="2" t="s">
        <v>145</v>
      </c>
      <c r="J39" s="7">
        <v>46125.0</v>
      </c>
      <c r="L39" s="2" t="s">
        <v>38</v>
      </c>
      <c r="M39" s="2">
        <v>535239.0</v>
      </c>
      <c r="N39" s="8">
        <v>119.99</v>
      </c>
      <c r="O39" s="2" t="s">
        <v>59</v>
      </c>
      <c r="P39" s="2" t="s">
        <v>59</v>
      </c>
      <c r="Q39" s="2" t="s">
        <v>59</v>
      </c>
    </row>
    <row r="40">
      <c r="A40" s="6"/>
      <c r="B40" s="2"/>
      <c r="C40" s="2" t="s">
        <v>115</v>
      </c>
      <c r="D40" s="2" t="s">
        <v>116</v>
      </c>
      <c r="E40" s="2" t="s">
        <v>41</v>
      </c>
      <c r="F40" s="2" t="s">
        <v>41</v>
      </c>
      <c r="G40" s="2" t="s">
        <v>147</v>
      </c>
      <c r="I40" s="2" t="s">
        <v>135</v>
      </c>
      <c r="J40" s="7">
        <v>46125.0</v>
      </c>
      <c r="L40" s="2" t="s">
        <v>38</v>
      </c>
      <c r="M40" s="2">
        <v>535239.0</v>
      </c>
      <c r="N40" s="8">
        <v>17.1</v>
      </c>
      <c r="O40" s="2" t="s">
        <v>59</v>
      </c>
      <c r="P40" s="2" t="s">
        <v>59</v>
      </c>
      <c r="Q40" s="2" t="s">
        <v>59</v>
      </c>
    </row>
    <row r="41">
      <c r="A41" s="6">
        <v>46122.63216324074</v>
      </c>
      <c r="B41" s="2" t="s">
        <v>107</v>
      </c>
      <c r="C41" s="2" t="s">
        <v>148</v>
      </c>
      <c r="D41" s="2" t="s">
        <v>149</v>
      </c>
      <c r="E41" s="2" t="s">
        <v>41</v>
      </c>
      <c r="F41" s="2" t="s">
        <v>41</v>
      </c>
      <c r="G41" s="2" t="s">
        <v>150</v>
      </c>
      <c r="H41" s="2" t="s">
        <v>111</v>
      </c>
      <c r="J41" s="7">
        <v>46125.0</v>
      </c>
      <c r="L41" s="2" t="s">
        <v>38</v>
      </c>
      <c r="M41" s="2">
        <v>535239.0</v>
      </c>
      <c r="N41" s="8">
        <v>132.15</v>
      </c>
      <c r="O41" s="2">
        <v>684645.0</v>
      </c>
      <c r="P41" s="2" t="s">
        <v>43</v>
      </c>
      <c r="Q41" s="2" t="s">
        <v>43</v>
      </c>
    </row>
    <row r="42">
      <c r="A42" s="6">
        <v>46122.63457658565</v>
      </c>
      <c r="B42" s="2" t="s">
        <v>107</v>
      </c>
      <c r="C42" s="2" t="s">
        <v>53</v>
      </c>
      <c r="D42" s="2"/>
      <c r="E42" s="2" t="s">
        <v>41</v>
      </c>
      <c r="F42" s="2" t="s">
        <v>41</v>
      </c>
      <c r="G42" s="2" t="s">
        <v>151</v>
      </c>
      <c r="H42" s="2"/>
      <c r="J42" s="7">
        <v>46125.0</v>
      </c>
      <c r="L42" s="2" t="s">
        <v>38</v>
      </c>
      <c r="M42" s="2">
        <v>535239.0</v>
      </c>
      <c r="N42" s="8">
        <v>113.91</v>
      </c>
      <c r="O42" s="2">
        <v>684645.0</v>
      </c>
      <c r="P42" s="2" t="s">
        <v>43</v>
      </c>
      <c r="Q42" s="2" t="s">
        <v>43</v>
      </c>
    </row>
    <row r="43">
      <c r="A43" s="6">
        <v>46122.6369191088</v>
      </c>
      <c r="B43" s="2" t="s">
        <v>107</v>
      </c>
      <c r="C43" s="2" t="s">
        <v>152</v>
      </c>
      <c r="D43" s="2" t="s">
        <v>153</v>
      </c>
      <c r="E43" s="2" t="s">
        <v>41</v>
      </c>
      <c r="F43" s="2" t="s">
        <v>41</v>
      </c>
      <c r="G43" s="2" t="s">
        <v>154</v>
      </c>
      <c r="H43" s="2" t="s">
        <v>111</v>
      </c>
      <c r="J43" s="7">
        <v>46125.0</v>
      </c>
      <c r="L43" s="2" t="s">
        <v>38</v>
      </c>
      <c r="M43" s="2">
        <v>535239.0</v>
      </c>
      <c r="N43" s="8">
        <v>96.62</v>
      </c>
      <c r="O43" s="2">
        <v>684645.0</v>
      </c>
      <c r="P43" s="2" t="s">
        <v>43</v>
      </c>
      <c r="Q43" s="2" t="s">
        <v>43</v>
      </c>
    </row>
    <row r="44">
      <c r="A44" s="6">
        <v>46122.80169918982</v>
      </c>
      <c r="B44" s="2" t="s">
        <v>156</v>
      </c>
      <c r="C44" s="2" t="s">
        <v>157</v>
      </c>
      <c r="D44" s="2">
        <v>5.70280929E9</v>
      </c>
      <c r="E44" s="2" t="s">
        <v>35</v>
      </c>
      <c r="F44" s="2" t="s">
        <v>35</v>
      </c>
      <c r="G44" s="2" t="s">
        <v>158</v>
      </c>
      <c r="H44" s="2" t="s">
        <v>37</v>
      </c>
      <c r="J44" s="7">
        <v>46125.0</v>
      </c>
      <c r="L44" s="2" t="s">
        <v>38</v>
      </c>
      <c r="M44" s="2">
        <v>535239.0</v>
      </c>
      <c r="N44" s="8">
        <v>160.17</v>
      </c>
      <c r="O44" s="2">
        <v>684645.0</v>
      </c>
    </row>
    <row r="45">
      <c r="A45" s="6"/>
      <c r="B45" s="2"/>
      <c r="C45" s="2" t="s">
        <v>53</v>
      </c>
      <c r="D45" s="2"/>
      <c r="E45" s="2"/>
      <c r="F45" s="2"/>
      <c r="G45" s="2" t="s">
        <v>159</v>
      </c>
      <c r="H45" s="2"/>
      <c r="J45" s="7">
        <v>46125.0</v>
      </c>
      <c r="L45" s="2" t="s">
        <v>38</v>
      </c>
      <c r="M45" s="2">
        <v>535239.0</v>
      </c>
      <c r="N45" s="8">
        <v>5.23</v>
      </c>
      <c r="O45" s="2">
        <v>684645.0</v>
      </c>
      <c r="P45" s="2" t="s">
        <v>59</v>
      </c>
      <c r="Q45" s="2" t="s">
        <v>59</v>
      </c>
    </row>
    <row r="46">
      <c r="A46" s="6"/>
      <c r="B46" s="2"/>
      <c r="C46" s="2" t="s">
        <v>160</v>
      </c>
      <c r="D46" s="9"/>
      <c r="E46" s="2" t="s">
        <v>35</v>
      </c>
      <c r="F46" s="2" t="s">
        <v>35</v>
      </c>
      <c r="G46" s="2" t="s">
        <v>161</v>
      </c>
      <c r="J46" s="7">
        <v>46127.0</v>
      </c>
      <c r="L46" s="2" t="s">
        <v>38</v>
      </c>
      <c r="M46" s="2">
        <v>535745.0</v>
      </c>
      <c r="N46" s="8">
        <v>42.47</v>
      </c>
      <c r="O46" s="2">
        <v>685267.0</v>
      </c>
      <c r="P46" s="2" t="s">
        <v>43</v>
      </c>
      <c r="Q46" s="2" t="s">
        <v>43</v>
      </c>
    </row>
    <row r="47">
      <c r="A47" s="6">
        <v>46126.60744236111</v>
      </c>
      <c r="B47" s="2" t="s">
        <v>162</v>
      </c>
      <c r="C47" s="2" t="s">
        <v>163</v>
      </c>
      <c r="D47" s="2" t="s">
        <v>164</v>
      </c>
      <c r="E47" s="2" t="s">
        <v>41</v>
      </c>
      <c r="F47" s="2" t="s">
        <v>41</v>
      </c>
      <c r="G47" s="2" t="s">
        <v>165</v>
      </c>
      <c r="H47" s="2" t="s">
        <v>37</v>
      </c>
      <c r="J47" s="7">
        <v>46127.0</v>
      </c>
      <c r="L47" s="2" t="s">
        <v>38</v>
      </c>
      <c r="M47" s="2">
        <v>535745.0</v>
      </c>
      <c r="N47" s="8">
        <v>156.51</v>
      </c>
      <c r="O47" s="2">
        <v>685267.0</v>
      </c>
      <c r="P47" s="2" t="s">
        <v>43</v>
      </c>
      <c r="Q47" s="2" t="s">
        <v>43</v>
      </c>
    </row>
    <row r="48">
      <c r="A48" s="6"/>
      <c r="B48" s="2"/>
      <c r="C48" s="2" t="s">
        <v>53</v>
      </c>
      <c r="D48" s="2"/>
      <c r="E48" s="2"/>
      <c r="F48" s="2"/>
      <c r="G48" s="2" t="s">
        <v>166</v>
      </c>
      <c r="H48" s="2"/>
      <c r="J48" s="7">
        <v>46127.0</v>
      </c>
      <c r="L48" s="2" t="s">
        <v>38</v>
      </c>
      <c r="M48" s="2">
        <v>535745.0</v>
      </c>
      <c r="N48" s="8">
        <v>13.3</v>
      </c>
      <c r="O48" s="2">
        <v>685267.0</v>
      </c>
      <c r="P48" s="2" t="s">
        <v>59</v>
      </c>
      <c r="Q48" s="2" t="s">
        <v>59</v>
      </c>
    </row>
    <row r="49">
      <c r="A49" s="6"/>
      <c r="B49" s="2"/>
      <c r="C49" s="2" t="s">
        <v>53</v>
      </c>
      <c r="D49" s="2"/>
      <c r="E49" s="2"/>
      <c r="F49" s="2"/>
      <c r="G49" s="2" t="s">
        <v>167</v>
      </c>
      <c r="H49" s="2"/>
      <c r="J49" s="7">
        <v>46127.0</v>
      </c>
      <c r="L49" s="2" t="s">
        <v>38</v>
      </c>
      <c r="M49" s="2">
        <v>535745.0</v>
      </c>
      <c r="N49" s="8">
        <v>14.25</v>
      </c>
      <c r="O49" s="2">
        <v>685267.0</v>
      </c>
      <c r="P49" s="2" t="s">
        <v>59</v>
      </c>
      <c r="Q49" s="2" t="s">
        <v>59</v>
      </c>
    </row>
    <row r="50">
      <c r="A50" s="6"/>
      <c r="B50" s="2"/>
      <c r="C50" s="2" t="s">
        <v>53</v>
      </c>
      <c r="D50" s="2"/>
      <c r="E50" s="2"/>
      <c r="F50" s="2"/>
      <c r="G50" s="2" t="s">
        <v>168</v>
      </c>
      <c r="H50" s="2"/>
      <c r="J50" s="7">
        <v>46127.0</v>
      </c>
      <c r="L50" s="2" t="s">
        <v>38</v>
      </c>
      <c r="M50" s="2">
        <v>535745.0</v>
      </c>
      <c r="N50" s="8">
        <v>13.3</v>
      </c>
      <c r="O50" s="2">
        <v>685267.0</v>
      </c>
      <c r="P50" s="2" t="s">
        <v>59</v>
      </c>
      <c r="Q50" s="2" t="s">
        <v>59</v>
      </c>
    </row>
    <row r="51">
      <c r="A51" s="6">
        <v>46126.84992068287</v>
      </c>
      <c r="B51" s="2"/>
      <c r="C51" s="2" t="s">
        <v>53</v>
      </c>
      <c r="D51" s="2">
        <v>5.708990219E9</v>
      </c>
      <c r="E51" s="2" t="s">
        <v>169</v>
      </c>
      <c r="F51" s="2" t="s">
        <v>169</v>
      </c>
      <c r="G51" s="2" t="s">
        <v>170</v>
      </c>
      <c r="H51" s="2"/>
      <c r="J51" s="7">
        <v>46127.0</v>
      </c>
      <c r="L51" s="2" t="s">
        <v>38</v>
      </c>
      <c r="M51" s="2">
        <v>535745.0</v>
      </c>
      <c r="N51" s="8">
        <v>132.15</v>
      </c>
      <c r="O51" s="2">
        <v>685267.0</v>
      </c>
      <c r="P51" s="2" t="s">
        <v>43</v>
      </c>
      <c r="Q51" s="2" t="s">
        <v>43</v>
      </c>
    </row>
    <row r="52">
      <c r="A52" s="6">
        <v>46124.78799766204</v>
      </c>
      <c r="B52" s="2" t="s">
        <v>172</v>
      </c>
      <c r="C52" s="2" t="s">
        <v>173</v>
      </c>
      <c r="D52" s="2" t="s">
        <v>174</v>
      </c>
      <c r="E52" s="2" t="s">
        <v>41</v>
      </c>
      <c r="F52" s="2" t="s">
        <v>41</v>
      </c>
      <c r="G52" s="2" t="s">
        <v>175</v>
      </c>
      <c r="H52" s="2" t="s">
        <v>37</v>
      </c>
      <c r="I52" s="2"/>
      <c r="J52" s="7">
        <v>46127.0</v>
      </c>
      <c r="L52" s="2" t="s">
        <v>38</v>
      </c>
      <c r="M52" s="2">
        <v>687291.0</v>
      </c>
      <c r="N52" s="8">
        <v>105.36</v>
      </c>
      <c r="O52" s="2">
        <v>687291.0</v>
      </c>
      <c r="P52" s="2" t="s">
        <v>43</v>
      </c>
      <c r="Q52" s="2" t="s">
        <v>43</v>
      </c>
    </row>
    <row r="53">
      <c r="A53" s="6"/>
      <c r="B53" s="2"/>
      <c r="C53" s="2" t="s">
        <v>53</v>
      </c>
      <c r="D53" s="2"/>
      <c r="E53" s="2"/>
      <c r="F53" s="2"/>
      <c r="G53" s="2" t="s">
        <v>176</v>
      </c>
      <c r="H53" s="2"/>
      <c r="J53" s="7">
        <v>46127.0</v>
      </c>
      <c r="L53" s="2" t="s">
        <v>69</v>
      </c>
      <c r="M53" s="2">
        <v>5.00333697E8</v>
      </c>
      <c r="N53" s="8">
        <v>5.11</v>
      </c>
      <c r="O53" s="2">
        <v>1622486.0</v>
      </c>
      <c r="P53" s="2" t="s">
        <v>59</v>
      </c>
      <c r="Q53" s="2" t="s">
        <v>59</v>
      </c>
    </row>
    <row r="54">
      <c r="A54" s="6"/>
      <c r="B54" s="2"/>
      <c r="C54" s="2" t="s">
        <v>160</v>
      </c>
      <c r="D54" s="2" t="s">
        <v>177</v>
      </c>
      <c r="E54" s="2" t="s">
        <v>35</v>
      </c>
      <c r="F54" s="2" t="s">
        <v>35</v>
      </c>
      <c r="G54" s="2" t="s">
        <v>178</v>
      </c>
      <c r="H54" s="2" t="s">
        <v>179</v>
      </c>
      <c r="J54" s="7">
        <v>46127.0</v>
      </c>
      <c r="L54" s="2" t="s">
        <v>69</v>
      </c>
      <c r="M54" s="2">
        <v>5.00333697E8</v>
      </c>
      <c r="N54" s="8">
        <v>71.94</v>
      </c>
      <c r="O54" s="2">
        <v>1622486.0</v>
      </c>
      <c r="P54" s="2" t="s">
        <v>43</v>
      </c>
      <c r="Q54" s="2" t="s">
        <v>43</v>
      </c>
    </row>
    <row r="55">
      <c r="A55" s="6"/>
      <c r="B55" s="2"/>
      <c r="C55" s="2" t="s">
        <v>115</v>
      </c>
      <c r="D55" s="2" t="s">
        <v>116</v>
      </c>
      <c r="E55" s="2" t="s">
        <v>41</v>
      </c>
      <c r="F55" s="2" t="s">
        <v>41</v>
      </c>
      <c r="G55" s="2" t="s">
        <v>147</v>
      </c>
      <c r="H55" s="2"/>
      <c r="J55" s="7">
        <v>46127.0</v>
      </c>
      <c r="L55" s="2" t="s">
        <v>69</v>
      </c>
      <c r="M55" s="2">
        <v>5.00333697E8</v>
      </c>
      <c r="N55" s="8">
        <v>16.88</v>
      </c>
      <c r="O55" s="2">
        <v>1622486.0</v>
      </c>
      <c r="P55" s="2" t="s">
        <v>43</v>
      </c>
      <c r="Q55" s="2" t="s">
        <v>43</v>
      </c>
    </row>
    <row r="56">
      <c r="A56" s="6"/>
      <c r="B56" s="2"/>
      <c r="C56" s="2" t="s">
        <v>53</v>
      </c>
      <c r="D56" s="9"/>
      <c r="E56" s="2"/>
      <c r="F56" s="2"/>
      <c r="G56" s="2" t="s">
        <v>180</v>
      </c>
      <c r="J56" s="7">
        <v>46127.0</v>
      </c>
      <c r="L56" s="2" t="s">
        <v>69</v>
      </c>
      <c r="M56" s="2">
        <v>5.00333697E8</v>
      </c>
      <c r="N56" s="8">
        <v>9.06</v>
      </c>
      <c r="O56" s="2">
        <v>1622486.0</v>
      </c>
      <c r="P56" s="2" t="s">
        <v>59</v>
      </c>
      <c r="Q56" s="2" t="s">
        <v>59</v>
      </c>
    </row>
    <row r="57">
      <c r="A57" s="6"/>
      <c r="B57" s="2"/>
      <c r="C57" s="2" t="s">
        <v>53</v>
      </c>
      <c r="D57" s="9"/>
      <c r="E57" s="2"/>
      <c r="F57" s="2"/>
      <c r="G57" s="2" t="s">
        <v>182</v>
      </c>
      <c r="J57" s="7">
        <v>46127.0</v>
      </c>
      <c r="L57" s="2" t="s">
        <v>69</v>
      </c>
      <c r="M57" s="2">
        <v>5.00333697E8</v>
      </c>
      <c r="N57" s="8">
        <v>14.58</v>
      </c>
      <c r="O57" s="2">
        <v>1622486.0</v>
      </c>
      <c r="P57" s="2" t="s">
        <v>59</v>
      </c>
      <c r="Q57" s="2" t="s">
        <v>59</v>
      </c>
    </row>
    <row r="58">
      <c r="A58" s="6"/>
      <c r="B58" s="2"/>
      <c r="C58" s="2" t="s">
        <v>53</v>
      </c>
      <c r="D58" s="9"/>
      <c r="E58" s="2"/>
      <c r="F58" s="2"/>
      <c r="G58" s="2" t="s">
        <v>183</v>
      </c>
      <c r="J58" s="7">
        <v>46127.0</v>
      </c>
      <c r="L58" s="2" t="s">
        <v>69</v>
      </c>
      <c r="M58" s="2">
        <v>5.00333697E8</v>
      </c>
      <c r="N58" s="8">
        <v>14.58</v>
      </c>
      <c r="O58" s="2">
        <v>1622486.0</v>
      </c>
      <c r="P58" s="2" t="s">
        <v>59</v>
      </c>
      <c r="Q58" s="2" t="s">
        <v>59</v>
      </c>
    </row>
    <row r="59">
      <c r="A59" s="6"/>
      <c r="B59" s="2"/>
      <c r="C59" s="2" t="s">
        <v>53</v>
      </c>
      <c r="D59" s="9"/>
      <c r="E59" s="2" t="s">
        <v>41</v>
      </c>
      <c r="F59" s="2" t="s">
        <v>41</v>
      </c>
      <c r="G59" s="2" t="s">
        <v>185</v>
      </c>
      <c r="J59" s="7">
        <v>46127.0</v>
      </c>
      <c r="L59" s="2" t="s">
        <v>69</v>
      </c>
      <c r="M59" s="2">
        <v>5.00333697E8</v>
      </c>
      <c r="N59" s="8">
        <v>14.58</v>
      </c>
      <c r="O59" s="2">
        <v>1622486.0</v>
      </c>
      <c r="P59" s="2" t="s">
        <v>59</v>
      </c>
      <c r="Q59" s="2" t="s">
        <v>59</v>
      </c>
    </row>
    <row r="60">
      <c r="A60" s="6"/>
      <c r="B60" s="2"/>
      <c r="C60" s="2" t="s">
        <v>53</v>
      </c>
      <c r="D60" s="9"/>
      <c r="E60" s="9"/>
      <c r="F60" s="9"/>
      <c r="G60" s="2" t="s">
        <v>186</v>
      </c>
      <c r="J60" s="7">
        <v>46127.0</v>
      </c>
      <c r="L60" s="2" t="s">
        <v>69</v>
      </c>
      <c r="M60" s="2">
        <v>5.00333697E8</v>
      </c>
      <c r="N60" s="8">
        <v>14.58</v>
      </c>
      <c r="O60" s="2">
        <v>1622486.0</v>
      </c>
      <c r="P60" s="2" t="s">
        <v>59</v>
      </c>
      <c r="Q60" s="2" t="s">
        <v>59</v>
      </c>
    </row>
    <row r="61">
      <c r="A61" s="6"/>
      <c r="B61" s="2"/>
      <c r="C61" s="2" t="s">
        <v>53</v>
      </c>
      <c r="D61" s="9"/>
      <c r="E61" s="9"/>
      <c r="F61" s="9"/>
      <c r="G61" s="2" t="s">
        <v>187</v>
      </c>
      <c r="J61" s="7">
        <v>46127.0</v>
      </c>
      <c r="L61" s="2" t="s">
        <v>69</v>
      </c>
      <c r="M61" s="2">
        <v>5.00333697E8</v>
      </c>
      <c r="N61" s="8">
        <v>14.58</v>
      </c>
      <c r="O61" s="2">
        <v>1622486.0</v>
      </c>
      <c r="P61" s="2" t="s">
        <v>59</v>
      </c>
      <c r="Q61" s="2" t="s">
        <v>59</v>
      </c>
    </row>
    <row r="62">
      <c r="A62" s="6"/>
      <c r="B62" s="2"/>
      <c r="C62" s="2" t="s">
        <v>53</v>
      </c>
      <c r="D62" s="9"/>
      <c r="E62" s="9"/>
      <c r="F62" s="9"/>
      <c r="G62" s="2" t="s">
        <v>188</v>
      </c>
      <c r="J62" s="7">
        <v>46127.0</v>
      </c>
      <c r="L62" s="2" t="s">
        <v>69</v>
      </c>
      <c r="M62" s="2">
        <v>5.00333697E8</v>
      </c>
      <c r="N62" s="8">
        <v>0.99</v>
      </c>
      <c r="O62" s="2">
        <v>1622486.0</v>
      </c>
      <c r="P62" s="2" t="s">
        <v>59</v>
      </c>
      <c r="Q62" s="2" t="s">
        <v>59</v>
      </c>
    </row>
    <row r="63">
      <c r="A63" s="6"/>
      <c r="B63" s="2"/>
      <c r="C63" s="2" t="s">
        <v>53</v>
      </c>
      <c r="D63" s="9"/>
      <c r="E63" s="9"/>
      <c r="F63" s="9"/>
      <c r="G63" s="2" t="s">
        <v>189</v>
      </c>
      <c r="J63" s="7">
        <v>46127.0</v>
      </c>
      <c r="L63" s="2" t="s">
        <v>69</v>
      </c>
      <c r="M63" s="2">
        <v>5.00333697E8</v>
      </c>
      <c r="N63" s="8">
        <v>0.99</v>
      </c>
      <c r="O63" s="2">
        <v>1622486.0</v>
      </c>
      <c r="P63" s="2" t="s">
        <v>59</v>
      </c>
      <c r="Q63" s="2" t="s">
        <v>59</v>
      </c>
    </row>
    <row r="64">
      <c r="A64" s="6"/>
      <c r="B64" s="2"/>
      <c r="C64" s="2" t="s">
        <v>53</v>
      </c>
      <c r="D64" s="9"/>
      <c r="E64" s="9"/>
      <c r="F64" s="9"/>
      <c r="G64" s="2" t="s">
        <v>190</v>
      </c>
      <c r="J64" s="7">
        <v>46127.0</v>
      </c>
      <c r="L64" s="2" t="s">
        <v>69</v>
      </c>
      <c r="M64" s="2">
        <v>5.00333697E8</v>
      </c>
      <c r="N64" s="8">
        <v>0.99</v>
      </c>
      <c r="O64" s="2">
        <v>1622486.0</v>
      </c>
      <c r="P64" s="2" t="s">
        <v>59</v>
      </c>
      <c r="Q64" s="2" t="s">
        <v>59</v>
      </c>
    </row>
    <row r="65">
      <c r="A65" s="6"/>
      <c r="B65" s="2"/>
      <c r="C65" s="2" t="s">
        <v>53</v>
      </c>
      <c r="D65" s="9"/>
      <c r="E65" s="9"/>
      <c r="F65" s="9"/>
      <c r="G65" s="2" t="s">
        <v>191</v>
      </c>
      <c r="J65" s="7">
        <v>46127.0</v>
      </c>
      <c r="L65" s="2" t="s">
        <v>69</v>
      </c>
      <c r="M65" s="2">
        <v>5.00333697E8</v>
      </c>
      <c r="N65" s="8">
        <v>0.99</v>
      </c>
      <c r="O65" s="2">
        <v>1622486.0</v>
      </c>
      <c r="P65" s="2" t="s">
        <v>59</v>
      </c>
      <c r="Q65" s="2" t="s">
        <v>59</v>
      </c>
    </row>
    <row r="66">
      <c r="A66" s="6"/>
      <c r="B66" s="2"/>
      <c r="C66" s="2" t="s">
        <v>53</v>
      </c>
      <c r="D66" s="9"/>
      <c r="E66" s="9"/>
      <c r="F66" s="9"/>
      <c r="G66" s="2" t="s">
        <v>192</v>
      </c>
      <c r="J66" s="7">
        <v>46127.0</v>
      </c>
      <c r="L66" s="2" t="s">
        <v>69</v>
      </c>
      <c r="M66" s="2">
        <v>5.00333697E8</v>
      </c>
      <c r="N66" s="8">
        <v>0.99</v>
      </c>
      <c r="O66" s="2">
        <v>1622486.0</v>
      </c>
      <c r="P66" s="2" t="s">
        <v>59</v>
      </c>
      <c r="Q66" s="2" t="s">
        <v>59</v>
      </c>
    </row>
    <row r="67">
      <c r="A67" s="6"/>
      <c r="B67" s="2"/>
      <c r="C67" s="2" t="s">
        <v>53</v>
      </c>
      <c r="D67" s="9"/>
      <c r="E67" s="9"/>
      <c r="F67" s="9"/>
      <c r="G67" s="2" t="s">
        <v>194</v>
      </c>
      <c r="J67" s="7">
        <v>46127.0</v>
      </c>
      <c r="L67" s="2" t="s">
        <v>69</v>
      </c>
      <c r="M67" s="2">
        <v>5.00333697E8</v>
      </c>
      <c r="N67" s="8">
        <v>0.99</v>
      </c>
      <c r="O67" s="2">
        <v>1622486.0</v>
      </c>
      <c r="P67" s="2" t="s">
        <v>59</v>
      </c>
      <c r="Q67" s="2" t="s">
        <v>59</v>
      </c>
    </row>
    <row r="68">
      <c r="A68" s="6"/>
      <c r="B68" s="2"/>
      <c r="C68" s="2" t="s">
        <v>53</v>
      </c>
      <c r="D68" s="9"/>
      <c r="E68" s="9"/>
      <c r="F68" s="9"/>
      <c r="G68" s="2" t="s">
        <v>195</v>
      </c>
      <c r="J68" s="7">
        <v>46127.0</v>
      </c>
      <c r="L68" s="2" t="s">
        <v>69</v>
      </c>
      <c r="M68" s="2">
        <v>5.00333697E8</v>
      </c>
      <c r="N68" s="8">
        <v>0.99</v>
      </c>
      <c r="O68" s="2">
        <v>1622486.0</v>
      </c>
      <c r="P68" s="2" t="s">
        <v>59</v>
      </c>
      <c r="Q68" s="2" t="s">
        <v>59</v>
      </c>
    </row>
    <row r="69">
      <c r="A69" s="6"/>
      <c r="B69" s="2"/>
      <c r="C69" s="2" t="s">
        <v>53</v>
      </c>
      <c r="D69" s="9"/>
      <c r="E69" s="9"/>
      <c r="F69" s="9"/>
      <c r="G69" s="2" t="s">
        <v>196</v>
      </c>
      <c r="J69" s="7">
        <v>46127.0</v>
      </c>
      <c r="L69" s="2" t="s">
        <v>69</v>
      </c>
      <c r="M69" s="2">
        <v>5.00333697E8</v>
      </c>
      <c r="N69" s="8">
        <v>0.99</v>
      </c>
      <c r="O69" s="2">
        <v>1622486.0</v>
      </c>
      <c r="P69" s="2" t="s">
        <v>59</v>
      </c>
      <c r="Q69" s="2" t="s">
        <v>59</v>
      </c>
    </row>
    <row r="70">
      <c r="A70" s="6"/>
      <c r="B70" s="2"/>
      <c r="C70" s="2" t="s">
        <v>53</v>
      </c>
      <c r="D70" s="9"/>
      <c r="E70" s="9"/>
      <c r="F70" s="9"/>
      <c r="G70" s="2" t="s">
        <v>197</v>
      </c>
      <c r="J70" s="7">
        <v>46127.0</v>
      </c>
      <c r="L70" s="2" t="s">
        <v>69</v>
      </c>
      <c r="M70" s="2">
        <v>5.00333697E8</v>
      </c>
      <c r="N70" s="8">
        <v>0.99</v>
      </c>
      <c r="O70" s="2">
        <v>1622486.0</v>
      </c>
      <c r="P70" s="2" t="s">
        <v>59</v>
      </c>
      <c r="Q70" s="2" t="s">
        <v>59</v>
      </c>
    </row>
    <row r="71">
      <c r="A71" s="6"/>
      <c r="B71" s="2"/>
      <c r="C71" s="2" t="s">
        <v>53</v>
      </c>
      <c r="D71" s="9"/>
      <c r="E71" s="9"/>
      <c r="F71" s="9"/>
      <c r="G71" s="2" t="s">
        <v>198</v>
      </c>
      <c r="J71" s="7">
        <v>46127.0</v>
      </c>
      <c r="L71" s="2" t="s">
        <v>69</v>
      </c>
      <c r="M71" s="2">
        <v>5.00333697E8</v>
      </c>
      <c r="N71" s="8">
        <v>0.99</v>
      </c>
      <c r="O71" s="2">
        <v>1622486.0</v>
      </c>
      <c r="P71" s="2" t="s">
        <v>59</v>
      </c>
      <c r="Q71" s="2" t="s">
        <v>59</v>
      </c>
    </row>
    <row r="72">
      <c r="A72" s="6">
        <v>46127.80614959491</v>
      </c>
      <c r="B72" s="2" t="s">
        <v>107</v>
      </c>
      <c r="C72" s="2" t="s">
        <v>199</v>
      </c>
      <c r="D72" s="2" t="s">
        <v>200</v>
      </c>
      <c r="E72" s="2" t="s">
        <v>35</v>
      </c>
      <c r="F72" s="2" t="s">
        <v>35</v>
      </c>
      <c r="G72" s="2" t="s">
        <v>201</v>
      </c>
      <c r="J72" s="7">
        <v>46128.0</v>
      </c>
      <c r="L72" s="2" t="s">
        <v>38</v>
      </c>
      <c r="M72" s="2">
        <v>535977.0</v>
      </c>
      <c r="N72" s="8">
        <v>80.75</v>
      </c>
      <c r="O72" s="2">
        <v>685506.0</v>
      </c>
      <c r="P72" s="2" t="s">
        <v>43</v>
      </c>
      <c r="Q72" s="2" t="s">
        <v>43</v>
      </c>
    </row>
    <row r="73">
      <c r="A73" s="6"/>
      <c r="B73" s="2"/>
      <c r="C73" s="2" t="s">
        <v>202</v>
      </c>
      <c r="D73" s="9"/>
      <c r="E73" s="2" t="s">
        <v>35</v>
      </c>
      <c r="F73" s="2" t="s">
        <v>35</v>
      </c>
      <c r="G73" s="2" t="s">
        <v>51</v>
      </c>
      <c r="J73" s="7">
        <v>46128.0</v>
      </c>
      <c r="L73" s="2" t="s">
        <v>38</v>
      </c>
      <c r="M73" s="2">
        <v>535977.0</v>
      </c>
      <c r="N73" s="8">
        <v>114.0</v>
      </c>
      <c r="O73" s="2">
        <v>685506.0</v>
      </c>
      <c r="P73" s="2" t="s">
        <v>43</v>
      </c>
      <c r="Q73" s="2" t="s">
        <v>43</v>
      </c>
    </row>
    <row r="74">
      <c r="A74" s="6"/>
      <c r="B74" s="2"/>
      <c r="C74" s="2" t="s">
        <v>76</v>
      </c>
      <c r="D74" s="9"/>
      <c r="E74" s="9"/>
      <c r="F74" s="9"/>
      <c r="G74" s="2" t="s">
        <v>204</v>
      </c>
      <c r="J74" s="7">
        <v>46128.0</v>
      </c>
      <c r="L74" s="2" t="s">
        <v>38</v>
      </c>
      <c r="M74" s="2">
        <v>535977.0</v>
      </c>
      <c r="N74" s="8">
        <v>160.17</v>
      </c>
      <c r="O74" s="2">
        <v>685506.0</v>
      </c>
      <c r="P74" s="2" t="s">
        <v>59</v>
      </c>
      <c r="Q74" s="2" t="s">
        <v>59</v>
      </c>
    </row>
    <row r="75">
      <c r="A75" s="6"/>
      <c r="B75" s="2"/>
      <c r="C75" s="2" t="s">
        <v>76</v>
      </c>
      <c r="D75" s="9"/>
      <c r="E75" s="9"/>
      <c r="F75" s="9"/>
      <c r="G75" s="2" t="s">
        <v>205</v>
      </c>
      <c r="J75" s="7">
        <v>46128.0</v>
      </c>
      <c r="L75" s="2" t="s">
        <v>38</v>
      </c>
      <c r="M75" s="2">
        <v>535977.0</v>
      </c>
      <c r="N75" s="8">
        <v>160.17</v>
      </c>
      <c r="O75" s="2">
        <v>685506.0</v>
      </c>
      <c r="P75" s="2" t="s">
        <v>59</v>
      </c>
      <c r="Q75" s="2" t="s">
        <v>59</v>
      </c>
    </row>
    <row r="76">
      <c r="A76" s="6"/>
      <c r="B76" s="2"/>
      <c r="C76" s="2" t="s">
        <v>76</v>
      </c>
      <c r="D76" s="9"/>
      <c r="E76" s="9"/>
      <c r="F76" s="9"/>
      <c r="G76" s="2" t="s">
        <v>206</v>
      </c>
      <c r="J76" s="7">
        <v>46128.0</v>
      </c>
      <c r="L76" s="2" t="s">
        <v>38</v>
      </c>
      <c r="M76" s="2">
        <v>535977.0</v>
      </c>
      <c r="N76" s="8">
        <v>122.41</v>
      </c>
      <c r="O76" s="2">
        <v>685506.0</v>
      </c>
      <c r="P76" s="2" t="s">
        <v>59</v>
      </c>
      <c r="Q76" s="2" t="s">
        <v>59</v>
      </c>
    </row>
    <row r="77">
      <c r="A77" s="2"/>
      <c r="B77" s="2"/>
      <c r="C77" s="2" t="s">
        <v>53</v>
      </c>
      <c r="D77" s="9"/>
      <c r="E77" s="2"/>
      <c r="F77" s="2"/>
      <c r="G77" s="2" t="s">
        <v>207</v>
      </c>
      <c r="I77" s="2" t="s">
        <v>208</v>
      </c>
      <c r="J77" s="7">
        <v>46174.0</v>
      </c>
      <c r="L77" s="2" t="s">
        <v>38</v>
      </c>
      <c r="M77" s="2">
        <v>536133.0</v>
      </c>
      <c r="N77" s="8">
        <v>140.0</v>
      </c>
      <c r="O77" s="2">
        <v>685683.0</v>
      </c>
      <c r="P77" s="2" t="s">
        <v>59</v>
      </c>
      <c r="Q77" s="2" t="s">
        <v>59</v>
      </c>
    </row>
    <row r="78">
      <c r="A78" s="6"/>
      <c r="B78" s="2"/>
      <c r="C78" s="2" t="s">
        <v>53</v>
      </c>
      <c r="D78" s="2"/>
      <c r="E78" s="2"/>
      <c r="F78" s="2"/>
      <c r="G78" s="2" t="s">
        <v>209</v>
      </c>
      <c r="H78" s="2"/>
      <c r="I78" s="2" t="s">
        <v>208</v>
      </c>
      <c r="J78" s="7">
        <v>46174.0</v>
      </c>
      <c r="L78" s="2" t="s">
        <v>38</v>
      </c>
      <c r="M78" s="2">
        <v>536133.0</v>
      </c>
      <c r="N78" s="8">
        <v>72.0</v>
      </c>
      <c r="O78" s="2">
        <v>685683.0</v>
      </c>
      <c r="P78" s="2" t="s">
        <v>59</v>
      </c>
      <c r="Q78" s="2" t="s">
        <v>59</v>
      </c>
    </row>
    <row r="79">
      <c r="A79" s="6"/>
      <c r="B79" s="2"/>
      <c r="C79" s="2" t="s">
        <v>53</v>
      </c>
      <c r="D79" s="2"/>
      <c r="E79" s="2"/>
      <c r="F79" s="2"/>
      <c r="G79" s="2" t="s">
        <v>210</v>
      </c>
      <c r="H79" s="2"/>
      <c r="I79" s="2" t="s">
        <v>208</v>
      </c>
      <c r="J79" s="7">
        <v>46174.0</v>
      </c>
      <c r="L79" s="2" t="s">
        <v>38</v>
      </c>
      <c r="M79" s="2">
        <v>536133.0</v>
      </c>
      <c r="N79" s="8">
        <v>68.4</v>
      </c>
      <c r="O79" s="2">
        <v>692098.0</v>
      </c>
      <c r="P79" s="2" t="s">
        <v>59</v>
      </c>
      <c r="Q79" s="2" t="s">
        <v>59</v>
      </c>
    </row>
    <row r="80">
      <c r="A80" s="6"/>
      <c r="B80" s="2"/>
      <c r="C80" s="2" t="s">
        <v>53</v>
      </c>
      <c r="D80" s="9"/>
      <c r="E80" s="9"/>
      <c r="F80" s="9"/>
      <c r="G80" s="2" t="s">
        <v>212</v>
      </c>
      <c r="H80" s="2"/>
      <c r="I80" s="2" t="s">
        <v>208</v>
      </c>
      <c r="J80" s="7">
        <v>46174.0</v>
      </c>
      <c r="L80" s="2" t="s">
        <v>38</v>
      </c>
      <c r="M80" s="2">
        <v>536133.0</v>
      </c>
      <c r="N80" s="8">
        <v>12.95</v>
      </c>
      <c r="O80" s="2">
        <v>685683.0</v>
      </c>
      <c r="P80" s="2" t="s">
        <v>59</v>
      </c>
      <c r="Q80" s="2" t="s">
        <v>59</v>
      </c>
    </row>
    <row r="81">
      <c r="A81" s="2"/>
      <c r="B81" s="2"/>
      <c r="C81" s="2" t="s">
        <v>53</v>
      </c>
      <c r="D81" s="9"/>
      <c r="E81" s="2"/>
      <c r="F81" s="2"/>
      <c r="G81" s="2" t="s">
        <v>213</v>
      </c>
      <c r="I81" s="2" t="s">
        <v>208</v>
      </c>
      <c r="J81" s="7">
        <v>46174.0</v>
      </c>
      <c r="L81" s="2" t="s">
        <v>38</v>
      </c>
      <c r="M81" s="2">
        <v>532489.0</v>
      </c>
      <c r="N81" s="8">
        <v>104.45</v>
      </c>
      <c r="O81" s="2">
        <v>681150.0</v>
      </c>
      <c r="P81" s="2" t="s">
        <v>59</v>
      </c>
      <c r="Q81" s="2" t="s">
        <v>59</v>
      </c>
    </row>
    <row r="82">
      <c r="A82" s="6"/>
      <c r="B82" s="2"/>
      <c r="C82" s="2" t="s">
        <v>53</v>
      </c>
      <c r="D82" s="2"/>
      <c r="E82" s="2"/>
      <c r="F82" s="2"/>
      <c r="G82" s="2" t="s">
        <v>214</v>
      </c>
      <c r="I82" s="2" t="s">
        <v>208</v>
      </c>
      <c r="J82" s="7">
        <v>46174.0</v>
      </c>
      <c r="L82" s="2" t="s">
        <v>38</v>
      </c>
      <c r="M82" s="2">
        <v>532489.0</v>
      </c>
      <c r="N82" s="8">
        <v>104.45</v>
      </c>
      <c r="O82" s="2">
        <v>681150.0</v>
      </c>
      <c r="P82" s="2" t="s">
        <v>59</v>
      </c>
      <c r="Q82" s="2" t="s">
        <v>59</v>
      </c>
    </row>
    <row r="83">
      <c r="A83" s="6"/>
      <c r="B83" s="2"/>
      <c r="C83" s="2" t="s">
        <v>53</v>
      </c>
      <c r="D83" s="9"/>
      <c r="E83" s="9"/>
      <c r="F83" s="9"/>
      <c r="G83" s="2" t="s">
        <v>215</v>
      </c>
      <c r="I83" s="2" t="s">
        <v>208</v>
      </c>
      <c r="J83" s="7">
        <v>46174.0</v>
      </c>
      <c r="L83" s="2" t="s">
        <v>38</v>
      </c>
      <c r="M83" s="2">
        <v>532489.0</v>
      </c>
      <c r="N83" s="8">
        <v>104.45</v>
      </c>
      <c r="O83" s="2">
        <v>681150.0</v>
      </c>
      <c r="P83" s="2" t="s">
        <v>59</v>
      </c>
      <c r="Q83" s="2" t="s">
        <v>59</v>
      </c>
    </row>
    <row r="84">
      <c r="A84" s="6"/>
      <c r="B84" s="2"/>
      <c r="C84" s="2" t="s">
        <v>53</v>
      </c>
      <c r="D84" s="9"/>
      <c r="E84" s="9"/>
      <c r="F84" s="9"/>
      <c r="G84" s="2" t="s">
        <v>216</v>
      </c>
      <c r="I84" s="2" t="s">
        <v>208</v>
      </c>
      <c r="J84" s="7">
        <v>46174.0</v>
      </c>
      <c r="L84" s="2" t="s">
        <v>38</v>
      </c>
      <c r="M84" s="2">
        <v>532489.0</v>
      </c>
      <c r="N84" s="8">
        <v>104.45</v>
      </c>
      <c r="O84" s="2">
        <v>681150.0</v>
      </c>
      <c r="P84" s="2" t="s">
        <v>59</v>
      </c>
      <c r="Q84" s="2" t="s">
        <v>59</v>
      </c>
    </row>
    <row r="85">
      <c r="A85" s="6"/>
      <c r="B85" s="2"/>
      <c r="C85" s="2" t="s">
        <v>53</v>
      </c>
      <c r="D85" s="9"/>
      <c r="E85" s="9"/>
      <c r="F85" s="9"/>
      <c r="G85" s="2" t="s">
        <v>217</v>
      </c>
      <c r="I85" s="2" t="s">
        <v>208</v>
      </c>
      <c r="J85" s="7">
        <v>46174.0</v>
      </c>
      <c r="L85" s="2" t="s">
        <v>38</v>
      </c>
      <c r="M85" s="2">
        <v>532489.0</v>
      </c>
      <c r="N85" s="8">
        <v>104.45</v>
      </c>
      <c r="O85" s="2">
        <v>681150.0</v>
      </c>
      <c r="P85" s="2" t="s">
        <v>59</v>
      </c>
      <c r="Q85" s="2" t="s">
        <v>59</v>
      </c>
    </row>
    <row r="86">
      <c r="A86" s="6"/>
      <c r="B86" s="2"/>
      <c r="C86" s="2" t="s">
        <v>53</v>
      </c>
      <c r="D86" s="9"/>
      <c r="E86" s="9"/>
      <c r="F86" s="9"/>
      <c r="G86" s="2" t="s">
        <v>220</v>
      </c>
      <c r="I86" s="2" t="s">
        <v>208</v>
      </c>
      <c r="J86" s="7">
        <v>46174.0</v>
      </c>
      <c r="L86" s="2" t="s">
        <v>38</v>
      </c>
      <c r="M86" s="2">
        <v>532489.0</v>
      </c>
      <c r="N86" s="8">
        <v>104.45</v>
      </c>
      <c r="O86" s="2">
        <v>681150.0</v>
      </c>
      <c r="P86" s="2" t="s">
        <v>59</v>
      </c>
      <c r="Q86" s="2" t="s">
        <v>59</v>
      </c>
    </row>
    <row r="87">
      <c r="A87" s="6"/>
      <c r="B87" s="2"/>
      <c r="C87" s="2" t="s">
        <v>53</v>
      </c>
      <c r="D87" s="9"/>
      <c r="E87" s="9"/>
      <c r="F87" s="9"/>
      <c r="G87" s="2" t="s">
        <v>221</v>
      </c>
      <c r="I87" s="2" t="s">
        <v>208</v>
      </c>
      <c r="J87" s="7">
        <v>46174.0</v>
      </c>
      <c r="L87" s="2" t="s">
        <v>38</v>
      </c>
      <c r="M87" s="2">
        <v>532489.0</v>
      </c>
      <c r="N87" s="8">
        <v>104.45</v>
      </c>
      <c r="O87" s="2">
        <v>681150.0</v>
      </c>
      <c r="P87" s="2" t="s">
        <v>59</v>
      </c>
      <c r="Q87" s="2" t="s">
        <v>59</v>
      </c>
    </row>
    <row r="88">
      <c r="A88" s="2"/>
      <c r="B88" s="2"/>
      <c r="C88" s="2" t="s">
        <v>53</v>
      </c>
      <c r="D88" s="9"/>
      <c r="E88" s="2"/>
      <c r="F88" s="2"/>
      <c r="G88" s="2" t="s">
        <v>224</v>
      </c>
      <c r="I88" s="2" t="s">
        <v>208</v>
      </c>
      <c r="J88" s="7">
        <v>46174.0</v>
      </c>
      <c r="L88" s="2" t="s">
        <v>38</v>
      </c>
      <c r="M88" s="2">
        <v>532489.0</v>
      </c>
      <c r="N88" s="8">
        <v>104.45</v>
      </c>
      <c r="O88" s="2">
        <v>681150.0</v>
      </c>
      <c r="P88" s="2" t="s">
        <v>59</v>
      </c>
      <c r="Q88" s="2" t="s">
        <v>59</v>
      </c>
    </row>
    <row r="89">
      <c r="A89" s="6"/>
      <c r="B89" s="2"/>
      <c r="C89" s="2" t="s">
        <v>53</v>
      </c>
      <c r="D89" s="2"/>
      <c r="E89" s="2"/>
      <c r="F89" s="2"/>
      <c r="G89" s="2" t="s">
        <v>226</v>
      </c>
      <c r="I89" s="2" t="s">
        <v>208</v>
      </c>
      <c r="J89" s="7">
        <v>46174.0</v>
      </c>
      <c r="L89" s="2" t="s">
        <v>38</v>
      </c>
      <c r="M89" s="2">
        <v>532489.0</v>
      </c>
      <c r="N89" s="8">
        <v>104.45</v>
      </c>
      <c r="O89" s="2">
        <v>681150.0</v>
      </c>
      <c r="P89" s="2" t="s">
        <v>59</v>
      </c>
      <c r="Q89" s="2" t="s">
        <v>59</v>
      </c>
    </row>
    <row r="90">
      <c r="A90" s="6"/>
      <c r="B90" s="2"/>
      <c r="C90" s="2" t="s">
        <v>53</v>
      </c>
      <c r="D90" s="9"/>
      <c r="E90" s="9"/>
      <c r="F90" s="9"/>
      <c r="G90" s="2" t="s">
        <v>227</v>
      </c>
      <c r="I90" s="2" t="s">
        <v>208</v>
      </c>
      <c r="J90" s="7">
        <v>46174.0</v>
      </c>
      <c r="L90" s="2" t="s">
        <v>38</v>
      </c>
      <c r="M90" s="2">
        <v>532489.0</v>
      </c>
      <c r="N90" s="8">
        <v>104.45</v>
      </c>
      <c r="O90" s="2">
        <v>681150.0</v>
      </c>
      <c r="P90" s="2" t="s">
        <v>59</v>
      </c>
      <c r="Q90" s="2" t="s">
        <v>59</v>
      </c>
    </row>
    <row r="91">
      <c r="A91" s="6"/>
      <c r="B91" s="2"/>
      <c r="C91" s="2" t="s">
        <v>53</v>
      </c>
      <c r="D91" s="9"/>
      <c r="E91" s="9"/>
      <c r="F91" s="9"/>
      <c r="G91" s="2" t="s">
        <v>217</v>
      </c>
      <c r="I91" s="2" t="s">
        <v>208</v>
      </c>
      <c r="J91" s="7">
        <v>46174.0</v>
      </c>
      <c r="L91" s="2" t="s">
        <v>38</v>
      </c>
      <c r="M91" s="2">
        <v>536586.0</v>
      </c>
      <c r="N91" s="8">
        <v>104.45</v>
      </c>
      <c r="O91" s="2">
        <v>686354.0</v>
      </c>
      <c r="P91" s="2" t="s">
        <v>59</v>
      </c>
      <c r="Q91" s="2" t="s">
        <v>59</v>
      </c>
    </row>
    <row r="92">
      <c r="A92" s="6"/>
      <c r="B92" s="2"/>
      <c r="C92" s="2" t="s">
        <v>53</v>
      </c>
      <c r="D92" s="2"/>
      <c r="E92" s="2" t="s">
        <v>41</v>
      </c>
      <c r="F92" s="2" t="s">
        <v>41</v>
      </c>
      <c r="G92" s="2" t="s">
        <v>229</v>
      </c>
      <c r="H92" s="2" t="s">
        <v>230</v>
      </c>
      <c r="I92" s="2" t="s">
        <v>208</v>
      </c>
      <c r="J92" s="7">
        <v>46174.0</v>
      </c>
      <c r="L92" s="2" t="s">
        <v>38</v>
      </c>
      <c r="M92" s="2">
        <v>536586.0</v>
      </c>
      <c r="N92" s="8">
        <v>160.17</v>
      </c>
      <c r="O92" s="2">
        <v>686354.0</v>
      </c>
      <c r="P92" s="2" t="s">
        <v>59</v>
      </c>
      <c r="Q92" s="2" t="s">
        <v>59</v>
      </c>
    </row>
    <row r="93">
      <c r="A93" s="6"/>
      <c r="B93" s="2"/>
      <c r="C93" s="2" t="s">
        <v>53</v>
      </c>
      <c r="D93" s="2"/>
      <c r="E93" s="2" t="s">
        <v>41</v>
      </c>
      <c r="F93" s="2" t="s">
        <v>41</v>
      </c>
      <c r="G93" s="2" t="s">
        <v>231</v>
      </c>
      <c r="H93" s="2" t="s">
        <v>232</v>
      </c>
      <c r="I93" s="2" t="s">
        <v>208</v>
      </c>
      <c r="J93" s="7">
        <v>46174.0</v>
      </c>
      <c r="L93" s="2" t="s">
        <v>38</v>
      </c>
      <c r="M93" s="2">
        <v>536586.0</v>
      </c>
      <c r="N93" s="8">
        <v>158.94</v>
      </c>
      <c r="O93" s="2">
        <v>686354.0</v>
      </c>
      <c r="P93" s="2" t="s">
        <v>59</v>
      </c>
      <c r="Q93" s="2" t="s">
        <v>59</v>
      </c>
    </row>
    <row r="94">
      <c r="A94" s="6"/>
      <c r="B94" s="2"/>
      <c r="C94" s="2" t="s">
        <v>53</v>
      </c>
      <c r="D94" s="2"/>
      <c r="E94" s="2" t="s">
        <v>41</v>
      </c>
      <c r="F94" s="2" t="s">
        <v>41</v>
      </c>
      <c r="G94" s="2" t="s">
        <v>233</v>
      </c>
      <c r="H94" s="2" t="s">
        <v>232</v>
      </c>
      <c r="I94" s="2" t="s">
        <v>208</v>
      </c>
      <c r="J94" s="7">
        <v>46174.0</v>
      </c>
      <c r="L94" s="2" t="s">
        <v>38</v>
      </c>
      <c r="M94" s="2">
        <v>536586.0</v>
      </c>
      <c r="N94" s="8">
        <v>150.01</v>
      </c>
      <c r="O94" s="2">
        <v>686354.0</v>
      </c>
      <c r="P94" s="2" t="s">
        <v>59</v>
      </c>
      <c r="Q94" s="2" t="s">
        <v>59</v>
      </c>
    </row>
    <row r="95">
      <c r="A95" s="6"/>
      <c r="B95" s="2"/>
      <c r="C95" s="2" t="s">
        <v>53</v>
      </c>
      <c r="D95" s="2"/>
      <c r="E95" s="2" t="s">
        <v>41</v>
      </c>
      <c r="F95" s="2" t="s">
        <v>41</v>
      </c>
      <c r="G95" s="2" t="s">
        <v>234</v>
      </c>
      <c r="H95" s="2"/>
      <c r="I95" s="2" t="s">
        <v>208</v>
      </c>
      <c r="J95" s="7">
        <v>46174.0</v>
      </c>
      <c r="L95" s="2" t="s">
        <v>38</v>
      </c>
      <c r="M95" s="2">
        <v>536586.0</v>
      </c>
      <c r="N95" s="8">
        <v>150.01</v>
      </c>
      <c r="O95" s="2">
        <v>687513.0</v>
      </c>
      <c r="P95" s="2" t="s">
        <v>59</v>
      </c>
      <c r="Q95" s="2" t="s">
        <v>59</v>
      </c>
    </row>
    <row r="96">
      <c r="A96" s="6"/>
      <c r="B96" s="2"/>
      <c r="C96" s="2" t="s">
        <v>53</v>
      </c>
      <c r="D96" s="9"/>
      <c r="E96" s="2" t="s">
        <v>41</v>
      </c>
      <c r="F96" s="2" t="s">
        <v>41</v>
      </c>
      <c r="G96" s="2" t="s">
        <v>235</v>
      </c>
      <c r="H96" s="2" t="s">
        <v>232</v>
      </c>
      <c r="I96" s="2" t="s">
        <v>208</v>
      </c>
      <c r="J96" s="7">
        <v>46174.0</v>
      </c>
      <c r="L96" s="2" t="s">
        <v>38</v>
      </c>
      <c r="M96" s="2">
        <v>536586.0</v>
      </c>
      <c r="N96" s="8">
        <v>144.35</v>
      </c>
      <c r="O96" s="2">
        <v>687513.0</v>
      </c>
      <c r="P96" s="2" t="s">
        <v>59</v>
      </c>
      <c r="Q96" s="2" t="s">
        <v>59</v>
      </c>
    </row>
    <row r="97">
      <c r="A97" s="6"/>
      <c r="B97" s="2"/>
      <c r="C97" s="2" t="s">
        <v>53</v>
      </c>
      <c r="D97" s="9"/>
      <c r="E97" s="2" t="s">
        <v>41</v>
      </c>
      <c r="F97" s="2" t="s">
        <v>41</v>
      </c>
      <c r="G97" s="2" t="s">
        <v>132</v>
      </c>
      <c r="H97" s="2" t="s">
        <v>236</v>
      </c>
      <c r="I97" s="2" t="s">
        <v>208</v>
      </c>
      <c r="J97" s="7">
        <v>46174.0</v>
      </c>
      <c r="L97" s="2" t="s">
        <v>38</v>
      </c>
      <c r="M97" s="2">
        <v>536586.0</v>
      </c>
      <c r="N97" s="8">
        <v>144.35</v>
      </c>
      <c r="O97" s="2">
        <v>688994.0</v>
      </c>
      <c r="P97" s="2" t="s">
        <v>59</v>
      </c>
      <c r="Q97" s="2" t="s">
        <v>59</v>
      </c>
    </row>
    <row r="98">
      <c r="A98" s="6"/>
      <c r="B98" s="2"/>
      <c r="C98" s="2" t="s">
        <v>53</v>
      </c>
      <c r="D98" s="9"/>
      <c r="E98" s="2" t="s">
        <v>41</v>
      </c>
      <c r="F98" s="2" t="s">
        <v>41</v>
      </c>
      <c r="G98" s="2" t="s">
        <v>237</v>
      </c>
      <c r="I98" s="2" t="s">
        <v>208</v>
      </c>
      <c r="J98" s="7">
        <v>46174.0</v>
      </c>
      <c r="L98" s="2" t="s">
        <v>38</v>
      </c>
      <c r="M98" s="2">
        <v>536586.0</v>
      </c>
      <c r="N98" s="8">
        <v>132.15</v>
      </c>
      <c r="O98" s="2">
        <v>686354.0</v>
      </c>
      <c r="P98" s="2" t="s">
        <v>59</v>
      </c>
      <c r="Q98" s="2" t="s">
        <v>59</v>
      </c>
    </row>
    <row r="99">
      <c r="A99" s="6"/>
      <c r="B99" s="2"/>
      <c r="C99" s="2" t="s">
        <v>53</v>
      </c>
      <c r="D99" s="9"/>
      <c r="E99" s="2" t="s">
        <v>41</v>
      </c>
      <c r="F99" s="2" t="s">
        <v>41</v>
      </c>
      <c r="G99" s="2" t="s">
        <v>239</v>
      </c>
      <c r="I99" s="2" t="s">
        <v>208</v>
      </c>
      <c r="J99" s="7">
        <v>46174.0</v>
      </c>
      <c r="L99" s="2" t="s">
        <v>38</v>
      </c>
      <c r="M99" s="2">
        <v>536586.0</v>
      </c>
      <c r="N99" s="8">
        <v>144.35</v>
      </c>
      <c r="O99" s="2">
        <v>686354.0</v>
      </c>
      <c r="P99" s="2" t="s">
        <v>59</v>
      </c>
      <c r="Q99" s="2" t="s">
        <v>59</v>
      </c>
    </row>
    <row r="100">
      <c r="A100" s="6"/>
      <c r="B100" s="2"/>
      <c r="C100" s="2" t="s">
        <v>53</v>
      </c>
      <c r="D100" s="9"/>
      <c r="E100" s="2" t="s">
        <v>41</v>
      </c>
      <c r="F100" s="2" t="s">
        <v>41</v>
      </c>
      <c r="G100" s="2" t="s">
        <v>240</v>
      </c>
      <c r="I100" s="2" t="s">
        <v>208</v>
      </c>
      <c r="J100" s="7">
        <v>46174.0</v>
      </c>
      <c r="L100" s="2" t="s">
        <v>38</v>
      </c>
      <c r="M100" s="2">
        <v>536586.0</v>
      </c>
      <c r="N100" s="8">
        <v>99.28</v>
      </c>
      <c r="O100" s="2">
        <v>686354.0</v>
      </c>
      <c r="P100" s="2" t="s">
        <v>59</v>
      </c>
      <c r="Q100" s="2" t="s">
        <v>59</v>
      </c>
    </row>
    <row r="101">
      <c r="A101" s="6"/>
      <c r="B101" s="2"/>
      <c r="C101" s="2" t="s">
        <v>53</v>
      </c>
      <c r="D101" s="9"/>
      <c r="E101" s="2" t="s">
        <v>41</v>
      </c>
      <c r="F101" s="2" t="s">
        <v>41</v>
      </c>
      <c r="G101" s="2" t="s">
        <v>241</v>
      </c>
      <c r="I101" s="2" t="s">
        <v>208</v>
      </c>
      <c r="J101" s="7">
        <v>46174.0</v>
      </c>
      <c r="L101" s="2" t="s">
        <v>38</v>
      </c>
      <c r="M101" s="2">
        <v>536586.0</v>
      </c>
      <c r="N101" s="8">
        <v>99.28</v>
      </c>
      <c r="O101" s="2">
        <v>686354.0</v>
      </c>
      <c r="P101" s="2" t="s">
        <v>59</v>
      </c>
      <c r="Q101" s="2" t="s">
        <v>59</v>
      </c>
    </row>
    <row r="102">
      <c r="A102" s="6"/>
      <c r="B102" s="2"/>
      <c r="C102" s="2" t="s">
        <v>53</v>
      </c>
      <c r="D102" s="9"/>
      <c r="E102" s="2" t="s">
        <v>41</v>
      </c>
      <c r="F102" s="2" t="s">
        <v>41</v>
      </c>
      <c r="G102" s="2" t="s">
        <v>242</v>
      </c>
      <c r="I102" s="2" t="s">
        <v>208</v>
      </c>
      <c r="J102" s="7">
        <v>46174.0</v>
      </c>
      <c r="L102" s="2" t="s">
        <v>38</v>
      </c>
      <c r="M102" s="2">
        <v>536586.0</v>
      </c>
      <c r="N102" s="8">
        <v>114.0</v>
      </c>
      <c r="O102" s="2">
        <v>686354.0</v>
      </c>
      <c r="P102" s="2" t="s">
        <v>59</v>
      </c>
      <c r="Q102" s="2" t="s">
        <v>59</v>
      </c>
    </row>
    <row r="103">
      <c r="A103" s="6"/>
      <c r="B103" s="2"/>
      <c r="C103" s="2" t="s">
        <v>53</v>
      </c>
      <c r="D103" s="9"/>
      <c r="E103" s="2" t="s">
        <v>41</v>
      </c>
      <c r="F103" s="2" t="s">
        <v>41</v>
      </c>
      <c r="G103" s="2" t="s">
        <v>244</v>
      </c>
      <c r="I103" s="2" t="s">
        <v>208</v>
      </c>
      <c r="J103" s="7">
        <v>46174.0</v>
      </c>
      <c r="L103" s="2" t="s">
        <v>38</v>
      </c>
      <c r="M103" s="2">
        <v>536586.0</v>
      </c>
      <c r="N103" s="8">
        <v>156.51</v>
      </c>
      <c r="O103" s="2">
        <v>686354.0</v>
      </c>
      <c r="P103" s="2" t="s">
        <v>59</v>
      </c>
      <c r="Q103" s="2" t="s">
        <v>59</v>
      </c>
    </row>
    <row r="104">
      <c r="A104" s="6"/>
      <c r="B104" s="2"/>
      <c r="C104" s="2" t="s">
        <v>53</v>
      </c>
      <c r="D104" s="9"/>
      <c r="E104" s="2" t="s">
        <v>41</v>
      </c>
      <c r="F104" s="2" t="s">
        <v>41</v>
      </c>
      <c r="G104" s="2" t="s">
        <v>146</v>
      </c>
      <c r="H104" s="2"/>
      <c r="I104" s="2" t="s">
        <v>208</v>
      </c>
      <c r="J104" s="7">
        <v>46174.0</v>
      </c>
      <c r="L104" s="2" t="s">
        <v>38</v>
      </c>
      <c r="M104" s="2">
        <v>536586.0</v>
      </c>
      <c r="N104" s="8">
        <v>156.51</v>
      </c>
      <c r="O104" s="2">
        <v>686354.0</v>
      </c>
      <c r="P104" s="2" t="s">
        <v>59</v>
      </c>
      <c r="Q104" s="2" t="s">
        <v>59</v>
      </c>
    </row>
    <row r="105">
      <c r="A105" s="6"/>
      <c r="B105" s="2"/>
      <c r="C105" s="2" t="s">
        <v>53</v>
      </c>
      <c r="D105" s="9"/>
      <c r="E105" s="2" t="s">
        <v>41</v>
      </c>
      <c r="F105" s="2" t="s">
        <v>41</v>
      </c>
      <c r="G105" s="2" t="s">
        <v>245</v>
      </c>
      <c r="I105" s="2" t="s">
        <v>208</v>
      </c>
      <c r="J105" s="7">
        <v>46174.0</v>
      </c>
      <c r="L105" s="2" t="s">
        <v>38</v>
      </c>
      <c r="M105" s="2">
        <v>536586.0</v>
      </c>
      <c r="N105" s="8">
        <v>132.15</v>
      </c>
      <c r="O105" s="2">
        <v>686354.0</v>
      </c>
      <c r="P105" s="2" t="s">
        <v>59</v>
      </c>
      <c r="Q105" s="2" t="s">
        <v>59</v>
      </c>
    </row>
    <row r="106">
      <c r="A106" s="6"/>
      <c r="B106" s="2"/>
      <c r="C106" s="2" t="s">
        <v>53</v>
      </c>
      <c r="D106" s="2"/>
      <c r="E106" s="2" t="s">
        <v>41</v>
      </c>
      <c r="F106" s="2" t="s">
        <v>41</v>
      </c>
      <c r="G106" s="2" t="s">
        <v>246</v>
      </c>
      <c r="H106" s="2"/>
      <c r="I106" s="2" t="s">
        <v>208</v>
      </c>
      <c r="J106" s="7">
        <v>46174.0</v>
      </c>
      <c r="L106" s="2" t="s">
        <v>38</v>
      </c>
      <c r="M106" s="2">
        <v>688254.0</v>
      </c>
      <c r="N106" s="8">
        <v>131.43</v>
      </c>
      <c r="O106" s="2">
        <v>686354.0</v>
      </c>
      <c r="P106" s="2" t="s">
        <v>59</v>
      </c>
      <c r="Q106" s="2" t="s">
        <v>59</v>
      </c>
    </row>
    <row r="107">
      <c r="A107" s="6">
        <v>46131.41045229167</v>
      </c>
      <c r="B107" s="2" t="s">
        <v>247</v>
      </c>
      <c r="C107" s="2" t="s">
        <v>248</v>
      </c>
      <c r="D107" s="2">
        <v>5.702092706E9</v>
      </c>
      <c r="E107" s="2" t="s">
        <v>41</v>
      </c>
      <c r="F107" s="2" t="s">
        <v>41</v>
      </c>
      <c r="G107" s="2" t="s">
        <v>249</v>
      </c>
      <c r="H107" s="2" t="s">
        <v>37</v>
      </c>
      <c r="J107" s="7">
        <v>46132.0</v>
      </c>
      <c r="L107" s="2" t="s">
        <v>38</v>
      </c>
      <c r="M107" s="2">
        <v>536483.0</v>
      </c>
      <c r="N107" s="8">
        <v>131.43</v>
      </c>
      <c r="O107" s="2">
        <v>686356.0</v>
      </c>
      <c r="P107" s="2" t="s">
        <v>43</v>
      </c>
      <c r="Q107" s="2" t="s">
        <v>43</v>
      </c>
    </row>
    <row r="108">
      <c r="A108" s="6">
        <v>46128.85739340278</v>
      </c>
      <c r="B108" s="2" t="s">
        <v>251</v>
      </c>
      <c r="C108" s="2" t="s">
        <v>252</v>
      </c>
      <c r="D108" s="2" t="s">
        <v>253</v>
      </c>
      <c r="E108" s="2" t="s">
        <v>41</v>
      </c>
      <c r="F108" s="2" t="s">
        <v>41</v>
      </c>
      <c r="G108" s="2" t="s">
        <v>246</v>
      </c>
      <c r="H108" s="2" t="s">
        <v>37</v>
      </c>
      <c r="J108" s="7">
        <v>46132.0</v>
      </c>
      <c r="L108" s="2" t="s">
        <v>38</v>
      </c>
      <c r="M108" s="2">
        <v>536483.0</v>
      </c>
      <c r="N108" s="8">
        <v>131.43</v>
      </c>
      <c r="O108" s="2">
        <v>686356.0</v>
      </c>
      <c r="P108" s="2" t="s">
        <v>43</v>
      </c>
      <c r="Q108" s="2" t="s">
        <v>43</v>
      </c>
    </row>
    <row r="109">
      <c r="A109" s="6"/>
      <c r="B109" s="2"/>
      <c r="C109" s="2" t="s">
        <v>160</v>
      </c>
      <c r="D109" s="2" t="s">
        <v>177</v>
      </c>
      <c r="E109" s="2" t="s">
        <v>35</v>
      </c>
      <c r="F109" s="2" t="s">
        <v>35</v>
      </c>
      <c r="G109" s="2" t="s">
        <v>256</v>
      </c>
      <c r="J109" s="7">
        <v>46132.0</v>
      </c>
      <c r="L109" s="2" t="s">
        <v>38</v>
      </c>
      <c r="M109" s="2">
        <v>536483.0</v>
      </c>
      <c r="N109" s="8">
        <v>20.9</v>
      </c>
      <c r="O109" s="2">
        <v>686356.0</v>
      </c>
      <c r="P109" s="2" t="s">
        <v>43</v>
      </c>
      <c r="Q109" s="2" t="s">
        <v>43</v>
      </c>
    </row>
    <row r="110">
      <c r="A110" s="6">
        <v>46126.60271290509</v>
      </c>
      <c r="B110" s="2" t="s">
        <v>107</v>
      </c>
      <c r="C110" s="2" t="s">
        <v>258</v>
      </c>
      <c r="D110" s="2" t="s">
        <v>259</v>
      </c>
      <c r="E110" s="2" t="s">
        <v>41</v>
      </c>
      <c r="F110" s="2" t="s">
        <v>41</v>
      </c>
      <c r="G110" s="2" t="s">
        <v>260</v>
      </c>
      <c r="H110" s="2" t="s">
        <v>111</v>
      </c>
      <c r="J110" s="7">
        <v>46132.0</v>
      </c>
      <c r="L110" s="2" t="s">
        <v>38</v>
      </c>
      <c r="M110" s="2">
        <v>536483.0</v>
      </c>
      <c r="N110" s="8">
        <v>132.15</v>
      </c>
      <c r="O110" s="2">
        <v>686356.0</v>
      </c>
      <c r="P110" s="2" t="s">
        <v>43</v>
      </c>
      <c r="Q110" s="2" t="s">
        <v>43</v>
      </c>
    </row>
    <row r="111">
      <c r="A111" s="6"/>
      <c r="B111" s="2"/>
      <c r="C111" s="2" t="s">
        <v>53</v>
      </c>
      <c r="D111" s="9"/>
      <c r="E111" s="2" t="s">
        <v>41</v>
      </c>
      <c r="F111" s="2" t="s">
        <v>41</v>
      </c>
      <c r="G111" s="2" t="s">
        <v>261</v>
      </c>
      <c r="J111" s="7">
        <v>46132.0</v>
      </c>
      <c r="L111" s="2" t="s">
        <v>38</v>
      </c>
      <c r="M111" s="2">
        <v>536483.0</v>
      </c>
      <c r="N111" s="8">
        <v>11.35</v>
      </c>
      <c r="O111" s="2">
        <v>686356.0</v>
      </c>
      <c r="P111" s="2" t="s">
        <v>59</v>
      </c>
      <c r="Q111" s="2" t="s">
        <v>59</v>
      </c>
    </row>
    <row r="112">
      <c r="A112" s="6"/>
      <c r="B112" s="2"/>
      <c r="C112" s="2" t="s">
        <v>53</v>
      </c>
      <c r="D112" s="9"/>
      <c r="E112" s="2" t="s">
        <v>35</v>
      </c>
      <c r="F112" s="2" t="s">
        <v>35</v>
      </c>
      <c r="G112" s="2" t="s">
        <v>262</v>
      </c>
      <c r="J112" s="7">
        <v>46132.0</v>
      </c>
      <c r="L112" s="2" t="s">
        <v>38</v>
      </c>
      <c r="M112" s="2">
        <v>536483.0</v>
      </c>
      <c r="N112" s="8">
        <v>114.0</v>
      </c>
      <c r="O112" s="2">
        <v>686356.0</v>
      </c>
      <c r="P112" s="2" t="s">
        <v>59</v>
      </c>
      <c r="Q112" s="2" t="s">
        <v>59</v>
      </c>
    </row>
    <row r="113">
      <c r="A113" s="6"/>
      <c r="B113" s="2"/>
      <c r="C113" s="2" t="s">
        <v>53</v>
      </c>
      <c r="D113" s="9"/>
      <c r="E113" s="9"/>
      <c r="F113" s="9"/>
      <c r="G113" s="2" t="s">
        <v>263</v>
      </c>
      <c r="J113" s="7">
        <v>46132.0</v>
      </c>
      <c r="L113" s="2" t="s">
        <v>38</v>
      </c>
      <c r="M113" s="2">
        <v>536483.0</v>
      </c>
      <c r="N113" s="8">
        <v>13.35</v>
      </c>
      <c r="O113" s="2">
        <v>686356.0</v>
      </c>
      <c r="P113" s="2" t="s">
        <v>59</v>
      </c>
      <c r="Q113" s="2" t="s">
        <v>59</v>
      </c>
    </row>
    <row r="114">
      <c r="A114" s="6"/>
      <c r="B114" s="2"/>
      <c r="C114" s="2" t="s">
        <v>76</v>
      </c>
      <c r="D114" s="9"/>
      <c r="E114" s="9"/>
      <c r="F114" s="9"/>
      <c r="G114" s="2" t="s">
        <v>264</v>
      </c>
      <c r="J114" s="7">
        <v>46132.0</v>
      </c>
      <c r="L114" s="2" t="s">
        <v>38</v>
      </c>
      <c r="M114" s="2">
        <v>536483.0</v>
      </c>
      <c r="N114" s="8">
        <v>144.35</v>
      </c>
      <c r="O114" s="2">
        <v>686356.0</v>
      </c>
      <c r="P114" s="2" t="s">
        <v>59</v>
      </c>
      <c r="Q114" s="2" t="s">
        <v>59</v>
      </c>
    </row>
    <row r="115">
      <c r="A115" s="6"/>
      <c r="B115" s="2"/>
      <c r="C115" s="2" t="s">
        <v>76</v>
      </c>
      <c r="D115" s="9"/>
      <c r="E115" s="9"/>
      <c r="F115" s="9"/>
      <c r="G115" s="2" t="s">
        <v>265</v>
      </c>
      <c r="J115" s="7">
        <v>46132.0</v>
      </c>
      <c r="L115" s="2" t="s">
        <v>38</v>
      </c>
      <c r="M115" s="2">
        <v>536483.0</v>
      </c>
      <c r="N115" s="8">
        <v>144.35</v>
      </c>
      <c r="O115" s="2">
        <v>686356.0</v>
      </c>
      <c r="P115" s="2" t="s">
        <v>59</v>
      </c>
      <c r="Q115" s="2" t="s">
        <v>59</v>
      </c>
    </row>
    <row r="116">
      <c r="A116" s="6"/>
      <c r="B116" s="2"/>
      <c r="C116" s="2" t="s">
        <v>76</v>
      </c>
      <c r="D116" s="9"/>
      <c r="E116" s="9"/>
      <c r="F116" s="9"/>
      <c r="G116" s="2" t="s">
        <v>267</v>
      </c>
      <c r="J116" s="7">
        <v>46132.0</v>
      </c>
      <c r="L116" s="2" t="s">
        <v>38</v>
      </c>
      <c r="M116" s="2">
        <v>536483.0</v>
      </c>
      <c r="N116" s="8">
        <v>60.9</v>
      </c>
      <c r="O116" s="2">
        <v>686356.0</v>
      </c>
      <c r="P116" s="2" t="s">
        <v>59</v>
      </c>
      <c r="Q116" s="2" t="s">
        <v>59</v>
      </c>
    </row>
    <row r="117">
      <c r="A117" s="6"/>
      <c r="B117" s="2"/>
      <c r="C117" s="2" t="s">
        <v>76</v>
      </c>
      <c r="D117" s="9"/>
      <c r="E117" s="9"/>
      <c r="F117" s="9"/>
      <c r="G117" s="2" t="s">
        <v>268</v>
      </c>
      <c r="J117" s="7">
        <v>46132.0</v>
      </c>
      <c r="L117" s="2" t="s">
        <v>38</v>
      </c>
      <c r="M117" s="2">
        <v>536483.0</v>
      </c>
      <c r="N117" s="8">
        <v>71.25</v>
      </c>
      <c r="O117" s="2">
        <v>686356.0</v>
      </c>
      <c r="P117" s="2" t="s">
        <v>59</v>
      </c>
      <c r="Q117" s="2" t="s">
        <v>59</v>
      </c>
    </row>
    <row r="118">
      <c r="A118" s="6"/>
      <c r="B118" s="2"/>
      <c r="C118" s="2" t="s">
        <v>76</v>
      </c>
      <c r="D118" s="9"/>
      <c r="E118" s="9"/>
      <c r="F118" s="9"/>
      <c r="G118" s="2" t="s">
        <v>269</v>
      </c>
      <c r="J118" s="7">
        <v>46132.0</v>
      </c>
      <c r="L118" s="2" t="s">
        <v>38</v>
      </c>
      <c r="M118" s="2">
        <v>536483.0</v>
      </c>
      <c r="N118" s="8">
        <v>144.35</v>
      </c>
      <c r="O118" s="2">
        <v>686356.0</v>
      </c>
      <c r="P118" s="2" t="s">
        <v>59</v>
      </c>
      <c r="Q118" s="2" t="s">
        <v>59</v>
      </c>
    </row>
    <row r="119">
      <c r="A119" s="6"/>
      <c r="B119" s="2"/>
      <c r="C119" s="2" t="s">
        <v>53</v>
      </c>
      <c r="D119" s="9"/>
      <c r="E119" s="2" t="s">
        <v>41</v>
      </c>
      <c r="F119" s="2" t="s">
        <v>41</v>
      </c>
      <c r="G119" s="2" t="s">
        <v>270</v>
      </c>
      <c r="H119" s="2"/>
      <c r="J119" s="7">
        <v>46132.0</v>
      </c>
      <c r="L119" s="2" t="s">
        <v>38</v>
      </c>
      <c r="M119" s="2">
        <v>536483.0</v>
      </c>
      <c r="N119" s="8">
        <v>10.55</v>
      </c>
      <c r="O119" s="2">
        <v>686356.0</v>
      </c>
      <c r="P119" s="2" t="s">
        <v>59</v>
      </c>
      <c r="Q119" s="2" t="s">
        <v>59</v>
      </c>
    </row>
    <row r="120">
      <c r="A120" s="6"/>
      <c r="B120" s="2"/>
      <c r="C120" s="2" t="s">
        <v>271</v>
      </c>
      <c r="D120" s="2"/>
      <c r="E120" s="2" t="s">
        <v>41</v>
      </c>
      <c r="F120" s="2" t="s">
        <v>41</v>
      </c>
      <c r="G120" s="2" t="s">
        <v>272</v>
      </c>
      <c r="H120" s="2"/>
      <c r="J120" s="7">
        <v>46132.0</v>
      </c>
      <c r="L120" s="2" t="s">
        <v>38</v>
      </c>
      <c r="M120" s="2">
        <v>536483.0</v>
      </c>
      <c r="N120" s="8">
        <v>80.75</v>
      </c>
      <c r="O120" s="2">
        <v>686356.0</v>
      </c>
      <c r="P120" s="2" t="s">
        <v>43</v>
      </c>
      <c r="Q120" s="2" t="s">
        <v>43</v>
      </c>
    </row>
    <row r="121">
      <c r="A121" s="6">
        <v>46129.7752675</v>
      </c>
      <c r="B121" s="2"/>
      <c r="C121" s="2" t="s">
        <v>275</v>
      </c>
      <c r="D121" s="2">
        <v>5.70574637E9</v>
      </c>
      <c r="E121" s="2" t="s">
        <v>41</v>
      </c>
      <c r="F121" s="2" t="s">
        <v>41</v>
      </c>
      <c r="G121" s="2" t="s">
        <v>276</v>
      </c>
      <c r="H121" s="2"/>
      <c r="J121" s="7">
        <v>46132.0</v>
      </c>
      <c r="L121" s="2" t="s">
        <v>38</v>
      </c>
      <c r="M121" s="2">
        <v>536483.0</v>
      </c>
      <c r="N121" s="8">
        <v>150.01</v>
      </c>
      <c r="O121" s="2">
        <v>686356.0</v>
      </c>
      <c r="P121" s="2" t="s">
        <v>43</v>
      </c>
      <c r="Q121" s="2" t="s">
        <v>43</v>
      </c>
    </row>
    <row r="122">
      <c r="A122" s="6">
        <v>46130.38474158564</v>
      </c>
      <c r="B122" s="2" t="s">
        <v>107</v>
      </c>
      <c r="C122" s="2" t="s">
        <v>53</v>
      </c>
      <c r="D122" s="2" t="s">
        <v>277</v>
      </c>
      <c r="E122" s="2" t="s">
        <v>41</v>
      </c>
      <c r="F122" s="2" t="s">
        <v>41</v>
      </c>
      <c r="G122" s="2" t="s">
        <v>278</v>
      </c>
      <c r="H122" s="2"/>
      <c r="J122" s="7">
        <v>46132.0</v>
      </c>
      <c r="L122" s="2" t="s">
        <v>38</v>
      </c>
      <c r="M122" s="2">
        <v>536483.0</v>
      </c>
      <c r="N122" s="8">
        <v>5.56</v>
      </c>
      <c r="O122" s="2">
        <v>686356.0</v>
      </c>
      <c r="P122" s="2" t="s">
        <v>59</v>
      </c>
      <c r="Q122" s="2" t="s">
        <v>59</v>
      </c>
    </row>
    <row r="123">
      <c r="A123" s="6"/>
      <c r="B123" s="2"/>
      <c r="C123" s="2" t="s">
        <v>53</v>
      </c>
      <c r="D123" s="9"/>
      <c r="E123" s="2" t="s">
        <v>41</v>
      </c>
      <c r="F123" s="2" t="s">
        <v>41</v>
      </c>
      <c r="G123" s="2" t="s">
        <v>57</v>
      </c>
      <c r="J123" s="7">
        <v>46132.0</v>
      </c>
      <c r="L123" s="2" t="s">
        <v>38</v>
      </c>
      <c r="M123" s="2">
        <v>536483.0</v>
      </c>
      <c r="N123" s="8">
        <v>8.98</v>
      </c>
      <c r="O123" s="2">
        <v>686356.0</v>
      </c>
      <c r="P123" s="2" t="s">
        <v>59</v>
      </c>
      <c r="Q123" s="2" t="s">
        <v>59</v>
      </c>
    </row>
    <row r="124">
      <c r="A124" s="6">
        <v>46126.84992068287</v>
      </c>
      <c r="B124" s="2"/>
      <c r="C124" s="2" t="s">
        <v>279</v>
      </c>
      <c r="D124" s="2">
        <v>5.708990219E9</v>
      </c>
      <c r="E124" s="2" t="s">
        <v>169</v>
      </c>
      <c r="F124" s="2" t="s">
        <v>169</v>
      </c>
      <c r="G124" s="2" t="s">
        <v>170</v>
      </c>
      <c r="J124" s="7">
        <v>46132.0</v>
      </c>
      <c r="L124" s="2" t="s">
        <v>38</v>
      </c>
      <c r="M124" s="2">
        <v>536483.0</v>
      </c>
      <c r="N124" s="8">
        <v>132.15</v>
      </c>
      <c r="O124" s="2">
        <v>686356.0</v>
      </c>
      <c r="P124" s="2" t="s">
        <v>43</v>
      </c>
      <c r="Q124" s="2" t="s">
        <v>43</v>
      </c>
    </row>
    <row r="125">
      <c r="A125" s="6">
        <v>46121.850088935185</v>
      </c>
      <c r="B125" s="2" t="s">
        <v>280</v>
      </c>
      <c r="C125" s="2" t="s">
        <v>281</v>
      </c>
      <c r="D125" s="2">
        <v>5.707021643E9</v>
      </c>
      <c r="E125" s="2" t="s">
        <v>41</v>
      </c>
      <c r="F125" s="2" t="s">
        <v>41</v>
      </c>
      <c r="G125" s="2" t="s">
        <v>282</v>
      </c>
      <c r="H125" s="2" t="s">
        <v>111</v>
      </c>
      <c r="J125" s="7">
        <v>46132.0</v>
      </c>
      <c r="L125" s="2" t="s">
        <v>38</v>
      </c>
      <c r="M125" s="2">
        <v>536483.0</v>
      </c>
      <c r="N125" s="8">
        <v>99.28</v>
      </c>
      <c r="O125" s="2">
        <v>686356.0</v>
      </c>
      <c r="P125" s="2" t="s">
        <v>43</v>
      </c>
      <c r="Q125" s="2" t="s">
        <v>43</v>
      </c>
    </row>
    <row r="126">
      <c r="A126" s="6">
        <v>46130.90812359954</v>
      </c>
      <c r="B126" s="2" t="s">
        <v>283</v>
      </c>
      <c r="C126" s="2" t="s">
        <v>53</v>
      </c>
      <c r="D126" s="2">
        <v>5.705794933E9</v>
      </c>
      <c r="E126" s="2" t="s">
        <v>41</v>
      </c>
      <c r="F126" s="2" t="s">
        <v>41</v>
      </c>
      <c r="G126" s="2" t="s">
        <v>284</v>
      </c>
      <c r="H126" s="2" t="s">
        <v>48</v>
      </c>
      <c r="J126" s="7">
        <v>46132.0</v>
      </c>
      <c r="L126" s="2" t="s">
        <v>38</v>
      </c>
      <c r="M126" s="2">
        <v>536483.0</v>
      </c>
      <c r="N126" s="8">
        <v>24.07</v>
      </c>
      <c r="O126" s="2">
        <v>686356.0</v>
      </c>
      <c r="P126" s="2" t="s">
        <v>43</v>
      </c>
      <c r="Q126" s="2" t="s">
        <v>43</v>
      </c>
    </row>
    <row r="127">
      <c r="A127" s="6">
        <v>46130.90812359954</v>
      </c>
      <c r="B127" s="2" t="s">
        <v>283</v>
      </c>
      <c r="C127" s="2" t="s">
        <v>285</v>
      </c>
      <c r="D127" s="2">
        <v>5.705794933E9</v>
      </c>
      <c r="E127" s="2" t="s">
        <v>41</v>
      </c>
      <c r="F127" s="2" t="s">
        <v>41</v>
      </c>
      <c r="G127" s="2" t="s">
        <v>286</v>
      </c>
      <c r="J127" s="7">
        <v>46132.0</v>
      </c>
      <c r="L127" s="2" t="s">
        <v>38</v>
      </c>
      <c r="M127" s="2">
        <v>536483.0</v>
      </c>
      <c r="N127" s="8">
        <v>12.98</v>
      </c>
      <c r="O127" s="2">
        <v>686356.0</v>
      </c>
      <c r="P127" s="2" t="s">
        <v>43</v>
      </c>
      <c r="Q127" s="2" t="s">
        <v>43</v>
      </c>
    </row>
    <row r="128">
      <c r="A128" s="6">
        <v>46130.90812359954</v>
      </c>
      <c r="B128" s="2" t="s">
        <v>283</v>
      </c>
      <c r="C128" s="2" t="s">
        <v>285</v>
      </c>
      <c r="D128" s="2">
        <v>5.705794933E9</v>
      </c>
      <c r="E128" s="2" t="s">
        <v>41</v>
      </c>
      <c r="F128" s="2" t="s">
        <v>41</v>
      </c>
      <c r="G128" s="2" t="s">
        <v>287</v>
      </c>
      <c r="J128" s="7">
        <v>46132.0</v>
      </c>
      <c r="L128" s="2" t="s">
        <v>38</v>
      </c>
      <c r="M128" s="2">
        <v>536483.0</v>
      </c>
      <c r="N128" s="8">
        <v>10.45</v>
      </c>
      <c r="O128" s="2">
        <v>686356.0</v>
      </c>
      <c r="P128" s="2" t="s">
        <v>43</v>
      </c>
      <c r="Q128" s="2" t="s">
        <v>43</v>
      </c>
    </row>
    <row r="129">
      <c r="A129" s="2"/>
      <c r="B129" s="2"/>
      <c r="C129" s="2" t="s">
        <v>53</v>
      </c>
      <c r="D129" s="9"/>
      <c r="E129" s="2" t="s">
        <v>41</v>
      </c>
      <c r="F129" s="2" t="s">
        <v>41</v>
      </c>
      <c r="G129" s="2" t="s">
        <v>288</v>
      </c>
      <c r="J129" s="7">
        <v>46132.0</v>
      </c>
      <c r="L129" s="2" t="s">
        <v>38</v>
      </c>
      <c r="M129" s="2">
        <v>536483.0</v>
      </c>
      <c r="N129" s="8">
        <v>42.47</v>
      </c>
      <c r="O129" s="2">
        <v>686356.0</v>
      </c>
      <c r="P129" s="2" t="s">
        <v>59</v>
      </c>
      <c r="Q129" s="2" t="s">
        <v>59</v>
      </c>
    </row>
    <row r="130">
      <c r="A130" s="6">
        <v>46129.84286184028</v>
      </c>
      <c r="B130" s="2"/>
      <c r="C130" s="2" t="s">
        <v>289</v>
      </c>
      <c r="D130" s="2">
        <v>9.732205907E9</v>
      </c>
      <c r="E130" s="2" t="s">
        <v>290</v>
      </c>
      <c r="F130" s="2" t="s">
        <v>290</v>
      </c>
      <c r="G130" s="2" t="s">
        <v>291</v>
      </c>
      <c r="J130" s="7">
        <v>46132.0</v>
      </c>
      <c r="L130" s="2" t="s">
        <v>69</v>
      </c>
      <c r="M130" s="2">
        <v>5.00334924E8</v>
      </c>
      <c r="N130" s="8">
        <v>133.41</v>
      </c>
      <c r="P130" s="2" t="s">
        <v>43</v>
      </c>
      <c r="Q130" s="2" t="s">
        <v>43</v>
      </c>
    </row>
    <row r="131">
      <c r="A131" s="6"/>
      <c r="B131" s="2"/>
      <c r="C131" s="2" t="s">
        <v>53</v>
      </c>
      <c r="D131" s="9"/>
      <c r="E131" s="2" t="s">
        <v>64</v>
      </c>
      <c r="F131" s="2" t="s">
        <v>64</v>
      </c>
      <c r="G131" s="2" t="s">
        <v>132</v>
      </c>
      <c r="J131" s="7">
        <v>46132.0</v>
      </c>
      <c r="L131" s="2" t="s">
        <v>69</v>
      </c>
      <c r="M131" s="2">
        <v>5.00334924E8</v>
      </c>
      <c r="N131" s="8">
        <v>146.12</v>
      </c>
      <c r="P131" s="2" t="s">
        <v>43</v>
      </c>
      <c r="Q131" s="2" t="s">
        <v>43</v>
      </c>
    </row>
    <row r="132">
      <c r="A132" s="6"/>
      <c r="B132" s="2"/>
      <c r="C132" s="2" t="s">
        <v>133</v>
      </c>
      <c r="D132" s="9"/>
      <c r="E132" s="2" t="s">
        <v>35</v>
      </c>
      <c r="F132" s="2" t="s">
        <v>35</v>
      </c>
      <c r="G132" s="2" t="s">
        <v>134</v>
      </c>
      <c r="J132" s="7">
        <v>46132.0</v>
      </c>
      <c r="L132" s="2" t="s">
        <v>69</v>
      </c>
      <c r="M132" s="2">
        <v>5.00334924E8</v>
      </c>
      <c r="N132" s="8">
        <v>146.12</v>
      </c>
      <c r="P132" s="2" t="s">
        <v>43</v>
      </c>
      <c r="Q132" s="2" t="s">
        <v>43</v>
      </c>
    </row>
    <row r="133">
      <c r="A133" s="6">
        <v>46112.763265138885</v>
      </c>
      <c r="B133" s="2" t="s">
        <v>136</v>
      </c>
      <c r="C133" s="2" t="s">
        <v>137</v>
      </c>
      <c r="D133" s="2">
        <v>2.019066445E9</v>
      </c>
      <c r="E133" s="2" t="s">
        <v>41</v>
      </c>
      <c r="F133" s="2" t="s">
        <v>41</v>
      </c>
      <c r="G133" s="2" t="s">
        <v>138</v>
      </c>
      <c r="H133" s="2" t="s">
        <v>37</v>
      </c>
      <c r="J133" s="7">
        <v>46132.0</v>
      </c>
      <c r="L133" s="2" t="s">
        <v>69</v>
      </c>
      <c r="M133" s="2">
        <v>5.00334924E8</v>
      </c>
      <c r="N133" s="8">
        <v>146.12</v>
      </c>
      <c r="P133" s="2" t="s">
        <v>43</v>
      </c>
      <c r="Q133" s="2" t="s">
        <v>43</v>
      </c>
    </row>
    <row r="134">
      <c r="A134" s="6">
        <v>46120.65522226851</v>
      </c>
      <c r="B134" s="2" t="s">
        <v>107</v>
      </c>
      <c r="C134" s="2" t="s">
        <v>123</v>
      </c>
      <c r="D134" s="2" t="s">
        <v>124</v>
      </c>
      <c r="E134" s="2" t="s">
        <v>41</v>
      </c>
      <c r="F134" s="2" t="s">
        <v>41</v>
      </c>
      <c r="G134" s="2" t="s">
        <v>144</v>
      </c>
      <c r="H134" s="2" t="s">
        <v>37</v>
      </c>
      <c r="J134" s="7">
        <v>46132.0</v>
      </c>
      <c r="L134" s="2" t="s">
        <v>69</v>
      </c>
      <c r="M134" s="2">
        <v>5.00334924E8</v>
      </c>
      <c r="N134" s="8">
        <v>126.56</v>
      </c>
      <c r="P134" s="2" t="s">
        <v>43</v>
      </c>
      <c r="Q134" s="2" t="s">
        <v>43</v>
      </c>
    </row>
    <row r="135">
      <c r="A135" s="6">
        <v>46131.834724872686</v>
      </c>
      <c r="B135" s="2" t="s">
        <v>292</v>
      </c>
      <c r="C135" s="2" t="s">
        <v>293</v>
      </c>
      <c r="D135" s="2" t="s">
        <v>295</v>
      </c>
      <c r="E135" s="2" t="s">
        <v>35</v>
      </c>
      <c r="F135" s="2" t="s">
        <v>35</v>
      </c>
      <c r="G135" s="2" t="s">
        <v>296</v>
      </c>
      <c r="J135" s="7">
        <v>46139.0</v>
      </c>
      <c r="L135" s="2" t="s">
        <v>38</v>
      </c>
      <c r="M135" s="2">
        <v>537994.0</v>
      </c>
      <c r="N135" s="8">
        <v>105.36</v>
      </c>
      <c r="O135" s="2">
        <v>687868.0</v>
      </c>
      <c r="P135" s="2" t="s">
        <v>43</v>
      </c>
      <c r="Q135" s="2" t="s">
        <v>43</v>
      </c>
    </row>
    <row r="136">
      <c r="A136" s="6"/>
      <c r="B136" s="2"/>
      <c r="C136" s="2" t="s">
        <v>53</v>
      </c>
      <c r="D136" s="9"/>
      <c r="E136" s="2" t="s">
        <v>64</v>
      </c>
      <c r="F136" s="2" t="s">
        <v>64</v>
      </c>
      <c r="G136" s="2" t="s">
        <v>297</v>
      </c>
      <c r="J136" s="7">
        <v>46139.0</v>
      </c>
      <c r="L136" s="2" t="s">
        <v>38</v>
      </c>
      <c r="M136" s="2">
        <v>537994.0</v>
      </c>
      <c r="N136" s="8">
        <v>105.36</v>
      </c>
      <c r="O136" s="2">
        <v>687868.0</v>
      </c>
      <c r="P136" s="2" t="s">
        <v>59</v>
      </c>
      <c r="Q136" s="2" t="s">
        <v>59</v>
      </c>
    </row>
    <row r="137">
      <c r="A137" s="6"/>
      <c r="B137" s="2"/>
      <c r="C137" s="2" t="s">
        <v>53</v>
      </c>
      <c r="D137" s="9"/>
      <c r="E137" s="2" t="s">
        <v>41</v>
      </c>
      <c r="F137" s="2" t="s">
        <v>41</v>
      </c>
      <c r="G137" s="2" t="s">
        <v>233</v>
      </c>
      <c r="J137" s="7">
        <v>46139.0</v>
      </c>
      <c r="L137" s="2" t="s">
        <v>38</v>
      </c>
      <c r="M137" s="2">
        <v>537994.0</v>
      </c>
      <c r="N137" s="8">
        <v>150.01</v>
      </c>
      <c r="O137" s="2">
        <v>687868.0</v>
      </c>
      <c r="P137" s="2" t="s">
        <v>59</v>
      </c>
      <c r="Q137" s="2" t="s">
        <v>59</v>
      </c>
    </row>
    <row r="138">
      <c r="A138" s="6"/>
      <c r="B138" s="2"/>
      <c r="C138" s="2" t="s">
        <v>76</v>
      </c>
      <c r="D138" s="9"/>
      <c r="E138" s="9"/>
      <c r="F138" s="9"/>
      <c r="G138" s="2" t="s">
        <v>234</v>
      </c>
      <c r="J138" s="7">
        <v>46139.0</v>
      </c>
      <c r="L138" s="2" t="s">
        <v>38</v>
      </c>
      <c r="M138" s="2">
        <v>537994.0</v>
      </c>
      <c r="N138" s="8">
        <v>150.01</v>
      </c>
      <c r="O138" s="2">
        <v>687868.0</v>
      </c>
      <c r="P138" s="2" t="s">
        <v>59</v>
      </c>
      <c r="Q138" s="2" t="s">
        <v>59</v>
      </c>
    </row>
    <row r="139">
      <c r="A139" s="6"/>
      <c r="B139" s="2"/>
      <c r="C139" s="9" t="s">
        <v>76</v>
      </c>
      <c r="D139" s="2" t="s">
        <v>48</v>
      </c>
      <c r="E139" s="2" t="s">
        <v>48</v>
      </c>
      <c r="F139" s="2" t="s">
        <v>48</v>
      </c>
      <c r="G139" s="2" t="s">
        <v>298</v>
      </c>
      <c r="H139" s="2"/>
      <c r="J139" s="7">
        <v>46139.0</v>
      </c>
      <c r="L139" s="2" t="s">
        <v>38</v>
      </c>
      <c r="M139" s="2">
        <v>537994.0</v>
      </c>
      <c r="N139" s="8">
        <v>79.8</v>
      </c>
      <c r="O139" s="2">
        <v>687868.0</v>
      </c>
      <c r="P139" s="2" t="s">
        <v>59</v>
      </c>
      <c r="Q139" s="2" t="s">
        <v>59</v>
      </c>
    </row>
    <row r="140">
      <c r="A140" s="6"/>
      <c r="B140" s="2"/>
      <c r="C140" s="9" t="s">
        <v>76</v>
      </c>
      <c r="D140" s="2" t="s">
        <v>48</v>
      </c>
      <c r="E140" s="2" t="s">
        <v>48</v>
      </c>
      <c r="F140" s="2" t="s">
        <v>48</v>
      </c>
      <c r="G140" s="2" t="s">
        <v>299</v>
      </c>
      <c r="H140" s="2"/>
      <c r="J140" s="7">
        <v>46139.0</v>
      </c>
      <c r="L140" s="2" t="s">
        <v>38</v>
      </c>
      <c r="M140" s="2">
        <v>537994.0</v>
      </c>
      <c r="N140" s="8">
        <v>132.15</v>
      </c>
      <c r="O140" s="2">
        <v>687868.0</v>
      </c>
      <c r="P140" s="2" t="s">
        <v>59</v>
      </c>
      <c r="Q140" s="2" t="s">
        <v>59</v>
      </c>
    </row>
    <row r="141">
      <c r="A141" s="6"/>
      <c r="B141" s="2"/>
      <c r="C141" s="2" t="s">
        <v>53</v>
      </c>
      <c r="D141" s="2"/>
      <c r="E141" s="2" t="s">
        <v>41</v>
      </c>
      <c r="F141" s="2" t="s">
        <v>41</v>
      </c>
      <c r="G141" s="2" t="s">
        <v>299</v>
      </c>
      <c r="H141" s="2"/>
      <c r="J141" s="7">
        <v>46139.0</v>
      </c>
      <c r="L141" s="2" t="s">
        <v>38</v>
      </c>
      <c r="M141" s="2">
        <v>537994.0</v>
      </c>
      <c r="N141" s="8">
        <v>132.15</v>
      </c>
      <c r="O141" s="2">
        <v>687868.0</v>
      </c>
      <c r="P141" s="2" t="s">
        <v>59</v>
      </c>
      <c r="Q141" s="2" t="s">
        <v>59</v>
      </c>
    </row>
    <row r="142">
      <c r="A142" s="6">
        <v>46135.34379439815</v>
      </c>
      <c r="B142" s="2" t="s">
        <v>107</v>
      </c>
      <c r="C142" s="2" t="s">
        <v>300</v>
      </c>
      <c r="D142" s="2" t="s">
        <v>301</v>
      </c>
      <c r="E142" s="2" t="s">
        <v>41</v>
      </c>
      <c r="F142" s="2" t="s">
        <v>41</v>
      </c>
      <c r="G142" s="2" t="s">
        <v>302</v>
      </c>
      <c r="H142" s="2" t="s">
        <v>111</v>
      </c>
      <c r="J142" s="7">
        <v>46139.0</v>
      </c>
      <c r="L142" s="2" t="s">
        <v>38</v>
      </c>
      <c r="M142" s="2">
        <v>537994.0</v>
      </c>
      <c r="N142" s="8">
        <v>114.0</v>
      </c>
      <c r="O142" s="2">
        <v>687868.0</v>
      </c>
      <c r="P142" s="2" t="s">
        <v>43</v>
      </c>
      <c r="Q142" s="2" t="s">
        <v>43</v>
      </c>
    </row>
    <row r="143">
      <c r="A143" s="6">
        <v>46134.40484480324</v>
      </c>
      <c r="B143" s="2"/>
      <c r="C143" s="2" t="s">
        <v>303</v>
      </c>
      <c r="D143" s="2">
        <v>5.703358973E9</v>
      </c>
      <c r="E143" s="2" t="s">
        <v>41</v>
      </c>
      <c r="F143" s="2" t="s">
        <v>41</v>
      </c>
      <c r="G143" s="2" t="s">
        <v>304</v>
      </c>
      <c r="J143" s="7">
        <v>46139.0</v>
      </c>
      <c r="L143" s="2" t="s">
        <v>38</v>
      </c>
      <c r="M143" s="2">
        <v>537994.0</v>
      </c>
      <c r="N143" s="8">
        <v>131.43</v>
      </c>
      <c r="O143" s="2">
        <v>687868.0</v>
      </c>
      <c r="P143" s="2" t="s">
        <v>43</v>
      </c>
      <c r="Q143" s="2" t="s">
        <v>43</v>
      </c>
    </row>
    <row r="144">
      <c r="A144" s="6"/>
      <c r="B144" s="2"/>
      <c r="C144" s="2" t="s">
        <v>53</v>
      </c>
      <c r="D144" s="9"/>
      <c r="E144" s="2" t="s">
        <v>41</v>
      </c>
      <c r="F144" s="2" t="s">
        <v>41</v>
      </c>
      <c r="G144" s="2" t="s">
        <v>146</v>
      </c>
      <c r="J144" s="7">
        <v>46139.0</v>
      </c>
      <c r="L144" s="2" t="s">
        <v>38</v>
      </c>
      <c r="M144" s="2">
        <v>537994.0</v>
      </c>
      <c r="N144" s="8">
        <v>156.51</v>
      </c>
      <c r="O144" s="2">
        <v>687868.0</v>
      </c>
      <c r="P144" s="2" t="s">
        <v>59</v>
      </c>
      <c r="Q144" s="2" t="s">
        <v>59</v>
      </c>
    </row>
    <row r="145">
      <c r="A145" s="6">
        <v>46132.81989114583</v>
      </c>
      <c r="B145" s="2" t="s">
        <v>305</v>
      </c>
      <c r="C145" s="2" t="s">
        <v>306</v>
      </c>
      <c r="D145" s="2">
        <v>5.703512186E9</v>
      </c>
      <c r="E145" s="2" t="s">
        <v>41</v>
      </c>
      <c r="F145" s="2" t="s">
        <v>41</v>
      </c>
      <c r="G145" s="2" t="s">
        <v>244</v>
      </c>
      <c r="H145" s="2" t="s">
        <v>111</v>
      </c>
      <c r="J145" s="7">
        <v>46139.0</v>
      </c>
      <c r="L145" s="2" t="s">
        <v>38</v>
      </c>
      <c r="M145" s="2">
        <v>537994.0</v>
      </c>
      <c r="N145" s="8">
        <v>156.51</v>
      </c>
      <c r="O145" s="2">
        <v>687868.0</v>
      </c>
      <c r="P145" s="2" t="s">
        <v>43</v>
      </c>
      <c r="Q145" s="2" t="s">
        <v>43</v>
      </c>
    </row>
    <row r="146">
      <c r="A146" s="6"/>
      <c r="B146" s="2"/>
      <c r="C146" s="2" t="s">
        <v>53</v>
      </c>
      <c r="D146" s="9"/>
      <c r="E146" s="2" t="s">
        <v>41</v>
      </c>
      <c r="F146" s="2" t="s">
        <v>41</v>
      </c>
      <c r="G146" s="2" t="s">
        <v>307</v>
      </c>
      <c r="J146" s="7">
        <v>46139.0</v>
      </c>
      <c r="L146" s="2" t="s">
        <v>38</v>
      </c>
      <c r="M146" s="2">
        <v>537994.0</v>
      </c>
      <c r="N146" s="8">
        <v>158.94</v>
      </c>
      <c r="O146" s="2">
        <v>687868.0</v>
      </c>
      <c r="P146" s="2" t="s">
        <v>59</v>
      </c>
      <c r="Q146" s="2" t="s">
        <v>59</v>
      </c>
    </row>
    <row r="147">
      <c r="A147" s="6"/>
      <c r="B147" s="2"/>
      <c r="C147" s="2" t="s">
        <v>53</v>
      </c>
      <c r="D147" s="9"/>
      <c r="E147" s="2" t="s">
        <v>41</v>
      </c>
      <c r="F147" s="2" t="s">
        <v>41</v>
      </c>
      <c r="G147" s="2" t="s">
        <v>308</v>
      </c>
      <c r="J147" s="7">
        <v>46139.0</v>
      </c>
      <c r="L147" s="2" t="s">
        <v>38</v>
      </c>
      <c r="M147" s="2">
        <v>537994.0</v>
      </c>
      <c r="N147" s="8">
        <v>156.51</v>
      </c>
      <c r="O147" s="2">
        <v>687868.0</v>
      </c>
      <c r="P147" s="2" t="s">
        <v>59</v>
      </c>
      <c r="Q147" s="2" t="s">
        <v>59</v>
      </c>
    </row>
    <row r="148">
      <c r="A148" s="6"/>
      <c r="B148" s="2"/>
      <c r="C148" s="2" t="s">
        <v>53</v>
      </c>
      <c r="D148" s="2"/>
      <c r="E148" s="2" t="s">
        <v>41</v>
      </c>
      <c r="F148" s="2" t="s">
        <v>41</v>
      </c>
      <c r="G148" s="2" t="s">
        <v>240</v>
      </c>
      <c r="H148" s="2"/>
      <c r="J148" s="7">
        <v>46139.0</v>
      </c>
      <c r="L148" s="2" t="s">
        <v>38</v>
      </c>
      <c r="M148" s="2">
        <v>537994.0</v>
      </c>
      <c r="N148" s="8">
        <v>99.28</v>
      </c>
      <c r="O148" s="2">
        <v>687868.0</v>
      </c>
      <c r="P148" s="2" t="s">
        <v>59</v>
      </c>
      <c r="Q148" s="2" t="s">
        <v>59</v>
      </c>
    </row>
    <row r="149">
      <c r="A149" s="6">
        <v>46135.77240665509</v>
      </c>
      <c r="B149" s="2"/>
      <c r="C149" s="2" t="s">
        <v>310</v>
      </c>
      <c r="D149" s="2">
        <v>5.704996741E9</v>
      </c>
      <c r="E149" s="2" t="s">
        <v>35</v>
      </c>
      <c r="F149" s="2" t="s">
        <v>35</v>
      </c>
      <c r="G149" s="2" t="s">
        <v>311</v>
      </c>
      <c r="H149" s="2"/>
      <c r="J149" s="7">
        <v>46139.0</v>
      </c>
      <c r="L149" s="2" t="s">
        <v>38</v>
      </c>
      <c r="M149" s="2">
        <v>537994.0</v>
      </c>
      <c r="N149" s="8">
        <v>160.17</v>
      </c>
      <c r="O149" s="2">
        <v>687868.0</v>
      </c>
      <c r="P149" s="2" t="s">
        <v>43</v>
      </c>
      <c r="Q149" s="2" t="s">
        <v>43</v>
      </c>
    </row>
    <row r="150">
      <c r="A150" s="6">
        <v>46135.75818318287</v>
      </c>
      <c r="B150" s="2"/>
      <c r="C150" s="2" t="s">
        <v>310</v>
      </c>
      <c r="D150" s="2">
        <v>5.704996741E9</v>
      </c>
      <c r="E150" s="2" t="s">
        <v>35</v>
      </c>
      <c r="F150" s="2" t="s">
        <v>35</v>
      </c>
      <c r="G150" s="2" t="s">
        <v>312</v>
      </c>
      <c r="H150" s="2" t="s">
        <v>313</v>
      </c>
      <c r="J150" s="7">
        <v>46139.0</v>
      </c>
      <c r="L150" s="2" t="s">
        <v>38</v>
      </c>
      <c r="M150" s="2">
        <v>537994.0</v>
      </c>
      <c r="N150" s="8">
        <v>55.1</v>
      </c>
      <c r="O150" s="2">
        <v>687868.0</v>
      </c>
      <c r="P150" s="2" t="s">
        <v>43</v>
      </c>
      <c r="Q150" s="2" t="s">
        <v>43</v>
      </c>
    </row>
    <row r="151">
      <c r="A151" s="6">
        <v>46136.85426328704</v>
      </c>
      <c r="B151" s="2" t="s">
        <v>314</v>
      </c>
      <c r="C151" s="2" t="s">
        <v>315</v>
      </c>
      <c r="D151" s="2" t="s">
        <v>316</v>
      </c>
      <c r="E151" s="2" t="s">
        <v>41</v>
      </c>
      <c r="F151" s="2" t="s">
        <v>41</v>
      </c>
      <c r="G151" s="2" t="s">
        <v>317</v>
      </c>
      <c r="H151" s="2" t="s">
        <v>48</v>
      </c>
      <c r="J151" s="7">
        <v>46139.0</v>
      </c>
      <c r="L151" s="2" t="s">
        <v>38</v>
      </c>
      <c r="M151" s="2">
        <v>537994.0</v>
      </c>
      <c r="N151" s="8">
        <v>141.88</v>
      </c>
      <c r="O151" s="2">
        <v>687868.0</v>
      </c>
      <c r="P151" s="2" t="s">
        <v>43</v>
      </c>
      <c r="Q151" s="2" t="s">
        <v>43</v>
      </c>
    </row>
    <row r="152">
      <c r="A152" s="6">
        <v>46133.84197887732</v>
      </c>
      <c r="B152" s="2" t="s">
        <v>107</v>
      </c>
      <c r="C152" s="2" t="s">
        <v>318</v>
      </c>
      <c r="D152" s="2" t="s">
        <v>319</v>
      </c>
      <c r="E152" s="2" t="s">
        <v>41</v>
      </c>
      <c r="F152" s="2" t="s">
        <v>41</v>
      </c>
      <c r="G152" s="2" t="s">
        <v>321</v>
      </c>
      <c r="H152" s="2" t="s">
        <v>48</v>
      </c>
      <c r="I152" s="2" t="s">
        <v>232</v>
      </c>
      <c r="J152" s="7">
        <v>46139.0</v>
      </c>
      <c r="L152" s="2" t="s">
        <v>38</v>
      </c>
      <c r="M152" s="2">
        <v>537994.0</v>
      </c>
      <c r="N152" s="8">
        <v>32.19</v>
      </c>
      <c r="O152" s="2">
        <v>687868.0</v>
      </c>
      <c r="P152" s="2" t="s">
        <v>59</v>
      </c>
      <c r="Q152" s="2" t="s">
        <v>59</v>
      </c>
    </row>
    <row r="153">
      <c r="A153" s="6"/>
      <c r="B153" s="2"/>
      <c r="C153" s="2" t="s">
        <v>53</v>
      </c>
      <c r="D153" s="9"/>
      <c r="E153" s="2" t="s">
        <v>41</v>
      </c>
      <c r="F153" s="2" t="s">
        <v>41</v>
      </c>
      <c r="G153" s="2" t="s">
        <v>217</v>
      </c>
      <c r="J153" s="7">
        <v>46139.0</v>
      </c>
      <c r="L153" s="2" t="s">
        <v>38</v>
      </c>
      <c r="M153" s="2">
        <v>537994.0</v>
      </c>
      <c r="N153" s="8">
        <v>104.45</v>
      </c>
      <c r="O153" s="2">
        <v>687868.0</v>
      </c>
      <c r="P153" s="2" t="s">
        <v>59</v>
      </c>
      <c r="Q153" s="2" t="s">
        <v>59</v>
      </c>
    </row>
    <row r="154">
      <c r="A154" s="6"/>
      <c r="B154" s="2"/>
      <c r="C154" s="2" t="s">
        <v>53</v>
      </c>
      <c r="D154" s="9"/>
      <c r="E154" s="2" t="s">
        <v>41</v>
      </c>
      <c r="F154" s="2" t="s">
        <v>41</v>
      </c>
      <c r="G154" s="2" t="s">
        <v>221</v>
      </c>
      <c r="J154" s="7">
        <v>46139.0</v>
      </c>
      <c r="L154" s="2" t="s">
        <v>38</v>
      </c>
      <c r="M154" s="2">
        <v>537994.0</v>
      </c>
      <c r="N154" s="8">
        <v>104.45</v>
      </c>
      <c r="O154" s="2">
        <v>687868.0</v>
      </c>
      <c r="P154" s="2" t="s">
        <v>59</v>
      </c>
      <c r="Q154" s="2" t="s">
        <v>59</v>
      </c>
    </row>
    <row r="155">
      <c r="A155" s="6">
        <v>46130.90812359954</v>
      </c>
      <c r="B155" s="2" t="s">
        <v>283</v>
      </c>
      <c r="C155" s="2" t="s">
        <v>285</v>
      </c>
      <c r="D155" s="2">
        <v>5.705794933E9</v>
      </c>
      <c r="E155" s="2" t="s">
        <v>41</v>
      </c>
      <c r="F155" s="2" t="s">
        <v>41</v>
      </c>
      <c r="G155" s="2" t="s">
        <v>284</v>
      </c>
      <c r="J155" s="7">
        <v>46139.0</v>
      </c>
      <c r="L155" s="2" t="s">
        <v>38</v>
      </c>
      <c r="M155" s="2">
        <v>537994.0</v>
      </c>
      <c r="N155" s="8">
        <v>24.07</v>
      </c>
      <c r="O155" s="2">
        <v>687868.0</v>
      </c>
      <c r="P155" s="2" t="s">
        <v>43</v>
      </c>
      <c r="Q155" s="2" t="s">
        <v>43</v>
      </c>
    </row>
    <row r="156">
      <c r="A156" s="6"/>
      <c r="B156" s="2"/>
      <c r="C156" s="2" t="s">
        <v>53</v>
      </c>
      <c r="D156" s="9"/>
      <c r="E156" s="2" t="s">
        <v>41</v>
      </c>
      <c r="F156" s="2" t="s">
        <v>41</v>
      </c>
      <c r="G156" s="2" t="s">
        <v>323</v>
      </c>
      <c r="J156" s="7">
        <v>46139.0</v>
      </c>
      <c r="L156" s="2" t="s">
        <v>38</v>
      </c>
      <c r="M156" s="2">
        <v>537994.0</v>
      </c>
      <c r="N156" s="8">
        <v>6.79</v>
      </c>
      <c r="O156" s="2">
        <v>687868.0</v>
      </c>
      <c r="P156" s="2" t="s">
        <v>59</v>
      </c>
      <c r="Q156" s="2" t="s">
        <v>59</v>
      </c>
    </row>
    <row r="157">
      <c r="A157" s="6"/>
      <c r="B157" s="2"/>
      <c r="C157" s="2" t="s">
        <v>53</v>
      </c>
      <c r="D157" s="9"/>
      <c r="E157" s="2" t="s">
        <v>41</v>
      </c>
      <c r="F157" s="2" t="s">
        <v>41</v>
      </c>
      <c r="G157" s="2" t="s">
        <v>324</v>
      </c>
      <c r="J157" s="7">
        <v>46139.0</v>
      </c>
      <c r="L157" s="2" t="s">
        <v>38</v>
      </c>
      <c r="M157" s="2">
        <v>537994.0</v>
      </c>
      <c r="N157" s="8">
        <v>4.09</v>
      </c>
      <c r="O157" s="2">
        <v>687868.0</v>
      </c>
      <c r="P157" s="2" t="s">
        <v>59</v>
      </c>
      <c r="Q157" s="2" t="s">
        <v>59</v>
      </c>
    </row>
    <row r="158">
      <c r="A158" s="6"/>
      <c r="B158" s="2"/>
      <c r="C158" s="2" t="s">
        <v>53</v>
      </c>
      <c r="D158" s="9"/>
      <c r="E158" s="2" t="s">
        <v>41</v>
      </c>
      <c r="F158" s="2" t="s">
        <v>41</v>
      </c>
      <c r="G158" s="2" t="s">
        <v>325</v>
      </c>
      <c r="J158" s="7">
        <v>46139.0</v>
      </c>
      <c r="L158" s="2" t="s">
        <v>38</v>
      </c>
      <c r="M158" s="2">
        <v>537994.0</v>
      </c>
      <c r="N158" s="8">
        <v>3.75</v>
      </c>
      <c r="O158" s="2">
        <v>687868.0</v>
      </c>
      <c r="P158" s="2" t="s">
        <v>59</v>
      </c>
      <c r="Q158" s="2" t="s">
        <v>59</v>
      </c>
    </row>
    <row r="159">
      <c r="A159" s="6"/>
      <c r="B159" s="2"/>
      <c r="C159" s="2" t="s">
        <v>53</v>
      </c>
      <c r="D159" s="9"/>
      <c r="E159" s="2" t="s">
        <v>64</v>
      </c>
      <c r="F159" s="2" t="s">
        <v>64</v>
      </c>
      <c r="G159" s="2" t="s">
        <v>326</v>
      </c>
      <c r="J159" s="7">
        <v>46139.0</v>
      </c>
      <c r="L159" s="2" t="s">
        <v>38</v>
      </c>
      <c r="M159" s="2">
        <v>537994.0</v>
      </c>
      <c r="N159" s="8">
        <v>8.17</v>
      </c>
      <c r="O159" s="2">
        <v>687868.0</v>
      </c>
      <c r="P159" s="2" t="s">
        <v>59</v>
      </c>
      <c r="Q159" s="2" t="s">
        <v>59</v>
      </c>
    </row>
    <row r="160">
      <c r="A160" s="6"/>
      <c r="B160" s="2"/>
      <c r="C160" s="2" t="s">
        <v>53</v>
      </c>
      <c r="D160" s="9"/>
      <c r="E160" s="2" t="s">
        <v>41</v>
      </c>
      <c r="F160" s="2" t="s">
        <v>41</v>
      </c>
      <c r="G160" s="2" t="s">
        <v>327</v>
      </c>
      <c r="J160" s="7">
        <v>46139.0</v>
      </c>
      <c r="L160" s="2" t="s">
        <v>38</v>
      </c>
      <c r="M160" s="2">
        <v>537994.0</v>
      </c>
      <c r="N160" s="8">
        <v>9.12</v>
      </c>
      <c r="O160" s="2">
        <v>687868.0</v>
      </c>
      <c r="P160" s="2" t="s">
        <v>59</v>
      </c>
      <c r="Q160" s="2" t="s">
        <v>59</v>
      </c>
    </row>
    <row r="161">
      <c r="A161" s="6"/>
      <c r="B161" s="2"/>
      <c r="C161" s="2" t="s">
        <v>53</v>
      </c>
      <c r="D161" s="9"/>
      <c r="E161" s="2" t="s">
        <v>41</v>
      </c>
      <c r="F161" s="2" t="s">
        <v>41</v>
      </c>
      <c r="G161" s="2" t="s">
        <v>329</v>
      </c>
      <c r="J161" s="7">
        <v>46139.0</v>
      </c>
      <c r="L161" s="2" t="s">
        <v>38</v>
      </c>
      <c r="M161" s="2">
        <v>537994.0</v>
      </c>
      <c r="N161" s="8">
        <v>20.9</v>
      </c>
      <c r="O161" s="2">
        <v>687868.0</v>
      </c>
      <c r="P161" s="2" t="s">
        <v>59</v>
      </c>
      <c r="Q161" s="2" t="s">
        <v>59</v>
      </c>
    </row>
    <row r="162">
      <c r="A162" s="6"/>
      <c r="B162" s="2"/>
      <c r="C162" s="2" t="s">
        <v>53</v>
      </c>
      <c r="D162" s="9"/>
      <c r="E162" s="2" t="s">
        <v>41</v>
      </c>
      <c r="F162" s="2" t="s">
        <v>41</v>
      </c>
      <c r="G162" s="2" t="s">
        <v>330</v>
      </c>
      <c r="J162" s="7">
        <v>46139.0</v>
      </c>
      <c r="L162" s="2" t="s">
        <v>38</v>
      </c>
      <c r="M162" s="2">
        <v>537994.0</v>
      </c>
      <c r="N162" s="8">
        <v>2.38</v>
      </c>
      <c r="O162" s="2">
        <v>687868.0</v>
      </c>
      <c r="P162" s="2" t="s">
        <v>59</v>
      </c>
      <c r="Q162" s="2" t="s">
        <v>59</v>
      </c>
    </row>
    <row r="163">
      <c r="A163" s="6"/>
      <c r="B163" s="2"/>
      <c r="C163" s="2" t="s">
        <v>53</v>
      </c>
      <c r="D163" s="9"/>
      <c r="E163" s="2" t="s">
        <v>35</v>
      </c>
      <c r="F163" s="2" t="s">
        <v>35</v>
      </c>
      <c r="G163" s="2" t="s">
        <v>331</v>
      </c>
      <c r="J163" s="7">
        <v>46139.0</v>
      </c>
      <c r="L163" s="2" t="s">
        <v>38</v>
      </c>
      <c r="M163" s="2">
        <v>537994.0</v>
      </c>
      <c r="N163" s="8">
        <v>5.46</v>
      </c>
      <c r="O163" s="2">
        <v>687868.0</v>
      </c>
      <c r="P163" s="2" t="s">
        <v>59</v>
      </c>
      <c r="Q163" s="2" t="s">
        <v>59</v>
      </c>
    </row>
    <row r="164">
      <c r="A164" s="6"/>
      <c r="B164" s="2"/>
      <c r="C164" s="2" t="s">
        <v>53</v>
      </c>
      <c r="D164" s="9"/>
      <c r="E164" s="2" t="s">
        <v>41</v>
      </c>
      <c r="F164" s="2" t="s">
        <v>41</v>
      </c>
      <c r="G164" s="2" t="s">
        <v>332</v>
      </c>
      <c r="J164" s="7">
        <v>46139.0</v>
      </c>
      <c r="L164" s="2" t="s">
        <v>69</v>
      </c>
      <c r="M164" s="2">
        <v>5.00337238E8</v>
      </c>
      <c r="N164" s="8">
        <v>135.17</v>
      </c>
      <c r="P164" s="2" t="s">
        <v>59</v>
      </c>
      <c r="Q164" s="2" t="s">
        <v>59</v>
      </c>
    </row>
    <row r="165">
      <c r="A165" s="6"/>
      <c r="B165" s="2"/>
      <c r="C165" s="2" t="s">
        <v>53</v>
      </c>
      <c r="D165" s="9"/>
      <c r="E165" s="2" t="s">
        <v>41</v>
      </c>
      <c r="F165" s="2" t="s">
        <v>41</v>
      </c>
      <c r="G165" s="2" t="s">
        <v>333</v>
      </c>
      <c r="J165" s="7">
        <v>46139.0</v>
      </c>
      <c r="L165" s="2" t="s">
        <v>69</v>
      </c>
      <c r="M165" s="2">
        <v>5.00337238E8</v>
      </c>
      <c r="N165" s="8">
        <v>135.17</v>
      </c>
      <c r="P165" s="2" t="s">
        <v>59</v>
      </c>
      <c r="Q165" s="2" t="s">
        <v>59</v>
      </c>
    </row>
    <row r="166">
      <c r="A166" s="6"/>
      <c r="B166" s="2"/>
      <c r="C166" s="2" t="s">
        <v>53</v>
      </c>
      <c r="D166" s="9"/>
      <c r="E166" s="2" t="s">
        <v>35</v>
      </c>
      <c r="F166" s="2" t="s">
        <v>35</v>
      </c>
      <c r="G166" s="2" t="s">
        <v>335</v>
      </c>
      <c r="J166" s="7">
        <v>46139.0</v>
      </c>
      <c r="L166" s="2" t="s">
        <v>69</v>
      </c>
      <c r="M166" s="2">
        <v>5.00337238E8</v>
      </c>
      <c r="N166" s="8">
        <v>158.82</v>
      </c>
      <c r="P166" s="2" t="s">
        <v>59</v>
      </c>
      <c r="Q166" s="2" t="s">
        <v>59</v>
      </c>
    </row>
    <row r="167">
      <c r="A167" s="6"/>
      <c r="B167" s="2"/>
      <c r="C167" s="2" t="s">
        <v>337</v>
      </c>
      <c r="D167" s="2" t="s">
        <v>338</v>
      </c>
      <c r="E167" s="2" t="s">
        <v>41</v>
      </c>
      <c r="F167" s="2" t="s">
        <v>41</v>
      </c>
      <c r="G167" s="2" t="s">
        <v>339</v>
      </c>
      <c r="H167" s="2"/>
      <c r="J167" s="7">
        <v>46139.0</v>
      </c>
      <c r="L167" s="2" t="s">
        <v>69</v>
      </c>
      <c r="M167" s="2">
        <v>5.00337238E8</v>
      </c>
      <c r="N167" s="8">
        <v>158.82</v>
      </c>
      <c r="P167" s="2" t="s">
        <v>43</v>
      </c>
      <c r="Q167" s="2" t="s">
        <v>43</v>
      </c>
    </row>
    <row r="168">
      <c r="A168" s="6">
        <v>46132.81989114583</v>
      </c>
      <c r="B168" s="2" t="s">
        <v>305</v>
      </c>
      <c r="C168" s="2" t="s">
        <v>306</v>
      </c>
      <c r="D168" s="2">
        <v>5.703512186E9</v>
      </c>
      <c r="E168" s="2" t="s">
        <v>41</v>
      </c>
      <c r="F168" s="2" t="s">
        <v>41</v>
      </c>
      <c r="G168" s="2" t="s">
        <v>340</v>
      </c>
      <c r="H168" s="2" t="s">
        <v>111</v>
      </c>
      <c r="J168" s="7">
        <v>46139.0</v>
      </c>
      <c r="L168" s="2" t="s">
        <v>69</v>
      </c>
      <c r="M168" s="2">
        <v>5.00337238E8</v>
      </c>
      <c r="N168" s="8">
        <v>133.41</v>
      </c>
      <c r="P168" s="2" t="s">
        <v>43</v>
      </c>
      <c r="Q168" s="2" t="s">
        <v>43</v>
      </c>
    </row>
    <row r="169">
      <c r="A169" s="6"/>
      <c r="B169" s="2"/>
      <c r="C169" s="2" t="s">
        <v>53</v>
      </c>
      <c r="D169" s="9"/>
      <c r="E169" s="2" t="s">
        <v>64</v>
      </c>
      <c r="F169" s="2" t="s">
        <v>64</v>
      </c>
      <c r="G169" s="2" t="s">
        <v>132</v>
      </c>
      <c r="J169" s="7">
        <v>46139.0</v>
      </c>
      <c r="L169" s="2" t="s">
        <v>69</v>
      </c>
      <c r="M169" s="2">
        <v>5.00337238E8</v>
      </c>
      <c r="N169" s="8">
        <v>146.12</v>
      </c>
      <c r="P169" s="2" t="s">
        <v>59</v>
      </c>
      <c r="Q169" s="2" t="s">
        <v>59</v>
      </c>
    </row>
    <row r="170">
      <c r="A170" s="6"/>
      <c r="B170" s="2"/>
      <c r="C170" s="2" t="s">
        <v>53</v>
      </c>
      <c r="D170" s="9"/>
      <c r="E170" s="2"/>
      <c r="F170" s="2"/>
      <c r="G170" s="2" t="s">
        <v>341</v>
      </c>
      <c r="J170" s="7">
        <v>46139.0</v>
      </c>
      <c r="L170" s="2" t="s">
        <v>69</v>
      </c>
      <c r="M170" s="2">
        <v>5.00337238E8</v>
      </c>
      <c r="N170" s="8">
        <v>3.07</v>
      </c>
      <c r="P170" s="2" t="s">
        <v>59</v>
      </c>
      <c r="Q170" s="2" t="s">
        <v>59</v>
      </c>
    </row>
    <row r="171">
      <c r="A171" s="6"/>
      <c r="B171" s="2"/>
      <c r="C171" s="2" t="s">
        <v>53</v>
      </c>
      <c r="D171" s="2"/>
      <c r="E171" s="2"/>
      <c r="F171" s="2"/>
      <c r="G171" s="2" t="s">
        <v>342</v>
      </c>
      <c r="J171" s="7">
        <v>46139.0</v>
      </c>
      <c r="L171" s="2" t="s">
        <v>69</v>
      </c>
      <c r="M171" s="2">
        <v>5.00337238E8</v>
      </c>
      <c r="N171" s="8">
        <v>3.07</v>
      </c>
      <c r="P171" s="2" t="s">
        <v>59</v>
      </c>
      <c r="Q171" s="2" t="s">
        <v>59</v>
      </c>
    </row>
    <row r="172">
      <c r="A172" s="6"/>
      <c r="B172" s="2"/>
      <c r="C172" s="2" t="s">
        <v>53</v>
      </c>
      <c r="D172" s="9"/>
      <c r="E172" s="2"/>
      <c r="F172" s="2"/>
      <c r="G172" s="2" t="s">
        <v>343</v>
      </c>
      <c r="J172" s="7">
        <v>46139.0</v>
      </c>
      <c r="L172" s="2" t="s">
        <v>69</v>
      </c>
      <c r="M172" s="2">
        <v>5.00337238E8</v>
      </c>
      <c r="N172" s="8">
        <v>3.51</v>
      </c>
      <c r="P172" s="2" t="s">
        <v>59</v>
      </c>
      <c r="Q172" s="2" t="s">
        <v>59</v>
      </c>
    </row>
    <row r="173">
      <c r="A173" s="6"/>
      <c r="B173" s="2"/>
      <c r="C173" s="2" t="s">
        <v>53</v>
      </c>
      <c r="D173" s="9"/>
      <c r="E173" s="2"/>
      <c r="F173" s="2"/>
      <c r="G173" s="2" t="s">
        <v>344</v>
      </c>
      <c r="J173" s="7">
        <v>46139.0</v>
      </c>
      <c r="L173" s="2" t="s">
        <v>69</v>
      </c>
      <c r="M173" s="2">
        <v>5.00337238E8</v>
      </c>
      <c r="N173" s="8">
        <v>3.51</v>
      </c>
      <c r="P173" s="2" t="s">
        <v>59</v>
      </c>
      <c r="Q173" s="2" t="s">
        <v>59</v>
      </c>
    </row>
    <row r="174">
      <c r="A174" s="6"/>
      <c r="B174" s="2"/>
      <c r="C174" s="2" t="s">
        <v>53</v>
      </c>
      <c r="D174" s="9"/>
      <c r="E174" s="2"/>
      <c r="F174" s="2"/>
      <c r="G174" s="2" t="s">
        <v>346</v>
      </c>
      <c r="H174" s="2"/>
      <c r="J174" s="7">
        <v>46143.0</v>
      </c>
      <c r="L174" s="2" t="s">
        <v>347</v>
      </c>
      <c r="M174" s="2" t="s">
        <v>348</v>
      </c>
      <c r="N174" s="8">
        <v>95.4</v>
      </c>
      <c r="P174" s="2" t="s">
        <v>59</v>
      </c>
      <c r="Q174" s="2" t="s">
        <v>59</v>
      </c>
    </row>
    <row r="175">
      <c r="A175" s="6"/>
      <c r="B175" s="2"/>
      <c r="C175" s="2" t="s">
        <v>53</v>
      </c>
      <c r="D175" s="9"/>
      <c r="E175" s="2"/>
      <c r="F175" s="2"/>
      <c r="G175" s="2" t="s">
        <v>349</v>
      </c>
      <c r="H175" s="2"/>
      <c r="J175" s="7">
        <v>46143.0</v>
      </c>
      <c r="L175" s="2" t="s">
        <v>347</v>
      </c>
      <c r="M175" s="2" t="s">
        <v>348</v>
      </c>
      <c r="N175" s="8">
        <v>95.4</v>
      </c>
      <c r="P175" s="2" t="s">
        <v>59</v>
      </c>
      <c r="Q175" s="2" t="s">
        <v>59</v>
      </c>
    </row>
    <row r="176">
      <c r="A176" s="6"/>
      <c r="B176" s="2"/>
      <c r="C176" s="2" t="s">
        <v>53</v>
      </c>
      <c r="D176" s="9"/>
      <c r="E176" s="2" t="s">
        <v>41</v>
      </c>
      <c r="F176" s="2" t="s">
        <v>41</v>
      </c>
      <c r="G176" s="2" t="s">
        <v>203</v>
      </c>
      <c r="H176" s="2"/>
      <c r="J176" s="7">
        <v>46146.0</v>
      </c>
      <c r="L176" s="2" t="s">
        <v>38</v>
      </c>
      <c r="M176" s="2">
        <v>539275.0</v>
      </c>
      <c r="N176" s="8">
        <v>8.12</v>
      </c>
      <c r="O176" s="2">
        <v>689598.0</v>
      </c>
      <c r="P176" s="2" t="s">
        <v>59</v>
      </c>
      <c r="Q176" s="2" t="s">
        <v>59</v>
      </c>
    </row>
    <row r="177">
      <c r="A177" s="6"/>
      <c r="B177" s="2"/>
      <c r="C177" s="2" t="s">
        <v>76</v>
      </c>
      <c r="D177" s="9"/>
      <c r="E177" s="2"/>
      <c r="F177" s="2"/>
      <c r="G177" s="2" t="s">
        <v>354</v>
      </c>
      <c r="H177" s="2"/>
      <c r="J177" s="7">
        <v>46146.0</v>
      </c>
      <c r="L177" s="2" t="s">
        <v>38</v>
      </c>
      <c r="M177" s="2">
        <v>539275.0</v>
      </c>
      <c r="N177" s="8">
        <v>122.41</v>
      </c>
      <c r="O177" s="2">
        <v>689598.0</v>
      </c>
      <c r="P177" s="2" t="s">
        <v>59</v>
      </c>
      <c r="Q177" s="2" t="s">
        <v>59</v>
      </c>
    </row>
    <row r="178">
      <c r="A178" s="6">
        <v>46140.91397504629</v>
      </c>
      <c r="B178" s="2" t="s">
        <v>136</v>
      </c>
      <c r="C178" s="2" t="s">
        <v>137</v>
      </c>
      <c r="D178" s="2" t="s">
        <v>355</v>
      </c>
      <c r="E178" s="2" t="s">
        <v>41</v>
      </c>
      <c r="F178" s="2" t="s">
        <v>41</v>
      </c>
      <c r="G178" s="2" t="s">
        <v>356</v>
      </c>
      <c r="H178" s="2" t="s">
        <v>37</v>
      </c>
      <c r="J178" s="7">
        <v>46146.0</v>
      </c>
      <c r="L178" s="2" t="s">
        <v>38</v>
      </c>
      <c r="M178" s="2">
        <v>539275.0</v>
      </c>
      <c r="N178" s="8">
        <v>105.36</v>
      </c>
      <c r="O178" s="2">
        <v>689598.0</v>
      </c>
      <c r="P178" s="2" t="s">
        <v>43</v>
      </c>
      <c r="Q178" s="2" t="s">
        <v>43</v>
      </c>
    </row>
    <row r="179">
      <c r="A179" s="6"/>
      <c r="B179" s="2"/>
      <c r="C179" s="2" t="s">
        <v>53</v>
      </c>
      <c r="D179" s="9"/>
      <c r="E179" s="2" t="s">
        <v>41</v>
      </c>
      <c r="F179" s="2" t="s">
        <v>41</v>
      </c>
      <c r="G179" s="2" t="s">
        <v>356</v>
      </c>
      <c r="J179" s="7">
        <v>46146.0</v>
      </c>
      <c r="L179" s="2" t="s">
        <v>38</v>
      </c>
      <c r="M179" s="2">
        <v>539275.0</v>
      </c>
      <c r="N179" s="8">
        <v>105.36</v>
      </c>
      <c r="O179" s="2">
        <v>689598.0</v>
      </c>
      <c r="P179" s="2" t="s">
        <v>59</v>
      </c>
      <c r="Q179" s="2" t="s">
        <v>59</v>
      </c>
    </row>
    <row r="180">
      <c r="A180" s="6">
        <v>46143.94571921296</v>
      </c>
      <c r="B180" s="2" t="s">
        <v>359</v>
      </c>
      <c r="C180" s="2" t="s">
        <v>360</v>
      </c>
      <c r="D180" s="2">
        <v>5.704457882E9</v>
      </c>
      <c r="E180" s="2" t="s">
        <v>41</v>
      </c>
      <c r="F180" s="2" t="s">
        <v>41</v>
      </c>
      <c r="G180" s="2" t="s">
        <v>362</v>
      </c>
      <c r="H180" s="2" t="s">
        <v>37</v>
      </c>
      <c r="J180" s="7">
        <v>46146.0</v>
      </c>
      <c r="L180" s="2" t="s">
        <v>38</v>
      </c>
      <c r="M180" s="2">
        <v>539275.0</v>
      </c>
      <c r="N180" s="8">
        <v>105.36</v>
      </c>
      <c r="O180" s="2">
        <v>689598.0</v>
      </c>
      <c r="P180" s="2" t="s">
        <v>43</v>
      </c>
      <c r="Q180" s="2" t="s">
        <v>43</v>
      </c>
    </row>
    <row r="181">
      <c r="A181" s="6">
        <v>46145.549832523146</v>
      </c>
      <c r="B181" s="2"/>
      <c r="C181" s="2" t="s">
        <v>363</v>
      </c>
      <c r="D181" s="2">
        <v>5.708991592E9</v>
      </c>
      <c r="E181" s="2" t="s">
        <v>41</v>
      </c>
      <c r="F181" s="2" t="s">
        <v>41</v>
      </c>
      <c r="G181" s="2" t="s">
        <v>364</v>
      </c>
      <c r="J181" s="7">
        <v>46146.0</v>
      </c>
      <c r="L181" s="2" t="s">
        <v>38</v>
      </c>
      <c r="M181" s="2">
        <v>539275.0</v>
      </c>
      <c r="N181" s="8">
        <v>105.36</v>
      </c>
      <c r="O181" s="2">
        <v>689598.0</v>
      </c>
      <c r="P181" s="2" t="s">
        <v>43</v>
      </c>
      <c r="Q181" s="2" t="s">
        <v>43</v>
      </c>
    </row>
    <row r="182">
      <c r="A182" s="6"/>
      <c r="B182" s="2"/>
      <c r="C182" s="2" t="s">
        <v>365</v>
      </c>
      <c r="D182" s="9"/>
      <c r="E182" s="2" t="s">
        <v>41</v>
      </c>
      <c r="F182" s="2" t="s">
        <v>41</v>
      </c>
      <c r="G182" s="2" t="s">
        <v>366</v>
      </c>
      <c r="J182" s="7">
        <v>46146.0</v>
      </c>
      <c r="L182" s="2" t="s">
        <v>38</v>
      </c>
      <c r="M182" s="2">
        <v>539275.0</v>
      </c>
      <c r="N182" s="8">
        <v>104.45</v>
      </c>
      <c r="O182" s="2">
        <v>689598.0</v>
      </c>
      <c r="P182" s="2" t="s">
        <v>43</v>
      </c>
      <c r="Q182" s="2" t="s">
        <v>43</v>
      </c>
    </row>
    <row r="183">
      <c r="A183" s="6">
        <v>46141.78765298611</v>
      </c>
      <c r="B183" s="2"/>
      <c r="C183" s="2" t="s">
        <v>371</v>
      </c>
      <c r="D183" s="2">
        <v>6.074355012E9</v>
      </c>
      <c r="E183" s="2" t="s">
        <v>372</v>
      </c>
      <c r="F183" s="2" t="s">
        <v>372</v>
      </c>
      <c r="G183" s="2" t="s">
        <v>373</v>
      </c>
      <c r="J183" s="7">
        <v>46146.0</v>
      </c>
      <c r="L183" s="2" t="s">
        <v>38</v>
      </c>
      <c r="M183" s="2">
        <v>539275.0</v>
      </c>
      <c r="N183" s="8">
        <v>50.11</v>
      </c>
      <c r="O183" s="2">
        <v>689598.0</v>
      </c>
      <c r="P183" s="2" t="s">
        <v>43</v>
      </c>
      <c r="Q183" s="2" t="s">
        <v>43</v>
      </c>
    </row>
    <row r="184">
      <c r="A184" s="6"/>
      <c r="B184" s="2"/>
      <c r="C184" s="2" t="s">
        <v>53</v>
      </c>
      <c r="D184" s="2"/>
      <c r="E184" s="2" t="s">
        <v>35</v>
      </c>
      <c r="F184" s="2" t="s">
        <v>35</v>
      </c>
      <c r="G184" s="2" t="s">
        <v>351</v>
      </c>
      <c r="J184" s="7">
        <v>46146.0</v>
      </c>
      <c r="L184" s="2" t="s">
        <v>38</v>
      </c>
      <c r="M184" s="2">
        <v>539275.0</v>
      </c>
      <c r="N184" s="8">
        <v>8.98</v>
      </c>
      <c r="O184" s="2">
        <v>689598.0</v>
      </c>
      <c r="P184" s="2" t="s">
        <v>59</v>
      </c>
      <c r="Q184" s="2" t="s">
        <v>59</v>
      </c>
    </row>
    <row r="185">
      <c r="A185" s="40"/>
      <c r="B185" s="9"/>
      <c r="C185" s="9" t="s">
        <v>76</v>
      </c>
      <c r="D185" s="9" t="s">
        <v>48</v>
      </c>
      <c r="E185" s="9" t="s">
        <v>48</v>
      </c>
      <c r="F185" s="9" t="s">
        <v>48</v>
      </c>
      <c r="G185" s="2" t="s">
        <v>378</v>
      </c>
      <c r="J185" s="7">
        <v>46146.0</v>
      </c>
      <c r="L185" s="2" t="s">
        <v>38</v>
      </c>
      <c r="M185" s="2">
        <v>539275.0</v>
      </c>
      <c r="N185" s="8">
        <v>144.35</v>
      </c>
      <c r="O185" s="2">
        <v>689598.0</v>
      </c>
      <c r="P185" s="2" t="s">
        <v>59</v>
      </c>
      <c r="Q185" s="2" t="s">
        <v>59</v>
      </c>
    </row>
    <row r="186">
      <c r="A186" s="6">
        <v>46143.36941571759</v>
      </c>
      <c r="B186" s="2" t="s">
        <v>367</v>
      </c>
      <c r="C186" s="2" t="s">
        <v>368</v>
      </c>
      <c r="D186" s="2" t="s">
        <v>369</v>
      </c>
      <c r="E186" s="2" t="s">
        <v>41</v>
      </c>
      <c r="F186" s="2" t="s">
        <v>41</v>
      </c>
      <c r="G186" s="2" t="s">
        <v>370</v>
      </c>
      <c r="H186" s="2" t="s">
        <v>37</v>
      </c>
      <c r="J186" s="7">
        <v>46146.0</v>
      </c>
      <c r="L186" s="2" t="s">
        <v>38</v>
      </c>
      <c r="M186" s="2">
        <v>539275.0</v>
      </c>
      <c r="N186" s="8">
        <v>156.51</v>
      </c>
      <c r="O186" s="2">
        <v>689598.0</v>
      </c>
      <c r="P186" s="2" t="s">
        <v>43</v>
      </c>
      <c r="Q186" s="2" t="s">
        <v>43</v>
      </c>
    </row>
    <row r="187">
      <c r="A187" s="6"/>
      <c r="B187" s="2"/>
      <c r="C187" s="2" t="s">
        <v>53</v>
      </c>
      <c r="D187" s="9"/>
      <c r="E187" s="2" t="s">
        <v>41</v>
      </c>
      <c r="F187" s="2" t="s">
        <v>41</v>
      </c>
      <c r="G187" s="2" t="s">
        <v>374</v>
      </c>
      <c r="J187" s="7">
        <v>46146.0</v>
      </c>
      <c r="L187" s="2" t="s">
        <v>38</v>
      </c>
      <c r="M187" s="2">
        <v>539275.0</v>
      </c>
      <c r="N187" s="8">
        <v>14.82</v>
      </c>
      <c r="O187" s="2">
        <v>689598.0</v>
      </c>
      <c r="P187" s="2" t="s">
        <v>59</v>
      </c>
      <c r="Q187" s="2" t="s">
        <v>59</v>
      </c>
    </row>
    <row r="188">
      <c r="A188" s="2"/>
      <c r="B188" s="2"/>
      <c r="C188" s="2" t="s">
        <v>53</v>
      </c>
      <c r="D188" s="9"/>
      <c r="E188" s="2" t="s">
        <v>35</v>
      </c>
      <c r="F188" s="2" t="s">
        <v>35</v>
      </c>
      <c r="G188" s="2" t="s">
        <v>352</v>
      </c>
      <c r="J188" s="7">
        <v>46146.0</v>
      </c>
      <c r="L188" s="2" t="s">
        <v>38</v>
      </c>
      <c r="M188" s="2">
        <v>539275.0</v>
      </c>
      <c r="N188" s="8">
        <v>13.35</v>
      </c>
      <c r="O188" s="2">
        <v>689598.0</v>
      </c>
      <c r="P188" s="2" t="s">
        <v>59</v>
      </c>
      <c r="Q188" s="2" t="s">
        <v>59</v>
      </c>
    </row>
    <row r="189">
      <c r="A189" s="2"/>
      <c r="B189" s="2"/>
      <c r="C189" s="2" t="s">
        <v>53</v>
      </c>
      <c r="D189" s="9"/>
      <c r="E189" s="2" t="s">
        <v>35</v>
      </c>
      <c r="F189" s="2" t="s">
        <v>35</v>
      </c>
      <c r="G189" s="2" t="s">
        <v>353</v>
      </c>
      <c r="J189" s="7">
        <v>46146.0</v>
      </c>
      <c r="L189" s="2" t="s">
        <v>38</v>
      </c>
      <c r="M189" s="2">
        <v>539275.0</v>
      </c>
      <c r="N189" s="8">
        <v>13.3</v>
      </c>
      <c r="O189" s="2">
        <v>689598.0</v>
      </c>
      <c r="P189" s="2" t="s">
        <v>59</v>
      </c>
      <c r="Q189" s="2" t="s">
        <v>59</v>
      </c>
    </row>
    <row r="190">
      <c r="A190" s="6">
        <v>46144.470850949074</v>
      </c>
      <c r="B190" s="2"/>
      <c r="C190" s="2" t="s">
        <v>375</v>
      </c>
      <c r="D190" s="2">
        <v>2.012074643E9</v>
      </c>
      <c r="E190" s="2" t="s">
        <v>41</v>
      </c>
      <c r="F190" s="2" t="s">
        <v>41</v>
      </c>
      <c r="G190" s="2" t="s">
        <v>376</v>
      </c>
      <c r="J190" s="7">
        <v>46146.0</v>
      </c>
      <c r="L190" s="2" t="s">
        <v>38</v>
      </c>
      <c r="M190" s="2">
        <v>539275.0</v>
      </c>
      <c r="N190" s="8">
        <v>119.99</v>
      </c>
      <c r="O190" s="2">
        <v>689598.0</v>
      </c>
      <c r="P190" s="2" t="s">
        <v>43</v>
      </c>
      <c r="Q190" s="2" t="s">
        <v>43</v>
      </c>
    </row>
    <row r="191">
      <c r="A191" s="6"/>
      <c r="B191" s="2"/>
      <c r="C191" s="2" t="s">
        <v>53</v>
      </c>
      <c r="D191" s="9"/>
      <c r="E191" s="2" t="s">
        <v>41</v>
      </c>
      <c r="F191" s="2" t="s">
        <v>41</v>
      </c>
      <c r="G191" s="2" t="s">
        <v>377</v>
      </c>
      <c r="J191" s="7">
        <v>46146.0</v>
      </c>
      <c r="L191" s="2" t="s">
        <v>38</v>
      </c>
      <c r="M191" s="2">
        <v>539275.0</v>
      </c>
      <c r="N191" s="8">
        <v>113.91</v>
      </c>
      <c r="O191" s="2">
        <v>689598.0</v>
      </c>
      <c r="P191" s="2" t="s">
        <v>59</v>
      </c>
      <c r="Q191" s="2" t="s">
        <v>59</v>
      </c>
    </row>
    <row r="192">
      <c r="A192" s="6"/>
      <c r="B192" s="2"/>
      <c r="C192" s="2" t="s">
        <v>53</v>
      </c>
      <c r="D192" s="9"/>
      <c r="E192" s="2" t="s">
        <v>41</v>
      </c>
      <c r="F192" s="2" t="s">
        <v>41</v>
      </c>
      <c r="G192" s="2" t="s">
        <v>278</v>
      </c>
      <c r="J192" s="7">
        <v>46146.0</v>
      </c>
      <c r="L192" s="2" t="s">
        <v>38</v>
      </c>
      <c r="M192" s="2">
        <v>539275.0</v>
      </c>
      <c r="N192" s="8">
        <v>5.56</v>
      </c>
      <c r="O192" s="2">
        <v>689598.0</v>
      </c>
      <c r="P192" s="2" t="s">
        <v>59</v>
      </c>
      <c r="Q192" s="2" t="s">
        <v>59</v>
      </c>
    </row>
    <row r="193">
      <c r="A193" s="6"/>
      <c r="B193" s="2"/>
      <c r="C193" s="2" t="s">
        <v>53</v>
      </c>
      <c r="D193" s="9"/>
      <c r="E193" s="2" t="s">
        <v>41</v>
      </c>
      <c r="F193" s="2" t="s">
        <v>41</v>
      </c>
      <c r="G193" s="2" t="s">
        <v>380</v>
      </c>
      <c r="J193" s="7">
        <v>46146.0</v>
      </c>
      <c r="L193" s="2" t="s">
        <v>38</v>
      </c>
      <c r="M193" s="2">
        <v>539275.0</v>
      </c>
      <c r="N193" s="8">
        <v>12.3</v>
      </c>
      <c r="O193" s="2">
        <v>689598.0</v>
      </c>
      <c r="P193" s="2" t="s">
        <v>59</v>
      </c>
      <c r="Q193" s="2" t="s">
        <v>59</v>
      </c>
    </row>
    <row r="194">
      <c r="A194" s="2"/>
      <c r="B194" s="2"/>
      <c r="C194" s="2" t="s">
        <v>53</v>
      </c>
      <c r="D194" s="9"/>
      <c r="E194" s="2"/>
      <c r="F194" s="2"/>
      <c r="G194" s="2" t="s">
        <v>395</v>
      </c>
      <c r="J194" s="7">
        <v>46148.0</v>
      </c>
      <c r="L194" s="2" t="s">
        <v>347</v>
      </c>
      <c r="M194" s="2" t="s">
        <v>396</v>
      </c>
      <c r="N194" s="8">
        <v>95.4</v>
      </c>
      <c r="P194" s="2" t="s">
        <v>59</v>
      </c>
      <c r="Q194" s="2" t="s">
        <v>59</v>
      </c>
    </row>
    <row r="195">
      <c r="A195" s="2"/>
      <c r="B195" s="2"/>
      <c r="C195" s="2" t="s">
        <v>53</v>
      </c>
      <c r="D195" s="9"/>
      <c r="E195" s="2"/>
      <c r="F195" s="2"/>
      <c r="G195" s="2" t="s">
        <v>397</v>
      </c>
      <c r="J195" s="7">
        <v>46148.0</v>
      </c>
      <c r="L195" s="2" t="s">
        <v>347</v>
      </c>
      <c r="M195" s="2" t="s">
        <v>396</v>
      </c>
      <c r="N195" s="8">
        <v>95.4</v>
      </c>
      <c r="P195" s="2" t="s">
        <v>59</v>
      </c>
      <c r="Q195" s="2" t="s">
        <v>59</v>
      </c>
    </row>
    <row r="196">
      <c r="A196" s="6">
        <v>46138.4788596412</v>
      </c>
      <c r="B196" s="2" t="s">
        <v>367</v>
      </c>
      <c r="C196" s="2" t="s">
        <v>368</v>
      </c>
      <c r="D196" s="2" t="s">
        <v>369</v>
      </c>
      <c r="E196" s="2" t="s">
        <v>41</v>
      </c>
      <c r="F196" s="2" t="s">
        <v>41</v>
      </c>
      <c r="G196" s="2" t="s">
        <v>392</v>
      </c>
      <c r="H196" s="2" t="s">
        <v>37</v>
      </c>
      <c r="J196" s="7">
        <v>46153.0</v>
      </c>
      <c r="L196" s="2" t="s">
        <v>69</v>
      </c>
      <c r="M196" s="2">
        <v>5.00342291E8</v>
      </c>
      <c r="N196" s="8">
        <v>131.55</v>
      </c>
      <c r="O196" s="2" t="s">
        <v>139</v>
      </c>
    </row>
    <row r="197">
      <c r="A197" s="6"/>
      <c r="B197" s="2"/>
      <c r="C197" s="2" t="s">
        <v>400</v>
      </c>
      <c r="D197" s="9"/>
      <c r="E197" s="2" t="s">
        <v>41</v>
      </c>
      <c r="F197" s="2" t="s">
        <v>41</v>
      </c>
      <c r="G197" s="2" t="s">
        <v>328</v>
      </c>
      <c r="J197" s="7">
        <v>46153.0</v>
      </c>
      <c r="L197" s="2" t="s">
        <v>69</v>
      </c>
      <c r="M197" s="2">
        <v>5.00342291E8</v>
      </c>
      <c r="N197" s="8">
        <v>158.82</v>
      </c>
      <c r="O197" s="2"/>
      <c r="P197" s="2" t="s">
        <v>43</v>
      </c>
      <c r="Q197" s="2" t="s">
        <v>43</v>
      </c>
    </row>
    <row r="198">
      <c r="A198" s="6"/>
      <c r="B198" s="2"/>
      <c r="C198" s="2" t="s">
        <v>53</v>
      </c>
      <c r="D198" s="9"/>
      <c r="E198" s="9"/>
      <c r="F198" s="9"/>
      <c r="G198" s="2" t="s">
        <v>401</v>
      </c>
      <c r="H198" s="2"/>
      <c r="J198" s="7">
        <v>46153.0</v>
      </c>
      <c r="L198" s="2" t="s">
        <v>69</v>
      </c>
      <c r="M198" s="2">
        <v>5.00342291E8</v>
      </c>
      <c r="N198" s="8">
        <v>3.51</v>
      </c>
      <c r="O198" s="2"/>
      <c r="P198" s="2" t="s">
        <v>59</v>
      </c>
      <c r="Q198" s="2" t="s">
        <v>59</v>
      </c>
    </row>
    <row r="199">
      <c r="A199" s="6"/>
      <c r="B199" s="2"/>
      <c r="C199" s="2" t="s">
        <v>53</v>
      </c>
      <c r="D199" s="9"/>
      <c r="E199" s="9"/>
      <c r="F199" s="9"/>
      <c r="G199" s="2" t="s">
        <v>402</v>
      </c>
      <c r="J199" s="7">
        <v>46153.0</v>
      </c>
      <c r="L199" s="2" t="s">
        <v>69</v>
      </c>
      <c r="M199" s="2">
        <v>5.00342291E8</v>
      </c>
      <c r="N199" s="8">
        <v>7.0</v>
      </c>
      <c r="O199" s="2"/>
      <c r="P199" s="2" t="s">
        <v>59</v>
      </c>
      <c r="Q199" s="2" t="s">
        <v>59</v>
      </c>
    </row>
    <row r="200">
      <c r="A200" s="6"/>
      <c r="B200" s="2"/>
      <c r="C200" s="2" t="s">
        <v>53</v>
      </c>
      <c r="D200" s="9"/>
      <c r="E200" s="9"/>
      <c r="F200" s="9"/>
      <c r="G200" s="2" t="s">
        <v>403</v>
      </c>
      <c r="J200" s="7">
        <v>46153.0</v>
      </c>
      <c r="L200" s="2" t="s">
        <v>69</v>
      </c>
      <c r="M200" s="2">
        <v>5.00342291E8</v>
      </c>
      <c r="N200" s="8">
        <v>5.84</v>
      </c>
      <c r="O200" s="2"/>
      <c r="P200" s="2" t="s">
        <v>59</v>
      </c>
      <c r="Q200" s="2" t="s">
        <v>59</v>
      </c>
    </row>
    <row r="201">
      <c r="A201" s="6"/>
      <c r="B201" s="2"/>
      <c r="C201" s="2" t="s">
        <v>53</v>
      </c>
      <c r="D201" s="9"/>
      <c r="E201" s="9"/>
      <c r="F201" s="9"/>
      <c r="G201" s="2" t="s">
        <v>404</v>
      </c>
      <c r="J201" s="7">
        <v>46153.0</v>
      </c>
      <c r="L201" s="2" t="s">
        <v>69</v>
      </c>
      <c r="M201" s="2">
        <v>5.00342291E8</v>
      </c>
      <c r="N201" s="8">
        <v>0.99</v>
      </c>
      <c r="O201" s="2"/>
      <c r="P201" s="2" t="s">
        <v>59</v>
      </c>
      <c r="Q201" s="2" t="s">
        <v>59</v>
      </c>
    </row>
    <row r="202">
      <c r="A202" s="6"/>
      <c r="B202" s="2"/>
      <c r="C202" s="2" t="s">
        <v>53</v>
      </c>
      <c r="D202" s="9"/>
      <c r="E202" s="9"/>
      <c r="F202" s="9"/>
      <c r="G202" s="2" t="s">
        <v>405</v>
      </c>
      <c r="J202" s="7">
        <v>46153.0</v>
      </c>
      <c r="L202" s="2" t="s">
        <v>69</v>
      </c>
      <c r="M202" s="2">
        <v>5.00342291E8</v>
      </c>
      <c r="N202" s="8">
        <v>0.99</v>
      </c>
      <c r="O202" s="2"/>
      <c r="P202" s="2" t="s">
        <v>59</v>
      </c>
      <c r="Q202" s="2" t="s">
        <v>59</v>
      </c>
    </row>
    <row r="203">
      <c r="A203" s="6"/>
      <c r="B203" s="2"/>
      <c r="C203" s="2" t="s">
        <v>53</v>
      </c>
      <c r="D203" s="9"/>
      <c r="E203" s="9"/>
      <c r="F203" s="9"/>
      <c r="G203" s="2" t="s">
        <v>406</v>
      </c>
      <c r="J203" s="7">
        <v>46153.0</v>
      </c>
      <c r="L203" s="2" t="s">
        <v>69</v>
      </c>
      <c r="M203" s="2">
        <v>5.00342291E8</v>
      </c>
      <c r="N203" s="8">
        <v>0.99</v>
      </c>
      <c r="O203" s="2"/>
      <c r="P203" s="2" t="s">
        <v>59</v>
      </c>
      <c r="Q203" s="2" t="s">
        <v>59</v>
      </c>
    </row>
    <row r="204">
      <c r="A204" s="6"/>
      <c r="B204" s="2"/>
      <c r="C204" s="2" t="s">
        <v>53</v>
      </c>
      <c r="D204" s="9"/>
      <c r="E204" s="9"/>
      <c r="F204" s="9"/>
      <c r="G204" s="2" t="s">
        <v>407</v>
      </c>
      <c r="J204" s="7">
        <v>46153.0</v>
      </c>
      <c r="L204" s="2" t="s">
        <v>69</v>
      </c>
      <c r="M204" s="2">
        <v>5.00342291E8</v>
      </c>
      <c r="N204" s="8">
        <v>0.99</v>
      </c>
      <c r="O204" s="2"/>
      <c r="P204" s="2" t="s">
        <v>59</v>
      </c>
      <c r="Q204" s="2" t="s">
        <v>59</v>
      </c>
    </row>
    <row r="205">
      <c r="A205" s="6"/>
      <c r="B205" s="2"/>
      <c r="C205" s="2" t="s">
        <v>53</v>
      </c>
      <c r="D205" s="9"/>
      <c r="E205" s="9"/>
      <c r="F205" s="9"/>
      <c r="G205" s="2" t="s">
        <v>408</v>
      </c>
      <c r="J205" s="7">
        <v>46153.0</v>
      </c>
      <c r="L205" s="2" t="s">
        <v>69</v>
      </c>
      <c r="M205" s="2">
        <v>5.00342291E8</v>
      </c>
      <c r="N205" s="8">
        <v>0.99</v>
      </c>
      <c r="O205" s="2"/>
      <c r="P205" s="2" t="s">
        <v>59</v>
      </c>
      <c r="Q205" s="2" t="s">
        <v>59</v>
      </c>
    </row>
    <row r="206">
      <c r="A206" s="6"/>
      <c r="B206" s="2"/>
      <c r="C206" s="2" t="s">
        <v>53</v>
      </c>
      <c r="D206" s="9"/>
      <c r="E206" s="2" t="s">
        <v>41</v>
      </c>
      <c r="F206" s="2" t="s">
        <v>41</v>
      </c>
      <c r="G206" s="2" t="s">
        <v>409</v>
      </c>
      <c r="J206" s="7">
        <v>46153.0</v>
      </c>
      <c r="L206" s="2" t="s">
        <v>69</v>
      </c>
      <c r="M206" s="2">
        <v>5.00342291E8</v>
      </c>
      <c r="N206" s="8">
        <v>3.65</v>
      </c>
      <c r="O206" s="2"/>
      <c r="P206" s="2" t="s">
        <v>59</v>
      </c>
      <c r="Q206" s="2" t="s">
        <v>59</v>
      </c>
    </row>
    <row r="207">
      <c r="A207" s="6">
        <v>46150.849949062496</v>
      </c>
      <c r="B207" s="2"/>
      <c r="C207" s="2" t="s">
        <v>410</v>
      </c>
      <c r="D207" s="2">
        <v>5.708995409E9</v>
      </c>
      <c r="E207" s="2" t="s">
        <v>41</v>
      </c>
      <c r="F207" s="2" t="s">
        <v>41</v>
      </c>
      <c r="G207" s="2" t="s">
        <v>411</v>
      </c>
      <c r="J207" s="7">
        <v>46153.0</v>
      </c>
      <c r="L207" s="2" t="s">
        <v>69</v>
      </c>
      <c r="M207" s="2">
        <v>5.00342291E8</v>
      </c>
      <c r="N207" s="8">
        <v>152.47</v>
      </c>
      <c r="O207" s="2"/>
      <c r="P207" s="2" t="s">
        <v>43</v>
      </c>
      <c r="Q207" s="2" t="s">
        <v>43</v>
      </c>
    </row>
    <row r="208">
      <c r="A208" s="6"/>
      <c r="B208" s="2"/>
      <c r="C208" s="2" t="s">
        <v>76</v>
      </c>
      <c r="D208" s="9"/>
      <c r="E208" s="9"/>
      <c r="F208" s="9"/>
      <c r="G208" s="2" t="s">
        <v>393</v>
      </c>
      <c r="J208" s="7">
        <v>46153.0</v>
      </c>
      <c r="L208" s="2" t="s">
        <v>69</v>
      </c>
      <c r="M208" s="2">
        <v>5.00342291E8</v>
      </c>
      <c r="N208" s="8">
        <v>98.58</v>
      </c>
      <c r="O208" s="2"/>
      <c r="P208" s="2" t="s">
        <v>59</v>
      </c>
      <c r="Q208" s="2" t="s">
        <v>59</v>
      </c>
    </row>
    <row r="209">
      <c r="A209" s="6"/>
      <c r="B209" s="2"/>
      <c r="C209" s="2" t="s">
        <v>53</v>
      </c>
      <c r="D209" s="9"/>
      <c r="E209" s="2" t="s">
        <v>41</v>
      </c>
      <c r="F209" s="2" t="s">
        <v>41</v>
      </c>
      <c r="G209" s="2" t="s">
        <v>414</v>
      </c>
      <c r="J209" s="7">
        <v>46153.0</v>
      </c>
      <c r="L209" s="2" t="s">
        <v>69</v>
      </c>
      <c r="M209" s="2">
        <v>5.00342291E8</v>
      </c>
      <c r="N209" s="41"/>
      <c r="O209" s="2"/>
      <c r="P209" s="2" t="s">
        <v>59</v>
      </c>
      <c r="Q209" s="2" t="s">
        <v>59</v>
      </c>
    </row>
    <row r="210">
      <c r="A210" s="6"/>
      <c r="B210" s="2"/>
      <c r="C210" s="2" t="s">
        <v>415</v>
      </c>
      <c r="D210" s="2" t="s">
        <v>416</v>
      </c>
      <c r="E210" s="9"/>
      <c r="F210" s="9"/>
      <c r="G210" s="2" t="s">
        <v>417</v>
      </c>
      <c r="I210" s="2" t="s">
        <v>418</v>
      </c>
      <c r="J210" s="7">
        <v>46153.0</v>
      </c>
      <c r="L210" s="2" t="s">
        <v>69</v>
      </c>
      <c r="M210" s="2">
        <v>5.00342291E8</v>
      </c>
      <c r="N210" s="41"/>
      <c r="O210" s="2"/>
      <c r="P210" s="2" t="s">
        <v>43</v>
      </c>
      <c r="Q210" s="2" t="s">
        <v>43</v>
      </c>
    </row>
    <row r="211">
      <c r="A211" s="6">
        <v>46109.55904854166</v>
      </c>
      <c r="B211" s="2"/>
      <c r="C211" s="2" t="s">
        <v>388</v>
      </c>
      <c r="D211" s="2"/>
      <c r="E211" s="2" t="s">
        <v>35</v>
      </c>
      <c r="F211" s="2" t="s">
        <v>35</v>
      </c>
      <c r="G211" s="2" t="s">
        <v>389</v>
      </c>
      <c r="J211" s="7">
        <v>46153.0</v>
      </c>
      <c r="L211" s="2" t="s">
        <v>38</v>
      </c>
      <c r="M211" s="2">
        <v>540784.0</v>
      </c>
      <c r="N211" s="8">
        <v>42.47</v>
      </c>
      <c r="O211" s="2">
        <v>691314.0</v>
      </c>
      <c r="P211" s="2" t="s">
        <v>43</v>
      </c>
      <c r="Q211" s="2" t="s">
        <v>43</v>
      </c>
    </row>
    <row r="212">
      <c r="A212" s="6">
        <v>46148.00093534723</v>
      </c>
      <c r="B212" s="2" t="s">
        <v>419</v>
      </c>
      <c r="C212" s="2" t="s">
        <v>420</v>
      </c>
      <c r="D212" s="2" t="s">
        <v>421</v>
      </c>
      <c r="E212" s="2" t="s">
        <v>35</v>
      </c>
      <c r="F212" s="2" t="s">
        <v>35</v>
      </c>
      <c r="G212" s="2" t="s">
        <v>395</v>
      </c>
      <c r="H212" s="2" t="s">
        <v>48</v>
      </c>
      <c r="J212" s="7">
        <v>46153.0</v>
      </c>
      <c r="L212" s="2" t="s">
        <v>38</v>
      </c>
      <c r="M212" s="2">
        <v>540784.0</v>
      </c>
      <c r="N212" s="8">
        <v>101.7</v>
      </c>
      <c r="O212" s="2">
        <v>691314.0</v>
      </c>
      <c r="P212" s="2" t="s">
        <v>43</v>
      </c>
      <c r="Q212" s="2" t="s">
        <v>43</v>
      </c>
    </row>
    <row r="213">
      <c r="A213" s="6"/>
      <c r="B213" s="2"/>
      <c r="C213" s="2" t="s">
        <v>53</v>
      </c>
      <c r="D213" s="9"/>
      <c r="E213" s="2" t="s">
        <v>41</v>
      </c>
      <c r="F213" s="2" t="s">
        <v>41</v>
      </c>
      <c r="G213" s="2" t="s">
        <v>397</v>
      </c>
      <c r="J213" s="7">
        <v>46153.0</v>
      </c>
      <c r="L213" s="2" t="s">
        <v>38</v>
      </c>
      <c r="M213" s="2">
        <v>540784.0</v>
      </c>
      <c r="N213" s="8">
        <v>101.7</v>
      </c>
      <c r="O213" s="2">
        <v>691314.0</v>
      </c>
      <c r="P213" s="2" t="s">
        <v>59</v>
      </c>
      <c r="Q213" s="2" t="s">
        <v>59</v>
      </c>
    </row>
    <row r="214">
      <c r="A214" s="6"/>
      <c r="B214" s="2"/>
      <c r="C214" s="2" t="s">
        <v>53</v>
      </c>
      <c r="D214" s="9"/>
      <c r="E214" s="2" t="s">
        <v>41</v>
      </c>
      <c r="F214" s="2" t="s">
        <v>41</v>
      </c>
      <c r="G214" s="2" t="s">
        <v>422</v>
      </c>
      <c r="J214" s="7">
        <v>46153.0</v>
      </c>
      <c r="L214" s="2" t="s">
        <v>38</v>
      </c>
      <c r="M214" s="2">
        <v>540784.0</v>
      </c>
      <c r="N214" s="8">
        <v>156.51</v>
      </c>
      <c r="O214" s="2">
        <v>691314.0</v>
      </c>
      <c r="P214" s="2" t="s">
        <v>59</v>
      </c>
      <c r="Q214" s="2" t="s">
        <v>59</v>
      </c>
    </row>
    <row r="215">
      <c r="A215" s="6"/>
      <c r="B215" s="2"/>
      <c r="C215" s="2" t="s">
        <v>423</v>
      </c>
      <c r="D215" s="2" t="s">
        <v>424</v>
      </c>
      <c r="E215" s="2" t="s">
        <v>41</v>
      </c>
      <c r="F215" s="2" t="s">
        <v>41</v>
      </c>
      <c r="G215" s="2" t="s">
        <v>425</v>
      </c>
      <c r="I215" s="2" t="s">
        <v>426</v>
      </c>
      <c r="J215" s="7">
        <v>46153.0</v>
      </c>
      <c r="L215" s="2" t="s">
        <v>38</v>
      </c>
      <c r="M215" s="2">
        <v>540784.0</v>
      </c>
      <c r="N215" s="8">
        <v>70.16</v>
      </c>
      <c r="O215" s="2">
        <v>691314.0</v>
      </c>
    </row>
    <row r="216">
      <c r="A216" s="6"/>
      <c r="B216" s="2"/>
      <c r="C216" s="2" t="s">
        <v>53</v>
      </c>
      <c r="D216" s="9"/>
      <c r="E216" s="2" t="s">
        <v>41</v>
      </c>
      <c r="F216" s="2" t="s">
        <v>41</v>
      </c>
      <c r="G216" s="2" t="s">
        <v>427</v>
      </c>
      <c r="J216" s="7">
        <v>46153.0</v>
      </c>
      <c r="L216" s="2" t="s">
        <v>38</v>
      </c>
      <c r="M216" s="2">
        <v>540784.0</v>
      </c>
      <c r="N216" s="8">
        <v>13.3</v>
      </c>
      <c r="O216" s="2">
        <v>691314.0</v>
      </c>
      <c r="P216" s="2" t="s">
        <v>59</v>
      </c>
      <c r="Q216" s="2" t="s">
        <v>59</v>
      </c>
    </row>
    <row r="217">
      <c r="A217" s="6"/>
      <c r="B217" s="2"/>
      <c r="C217" s="2" t="s">
        <v>428</v>
      </c>
      <c r="D217" s="9"/>
      <c r="E217" s="2" t="s">
        <v>35</v>
      </c>
      <c r="F217" s="2" t="s">
        <v>35</v>
      </c>
      <c r="G217" s="2" t="s">
        <v>328</v>
      </c>
      <c r="J217" s="7">
        <v>46153.0</v>
      </c>
      <c r="L217" s="2" t="s">
        <v>38</v>
      </c>
      <c r="M217" s="2">
        <v>540784.0</v>
      </c>
      <c r="N217" s="8">
        <v>156.51</v>
      </c>
      <c r="O217" s="2">
        <v>691314.0</v>
      </c>
      <c r="P217" s="2" t="s">
        <v>43</v>
      </c>
      <c r="Q217" s="2" t="s">
        <v>43</v>
      </c>
    </row>
    <row r="218">
      <c r="A218" s="6"/>
      <c r="B218" s="2"/>
      <c r="C218" s="2" t="s">
        <v>53</v>
      </c>
      <c r="D218" s="9"/>
      <c r="E218" s="2" t="s">
        <v>64</v>
      </c>
      <c r="F218" s="2" t="s">
        <v>64</v>
      </c>
      <c r="G218" s="2" t="s">
        <v>430</v>
      </c>
      <c r="J218" s="7">
        <v>46153.0</v>
      </c>
      <c r="L218" s="2" t="s">
        <v>38</v>
      </c>
      <c r="M218" s="2">
        <v>540784.0</v>
      </c>
      <c r="N218" s="8">
        <v>99.28</v>
      </c>
      <c r="O218" s="2">
        <v>691314.0</v>
      </c>
      <c r="P218" s="2" t="s">
        <v>59</v>
      </c>
      <c r="Q218" s="2" t="s">
        <v>59</v>
      </c>
    </row>
    <row r="219">
      <c r="A219" s="6">
        <v>46155.88968626157</v>
      </c>
      <c r="B219" s="2" t="s">
        <v>431</v>
      </c>
      <c r="C219" s="2" t="s">
        <v>432</v>
      </c>
      <c r="D219" s="2" t="s">
        <v>433</v>
      </c>
      <c r="E219" s="2" t="s">
        <v>35</v>
      </c>
      <c r="F219" s="2" t="s">
        <v>35</v>
      </c>
      <c r="G219" s="2" t="s">
        <v>434</v>
      </c>
      <c r="H219" s="2" t="s">
        <v>435</v>
      </c>
      <c r="J219" s="7">
        <v>46163.0</v>
      </c>
      <c r="L219" s="2" t="s">
        <v>69</v>
      </c>
      <c r="M219" s="2">
        <v>5.00345236E8</v>
      </c>
      <c r="N219" s="8">
        <v>135.17</v>
      </c>
      <c r="P219" s="2" t="s">
        <v>436</v>
      </c>
      <c r="Q219" s="2" t="s">
        <v>436</v>
      </c>
    </row>
    <row r="220">
      <c r="A220" s="6">
        <v>46163.387692743054</v>
      </c>
      <c r="B220" s="2"/>
      <c r="C220" s="2" t="s">
        <v>437</v>
      </c>
      <c r="D220" s="2" t="s">
        <v>438</v>
      </c>
      <c r="E220" s="2" t="s">
        <v>41</v>
      </c>
      <c r="F220" s="2" t="s">
        <v>41</v>
      </c>
      <c r="G220" s="2" t="s">
        <v>439</v>
      </c>
      <c r="H220" s="2" t="s">
        <v>111</v>
      </c>
      <c r="J220" s="7">
        <v>46163.0</v>
      </c>
      <c r="L220" s="2" t="s">
        <v>69</v>
      </c>
      <c r="M220" s="2">
        <v>5.00345236E8</v>
      </c>
      <c r="N220" s="8">
        <v>42.95</v>
      </c>
      <c r="P220" s="2" t="s">
        <v>43</v>
      </c>
      <c r="Q220" s="2" t="s">
        <v>43</v>
      </c>
    </row>
    <row r="221">
      <c r="A221" s="6">
        <v>46163.388310821756</v>
      </c>
      <c r="B221" s="2"/>
      <c r="C221" s="2" t="s">
        <v>53</v>
      </c>
      <c r="D221" s="2"/>
      <c r="E221" s="2"/>
      <c r="F221" s="2"/>
      <c r="G221" s="2" t="s">
        <v>440</v>
      </c>
      <c r="H221" s="2"/>
      <c r="J221" s="7">
        <v>46163.0</v>
      </c>
      <c r="L221" s="2" t="s">
        <v>69</v>
      </c>
      <c r="M221" s="2">
        <v>5.00345236E8</v>
      </c>
      <c r="N221" s="8">
        <v>179.95</v>
      </c>
      <c r="P221" s="2" t="s">
        <v>59</v>
      </c>
      <c r="Q221" s="2" t="s">
        <v>59</v>
      </c>
    </row>
    <row r="222">
      <c r="A222" s="6">
        <v>46163.38909645833</v>
      </c>
      <c r="B222" s="2"/>
      <c r="C222" s="2" t="s">
        <v>442</v>
      </c>
      <c r="D222" s="2" t="s">
        <v>443</v>
      </c>
      <c r="E222" s="2" t="s">
        <v>41</v>
      </c>
      <c r="F222" s="2" t="s">
        <v>41</v>
      </c>
      <c r="G222" s="2" t="s">
        <v>444</v>
      </c>
      <c r="H222" s="2" t="s">
        <v>111</v>
      </c>
      <c r="J222" s="7">
        <v>46163.0</v>
      </c>
      <c r="L222" s="2" t="s">
        <v>69</v>
      </c>
      <c r="M222" s="2">
        <v>5.00345236E8</v>
      </c>
      <c r="N222" s="8">
        <v>42.95</v>
      </c>
      <c r="P222" s="2" t="s">
        <v>43</v>
      </c>
      <c r="Q222" s="2" t="s">
        <v>43</v>
      </c>
    </row>
    <row r="223">
      <c r="A223" s="6"/>
      <c r="B223" s="2"/>
      <c r="C223" s="2" t="s">
        <v>53</v>
      </c>
      <c r="D223" s="9"/>
      <c r="E223" s="2" t="s">
        <v>41</v>
      </c>
      <c r="F223" s="2" t="s">
        <v>41</v>
      </c>
      <c r="G223" s="2" t="s">
        <v>445</v>
      </c>
      <c r="J223" s="7">
        <v>46163.0</v>
      </c>
      <c r="L223" s="2" t="s">
        <v>69</v>
      </c>
      <c r="M223" s="2">
        <v>5.00345236E8</v>
      </c>
      <c r="N223" s="8">
        <v>4.38</v>
      </c>
      <c r="P223" s="2" t="s">
        <v>59</v>
      </c>
      <c r="Q223" s="2" t="s">
        <v>59</v>
      </c>
    </row>
    <row r="224">
      <c r="A224" s="6"/>
      <c r="B224" s="2"/>
      <c r="C224" s="2" t="s">
        <v>53</v>
      </c>
      <c r="D224" s="9"/>
      <c r="E224" s="9"/>
      <c r="F224" s="9"/>
      <c r="G224" s="2" t="s">
        <v>446</v>
      </c>
      <c r="J224" s="7">
        <v>46163.0</v>
      </c>
      <c r="L224" s="2" t="s">
        <v>69</v>
      </c>
      <c r="M224" s="2">
        <v>5.00345236E8</v>
      </c>
      <c r="N224" s="8">
        <v>0.99</v>
      </c>
      <c r="P224" s="2" t="s">
        <v>59</v>
      </c>
      <c r="Q224" s="2" t="s">
        <v>59</v>
      </c>
    </row>
    <row r="225">
      <c r="A225" s="6"/>
      <c r="B225" s="2"/>
      <c r="C225" s="2" t="s">
        <v>53</v>
      </c>
      <c r="D225" s="9"/>
      <c r="E225" s="9"/>
      <c r="F225" s="9"/>
      <c r="G225" s="2" t="s">
        <v>447</v>
      </c>
      <c r="J225" s="7">
        <v>46163.0</v>
      </c>
      <c r="L225" s="2" t="s">
        <v>69</v>
      </c>
      <c r="M225" s="2">
        <v>5.00345236E8</v>
      </c>
      <c r="N225" s="8">
        <v>0.99</v>
      </c>
      <c r="P225" s="2" t="s">
        <v>59</v>
      </c>
      <c r="Q225" s="2" t="s">
        <v>59</v>
      </c>
    </row>
    <row r="226">
      <c r="A226" s="6"/>
      <c r="B226" s="2"/>
      <c r="C226" s="2" t="s">
        <v>53</v>
      </c>
      <c r="D226" s="9"/>
      <c r="E226" s="9"/>
      <c r="F226" s="9"/>
      <c r="G226" s="9" t="s">
        <v>448</v>
      </c>
      <c r="J226" s="7">
        <v>46163.0</v>
      </c>
      <c r="L226" s="2" t="s">
        <v>69</v>
      </c>
      <c r="M226" s="2">
        <v>5.00345236E8</v>
      </c>
      <c r="N226" s="8">
        <v>0.99</v>
      </c>
      <c r="P226" s="2" t="s">
        <v>59</v>
      </c>
      <c r="Q226" s="2" t="s">
        <v>59</v>
      </c>
    </row>
    <row r="227">
      <c r="A227" s="6"/>
      <c r="B227" s="2"/>
      <c r="C227" s="2" t="s">
        <v>53</v>
      </c>
      <c r="D227" s="9"/>
      <c r="E227" s="9"/>
      <c r="F227" s="9"/>
      <c r="G227" s="2" t="s">
        <v>450</v>
      </c>
      <c r="J227" s="7">
        <v>46163.0</v>
      </c>
      <c r="L227" s="2" t="s">
        <v>69</v>
      </c>
      <c r="M227" s="2">
        <v>5.00345236E8</v>
      </c>
      <c r="N227" s="8">
        <v>0.99</v>
      </c>
      <c r="P227" s="2" t="s">
        <v>59</v>
      </c>
      <c r="Q227" s="2" t="s">
        <v>59</v>
      </c>
    </row>
    <row r="228">
      <c r="A228" s="6"/>
      <c r="B228" s="2"/>
      <c r="C228" s="2" t="s">
        <v>53</v>
      </c>
      <c r="D228" s="9"/>
      <c r="E228" s="9"/>
      <c r="F228" s="9"/>
      <c r="G228" s="9" t="s">
        <v>451</v>
      </c>
      <c r="J228" s="7">
        <v>46163.0</v>
      </c>
      <c r="L228" s="2" t="s">
        <v>69</v>
      </c>
      <c r="M228" s="2">
        <v>5.00345236E8</v>
      </c>
      <c r="N228" s="8">
        <v>0.99</v>
      </c>
      <c r="P228" s="2" t="s">
        <v>59</v>
      </c>
      <c r="Q228" s="2" t="s">
        <v>59</v>
      </c>
    </row>
    <row r="229">
      <c r="A229" s="6">
        <v>46156.76409275463</v>
      </c>
      <c r="B229" s="2"/>
      <c r="C229" s="2" t="s">
        <v>452</v>
      </c>
      <c r="D229" s="2">
        <v>5.707669618E9</v>
      </c>
      <c r="E229" s="2" t="s">
        <v>35</v>
      </c>
      <c r="F229" s="2" t="s">
        <v>35</v>
      </c>
      <c r="G229" s="2" t="s">
        <v>453</v>
      </c>
      <c r="J229" s="7">
        <v>46163.0</v>
      </c>
      <c r="L229" s="2" t="s">
        <v>38</v>
      </c>
      <c r="M229" s="2">
        <v>542481.0</v>
      </c>
      <c r="N229" s="8">
        <v>99.28</v>
      </c>
      <c r="O229" s="2">
        <v>693438.0</v>
      </c>
      <c r="P229" s="2" t="s">
        <v>43</v>
      </c>
      <c r="Q229" s="2" t="s">
        <v>43</v>
      </c>
    </row>
    <row r="230">
      <c r="A230" s="6">
        <v>46157.93300251158</v>
      </c>
      <c r="B230" s="2" t="s">
        <v>454</v>
      </c>
      <c r="C230" s="2" t="s">
        <v>455</v>
      </c>
      <c r="D230" s="2" t="s">
        <v>456</v>
      </c>
      <c r="E230" s="2" t="s">
        <v>41</v>
      </c>
      <c r="F230" s="2" t="s">
        <v>41</v>
      </c>
      <c r="G230" s="2" t="s">
        <v>458</v>
      </c>
      <c r="H230" s="2" t="s">
        <v>37</v>
      </c>
      <c r="J230" s="7">
        <v>46163.0</v>
      </c>
      <c r="L230" s="2" t="s">
        <v>38</v>
      </c>
      <c r="M230" s="2">
        <v>542481.0</v>
      </c>
      <c r="N230" s="8">
        <v>99.28</v>
      </c>
      <c r="O230" s="2">
        <v>693438.0</v>
      </c>
      <c r="P230" s="2" t="s">
        <v>43</v>
      </c>
      <c r="Q230" s="2" t="s">
        <v>43</v>
      </c>
    </row>
    <row r="231">
      <c r="A231" s="6"/>
      <c r="B231" s="2"/>
      <c r="C231" s="2" t="s">
        <v>459</v>
      </c>
      <c r="D231" s="9"/>
      <c r="E231" s="9"/>
      <c r="F231" s="9"/>
      <c r="G231" s="2" t="s">
        <v>461</v>
      </c>
      <c r="J231" s="7">
        <v>46163.0</v>
      </c>
      <c r="L231" s="2" t="s">
        <v>38</v>
      </c>
      <c r="M231" s="2">
        <v>542481.0</v>
      </c>
      <c r="N231" s="8">
        <v>107.83</v>
      </c>
      <c r="O231" s="2">
        <v>693438.0</v>
      </c>
      <c r="P231" s="2" t="s">
        <v>462</v>
      </c>
      <c r="Q231" s="2" t="s">
        <v>43</v>
      </c>
    </row>
    <row r="232">
      <c r="A232" s="6"/>
      <c r="B232" s="2"/>
      <c r="C232" s="2" t="s">
        <v>459</v>
      </c>
      <c r="D232" s="9"/>
      <c r="E232" s="9"/>
      <c r="F232" s="9"/>
      <c r="G232" s="2" t="s">
        <v>463</v>
      </c>
      <c r="J232" s="7">
        <v>46163.0</v>
      </c>
      <c r="L232" s="2" t="s">
        <v>38</v>
      </c>
      <c r="M232" s="2">
        <v>542481.0</v>
      </c>
      <c r="N232" s="8">
        <v>62.75</v>
      </c>
      <c r="O232" s="2">
        <v>693438.0</v>
      </c>
      <c r="P232" s="2" t="s">
        <v>462</v>
      </c>
      <c r="Q232" s="2" t="s">
        <v>43</v>
      </c>
    </row>
    <row r="233">
      <c r="A233" s="6">
        <v>46160.79397795138</v>
      </c>
      <c r="B233" s="2"/>
      <c r="C233" s="2" t="s">
        <v>412</v>
      </c>
      <c r="D233" s="2">
        <v>5.705505315E9</v>
      </c>
      <c r="E233" s="2" t="s">
        <v>41</v>
      </c>
      <c r="F233" s="2" t="s">
        <v>41</v>
      </c>
      <c r="G233" s="2" t="s">
        <v>465</v>
      </c>
      <c r="J233" s="7">
        <v>46163.0</v>
      </c>
      <c r="L233" s="2" t="s">
        <v>38</v>
      </c>
      <c r="M233" s="2">
        <v>542481.0</v>
      </c>
      <c r="N233" s="8">
        <v>160.17</v>
      </c>
      <c r="O233" s="2">
        <v>693438.0</v>
      </c>
      <c r="P233" s="2" t="s">
        <v>43</v>
      </c>
      <c r="Q233" s="2" t="s">
        <v>43</v>
      </c>
    </row>
    <row r="234">
      <c r="A234" s="6">
        <v>46160.81466672454</v>
      </c>
      <c r="B234" s="2" t="s">
        <v>466</v>
      </c>
      <c r="C234" s="2" t="s">
        <v>467</v>
      </c>
      <c r="D234" s="2" t="s">
        <v>468</v>
      </c>
      <c r="E234" s="2" t="s">
        <v>41</v>
      </c>
      <c r="F234" s="2" t="s">
        <v>41</v>
      </c>
      <c r="G234" s="2" t="s">
        <v>469</v>
      </c>
      <c r="H234" s="2" t="s">
        <v>111</v>
      </c>
      <c r="J234" s="7">
        <v>46163.0</v>
      </c>
      <c r="L234" s="2" t="s">
        <v>38</v>
      </c>
      <c r="M234" s="2">
        <v>542481.0</v>
      </c>
      <c r="N234" s="8">
        <v>119.99</v>
      </c>
      <c r="O234" s="2">
        <v>693438.0</v>
      </c>
      <c r="P234" s="2" t="s">
        <v>43</v>
      </c>
      <c r="Q234" s="2" t="s">
        <v>43</v>
      </c>
    </row>
    <row r="235">
      <c r="A235" s="6">
        <v>46133.84197887732</v>
      </c>
      <c r="B235" s="2" t="s">
        <v>107</v>
      </c>
      <c r="C235" s="2" t="s">
        <v>318</v>
      </c>
      <c r="D235" s="2" t="s">
        <v>319</v>
      </c>
      <c r="E235" s="2" t="s">
        <v>41</v>
      </c>
      <c r="F235" s="2" t="s">
        <v>41</v>
      </c>
      <c r="G235" s="2" t="s">
        <v>470</v>
      </c>
      <c r="H235" s="2" t="s">
        <v>48</v>
      </c>
      <c r="J235" s="7">
        <v>46163.0</v>
      </c>
      <c r="L235" s="2" t="s">
        <v>38</v>
      </c>
      <c r="M235" s="2">
        <v>542481.0</v>
      </c>
      <c r="N235" s="8">
        <v>32.19</v>
      </c>
      <c r="O235" s="2">
        <v>693438.0</v>
      </c>
      <c r="P235" s="2" t="s">
        <v>43</v>
      </c>
      <c r="Q235" s="2" t="s">
        <v>43</v>
      </c>
    </row>
    <row r="236">
      <c r="A236" s="6"/>
      <c r="B236" s="2"/>
      <c r="C236" s="2" t="s">
        <v>53</v>
      </c>
      <c r="D236" s="9"/>
      <c r="E236" s="2" t="s">
        <v>35</v>
      </c>
      <c r="F236" s="2" t="s">
        <v>35</v>
      </c>
      <c r="G236" s="2" t="s">
        <v>471</v>
      </c>
      <c r="J236" s="7">
        <v>46163.0</v>
      </c>
      <c r="L236" s="2" t="s">
        <v>38</v>
      </c>
      <c r="M236" s="2">
        <v>542481.0</v>
      </c>
      <c r="N236" s="8">
        <v>156.51</v>
      </c>
      <c r="O236" s="2">
        <v>693438.0</v>
      </c>
      <c r="P236" s="2" t="s">
        <v>462</v>
      </c>
      <c r="Q236" s="2" t="s">
        <v>462</v>
      </c>
    </row>
    <row r="237">
      <c r="A237" s="6"/>
      <c r="B237" s="2"/>
      <c r="C237" s="2" t="s">
        <v>53</v>
      </c>
      <c r="D237" s="9"/>
      <c r="E237" s="2" t="s">
        <v>35</v>
      </c>
      <c r="F237" s="2" t="s">
        <v>35</v>
      </c>
      <c r="G237" s="2" t="s">
        <v>335</v>
      </c>
      <c r="J237" s="7">
        <v>46163.0</v>
      </c>
      <c r="L237" s="2" t="s">
        <v>38</v>
      </c>
      <c r="M237" s="2">
        <v>542481.0</v>
      </c>
      <c r="N237" s="8">
        <v>156.51</v>
      </c>
      <c r="O237" s="2">
        <v>693438.0</v>
      </c>
      <c r="P237" s="2" t="s">
        <v>462</v>
      </c>
      <c r="Q237" s="2" t="s">
        <v>462</v>
      </c>
    </row>
    <row r="238">
      <c r="A238" s="6"/>
      <c r="B238" s="2"/>
      <c r="C238" s="2" t="s">
        <v>53</v>
      </c>
      <c r="D238" s="9"/>
      <c r="E238" s="2" t="s">
        <v>35</v>
      </c>
      <c r="F238" s="2" t="s">
        <v>35</v>
      </c>
      <c r="G238" s="2" t="s">
        <v>441</v>
      </c>
      <c r="J238" s="7">
        <v>46163.0</v>
      </c>
      <c r="L238" s="2" t="s">
        <v>38</v>
      </c>
      <c r="M238" s="2">
        <v>542481.0</v>
      </c>
      <c r="N238" s="8">
        <v>132.15</v>
      </c>
      <c r="O238" s="2">
        <v>693438.0</v>
      </c>
      <c r="P238" s="2" t="s">
        <v>462</v>
      </c>
      <c r="Q238" s="2" t="s">
        <v>462</v>
      </c>
    </row>
    <row r="239">
      <c r="A239" s="6"/>
      <c r="B239" s="2"/>
      <c r="C239" s="2" t="s">
        <v>53</v>
      </c>
      <c r="D239" s="9"/>
      <c r="E239" s="2" t="s">
        <v>35</v>
      </c>
      <c r="F239" s="2" t="s">
        <v>35</v>
      </c>
      <c r="G239" s="2" t="s">
        <v>422</v>
      </c>
      <c r="J239" s="7">
        <v>46163.0</v>
      </c>
      <c r="L239" s="2" t="s">
        <v>38</v>
      </c>
      <c r="M239" s="2">
        <v>542481.0</v>
      </c>
      <c r="N239" s="8">
        <v>156.51</v>
      </c>
      <c r="O239" s="2">
        <v>693438.0</v>
      </c>
      <c r="P239" s="2" t="s">
        <v>462</v>
      </c>
      <c r="Q239" s="2" t="s">
        <v>462</v>
      </c>
    </row>
    <row r="240">
      <c r="A240" s="6"/>
      <c r="B240" s="2"/>
      <c r="C240" s="2" t="s">
        <v>53</v>
      </c>
      <c r="D240" s="9"/>
      <c r="E240" s="2" t="s">
        <v>35</v>
      </c>
      <c r="F240" s="2" t="s">
        <v>35</v>
      </c>
      <c r="G240" s="2" t="s">
        <v>474</v>
      </c>
      <c r="J240" s="7">
        <v>46163.0</v>
      </c>
      <c r="L240" s="2" t="s">
        <v>38</v>
      </c>
      <c r="M240" s="2">
        <v>542481.0</v>
      </c>
      <c r="N240" s="8">
        <v>113.91</v>
      </c>
      <c r="O240" s="2">
        <v>693438.0</v>
      </c>
      <c r="P240" s="2" t="s">
        <v>462</v>
      </c>
      <c r="Q240" s="2" t="s">
        <v>462</v>
      </c>
    </row>
    <row r="241">
      <c r="A241" s="6"/>
      <c r="B241" s="2"/>
      <c r="C241" s="2" t="s">
        <v>53</v>
      </c>
      <c r="D241" s="9"/>
      <c r="E241" s="2" t="s">
        <v>35</v>
      </c>
      <c r="F241" s="2" t="s">
        <v>35</v>
      </c>
      <c r="G241" s="2" t="s">
        <v>328</v>
      </c>
      <c r="J241" s="7">
        <v>46163.0</v>
      </c>
      <c r="L241" s="2" t="s">
        <v>38</v>
      </c>
      <c r="M241" s="2">
        <v>542481.0</v>
      </c>
      <c r="N241" s="8">
        <v>156.51</v>
      </c>
      <c r="O241" s="2">
        <v>693438.0</v>
      </c>
      <c r="P241" s="2" t="s">
        <v>462</v>
      </c>
      <c r="Q241" s="2" t="s">
        <v>462</v>
      </c>
    </row>
    <row r="242">
      <c r="A242" s="6"/>
      <c r="B242" s="2"/>
      <c r="C242" s="2" t="s">
        <v>76</v>
      </c>
      <c r="D242" s="9"/>
      <c r="E242" s="9"/>
      <c r="F242" s="9"/>
      <c r="G242" s="2" t="s">
        <v>228</v>
      </c>
      <c r="J242" s="7">
        <v>46163.0</v>
      </c>
      <c r="L242" s="2" t="s">
        <v>38</v>
      </c>
      <c r="M242" s="2">
        <v>542481.0</v>
      </c>
      <c r="N242" s="8">
        <v>160.17</v>
      </c>
      <c r="O242" s="2">
        <v>693438.0</v>
      </c>
      <c r="P242" s="2" t="s">
        <v>43</v>
      </c>
      <c r="Q242" s="2" t="s">
        <v>43</v>
      </c>
    </row>
    <row r="243">
      <c r="A243" s="6"/>
      <c r="B243" s="2"/>
      <c r="C243" s="2" t="s">
        <v>53</v>
      </c>
      <c r="D243" s="9"/>
      <c r="E243" s="2" t="s">
        <v>35</v>
      </c>
      <c r="F243" s="2" t="s">
        <v>35</v>
      </c>
      <c r="G243" s="2" t="s">
        <v>228</v>
      </c>
      <c r="J243" s="7">
        <v>46163.0</v>
      </c>
      <c r="L243" s="2" t="s">
        <v>38</v>
      </c>
      <c r="M243" s="2">
        <v>542481.0</v>
      </c>
      <c r="N243" s="8">
        <v>160.17</v>
      </c>
      <c r="O243" s="2">
        <v>693438.0</v>
      </c>
      <c r="P243" s="2" t="s">
        <v>462</v>
      </c>
      <c r="Q243" s="2" t="s">
        <v>462</v>
      </c>
    </row>
    <row r="244">
      <c r="A244" s="6"/>
      <c r="B244" s="2"/>
      <c r="C244" s="2" t="s">
        <v>53</v>
      </c>
      <c r="D244" s="9"/>
      <c r="E244" s="2" t="s">
        <v>35</v>
      </c>
      <c r="F244" s="2" t="s">
        <v>35</v>
      </c>
      <c r="G244" s="2" t="s">
        <v>204</v>
      </c>
      <c r="J244" s="7">
        <v>46163.0</v>
      </c>
      <c r="L244" s="2" t="s">
        <v>38</v>
      </c>
      <c r="M244" s="2">
        <v>542481.0</v>
      </c>
      <c r="N244" s="8">
        <v>160.17</v>
      </c>
      <c r="O244" s="2">
        <v>693438.0</v>
      </c>
      <c r="P244" s="2" t="s">
        <v>462</v>
      </c>
      <c r="Q244" s="2" t="s">
        <v>462</v>
      </c>
    </row>
    <row r="245">
      <c r="A245" s="6"/>
      <c r="B245" s="2"/>
      <c r="C245" s="2" t="s">
        <v>53</v>
      </c>
      <c r="D245" s="9"/>
      <c r="E245" s="2" t="s">
        <v>35</v>
      </c>
      <c r="F245" s="2" t="s">
        <v>35</v>
      </c>
      <c r="G245" s="2" t="s">
        <v>478</v>
      </c>
      <c r="J245" s="7">
        <v>46163.0</v>
      </c>
      <c r="L245" s="2" t="s">
        <v>38</v>
      </c>
      <c r="M245" s="2">
        <v>542481.0</v>
      </c>
      <c r="N245" s="8">
        <v>160.17</v>
      </c>
      <c r="O245" s="2">
        <v>693438.0</v>
      </c>
      <c r="P245" s="2" t="s">
        <v>462</v>
      </c>
      <c r="Q245" s="2" t="s">
        <v>462</v>
      </c>
    </row>
    <row r="246">
      <c r="A246" s="6"/>
      <c r="B246" s="2"/>
      <c r="C246" s="2" t="s">
        <v>53</v>
      </c>
      <c r="D246" s="9"/>
      <c r="E246" s="2" t="s">
        <v>35</v>
      </c>
      <c r="F246" s="2" t="s">
        <v>35</v>
      </c>
      <c r="G246" s="2" t="s">
        <v>480</v>
      </c>
      <c r="J246" s="7">
        <v>46163.0</v>
      </c>
      <c r="L246" s="2" t="s">
        <v>38</v>
      </c>
      <c r="M246" s="2">
        <v>542481.0</v>
      </c>
      <c r="N246" s="8">
        <v>132.15</v>
      </c>
      <c r="O246" s="2">
        <v>693438.0</v>
      </c>
      <c r="P246" s="2" t="s">
        <v>462</v>
      </c>
      <c r="Q246" s="2" t="s">
        <v>462</v>
      </c>
    </row>
    <row r="247">
      <c r="A247" s="6"/>
      <c r="B247" s="2"/>
      <c r="C247" s="2" t="s">
        <v>53</v>
      </c>
      <c r="D247" s="9"/>
      <c r="E247" s="2" t="s">
        <v>35</v>
      </c>
      <c r="F247" s="2" t="s">
        <v>35</v>
      </c>
      <c r="G247" s="2" t="s">
        <v>481</v>
      </c>
      <c r="J247" s="7">
        <v>46163.0</v>
      </c>
      <c r="L247" s="2" t="s">
        <v>38</v>
      </c>
      <c r="M247" s="2">
        <v>542481.0</v>
      </c>
      <c r="N247" s="8">
        <v>141.88</v>
      </c>
      <c r="O247" s="2">
        <v>693438.0</v>
      </c>
      <c r="P247" s="2" t="s">
        <v>462</v>
      </c>
      <c r="Q247" s="2" t="s">
        <v>462</v>
      </c>
    </row>
    <row r="248">
      <c r="A248" s="6"/>
      <c r="B248" s="2"/>
      <c r="C248" s="2" t="s">
        <v>53</v>
      </c>
      <c r="D248" s="9"/>
      <c r="E248" s="2" t="s">
        <v>35</v>
      </c>
      <c r="F248" s="2" t="s">
        <v>35</v>
      </c>
      <c r="G248" s="2" t="s">
        <v>482</v>
      </c>
      <c r="J248" s="7">
        <v>46163.0</v>
      </c>
      <c r="L248" s="2" t="s">
        <v>38</v>
      </c>
      <c r="M248" s="2">
        <v>542481.0</v>
      </c>
      <c r="N248" s="8">
        <v>158.94</v>
      </c>
      <c r="O248" s="2">
        <v>693438.0</v>
      </c>
      <c r="P248" s="2" t="s">
        <v>462</v>
      </c>
      <c r="Q248" s="2" t="s">
        <v>462</v>
      </c>
    </row>
    <row r="249">
      <c r="A249" s="6"/>
      <c r="B249" s="2"/>
      <c r="C249" s="2" t="s">
        <v>53</v>
      </c>
      <c r="D249" s="9"/>
      <c r="E249" s="2" t="s">
        <v>35</v>
      </c>
      <c r="F249" s="2" t="s">
        <v>35</v>
      </c>
      <c r="G249" s="2" t="s">
        <v>483</v>
      </c>
      <c r="J249" s="7">
        <v>46163.0</v>
      </c>
      <c r="L249" s="2" t="s">
        <v>38</v>
      </c>
      <c r="M249" s="2">
        <v>542481.0</v>
      </c>
      <c r="N249" s="8">
        <v>60.9</v>
      </c>
      <c r="O249" s="2">
        <v>693438.0</v>
      </c>
      <c r="P249" s="2" t="s">
        <v>462</v>
      </c>
      <c r="Q249" s="2" t="s">
        <v>462</v>
      </c>
    </row>
    <row r="250">
      <c r="A250" s="6"/>
      <c r="B250" s="2"/>
      <c r="C250" s="2" t="s">
        <v>53</v>
      </c>
      <c r="D250" s="9"/>
      <c r="E250" s="2" t="s">
        <v>41</v>
      </c>
      <c r="F250" s="2" t="s">
        <v>41</v>
      </c>
      <c r="G250" s="2" t="s">
        <v>484</v>
      </c>
      <c r="J250" s="7">
        <v>46163.0</v>
      </c>
      <c r="L250" s="2" t="s">
        <v>38</v>
      </c>
      <c r="M250" s="2">
        <v>542481.0</v>
      </c>
      <c r="N250" s="8">
        <v>8.88</v>
      </c>
      <c r="O250" s="2">
        <v>693438.0</v>
      </c>
      <c r="P250" s="2" t="s">
        <v>462</v>
      </c>
      <c r="Q250" s="2" t="s">
        <v>462</v>
      </c>
    </row>
    <row r="251">
      <c r="A251" s="6"/>
      <c r="B251" s="2"/>
      <c r="C251" s="2" t="s">
        <v>53</v>
      </c>
      <c r="D251" s="9"/>
      <c r="E251" s="2" t="s">
        <v>41</v>
      </c>
      <c r="F251" s="2" t="s">
        <v>41</v>
      </c>
      <c r="G251" s="2" t="s">
        <v>485</v>
      </c>
      <c r="J251" s="7">
        <v>46163.0</v>
      </c>
      <c r="L251" s="2" t="s">
        <v>38</v>
      </c>
      <c r="M251" s="2">
        <v>542481.0</v>
      </c>
      <c r="N251" s="8">
        <v>8.98</v>
      </c>
      <c r="O251" s="2">
        <v>693438.0</v>
      </c>
      <c r="P251" s="2" t="s">
        <v>462</v>
      </c>
      <c r="Q251" s="2" t="s">
        <v>462</v>
      </c>
    </row>
    <row r="252">
      <c r="A252" s="6">
        <v>46163.43620964121</v>
      </c>
      <c r="B252" s="2"/>
      <c r="C252" s="2" t="s">
        <v>487</v>
      </c>
      <c r="D252" s="2">
        <v>2.722801383E9</v>
      </c>
      <c r="E252" s="2" t="s">
        <v>41</v>
      </c>
      <c r="F252" s="2" t="s">
        <v>41</v>
      </c>
      <c r="G252" s="2" t="s">
        <v>488</v>
      </c>
      <c r="J252" s="7">
        <v>46163.0</v>
      </c>
      <c r="L252" s="2" t="s">
        <v>38</v>
      </c>
      <c r="M252" s="2">
        <v>542481.0</v>
      </c>
      <c r="N252" s="8">
        <v>77.43</v>
      </c>
      <c r="O252" s="2">
        <v>693438.0</v>
      </c>
    </row>
    <row r="253">
      <c r="A253" s="6">
        <v>46163.43994135417</v>
      </c>
      <c r="B253" s="2"/>
      <c r="C253" s="2" t="s">
        <v>487</v>
      </c>
      <c r="D253" s="2">
        <v>2.722801383E9</v>
      </c>
      <c r="E253" s="2" t="s">
        <v>41</v>
      </c>
      <c r="F253" s="2" t="s">
        <v>489</v>
      </c>
      <c r="G253" s="2" t="s">
        <v>490</v>
      </c>
      <c r="J253" s="7">
        <v>46163.0</v>
      </c>
      <c r="L253" s="2" t="s">
        <v>38</v>
      </c>
      <c r="M253" s="2">
        <v>542481.0</v>
      </c>
      <c r="N253" s="8">
        <v>77.43</v>
      </c>
      <c r="O253" s="2">
        <v>693438.0</v>
      </c>
    </row>
    <row r="254">
      <c r="A254" s="6"/>
      <c r="B254" s="2"/>
      <c r="C254" s="2" t="s">
        <v>53</v>
      </c>
      <c r="D254" s="9"/>
      <c r="E254" s="9"/>
      <c r="F254" s="9"/>
      <c r="G254" s="2" t="s">
        <v>491</v>
      </c>
      <c r="J254" s="7">
        <v>46163.0</v>
      </c>
      <c r="L254" s="2" t="s">
        <v>38</v>
      </c>
      <c r="M254" s="2">
        <v>542481.0</v>
      </c>
      <c r="N254" s="8">
        <v>9.64</v>
      </c>
      <c r="O254" s="2">
        <v>693438.0</v>
      </c>
      <c r="P254" s="2" t="s">
        <v>59</v>
      </c>
      <c r="Q254" s="2" t="s">
        <v>59</v>
      </c>
    </row>
    <row r="255">
      <c r="A255" s="6">
        <v>46163.80731091435</v>
      </c>
      <c r="B255" s="2" t="s">
        <v>492</v>
      </c>
      <c r="C255" s="2" t="s">
        <v>493</v>
      </c>
      <c r="D255" s="2" t="s">
        <v>494</v>
      </c>
      <c r="E255" s="2" t="s">
        <v>41</v>
      </c>
      <c r="F255" s="2" t="s">
        <v>41</v>
      </c>
      <c r="G255" s="2" t="s">
        <v>495</v>
      </c>
      <c r="H255" s="2" t="s">
        <v>37</v>
      </c>
      <c r="I255" s="2" t="s">
        <v>496</v>
      </c>
      <c r="J255" s="7">
        <v>46168.0</v>
      </c>
      <c r="L255" s="2" t="s">
        <v>38</v>
      </c>
      <c r="M255" s="2">
        <v>543235.0</v>
      </c>
      <c r="N255" s="8">
        <v>114.0</v>
      </c>
      <c r="O255" s="2">
        <v>694277.0</v>
      </c>
      <c r="P255" s="2" t="s">
        <v>43</v>
      </c>
      <c r="Q255" s="2" t="s">
        <v>43</v>
      </c>
    </row>
    <row r="256">
      <c r="A256" s="6">
        <v>46163.80731091435</v>
      </c>
      <c r="B256" s="2" t="s">
        <v>492</v>
      </c>
      <c r="C256" s="2" t="s">
        <v>493</v>
      </c>
      <c r="D256" s="2" t="s">
        <v>494</v>
      </c>
      <c r="E256" s="2" t="s">
        <v>41</v>
      </c>
      <c r="F256" s="2" t="s">
        <v>41</v>
      </c>
      <c r="G256" s="2" t="s">
        <v>497</v>
      </c>
      <c r="H256" s="2" t="s">
        <v>37</v>
      </c>
      <c r="I256" s="2" t="s">
        <v>496</v>
      </c>
      <c r="J256" s="7">
        <v>46168.0</v>
      </c>
      <c r="L256" s="2" t="s">
        <v>38</v>
      </c>
      <c r="M256" s="2">
        <v>543235.0</v>
      </c>
      <c r="N256" s="8">
        <v>113.91</v>
      </c>
      <c r="O256" s="2">
        <v>694277.0</v>
      </c>
      <c r="P256" s="2" t="s">
        <v>43</v>
      </c>
      <c r="Q256" s="2" t="s">
        <v>43</v>
      </c>
    </row>
    <row r="257">
      <c r="A257" s="7">
        <v>46163.0</v>
      </c>
      <c r="B257" s="2"/>
      <c r="C257" s="2" t="s">
        <v>498</v>
      </c>
      <c r="D257" s="2" t="s">
        <v>499</v>
      </c>
      <c r="E257" s="2" t="s">
        <v>41</v>
      </c>
      <c r="F257" s="2" t="s">
        <v>41</v>
      </c>
      <c r="G257" s="2" t="s">
        <v>500</v>
      </c>
      <c r="H257" s="2" t="s">
        <v>37</v>
      </c>
      <c r="J257" s="7">
        <v>46168.0</v>
      </c>
      <c r="L257" s="2" t="s">
        <v>38</v>
      </c>
      <c r="M257" s="2">
        <v>543235.0</v>
      </c>
      <c r="N257" s="8">
        <v>101.7</v>
      </c>
      <c r="O257" s="2">
        <v>694277.0</v>
      </c>
      <c r="P257" s="2" t="s">
        <v>43</v>
      </c>
      <c r="Q257" s="2" t="s">
        <v>43</v>
      </c>
    </row>
    <row r="258">
      <c r="A258" s="6">
        <v>46165.3007641088</v>
      </c>
      <c r="B258" s="2" t="s">
        <v>502</v>
      </c>
      <c r="C258" s="2" t="s">
        <v>503</v>
      </c>
      <c r="D258" s="2">
        <v>5.703965895E9</v>
      </c>
      <c r="E258" s="2" t="s">
        <v>35</v>
      </c>
      <c r="F258" s="2" t="s">
        <v>35</v>
      </c>
      <c r="G258" s="2" t="s">
        <v>504</v>
      </c>
      <c r="H258" s="2" t="s">
        <v>37</v>
      </c>
      <c r="J258" s="7">
        <v>46168.0</v>
      </c>
      <c r="L258" s="2" t="s">
        <v>38</v>
      </c>
      <c r="M258" s="2">
        <v>543235.0</v>
      </c>
      <c r="N258" s="8">
        <v>74.58</v>
      </c>
      <c r="O258" s="2">
        <v>694277.0</v>
      </c>
      <c r="P258" s="2" t="s">
        <v>43</v>
      </c>
      <c r="Q258" s="2" t="s">
        <v>43</v>
      </c>
    </row>
    <row r="259">
      <c r="A259" s="6">
        <v>46166.618116516205</v>
      </c>
      <c r="B259" s="2" t="s">
        <v>505</v>
      </c>
      <c r="C259" s="2" t="s">
        <v>506</v>
      </c>
      <c r="D259" s="2" t="s">
        <v>507</v>
      </c>
      <c r="E259" s="2" t="s">
        <v>35</v>
      </c>
      <c r="F259" s="2" t="s">
        <v>35</v>
      </c>
      <c r="G259" s="2" t="s">
        <v>508</v>
      </c>
      <c r="H259" s="2" t="s">
        <v>37</v>
      </c>
      <c r="J259" s="7">
        <v>46168.0</v>
      </c>
      <c r="L259" s="2" t="s">
        <v>38</v>
      </c>
      <c r="M259" s="2">
        <v>543235.0</v>
      </c>
      <c r="N259" s="8">
        <v>50.11</v>
      </c>
      <c r="O259" s="2">
        <v>694277.0</v>
      </c>
      <c r="P259" s="2" t="s">
        <v>43</v>
      </c>
      <c r="Q259" s="2" t="s">
        <v>43</v>
      </c>
    </row>
    <row r="260">
      <c r="A260" s="6">
        <v>46166.824361527775</v>
      </c>
      <c r="B260" s="2"/>
      <c r="C260" s="2" t="s">
        <v>509</v>
      </c>
      <c r="D260" s="2">
        <v>5.708991592E9</v>
      </c>
      <c r="E260" s="2" t="s">
        <v>41</v>
      </c>
      <c r="F260" s="2" t="s">
        <v>41</v>
      </c>
      <c r="G260" s="2" t="s">
        <v>510</v>
      </c>
      <c r="J260" s="7">
        <v>46168.0</v>
      </c>
      <c r="L260" s="2" t="s">
        <v>38</v>
      </c>
      <c r="M260" s="2">
        <v>543235.0</v>
      </c>
      <c r="N260" s="8">
        <v>50.11</v>
      </c>
      <c r="O260" s="2">
        <v>694277.0</v>
      </c>
      <c r="P260" s="2" t="s">
        <v>43</v>
      </c>
      <c r="Q260" s="2" t="s">
        <v>43</v>
      </c>
    </row>
    <row r="261">
      <c r="A261" s="6"/>
      <c r="B261" s="2"/>
      <c r="C261" s="2" t="s">
        <v>511</v>
      </c>
      <c r="D261" s="9"/>
      <c r="E261" s="2" t="s">
        <v>35</v>
      </c>
      <c r="F261" s="2" t="s">
        <v>35</v>
      </c>
      <c r="G261" s="2" t="s">
        <v>512</v>
      </c>
      <c r="H261" s="2" t="s">
        <v>37</v>
      </c>
      <c r="J261" s="7">
        <v>46168.0</v>
      </c>
      <c r="L261" s="2" t="s">
        <v>38</v>
      </c>
      <c r="M261" s="2">
        <v>543235.0</v>
      </c>
      <c r="N261" s="8">
        <v>144.35</v>
      </c>
      <c r="O261" s="2">
        <v>694277.0</v>
      </c>
    </row>
    <row r="262">
      <c r="A262" s="6"/>
      <c r="B262" s="2"/>
      <c r="C262" s="2" t="s">
        <v>513</v>
      </c>
      <c r="D262" s="9"/>
      <c r="E262" s="2" t="s">
        <v>35</v>
      </c>
      <c r="F262" s="2" t="s">
        <v>35</v>
      </c>
      <c r="G262" s="2" t="s">
        <v>514</v>
      </c>
      <c r="H262" s="2" t="s">
        <v>37</v>
      </c>
      <c r="J262" s="7">
        <v>46168.0</v>
      </c>
      <c r="L262" s="2" t="s">
        <v>38</v>
      </c>
      <c r="M262" s="2">
        <v>543235.0</v>
      </c>
      <c r="N262" s="8">
        <v>160.17</v>
      </c>
      <c r="O262" s="2">
        <v>694277.0</v>
      </c>
      <c r="P262" s="2" t="s">
        <v>43</v>
      </c>
      <c r="Q262" s="2" t="s">
        <v>43</v>
      </c>
    </row>
    <row r="263">
      <c r="A263" s="6"/>
      <c r="B263" s="2"/>
      <c r="C263" s="2" t="s">
        <v>515</v>
      </c>
      <c r="D263" s="9"/>
      <c r="E263" s="2" t="s">
        <v>35</v>
      </c>
      <c r="F263" s="2" t="s">
        <v>35</v>
      </c>
      <c r="G263" s="2" t="s">
        <v>516</v>
      </c>
      <c r="J263" s="7">
        <v>46168.0</v>
      </c>
      <c r="L263" s="2" t="s">
        <v>38</v>
      </c>
      <c r="M263" s="2">
        <v>543235.0</v>
      </c>
      <c r="N263" s="8">
        <v>105.36</v>
      </c>
      <c r="O263" s="2">
        <v>694277.0</v>
      </c>
      <c r="P263" s="2" t="s">
        <v>43</v>
      </c>
      <c r="Q263" s="2" t="s">
        <v>43</v>
      </c>
    </row>
    <row r="264">
      <c r="A264" s="6">
        <v>46167.87032989583</v>
      </c>
      <c r="B264" s="2"/>
      <c r="C264" s="2" t="s">
        <v>517</v>
      </c>
      <c r="D264" s="2">
        <v>5.706872967E9</v>
      </c>
      <c r="E264" s="2" t="s">
        <v>35</v>
      </c>
      <c r="F264" s="2" t="s">
        <v>35</v>
      </c>
      <c r="G264" s="2" t="s">
        <v>518</v>
      </c>
      <c r="J264" s="7">
        <v>46168.0</v>
      </c>
      <c r="L264" s="2" t="s">
        <v>38</v>
      </c>
      <c r="M264" s="2">
        <v>543235.0</v>
      </c>
      <c r="N264" s="8">
        <v>99.28</v>
      </c>
      <c r="O264" s="2">
        <v>694277.0</v>
      </c>
      <c r="P264" s="2" t="s">
        <v>43</v>
      </c>
      <c r="Q264" s="2" t="s">
        <v>43</v>
      </c>
    </row>
    <row r="265">
      <c r="A265" s="6"/>
      <c r="B265" s="2"/>
      <c r="C265" s="2" t="s">
        <v>520</v>
      </c>
      <c r="D265" s="2" t="s">
        <v>274</v>
      </c>
      <c r="E265" s="2" t="s">
        <v>35</v>
      </c>
      <c r="F265" s="2" t="s">
        <v>35</v>
      </c>
      <c r="G265" s="2" t="s">
        <v>240</v>
      </c>
      <c r="I265" s="2" t="s">
        <v>521</v>
      </c>
      <c r="J265" s="7">
        <v>46168.0</v>
      </c>
      <c r="L265" s="2" t="s">
        <v>38</v>
      </c>
      <c r="M265" s="2">
        <v>543235.0</v>
      </c>
      <c r="N265" s="8">
        <v>99.28</v>
      </c>
      <c r="O265" s="2">
        <v>694277.0</v>
      </c>
      <c r="P265" s="2" t="s">
        <v>43</v>
      </c>
      <c r="Q265" s="2" t="s">
        <v>43</v>
      </c>
    </row>
    <row r="266">
      <c r="A266" s="6"/>
      <c r="B266" s="2"/>
      <c r="C266" s="2" t="s">
        <v>522</v>
      </c>
      <c r="D266" s="2"/>
      <c r="E266" s="2" t="s">
        <v>41</v>
      </c>
      <c r="F266" s="2" t="s">
        <v>41</v>
      </c>
      <c r="G266" s="2" t="s">
        <v>240</v>
      </c>
      <c r="I266" s="2"/>
      <c r="J266" s="7">
        <v>46168.0</v>
      </c>
      <c r="L266" s="2" t="s">
        <v>38</v>
      </c>
      <c r="M266" s="2">
        <v>543235.0</v>
      </c>
      <c r="N266" s="8">
        <v>99.28</v>
      </c>
      <c r="O266" s="2">
        <v>694277.0</v>
      </c>
      <c r="P266" s="2" t="s">
        <v>43</v>
      </c>
      <c r="Q266" s="2" t="s">
        <v>43</v>
      </c>
    </row>
    <row r="267">
      <c r="A267" s="6">
        <v>46168.55883858797</v>
      </c>
      <c r="B267" s="2"/>
      <c r="C267" s="2" t="s">
        <v>523</v>
      </c>
      <c r="D267" s="2">
        <v>2.67772437E9</v>
      </c>
      <c r="E267" s="2" t="s">
        <v>41</v>
      </c>
      <c r="F267" s="2" t="s">
        <v>41</v>
      </c>
      <c r="G267" s="2" t="s">
        <v>524</v>
      </c>
      <c r="J267" s="7">
        <v>46168.0</v>
      </c>
      <c r="L267" s="2" t="s">
        <v>38</v>
      </c>
      <c r="M267" s="2">
        <v>543235.0</v>
      </c>
      <c r="N267" s="8">
        <v>144.35</v>
      </c>
      <c r="O267" s="2">
        <v>694277.0</v>
      </c>
    </row>
    <row r="268">
      <c r="A268" s="6">
        <v>46168.5603122801</v>
      </c>
      <c r="B268" s="2"/>
      <c r="C268" s="2" t="s">
        <v>523</v>
      </c>
      <c r="D268" s="2">
        <v>2.67772437E9</v>
      </c>
      <c r="E268" s="2" t="s">
        <v>41</v>
      </c>
      <c r="F268" s="2" t="s">
        <v>41</v>
      </c>
      <c r="G268" s="2" t="s">
        <v>525</v>
      </c>
      <c r="J268" s="7">
        <v>46168.0</v>
      </c>
      <c r="L268" s="2" t="s">
        <v>38</v>
      </c>
      <c r="M268" s="2">
        <v>543235.0</v>
      </c>
      <c r="N268" s="8">
        <v>79.8</v>
      </c>
      <c r="O268" s="2">
        <v>694277.0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2" width="12.63"/>
    <col hidden="1" min="4" max="4" width="12.63"/>
    <col hidden="1" min="6" max="6" width="12.63"/>
    <col customWidth="1" min="7" max="7" width="39.25"/>
    <col hidden="1" min="8" max="9" width="12.63"/>
  </cols>
  <sheetData>
    <row r="1">
      <c r="A1" s="1" t="s">
        <v>10</v>
      </c>
      <c r="B1" s="1" t="s">
        <v>7</v>
      </c>
      <c r="C1" s="1" t="s">
        <v>11</v>
      </c>
      <c r="D1" s="1" t="s">
        <v>13</v>
      </c>
      <c r="E1" s="1" t="s">
        <v>15</v>
      </c>
      <c r="F1" s="1" t="s">
        <v>18</v>
      </c>
      <c r="G1" s="1" t="s">
        <v>20</v>
      </c>
      <c r="H1" s="2" t="s">
        <v>21</v>
      </c>
      <c r="I1" s="2" t="s">
        <v>22</v>
      </c>
      <c r="J1" s="2" t="s">
        <v>23</v>
      </c>
      <c r="K1" s="5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12</v>
      </c>
      <c r="Q1" s="2" t="s">
        <v>29</v>
      </c>
      <c r="R1" s="2" t="s">
        <v>30</v>
      </c>
      <c r="S1" s="2" t="s">
        <v>31</v>
      </c>
      <c r="T1" s="2" t="s">
        <v>32</v>
      </c>
    </row>
    <row r="2" hidden="1">
      <c r="A2" s="6">
        <v>46111.906016990746</v>
      </c>
      <c r="B2" s="2" t="s">
        <v>33</v>
      </c>
      <c r="C2" s="2" t="s">
        <v>34</v>
      </c>
      <c r="D2" s="2">
        <v>5.709779123E9</v>
      </c>
      <c r="E2" s="2" t="s">
        <v>35</v>
      </c>
      <c r="F2" s="2" t="s">
        <v>35</v>
      </c>
      <c r="G2" s="2" t="s">
        <v>36</v>
      </c>
      <c r="H2" s="2" t="s">
        <v>37</v>
      </c>
      <c r="J2" s="7">
        <v>46119.0</v>
      </c>
      <c r="K2" s="2"/>
      <c r="L2" s="2" t="s">
        <v>38</v>
      </c>
      <c r="M2" s="2">
        <v>533742.0</v>
      </c>
      <c r="N2" s="8">
        <v>114.0</v>
      </c>
      <c r="O2" s="2">
        <v>682647.0</v>
      </c>
    </row>
    <row r="3" hidden="1">
      <c r="A3" s="6">
        <v>46117.55326487268</v>
      </c>
      <c r="B3" s="2" t="s">
        <v>39</v>
      </c>
      <c r="C3" s="2" t="s">
        <v>40</v>
      </c>
      <c r="D3" s="2">
        <v>5.708928147E9</v>
      </c>
      <c r="E3" s="2" t="s">
        <v>41</v>
      </c>
      <c r="F3" s="2" t="s">
        <v>41</v>
      </c>
      <c r="G3" s="2" t="s">
        <v>42</v>
      </c>
      <c r="H3" s="2" t="s">
        <v>37</v>
      </c>
      <c r="J3" s="7">
        <v>46119.0</v>
      </c>
      <c r="L3" s="2" t="s">
        <v>38</v>
      </c>
      <c r="M3" s="2">
        <v>533742.0</v>
      </c>
      <c r="N3" s="8">
        <v>144.35</v>
      </c>
      <c r="O3" s="2">
        <v>682647.0</v>
      </c>
      <c r="P3" s="2" t="s">
        <v>43</v>
      </c>
      <c r="Q3" s="2" t="s">
        <v>43</v>
      </c>
    </row>
    <row r="4" hidden="1">
      <c r="A4" s="6">
        <v>46112.79126465278</v>
      </c>
      <c r="B4" s="2" t="s">
        <v>44</v>
      </c>
      <c r="C4" s="2" t="s">
        <v>45</v>
      </c>
      <c r="D4" s="2" t="s">
        <v>46</v>
      </c>
      <c r="E4" s="2" t="s">
        <v>41</v>
      </c>
      <c r="F4" s="2" t="s">
        <v>41</v>
      </c>
      <c r="G4" s="2" t="s">
        <v>47</v>
      </c>
      <c r="H4" s="2" t="s">
        <v>48</v>
      </c>
      <c r="J4" s="7">
        <v>46119.0</v>
      </c>
      <c r="L4" s="2" t="s">
        <v>38</v>
      </c>
      <c r="M4" s="2">
        <v>533742.0</v>
      </c>
      <c r="N4" s="8">
        <v>51.97</v>
      </c>
      <c r="O4" s="2">
        <v>682647.0</v>
      </c>
      <c r="P4" s="2" t="s">
        <v>43</v>
      </c>
      <c r="Q4" s="2" t="s">
        <v>43</v>
      </c>
    </row>
    <row r="5" hidden="1">
      <c r="A5" s="7">
        <v>46113.0</v>
      </c>
      <c r="B5" s="2"/>
      <c r="C5" s="2" t="s">
        <v>49</v>
      </c>
      <c r="D5" s="2" t="s">
        <v>50</v>
      </c>
      <c r="E5" s="9"/>
      <c r="F5" s="9"/>
      <c r="G5" s="2" t="s">
        <v>51</v>
      </c>
      <c r="H5" s="2" t="s">
        <v>37</v>
      </c>
      <c r="J5" s="7">
        <v>46119.0</v>
      </c>
      <c r="L5" s="2" t="s">
        <v>38</v>
      </c>
      <c r="M5" s="2">
        <v>533742.0</v>
      </c>
      <c r="N5" s="8">
        <v>114.0</v>
      </c>
      <c r="O5" s="2">
        <v>682647.0</v>
      </c>
      <c r="P5" s="2" t="s">
        <v>43</v>
      </c>
      <c r="Q5" s="2" t="s">
        <v>43</v>
      </c>
    </row>
    <row r="6" hidden="1">
      <c r="A6" s="6"/>
      <c r="B6" s="2"/>
      <c r="C6" s="2" t="s">
        <v>53</v>
      </c>
      <c r="D6" s="9"/>
      <c r="E6" s="9"/>
      <c r="F6" s="2" t="s">
        <v>41</v>
      </c>
      <c r="G6" s="2" t="s">
        <v>57</v>
      </c>
      <c r="J6" s="7">
        <v>46119.0</v>
      </c>
      <c r="L6" s="2" t="s">
        <v>38</v>
      </c>
      <c r="M6" s="2">
        <v>533742.0</v>
      </c>
      <c r="N6" s="8">
        <v>8.98</v>
      </c>
      <c r="O6" s="2">
        <v>682647.0</v>
      </c>
      <c r="P6" s="2" t="s">
        <v>59</v>
      </c>
      <c r="Q6" s="2" t="s">
        <v>59</v>
      </c>
    </row>
    <row r="7" hidden="1">
      <c r="A7" s="6"/>
      <c r="B7" s="2"/>
      <c r="C7" s="2" t="s">
        <v>53</v>
      </c>
      <c r="D7" s="9"/>
      <c r="E7" s="9"/>
      <c r="F7" s="2" t="s">
        <v>41</v>
      </c>
      <c r="G7" s="2" t="s">
        <v>61</v>
      </c>
      <c r="J7" s="7">
        <v>46119.0</v>
      </c>
      <c r="L7" s="2" t="s">
        <v>38</v>
      </c>
      <c r="M7" s="2">
        <v>533742.0</v>
      </c>
      <c r="N7" s="8">
        <v>42.47</v>
      </c>
      <c r="O7" s="2">
        <v>682647.0</v>
      </c>
      <c r="P7" s="2" t="s">
        <v>59</v>
      </c>
      <c r="Q7" s="2" t="s">
        <v>59</v>
      </c>
    </row>
    <row r="8" hidden="1">
      <c r="A8" s="6"/>
      <c r="B8" s="2"/>
      <c r="C8" s="2" t="s">
        <v>53</v>
      </c>
      <c r="D8" s="9"/>
      <c r="E8" s="2" t="s">
        <v>64</v>
      </c>
      <c r="F8" s="2" t="s">
        <v>64</v>
      </c>
      <c r="G8" s="2" t="s">
        <v>65</v>
      </c>
      <c r="J8" s="7">
        <v>46119.0</v>
      </c>
      <c r="L8" s="2" t="s">
        <v>38</v>
      </c>
      <c r="M8" s="2">
        <v>533742.0</v>
      </c>
      <c r="N8" s="8">
        <v>156.51</v>
      </c>
      <c r="O8" s="2">
        <v>682647.0</v>
      </c>
      <c r="P8" s="2" t="s">
        <v>59</v>
      </c>
      <c r="Q8" s="2" t="s">
        <v>59</v>
      </c>
    </row>
    <row r="9" hidden="1">
      <c r="A9" s="6"/>
      <c r="B9" s="2"/>
      <c r="C9" s="2" t="s">
        <v>53</v>
      </c>
      <c r="D9" s="9"/>
      <c r="E9" s="9"/>
      <c r="F9" s="9"/>
      <c r="G9" s="2" t="s">
        <v>68</v>
      </c>
      <c r="J9" s="7">
        <v>46119.0</v>
      </c>
      <c r="L9" s="2" t="s">
        <v>69</v>
      </c>
      <c r="M9" s="2">
        <v>5.00330489E8</v>
      </c>
      <c r="N9" s="8">
        <v>0.99</v>
      </c>
      <c r="O9" s="2">
        <v>8.00055784E8</v>
      </c>
      <c r="P9" s="2" t="s">
        <v>59</v>
      </c>
      <c r="Q9" s="2" t="s">
        <v>59</v>
      </c>
    </row>
    <row r="10" hidden="1">
      <c r="A10" s="6"/>
      <c r="B10" s="2"/>
      <c r="C10" s="2" t="s">
        <v>53</v>
      </c>
      <c r="D10" s="9"/>
      <c r="E10" s="9"/>
      <c r="F10" s="9"/>
      <c r="G10" s="2" t="s">
        <v>71</v>
      </c>
      <c r="J10" s="7">
        <v>46119.0</v>
      </c>
      <c r="L10" s="2" t="s">
        <v>69</v>
      </c>
      <c r="M10" s="2">
        <v>5.00330489E8</v>
      </c>
      <c r="N10" s="8">
        <v>0.99</v>
      </c>
      <c r="O10" s="2">
        <v>8.00055784E8</v>
      </c>
      <c r="P10" s="2" t="s">
        <v>59</v>
      </c>
      <c r="Q10" s="2" t="s">
        <v>59</v>
      </c>
    </row>
    <row r="11" hidden="1">
      <c r="A11" s="6"/>
      <c r="B11" s="2"/>
      <c r="C11" s="2" t="s">
        <v>53</v>
      </c>
      <c r="D11" s="9"/>
      <c r="E11" s="9"/>
      <c r="F11" s="9"/>
      <c r="G11" s="2" t="s">
        <v>72</v>
      </c>
      <c r="J11" s="7">
        <v>46119.0</v>
      </c>
      <c r="L11" s="2" t="s">
        <v>69</v>
      </c>
      <c r="M11" s="2">
        <v>5.00330489E8</v>
      </c>
      <c r="N11" s="8">
        <v>0.99</v>
      </c>
      <c r="O11" s="2">
        <v>8.00055784E8</v>
      </c>
      <c r="P11" s="2" t="s">
        <v>59</v>
      </c>
      <c r="Q11" s="2" t="s">
        <v>59</v>
      </c>
    </row>
    <row r="12" hidden="1">
      <c r="A12" s="6"/>
      <c r="B12" s="2"/>
      <c r="C12" s="2" t="s">
        <v>53</v>
      </c>
      <c r="D12" s="9"/>
      <c r="E12" s="9"/>
      <c r="F12" s="9"/>
      <c r="G12" s="2" t="s">
        <v>75</v>
      </c>
      <c r="J12" s="7">
        <v>46119.0</v>
      </c>
      <c r="L12" s="2" t="s">
        <v>69</v>
      </c>
      <c r="M12" s="2">
        <v>5.00330489E8</v>
      </c>
      <c r="N12" s="8">
        <v>0.99</v>
      </c>
      <c r="O12" s="2">
        <v>8.00055784E8</v>
      </c>
      <c r="P12" s="2" t="s">
        <v>59</v>
      </c>
      <c r="Q12" s="2" t="s">
        <v>59</v>
      </c>
    </row>
    <row r="13" hidden="1">
      <c r="A13" s="6"/>
      <c r="B13" s="2"/>
      <c r="C13" s="2" t="s">
        <v>53</v>
      </c>
      <c r="D13" s="9"/>
      <c r="E13" s="9"/>
      <c r="F13" s="9"/>
      <c r="G13" s="2" t="s">
        <v>78</v>
      </c>
      <c r="J13" s="7">
        <v>46119.0</v>
      </c>
      <c r="L13" s="2" t="s">
        <v>69</v>
      </c>
      <c r="M13" s="2">
        <v>5.00330489E8</v>
      </c>
      <c r="N13" s="8">
        <v>0.99</v>
      </c>
      <c r="O13" s="2">
        <v>8.00055784E8</v>
      </c>
      <c r="P13" s="2" t="s">
        <v>59</v>
      </c>
      <c r="Q13" s="2" t="s">
        <v>59</v>
      </c>
    </row>
    <row r="14" hidden="1">
      <c r="A14" s="6"/>
      <c r="B14" s="2"/>
      <c r="C14" s="2" t="s">
        <v>53</v>
      </c>
      <c r="D14" s="9"/>
      <c r="E14" s="9"/>
      <c r="F14" s="9"/>
      <c r="G14" s="2" t="s">
        <v>80</v>
      </c>
      <c r="J14" s="7">
        <v>46119.0</v>
      </c>
      <c r="L14" s="2" t="s">
        <v>69</v>
      </c>
      <c r="M14" s="2">
        <v>5.00330489E8</v>
      </c>
      <c r="N14" s="8">
        <v>0.99</v>
      </c>
      <c r="O14" s="2">
        <v>8.00055784E8</v>
      </c>
      <c r="P14" s="2" t="s">
        <v>59</v>
      </c>
      <c r="Q14" s="2" t="s">
        <v>59</v>
      </c>
    </row>
    <row r="15" hidden="1">
      <c r="A15" s="6"/>
      <c r="B15" s="2"/>
      <c r="C15" s="2" t="s">
        <v>53</v>
      </c>
      <c r="D15" s="9"/>
      <c r="E15" s="9"/>
      <c r="F15" s="9"/>
      <c r="G15" s="2" t="s">
        <v>83</v>
      </c>
      <c r="J15" s="7">
        <v>46119.0</v>
      </c>
      <c r="L15" s="2" t="s">
        <v>69</v>
      </c>
      <c r="M15" s="2">
        <v>5.00330489E8</v>
      </c>
      <c r="N15" s="8">
        <v>0.99</v>
      </c>
      <c r="O15" s="2">
        <v>8.00055784E8</v>
      </c>
      <c r="P15" s="2" t="s">
        <v>59</v>
      </c>
      <c r="Q15" s="2" t="s">
        <v>59</v>
      </c>
    </row>
    <row r="16" hidden="1">
      <c r="A16" s="6"/>
      <c r="B16" s="2"/>
      <c r="C16" s="2" t="s">
        <v>53</v>
      </c>
      <c r="D16" s="9"/>
      <c r="E16" s="9"/>
      <c r="F16" s="9"/>
      <c r="G16" s="2" t="s">
        <v>87</v>
      </c>
      <c r="J16" s="7">
        <v>46119.0</v>
      </c>
      <c r="L16" s="2" t="s">
        <v>69</v>
      </c>
      <c r="M16" s="2">
        <v>5.00330489E8</v>
      </c>
      <c r="N16" s="8">
        <v>0.99</v>
      </c>
      <c r="O16" s="2">
        <v>8.00055784E8</v>
      </c>
      <c r="P16" s="2" t="s">
        <v>59</v>
      </c>
      <c r="Q16" s="2" t="s">
        <v>59</v>
      </c>
    </row>
    <row r="17" hidden="1">
      <c r="A17" s="6"/>
      <c r="B17" s="2"/>
      <c r="C17" s="2" t="s">
        <v>53</v>
      </c>
      <c r="D17" s="9"/>
      <c r="E17" s="9"/>
      <c r="F17" s="9"/>
      <c r="G17" s="2" t="s">
        <v>89</v>
      </c>
      <c r="J17" s="7">
        <v>46119.0</v>
      </c>
      <c r="L17" s="2" t="s">
        <v>69</v>
      </c>
      <c r="M17" s="2">
        <v>5.00330489E8</v>
      </c>
      <c r="N17" s="8">
        <v>3.07</v>
      </c>
      <c r="O17" s="2">
        <v>8.00055784E8</v>
      </c>
      <c r="P17" s="2" t="s">
        <v>59</v>
      </c>
      <c r="Q17" s="2" t="s">
        <v>59</v>
      </c>
    </row>
    <row r="18" hidden="1">
      <c r="A18" s="6"/>
      <c r="B18" s="2"/>
      <c r="C18" s="2" t="s">
        <v>53</v>
      </c>
      <c r="D18" s="9"/>
      <c r="E18" s="9"/>
      <c r="F18" s="9"/>
      <c r="G18" s="2" t="s">
        <v>93</v>
      </c>
      <c r="J18" s="7">
        <v>46119.0</v>
      </c>
      <c r="L18" s="2" t="s">
        <v>69</v>
      </c>
      <c r="M18" s="2">
        <v>5.00330489E8</v>
      </c>
      <c r="N18" s="8">
        <v>0.99</v>
      </c>
      <c r="O18" s="2">
        <v>8.00055784E8</v>
      </c>
      <c r="P18" s="2" t="s">
        <v>59</v>
      </c>
      <c r="Q18" s="2" t="s">
        <v>59</v>
      </c>
    </row>
    <row r="19" hidden="1">
      <c r="A19" s="6"/>
      <c r="B19" s="2"/>
      <c r="C19" s="2" t="s">
        <v>53</v>
      </c>
      <c r="D19" s="9"/>
      <c r="E19" s="9"/>
      <c r="F19" s="9"/>
      <c r="G19" s="2" t="s">
        <v>96</v>
      </c>
      <c r="J19" s="7">
        <v>46119.0</v>
      </c>
      <c r="L19" s="2" t="s">
        <v>69</v>
      </c>
      <c r="M19" s="2">
        <v>5.00330489E8</v>
      </c>
      <c r="N19" s="8">
        <v>0.99</v>
      </c>
      <c r="O19" s="2">
        <v>8.00055784E8</v>
      </c>
      <c r="P19" s="2" t="s">
        <v>59</v>
      </c>
      <c r="Q19" s="2" t="s">
        <v>59</v>
      </c>
    </row>
    <row r="20" hidden="1">
      <c r="A20" s="6"/>
      <c r="B20" s="2"/>
      <c r="C20" s="2" t="s">
        <v>53</v>
      </c>
      <c r="D20" s="9"/>
      <c r="E20" s="9"/>
      <c r="F20" s="9"/>
      <c r="G20" s="2" t="s">
        <v>98</v>
      </c>
      <c r="J20" s="7">
        <v>46119.0</v>
      </c>
      <c r="L20" s="2" t="s">
        <v>69</v>
      </c>
      <c r="M20" s="2">
        <v>5.00330489E8</v>
      </c>
      <c r="N20" s="8">
        <v>0.99</v>
      </c>
      <c r="O20" s="2">
        <v>8.00055784E8</v>
      </c>
      <c r="P20" s="2" t="s">
        <v>59</v>
      </c>
      <c r="Q20" s="2" t="s">
        <v>59</v>
      </c>
    </row>
    <row r="21" hidden="1">
      <c r="A21" s="6"/>
      <c r="B21" s="2"/>
      <c r="C21" s="2" t="s">
        <v>53</v>
      </c>
      <c r="D21" s="2"/>
      <c r="E21" s="2"/>
      <c r="F21" s="2"/>
      <c r="G21" s="2" t="s">
        <v>99</v>
      </c>
      <c r="H21" s="2"/>
      <c r="J21" s="7">
        <v>46119.0</v>
      </c>
      <c r="L21" s="2" t="s">
        <v>69</v>
      </c>
      <c r="M21" s="2">
        <v>5.00330489E8</v>
      </c>
      <c r="N21" s="8">
        <v>9.86</v>
      </c>
      <c r="O21" s="2">
        <v>8.00055784E8</v>
      </c>
      <c r="P21" s="2" t="s">
        <v>59</v>
      </c>
      <c r="Q21" s="2" t="s">
        <v>59</v>
      </c>
    </row>
    <row r="22" hidden="1">
      <c r="A22" s="6"/>
      <c r="B22" s="2"/>
      <c r="C22" s="2" t="s">
        <v>53</v>
      </c>
      <c r="D22" s="9"/>
      <c r="E22" s="2"/>
      <c r="F22" s="2"/>
      <c r="G22" s="2" t="s">
        <v>100</v>
      </c>
      <c r="J22" s="7">
        <v>46119.0</v>
      </c>
      <c r="L22" s="2" t="s">
        <v>69</v>
      </c>
      <c r="M22" s="2">
        <v>5.00330489E8</v>
      </c>
      <c r="N22" s="8">
        <v>7.6</v>
      </c>
      <c r="O22" s="2">
        <v>8.00055784E8</v>
      </c>
      <c r="P22" s="2" t="s">
        <v>59</v>
      </c>
      <c r="Q22" s="2" t="s">
        <v>59</v>
      </c>
    </row>
    <row r="23" hidden="1">
      <c r="A23" s="6"/>
      <c r="B23" s="2"/>
      <c r="C23" s="2" t="s">
        <v>53</v>
      </c>
      <c r="D23" s="9"/>
      <c r="E23" s="2" t="s">
        <v>41</v>
      </c>
      <c r="F23" s="2"/>
      <c r="G23" s="2" t="s">
        <v>102</v>
      </c>
      <c r="J23" s="7">
        <v>46119.0</v>
      </c>
      <c r="L23" s="2" t="s">
        <v>69</v>
      </c>
      <c r="M23" s="2">
        <v>5.00330489E8</v>
      </c>
      <c r="N23" s="8">
        <v>158.82</v>
      </c>
      <c r="O23" s="2">
        <v>8.00055784E8</v>
      </c>
      <c r="P23" s="2" t="s">
        <v>59</v>
      </c>
      <c r="Q23" s="2" t="s">
        <v>59</v>
      </c>
    </row>
    <row r="24" hidden="1">
      <c r="A24" s="6"/>
      <c r="B24" s="2"/>
      <c r="C24" s="2" t="s">
        <v>53</v>
      </c>
      <c r="D24" s="9"/>
      <c r="E24" s="2" t="s">
        <v>64</v>
      </c>
      <c r="F24" s="2" t="s">
        <v>64</v>
      </c>
      <c r="G24" s="2" t="s">
        <v>103</v>
      </c>
      <c r="J24" s="7">
        <v>46122.0</v>
      </c>
      <c r="L24" s="2" t="s">
        <v>69</v>
      </c>
      <c r="M24" s="2">
        <v>5.00332009E8</v>
      </c>
      <c r="N24" s="8">
        <v>152.47</v>
      </c>
      <c r="O24" s="2">
        <v>8.00056067E8</v>
      </c>
      <c r="P24" s="2" t="s">
        <v>59</v>
      </c>
      <c r="Q24" s="2" t="s">
        <v>59</v>
      </c>
    </row>
    <row r="25" hidden="1">
      <c r="A25" s="6">
        <v>46121.76347034722</v>
      </c>
      <c r="B25" s="2" t="s">
        <v>104</v>
      </c>
      <c r="C25" s="2" t="s">
        <v>105</v>
      </c>
      <c r="D25" s="2">
        <v>5.702308042E9</v>
      </c>
      <c r="E25" s="2" t="s">
        <v>35</v>
      </c>
      <c r="F25" s="2" t="s">
        <v>35</v>
      </c>
      <c r="G25" s="2" t="s">
        <v>106</v>
      </c>
      <c r="H25" s="2" t="s">
        <v>37</v>
      </c>
      <c r="J25" s="7">
        <v>46122.0</v>
      </c>
      <c r="L25" s="2" t="s">
        <v>69</v>
      </c>
      <c r="M25" s="2">
        <v>5.00332009E8</v>
      </c>
      <c r="N25" s="8">
        <v>152.47</v>
      </c>
      <c r="O25" s="2">
        <v>8.00056067E8</v>
      </c>
      <c r="P25" s="2" t="s">
        <v>43</v>
      </c>
      <c r="Q25" s="2" t="s">
        <v>43</v>
      </c>
    </row>
    <row r="26" hidden="1">
      <c r="A26" s="6">
        <v>46120.656065347226</v>
      </c>
      <c r="B26" s="2" t="s">
        <v>107</v>
      </c>
      <c r="C26" s="2" t="s">
        <v>108</v>
      </c>
      <c r="D26" s="2" t="s">
        <v>109</v>
      </c>
      <c r="E26" s="2" t="s">
        <v>41</v>
      </c>
      <c r="F26" s="2" t="s">
        <v>41</v>
      </c>
      <c r="G26" s="2" t="s">
        <v>110</v>
      </c>
      <c r="H26" s="2" t="s">
        <v>111</v>
      </c>
      <c r="J26" s="7">
        <v>46122.0</v>
      </c>
      <c r="L26" s="2" t="s">
        <v>69</v>
      </c>
      <c r="M26" s="2">
        <v>5.00332009E8</v>
      </c>
      <c r="N26" s="8">
        <v>158.82</v>
      </c>
      <c r="O26" s="2">
        <v>8.00056067E8</v>
      </c>
      <c r="P26" s="2" t="s">
        <v>43</v>
      </c>
      <c r="Q26" s="2" t="s">
        <v>43</v>
      </c>
    </row>
    <row r="27" hidden="1">
      <c r="A27" s="6">
        <v>46118.76351092593</v>
      </c>
      <c r="B27" s="2"/>
      <c r="C27" s="2" t="s">
        <v>112</v>
      </c>
      <c r="D27" s="2"/>
      <c r="E27" s="2" t="s">
        <v>35</v>
      </c>
      <c r="F27" s="2" t="s">
        <v>35</v>
      </c>
      <c r="G27" s="2" t="s">
        <v>113</v>
      </c>
      <c r="H27" s="2" t="s">
        <v>114</v>
      </c>
      <c r="J27" s="7">
        <v>46122.0</v>
      </c>
      <c r="L27" s="2" t="s">
        <v>38</v>
      </c>
      <c r="M27" s="2">
        <v>534611.0</v>
      </c>
      <c r="N27" s="8">
        <v>60.9</v>
      </c>
      <c r="O27" s="2">
        <v>683834.0</v>
      </c>
      <c r="P27" s="2" t="s">
        <v>43</v>
      </c>
      <c r="Q27" s="2" t="s">
        <v>43</v>
      </c>
    </row>
    <row r="28" hidden="1">
      <c r="A28" s="6"/>
      <c r="B28" s="2"/>
      <c r="C28" s="2" t="s">
        <v>115</v>
      </c>
      <c r="D28" s="2" t="s">
        <v>116</v>
      </c>
      <c r="E28" s="2" t="s">
        <v>41</v>
      </c>
      <c r="F28" s="2" t="s">
        <v>41</v>
      </c>
      <c r="G28" s="2" t="s">
        <v>117</v>
      </c>
      <c r="I28" s="2" t="s">
        <v>118</v>
      </c>
      <c r="J28" s="7">
        <v>46122.0</v>
      </c>
      <c r="L28" s="2" t="s">
        <v>38</v>
      </c>
      <c r="M28" s="2">
        <v>534611.0</v>
      </c>
      <c r="N28" s="8">
        <v>50.11</v>
      </c>
      <c r="O28" s="2">
        <v>683834.0</v>
      </c>
      <c r="P28" s="2" t="s">
        <v>43</v>
      </c>
      <c r="Q28" s="2" t="s">
        <v>43</v>
      </c>
    </row>
    <row r="29" hidden="1">
      <c r="A29" s="6"/>
      <c r="B29" s="2"/>
      <c r="C29" s="2" t="s">
        <v>115</v>
      </c>
      <c r="D29" s="2" t="s">
        <v>116</v>
      </c>
      <c r="E29" s="2" t="s">
        <v>41</v>
      </c>
      <c r="F29" s="2" t="s">
        <v>41</v>
      </c>
      <c r="G29" s="2" t="s">
        <v>119</v>
      </c>
      <c r="I29" s="2" t="s">
        <v>121</v>
      </c>
      <c r="J29" s="7">
        <v>46122.0</v>
      </c>
      <c r="L29" s="2" t="s">
        <v>38</v>
      </c>
      <c r="M29" s="2">
        <v>534611.0</v>
      </c>
      <c r="N29" s="8">
        <v>42.47</v>
      </c>
      <c r="O29" s="2">
        <v>683834.0</v>
      </c>
      <c r="P29" s="2" t="s">
        <v>43</v>
      </c>
      <c r="Q29" s="2" t="s">
        <v>43</v>
      </c>
    </row>
    <row r="30" hidden="1">
      <c r="A30" s="6"/>
      <c r="B30" s="2"/>
      <c r="C30" s="2" t="s">
        <v>53</v>
      </c>
      <c r="D30" s="9"/>
      <c r="E30" s="2" t="s">
        <v>64</v>
      </c>
      <c r="F30" s="2" t="s">
        <v>64</v>
      </c>
      <c r="G30" s="2" t="s">
        <v>122</v>
      </c>
      <c r="J30" s="7">
        <v>46122.0</v>
      </c>
      <c r="L30" s="2" t="s">
        <v>38</v>
      </c>
      <c r="M30" s="2">
        <v>534611.0</v>
      </c>
      <c r="N30" s="8">
        <v>132.15</v>
      </c>
      <c r="O30" s="2">
        <v>683834.0</v>
      </c>
      <c r="P30" s="2" t="s">
        <v>59</v>
      </c>
      <c r="Q30" s="2" t="s">
        <v>59</v>
      </c>
    </row>
    <row r="31" hidden="1">
      <c r="A31" s="6">
        <v>46120.65522226851</v>
      </c>
      <c r="B31" s="2" t="s">
        <v>107</v>
      </c>
      <c r="C31" s="2" t="s">
        <v>123</v>
      </c>
      <c r="D31" s="2" t="s">
        <v>124</v>
      </c>
      <c r="E31" s="2" t="s">
        <v>41</v>
      </c>
      <c r="F31" s="2" t="s">
        <v>41</v>
      </c>
      <c r="G31" s="2" t="s">
        <v>125</v>
      </c>
      <c r="H31" s="2" t="s">
        <v>37</v>
      </c>
      <c r="J31" s="7">
        <v>46122.0</v>
      </c>
      <c r="L31" s="2" t="s">
        <v>38</v>
      </c>
      <c r="M31" s="2">
        <v>534611.0</v>
      </c>
      <c r="N31" s="8">
        <v>113.91</v>
      </c>
      <c r="O31" s="2">
        <v>683834.0</v>
      </c>
      <c r="P31" s="2" t="s">
        <v>43</v>
      </c>
      <c r="Q31" s="2" t="s">
        <v>43</v>
      </c>
      <c r="R31" s="2"/>
      <c r="S31" s="2"/>
      <c r="T31" s="2"/>
    </row>
    <row r="32" hidden="1">
      <c r="A32" s="6"/>
      <c r="B32" s="2"/>
      <c r="C32" s="2" t="s">
        <v>53</v>
      </c>
      <c r="D32" s="9"/>
      <c r="E32" s="2" t="s">
        <v>35</v>
      </c>
      <c r="F32" s="2" t="s">
        <v>35</v>
      </c>
      <c r="G32" s="2" t="s">
        <v>126</v>
      </c>
      <c r="J32" s="7">
        <v>46122.0</v>
      </c>
      <c r="L32" s="2" t="s">
        <v>38</v>
      </c>
      <c r="M32" s="2">
        <v>534611.0</v>
      </c>
      <c r="N32" s="8">
        <v>99.28</v>
      </c>
      <c r="O32" s="2">
        <v>683834.0</v>
      </c>
      <c r="P32" s="2" t="s">
        <v>59</v>
      </c>
      <c r="Q32" s="2" t="s">
        <v>59</v>
      </c>
    </row>
    <row r="33" hidden="1">
      <c r="A33" s="6">
        <v>46121.838101932866</v>
      </c>
      <c r="B33" s="2" t="s">
        <v>128</v>
      </c>
      <c r="C33" s="2" t="s">
        <v>129</v>
      </c>
      <c r="D33" s="2"/>
      <c r="E33" s="2" t="s">
        <v>41</v>
      </c>
      <c r="F33" s="2" t="s">
        <v>41</v>
      </c>
      <c r="G33" s="2" t="s">
        <v>130</v>
      </c>
      <c r="H33" s="2" t="s">
        <v>111</v>
      </c>
      <c r="J33" s="7">
        <v>46122.0</v>
      </c>
      <c r="L33" s="2" t="s">
        <v>38</v>
      </c>
      <c r="M33" s="2">
        <v>534611.0</v>
      </c>
      <c r="N33" s="8">
        <v>99.28</v>
      </c>
      <c r="O33" s="2">
        <v>683834.0</v>
      </c>
      <c r="P33" s="2" t="s">
        <v>43</v>
      </c>
      <c r="Q33" s="2" t="s">
        <v>43</v>
      </c>
    </row>
    <row r="34" hidden="1">
      <c r="A34" s="6">
        <v>46121.850088935185</v>
      </c>
      <c r="B34" s="2"/>
      <c r="C34" s="2" t="s">
        <v>53</v>
      </c>
      <c r="D34" s="2"/>
      <c r="E34" s="2" t="s">
        <v>41</v>
      </c>
      <c r="F34" s="2" t="s">
        <v>41</v>
      </c>
      <c r="G34" s="2" t="s">
        <v>131</v>
      </c>
      <c r="H34" s="2"/>
      <c r="J34" s="7">
        <v>46122.0</v>
      </c>
      <c r="L34" s="2" t="s">
        <v>38</v>
      </c>
      <c r="M34" s="2">
        <v>534611.0</v>
      </c>
      <c r="N34" s="8">
        <v>99.28</v>
      </c>
      <c r="O34" s="2">
        <v>683834.0</v>
      </c>
      <c r="P34" s="2" t="s">
        <v>59</v>
      </c>
      <c r="Q34" s="2" t="s">
        <v>59</v>
      </c>
    </row>
    <row r="35" hidden="1">
      <c r="A35" s="6"/>
      <c r="B35" s="2"/>
      <c r="C35" s="2" t="s">
        <v>53</v>
      </c>
      <c r="D35" s="9"/>
      <c r="E35" s="2" t="s">
        <v>64</v>
      </c>
      <c r="F35" s="2" t="s">
        <v>64</v>
      </c>
      <c r="G35" s="2" t="s">
        <v>132</v>
      </c>
      <c r="I35" s="2"/>
      <c r="J35" s="7">
        <v>46125.0</v>
      </c>
      <c r="L35" s="2" t="s">
        <v>38</v>
      </c>
      <c r="M35" s="2">
        <v>535239.0</v>
      </c>
      <c r="N35" s="8">
        <v>144.35</v>
      </c>
      <c r="O35" s="2" t="s">
        <v>139</v>
      </c>
      <c r="P35" s="2" t="s">
        <v>59</v>
      </c>
      <c r="Q35" s="2" t="s">
        <v>59</v>
      </c>
    </row>
    <row r="36" hidden="1">
      <c r="A36" s="6"/>
      <c r="B36" s="2"/>
      <c r="C36" s="2" t="s">
        <v>133</v>
      </c>
      <c r="D36" s="9"/>
      <c r="E36" s="2" t="s">
        <v>35</v>
      </c>
      <c r="F36" s="2" t="s">
        <v>35</v>
      </c>
      <c r="G36" s="2" t="s">
        <v>134</v>
      </c>
      <c r="I36" s="2" t="s">
        <v>135</v>
      </c>
      <c r="J36" s="7">
        <v>46125.0</v>
      </c>
      <c r="L36" s="2" t="s">
        <v>38</v>
      </c>
      <c r="M36" s="2">
        <v>535239.0</v>
      </c>
      <c r="N36" s="8">
        <v>144.35</v>
      </c>
      <c r="O36" s="2" t="s">
        <v>139</v>
      </c>
      <c r="P36" s="2" t="s">
        <v>59</v>
      </c>
      <c r="Q36" s="2" t="s">
        <v>59</v>
      </c>
    </row>
    <row r="37" hidden="1">
      <c r="A37" s="6">
        <v>46112.763265138885</v>
      </c>
      <c r="B37" s="2" t="s">
        <v>136</v>
      </c>
      <c r="C37" s="2" t="s">
        <v>137</v>
      </c>
      <c r="D37" s="2">
        <v>2.019066445E9</v>
      </c>
      <c r="E37" s="2" t="s">
        <v>41</v>
      </c>
      <c r="F37" s="2" t="s">
        <v>41</v>
      </c>
      <c r="G37" s="2" t="s">
        <v>138</v>
      </c>
      <c r="H37" s="2" t="s">
        <v>37</v>
      </c>
      <c r="I37" s="2" t="s">
        <v>135</v>
      </c>
      <c r="J37" s="7">
        <v>46125.0</v>
      </c>
      <c r="L37" s="2" t="s">
        <v>38</v>
      </c>
      <c r="M37" s="2">
        <v>535239.0</v>
      </c>
      <c r="N37" s="8">
        <v>144.35</v>
      </c>
      <c r="O37" s="2" t="s">
        <v>139</v>
      </c>
      <c r="P37" s="2" t="s">
        <v>59</v>
      </c>
      <c r="Q37" s="2" t="s">
        <v>59</v>
      </c>
    </row>
    <row r="38" hidden="1">
      <c r="A38" s="6"/>
      <c r="B38" s="2"/>
      <c r="C38" s="2" t="s">
        <v>140</v>
      </c>
      <c r="D38" s="9"/>
      <c r="E38" s="2" t="s">
        <v>35</v>
      </c>
      <c r="F38" s="2" t="s">
        <v>35</v>
      </c>
      <c r="G38" s="2" t="s">
        <v>141</v>
      </c>
      <c r="J38" s="7">
        <v>46125.0</v>
      </c>
      <c r="L38" s="2" t="s">
        <v>38</v>
      </c>
      <c r="M38" s="2">
        <v>535239.0</v>
      </c>
      <c r="N38" s="8">
        <v>131.43</v>
      </c>
      <c r="O38" s="2" t="s">
        <v>139</v>
      </c>
    </row>
    <row r="39" hidden="1">
      <c r="A39" s="6">
        <v>46120.65522226851</v>
      </c>
      <c r="B39" s="2" t="s">
        <v>107</v>
      </c>
      <c r="C39" s="2" t="s">
        <v>123</v>
      </c>
      <c r="D39" s="2" t="s">
        <v>124</v>
      </c>
      <c r="E39" s="2" t="s">
        <v>41</v>
      </c>
      <c r="F39" s="2" t="s">
        <v>41</v>
      </c>
      <c r="G39" s="2" t="s">
        <v>144</v>
      </c>
      <c r="H39" s="2" t="s">
        <v>37</v>
      </c>
      <c r="I39" s="2" t="s">
        <v>145</v>
      </c>
      <c r="J39" s="7">
        <v>46125.0</v>
      </c>
      <c r="L39" s="2" t="s">
        <v>38</v>
      </c>
      <c r="M39" s="2">
        <v>535239.0</v>
      </c>
      <c r="N39" s="8">
        <v>119.99</v>
      </c>
      <c r="O39" s="2" t="s">
        <v>139</v>
      </c>
      <c r="P39" s="2" t="s">
        <v>59</v>
      </c>
      <c r="Q39" s="2" t="s">
        <v>59</v>
      </c>
    </row>
    <row r="40" hidden="1">
      <c r="A40" s="6"/>
      <c r="B40" s="2"/>
      <c r="C40" s="2" t="s">
        <v>115</v>
      </c>
      <c r="D40" s="2" t="s">
        <v>116</v>
      </c>
      <c r="E40" s="2" t="s">
        <v>41</v>
      </c>
      <c r="F40" s="2" t="s">
        <v>41</v>
      </c>
      <c r="G40" s="2" t="s">
        <v>147</v>
      </c>
      <c r="I40" s="2" t="s">
        <v>135</v>
      </c>
      <c r="J40" s="7">
        <v>46125.0</v>
      </c>
      <c r="L40" s="2" t="s">
        <v>38</v>
      </c>
      <c r="M40" s="2">
        <v>535239.0</v>
      </c>
      <c r="N40" s="8">
        <v>17.1</v>
      </c>
      <c r="O40" s="2" t="s">
        <v>139</v>
      </c>
      <c r="P40" s="2" t="s">
        <v>59</v>
      </c>
      <c r="Q40" s="2" t="s">
        <v>59</v>
      </c>
    </row>
    <row r="41" hidden="1">
      <c r="A41" s="6">
        <v>46122.63216324074</v>
      </c>
      <c r="B41" s="2" t="s">
        <v>107</v>
      </c>
      <c r="C41" s="2" t="s">
        <v>148</v>
      </c>
      <c r="D41" s="2" t="s">
        <v>149</v>
      </c>
      <c r="E41" s="2" t="s">
        <v>41</v>
      </c>
      <c r="F41" s="2" t="s">
        <v>41</v>
      </c>
      <c r="G41" s="2" t="s">
        <v>150</v>
      </c>
      <c r="H41" s="2" t="s">
        <v>111</v>
      </c>
      <c r="J41" s="7">
        <v>46125.0</v>
      </c>
      <c r="L41" s="2" t="s">
        <v>38</v>
      </c>
      <c r="M41" s="2">
        <v>535239.0</v>
      </c>
      <c r="N41" s="8">
        <v>132.15</v>
      </c>
      <c r="O41" s="2">
        <v>684645.0</v>
      </c>
      <c r="P41" s="2" t="s">
        <v>43</v>
      </c>
      <c r="Q41" s="2" t="s">
        <v>43</v>
      </c>
    </row>
    <row r="42" hidden="1">
      <c r="A42" s="6">
        <v>46122.63457658565</v>
      </c>
      <c r="B42" s="2" t="s">
        <v>107</v>
      </c>
      <c r="C42" s="2" t="s">
        <v>53</v>
      </c>
      <c r="D42" s="2"/>
      <c r="E42" s="2" t="s">
        <v>41</v>
      </c>
      <c r="F42" s="2" t="s">
        <v>41</v>
      </c>
      <c r="G42" s="2" t="s">
        <v>151</v>
      </c>
      <c r="H42" s="2"/>
      <c r="J42" s="7">
        <v>46125.0</v>
      </c>
      <c r="L42" s="2" t="s">
        <v>38</v>
      </c>
      <c r="M42" s="2">
        <v>535239.0</v>
      </c>
      <c r="N42" s="8">
        <v>113.91</v>
      </c>
      <c r="O42" s="2">
        <v>684645.0</v>
      </c>
      <c r="P42" s="2" t="s">
        <v>43</v>
      </c>
      <c r="Q42" s="2" t="s">
        <v>43</v>
      </c>
    </row>
    <row r="43" hidden="1">
      <c r="A43" s="6">
        <v>46122.6369191088</v>
      </c>
      <c r="B43" s="2" t="s">
        <v>107</v>
      </c>
      <c r="C43" s="2" t="s">
        <v>152</v>
      </c>
      <c r="D43" s="2" t="s">
        <v>153</v>
      </c>
      <c r="E43" s="2" t="s">
        <v>41</v>
      </c>
      <c r="F43" s="2" t="s">
        <v>41</v>
      </c>
      <c r="G43" s="2" t="s">
        <v>154</v>
      </c>
      <c r="H43" s="2" t="s">
        <v>111</v>
      </c>
      <c r="J43" s="7">
        <v>46125.0</v>
      </c>
      <c r="L43" s="2" t="s">
        <v>38</v>
      </c>
      <c r="M43" s="2">
        <v>535239.0</v>
      </c>
      <c r="N43" s="8">
        <v>96.62</v>
      </c>
      <c r="O43" s="2">
        <v>684645.0</v>
      </c>
      <c r="P43" s="2" t="s">
        <v>43</v>
      </c>
      <c r="Q43" s="2" t="s">
        <v>43</v>
      </c>
    </row>
    <row r="44" hidden="1">
      <c r="A44" s="6">
        <v>46122.80169918982</v>
      </c>
      <c r="B44" s="2" t="s">
        <v>156</v>
      </c>
      <c r="C44" s="2" t="s">
        <v>157</v>
      </c>
      <c r="D44" s="2">
        <v>5.70280929E9</v>
      </c>
      <c r="E44" s="2" t="s">
        <v>35</v>
      </c>
      <c r="F44" s="2" t="s">
        <v>35</v>
      </c>
      <c r="G44" s="2" t="s">
        <v>158</v>
      </c>
      <c r="H44" s="2" t="s">
        <v>37</v>
      </c>
      <c r="J44" s="7">
        <v>46125.0</v>
      </c>
      <c r="L44" s="2" t="s">
        <v>38</v>
      </c>
      <c r="M44" s="2">
        <v>535239.0</v>
      </c>
      <c r="N44" s="8">
        <v>160.17</v>
      </c>
      <c r="O44" s="2">
        <v>684645.0</v>
      </c>
    </row>
    <row r="45" hidden="1">
      <c r="A45" s="6"/>
      <c r="B45" s="2"/>
      <c r="C45" s="2" t="s">
        <v>53</v>
      </c>
      <c r="D45" s="2"/>
      <c r="E45" s="2"/>
      <c r="F45" s="2"/>
      <c r="G45" s="2" t="s">
        <v>159</v>
      </c>
      <c r="H45" s="2"/>
      <c r="J45" s="7">
        <v>46125.0</v>
      </c>
      <c r="L45" s="2" t="s">
        <v>38</v>
      </c>
      <c r="M45" s="2">
        <v>535239.0</v>
      </c>
      <c r="N45" s="8">
        <v>5.23</v>
      </c>
      <c r="O45" s="2">
        <v>684645.0</v>
      </c>
      <c r="P45" s="2" t="s">
        <v>59</v>
      </c>
      <c r="Q45" s="2" t="s">
        <v>59</v>
      </c>
    </row>
    <row r="46" hidden="1">
      <c r="A46" s="6"/>
      <c r="B46" s="2"/>
      <c r="C46" s="2" t="s">
        <v>160</v>
      </c>
      <c r="D46" s="9"/>
      <c r="E46" s="2" t="s">
        <v>35</v>
      </c>
      <c r="F46" s="2" t="s">
        <v>35</v>
      </c>
      <c r="G46" s="2" t="s">
        <v>161</v>
      </c>
      <c r="J46" s="7">
        <v>46127.0</v>
      </c>
      <c r="L46" s="2" t="s">
        <v>38</v>
      </c>
      <c r="M46" s="2">
        <v>535745.0</v>
      </c>
      <c r="N46" s="8">
        <v>42.47</v>
      </c>
      <c r="O46" s="2">
        <v>685267.0</v>
      </c>
    </row>
    <row r="47" hidden="1">
      <c r="A47" s="6">
        <v>46126.60744236111</v>
      </c>
      <c r="B47" s="2" t="s">
        <v>162</v>
      </c>
      <c r="C47" s="2" t="s">
        <v>163</v>
      </c>
      <c r="D47" s="2" t="s">
        <v>164</v>
      </c>
      <c r="E47" s="2" t="s">
        <v>41</v>
      </c>
      <c r="F47" s="2" t="s">
        <v>41</v>
      </c>
      <c r="G47" s="2" t="s">
        <v>165</v>
      </c>
      <c r="H47" s="2" t="s">
        <v>37</v>
      </c>
      <c r="J47" s="7">
        <v>46127.0</v>
      </c>
      <c r="L47" s="2" t="s">
        <v>38</v>
      </c>
      <c r="M47" s="2">
        <v>535745.0</v>
      </c>
      <c r="N47" s="8">
        <v>156.51</v>
      </c>
      <c r="O47" s="2">
        <v>685267.0</v>
      </c>
      <c r="P47" s="2" t="s">
        <v>43</v>
      </c>
      <c r="Q47" s="2" t="s">
        <v>43</v>
      </c>
    </row>
    <row r="48" hidden="1">
      <c r="A48" s="6"/>
      <c r="B48" s="2"/>
      <c r="C48" s="2" t="s">
        <v>53</v>
      </c>
      <c r="D48" s="2"/>
      <c r="E48" s="2"/>
      <c r="F48" s="2"/>
      <c r="G48" s="2" t="s">
        <v>166</v>
      </c>
      <c r="H48" s="2"/>
      <c r="J48" s="7">
        <v>46127.0</v>
      </c>
      <c r="L48" s="2" t="s">
        <v>38</v>
      </c>
      <c r="M48" s="2">
        <v>535745.0</v>
      </c>
      <c r="N48" s="8">
        <v>13.3</v>
      </c>
      <c r="O48" s="2">
        <v>685267.0</v>
      </c>
      <c r="P48" s="2" t="s">
        <v>59</v>
      </c>
      <c r="Q48" s="2" t="s">
        <v>59</v>
      </c>
    </row>
    <row r="49" hidden="1">
      <c r="A49" s="6"/>
      <c r="B49" s="2"/>
      <c r="C49" s="2" t="s">
        <v>53</v>
      </c>
      <c r="D49" s="2"/>
      <c r="E49" s="2"/>
      <c r="F49" s="2"/>
      <c r="G49" s="2" t="s">
        <v>167</v>
      </c>
      <c r="H49" s="2"/>
      <c r="J49" s="7">
        <v>46127.0</v>
      </c>
      <c r="L49" s="2" t="s">
        <v>38</v>
      </c>
      <c r="M49" s="2">
        <v>535745.0</v>
      </c>
      <c r="N49" s="8">
        <v>14.25</v>
      </c>
      <c r="O49" s="2">
        <v>685267.0</v>
      </c>
      <c r="P49" s="2" t="s">
        <v>59</v>
      </c>
      <c r="Q49" s="2" t="s">
        <v>59</v>
      </c>
    </row>
    <row r="50" hidden="1">
      <c r="A50" s="6"/>
      <c r="B50" s="2"/>
      <c r="C50" s="2" t="s">
        <v>53</v>
      </c>
      <c r="D50" s="2"/>
      <c r="E50" s="2"/>
      <c r="F50" s="2"/>
      <c r="G50" s="2" t="s">
        <v>168</v>
      </c>
      <c r="H50" s="2"/>
      <c r="J50" s="7">
        <v>46127.0</v>
      </c>
      <c r="L50" s="2" t="s">
        <v>38</v>
      </c>
      <c r="M50" s="2">
        <v>535745.0</v>
      </c>
      <c r="N50" s="8">
        <v>13.3</v>
      </c>
      <c r="O50" s="2">
        <v>685267.0</v>
      </c>
      <c r="P50" s="2" t="s">
        <v>59</v>
      </c>
      <c r="Q50" s="2" t="s">
        <v>59</v>
      </c>
    </row>
    <row r="51" hidden="1">
      <c r="A51" s="6">
        <v>46126.84992068287</v>
      </c>
      <c r="B51" s="2"/>
      <c r="C51" s="2" t="s">
        <v>53</v>
      </c>
      <c r="D51" s="2">
        <v>5.708990219E9</v>
      </c>
      <c r="E51" s="2" t="s">
        <v>169</v>
      </c>
      <c r="F51" s="2" t="s">
        <v>169</v>
      </c>
      <c r="G51" s="2" t="s">
        <v>170</v>
      </c>
      <c r="H51" s="2"/>
      <c r="J51" s="7">
        <v>46127.0</v>
      </c>
      <c r="L51" s="2" t="s">
        <v>38</v>
      </c>
      <c r="M51" s="2">
        <v>535745.0</v>
      </c>
      <c r="N51" s="8">
        <v>132.15</v>
      </c>
      <c r="O51" s="2">
        <v>685267.0</v>
      </c>
      <c r="P51" s="2" t="s">
        <v>43</v>
      </c>
      <c r="Q51" s="2" t="s">
        <v>43</v>
      </c>
    </row>
    <row r="52" hidden="1">
      <c r="A52" s="6">
        <v>46124.78799766204</v>
      </c>
      <c r="B52" s="2" t="s">
        <v>172</v>
      </c>
      <c r="C52" s="2" t="s">
        <v>173</v>
      </c>
      <c r="D52" s="2" t="s">
        <v>174</v>
      </c>
      <c r="E52" s="2" t="s">
        <v>41</v>
      </c>
      <c r="F52" s="2" t="s">
        <v>41</v>
      </c>
      <c r="G52" s="2" t="s">
        <v>175</v>
      </c>
      <c r="H52" s="2" t="s">
        <v>37</v>
      </c>
      <c r="I52" s="2" t="s">
        <v>181</v>
      </c>
      <c r="J52" s="7">
        <v>46127.0</v>
      </c>
      <c r="L52" s="2" t="s">
        <v>38</v>
      </c>
      <c r="M52" s="2">
        <v>535745.0</v>
      </c>
      <c r="N52" s="8">
        <v>105.36</v>
      </c>
      <c r="O52" s="2">
        <v>687291.0</v>
      </c>
    </row>
    <row r="53" hidden="1">
      <c r="A53" s="6"/>
      <c r="B53" s="2"/>
      <c r="C53" s="2" t="s">
        <v>53</v>
      </c>
      <c r="D53" s="2"/>
      <c r="E53" s="2"/>
      <c r="F53" s="2"/>
      <c r="G53" s="2" t="s">
        <v>176</v>
      </c>
      <c r="H53" s="2"/>
      <c r="J53" s="7">
        <v>46127.0</v>
      </c>
      <c r="L53" s="2" t="s">
        <v>69</v>
      </c>
      <c r="M53" s="2">
        <v>5.00333697E8</v>
      </c>
      <c r="N53" s="8">
        <v>5.11</v>
      </c>
      <c r="O53" s="2">
        <v>1622486.0</v>
      </c>
      <c r="P53" s="2" t="s">
        <v>59</v>
      </c>
      <c r="Q53" s="2" t="s">
        <v>59</v>
      </c>
    </row>
    <row r="54" hidden="1">
      <c r="A54" s="6"/>
      <c r="B54" s="2"/>
      <c r="C54" s="2" t="s">
        <v>160</v>
      </c>
      <c r="D54" s="2" t="s">
        <v>177</v>
      </c>
      <c r="E54" s="2" t="s">
        <v>35</v>
      </c>
      <c r="F54" s="2" t="s">
        <v>35</v>
      </c>
      <c r="G54" s="2" t="s">
        <v>178</v>
      </c>
      <c r="H54" s="2" t="s">
        <v>179</v>
      </c>
      <c r="J54" s="7">
        <v>46127.0</v>
      </c>
      <c r="L54" s="2" t="s">
        <v>69</v>
      </c>
      <c r="M54" s="2">
        <v>5.00333697E8</v>
      </c>
      <c r="N54" s="8">
        <v>71.94</v>
      </c>
      <c r="O54" s="2">
        <v>1622486.0</v>
      </c>
    </row>
    <row r="55" hidden="1">
      <c r="A55" s="6"/>
      <c r="B55" s="2"/>
      <c r="C55" s="2" t="s">
        <v>115</v>
      </c>
      <c r="D55" s="2" t="s">
        <v>116</v>
      </c>
      <c r="E55" s="2" t="s">
        <v>41</v>
      </c>
      <c r="F55" s="2" t="s">
        <v>41</v>
      </c>
      <c r="G55" s="2" t="s">
        <v>147</v>
      </c>
      <c r="H55" s="2"/>
      <c r="J55" s="7">
        <v>46127.0</v>
      </c>
      <c r="L55" s="2" t="s">
        <v>69</v>
      </c>
      <c r="M55" s="2">
        <v>5.00333697E8</v>
      </c>
      <c r="N55" s="8">
        <v>16.88</v>
      </c>
      <c r="O55" s="2">
        <v>1622486.0</v>
      </c>
      <c r="P55" s="2" t="s">
        <v>43</v>
      </c>
      <c r="Q55" s="2" t="s">
        <v>43</v>
      </c>
    </row>
    <row r="56" hidden="1">
      <c r="A56" s="6"/>
      <c r="B56" s="2"/>
      <c r="C56" s="2" t="s">
        <v>53</v>
      </c>
      <c r="D56" s="9"/>
      <c r="E56" s="2"/>
      <c r="F56" s="2"/>
      <c r="G56" s="2" t="s">
        <v>180</v>
      </c>
      <c r="J56" s="7">
        <v>46127.0</v>
      </c>
      <c r="L56" s="2" t="s">
        <v>69</v>
      </c>
      <c r="M56" s="2">
        <v>5.00333697E8</v>
      </c>
      <c r="N56" s="8">
        <v>9.06</v>
      </c>
      <c r="O56" s="2">
        <v>1622486.0</v>
      </c>
      <c r="P56" s="2" t="s">
        <v>59</v>
      </c>
      <c r="Q56" s="2" t="s">
        <v>59</v>
      </c>
    </row>
    <row r="57" hidden="1">
      <c r="A57" s="6"/>
      <c r="B57" s="2"/>
      <c r="C57" s="2" t="s">
        <v>53</v>
      </c>
      <c r="D57" s="9"/>
      <c r="E57" s="2"/>
      <c r="F57" s="2"/>
      <c r="G57" s="2" t="s">
        <v>182</v>
      </c>
      <c r="J57" s="7">
        <v>46127.0</v>
      </c>
      <c r="L57" s="2" t="s">
        <v>69</v>
      </c>
      <c r="M57" s="2">
        <v>5.00333697E8</v>
      </c>
      <c r="N57" s="8">
        <v>14.58</v>
      </c>
      <c r="O57" s="2">
        <v>1622486.0</v>
      </c>
      <c r="P57" s="2" t="s">
        <v>59</v>
      </c>
      <c r="Q57" s="2" t="s">
        <v>59</v>
      </c>
    </row>
    <row r="58" hidden="1">
      <c r="A58" s="6"/>
      <c r="B58" s="2"/>
      <c r="C58" s="2" t="s">
        <v>53</v>
      </c>
      <c r="D58" s="9"/>
      <c r="E58" s="2"/>
      <c r="F58" s="2"/>
      <c r="G58" s="2" t="s">
        <v>183</v>
      </c>
      <c r="J58" s="7">
        <v>46127.0</v>
      </c>
      <c r="L58" s="2" t="s">
        <v>69</v>
      </c>
      <c r="M58" s="2">
        <v>5.00333697E8</v>
      </c>
      <c r="N58" s="8">
        <v>14.58</v>
      </c>
      <c r="O58" s="2">
        <v>1622486.0</v>
      </c>
      <c r="P58" s="2" t="s">
        <v>59</v>
      </c>
      <c r="Q58" s="2" t="s">
        <v>59</v>
      </c>
    </row>
    <row r="59" hidden="1">
      <c r="A59" s="6"/>
      <c r="B59" s="2"/>
      <c r="C59" s="2" t="s">
        <v>53</v>
      </c>
      <c r="D59" s="9"/>
      <c r="E59" s="2" t="s">
        <v>41</v>
      </c>
      <c r="F59" s="2" t="s">
        <v>41</v>
      </c>
      <c r="G59" s="2" t="s">
        <v>185</v>
      </c>
      <c r="J59" s="7">
        <v>46127.0</v>
      </c>
      <c r="L59" s="2" t="s">
        <v>69</v>
      </c>
      <c r="M59" s="2">
        <v>5.00333697E8</v>
      </c>
      <c r="N59" s="8">
        <v>14.58</v>
      </c>
      <c r="O59" s="2">
        <v>1622486.0</v>
      </c>
      <c r="P59" s="2" t="s">
        <v>59</v>
      </c>
      <c r="Q59" s="2" t="s">
        <v>59</v>
      </c>
    </row>
    <row r="60" hidden="1">
      <c r="A60" s="6"/>
      <c r="B60" s="2"/>
      <c r="C60" s="2" t="s">
        <v>53</v>
      </c>
      <c r="D60" s="9"/>
      <c r="E60" s="9"/>
      <c r="F60" s="9"/>
      <c r="G60" s="2" t="s">
        <v>186</v>
      </c>
      <c r="J60" s="7">
        <v>46127.0</v>
      </c>
      <c r="L60" s="2" t="s">
        <v>69</v>
      </c>
      <c r="M60" s="2">
        <v>5.00333697E8</v>
      </c>
      <c r="N60" s="8">
        <v>14.58</v>
      </c>
      <c r="O60" s="2">
        <v>1622486.0</v>
      </c>
      <c r="P60" s="2" t="s">
        <v>59</v>
      </c>
      <c r="Q60" s="2" t="s">
        <v>59</v>
      </c>
    </row>
    <row r="61" hidden="1">
      <c r="A61" s="6"/>
      <c r="B61" s="2"/>
      <c r="C61" s="2" t="s">
        <v>53</v>
      </c>
      <c r="D61" s="9"/>
      <c r="E61" s="9"/>
      <c r="F61" s="9"/>
      <c r="G61" s="2" t="s">
        <v>187</v>
      </c>
      <c r="J61" s="7">
        <v>46127.0</v>
      </c>
      <c r="L61" s="2" t="s">
        <v>69</v>
      </c>
      <c r="M61" s="2">
        <v>5.00333697E8</v>
      </c>
      <c r="N61" s="8">
        <v>14.58</v>
      </c>
      <c r="O61" s="2">
        <v>1622486.0</v>
      </c>
      <c r="P61" s="2" t="s">
        <v>59</v>
      </c>
      <c r="Q61" s="2" t="s">
        <v>59</v>
      </c>
    </row>
    <row r="62" hidden="1">
      <c r="A62" s="6"/>
      <c r="B62" s="2"/>
      <c r="C62" s="2" t="s">
        <v>53</v>
      </c>
      <c r="D62" s="9"/>
      <c r="E62" s="9"/>
      <c r="F62" s="9"/>
      <c r="G62" s="2" t="s">
        <v>188</v>
      </c>
      <c r="J62" s="7">
        <v>46127.0</v>
      </c>
      <c r="L62" s="2" t="s">
        <v>69</v>
      </c>
      <c r="M62" s="2">
        <v>5.00333697E8</v>
      </c>
      <c r="N62" s="8">
        <v>0.99</v>
      </c>
      <c r="O62" s="2">
        <v>1622486.0</v>
      </c>
      <c r="P62" s="2" t="s">
        <v>59</v>
      </c>
      <c r="Q62" s="2" t="s">
        <v>59</v>
      </c>
    </row>
    <row r="63" hidden="1">
      <c r="A63" s="6"/>
      <c r="B63" s="2"/>
      <c r="C63" s="2" t="s">
        <v>53</v>
      </c>
      <c r="D63" s="9"/>
      <c r="E63" s="9"/>
      <c r="F63" s="9"/>
      <c r="G63" s="2" t="s">
        <v>189</v>
      </c>
      <c r="J63" s="7">
        <v>46127.0</v>
      </c>
      <c r="L63" s="2" t="s">
        <v>69</v>
      </c>
      <c r="M63" s="2">
        <v>5.00333697E8</v>
      </c>
      <c r="N63" s="8">
        <v>0.99</v>
      </c>
      <c r="O63" s="2">
        <v>1622486.0</v>
      </c>
      <c r="P63" s="2" t="s">
        <v>59</v>
      </c>
      <c r="Q63" s="2" t="s">
        <v>59</v>
      </c>
    </row>
    <row r="64" hidden="1">
      <c r="A64" s="6"/>
      <c r="B64" s="2"/>
      <c r="C64" s="2" t="s">
        <v>53</v>
      </c>
      <c r="D64" s="9"/>
      <c r="E64" s="9"/>
      <c r="F64" s="9"/>
      <c r="G64" s="2" t="s">
        <v>190</v>
      </c>
      <c r="J64" s="7">
        <v>46127.0</v>
      </c>
      <c r="L64" s="2" t="s">
        <v>69</v>
      </c>
      <c r="M64" s="2">
        <v>5.00333697E8</v>
      </c>
      <c r="N64" s="8">
        <v>0.99</v>
      </c>
      <c r="O64" s="2">
        <v>1622486.0</v>
      </c>
      <c r="P64" s="2" t="s">
        <v>59</v>
      </c>
      <c r="Q64" s="2" t="s">
        <v>59</v>
      </c>
    </row>
    <row r="65" hidden="1">
      <c r="A65" s="6"/>
      <c r="B65" s="2"/>
      <c r="C65" s="2" t="s">
        <v>53</v>
      </c>
      <c r="D65" s="9"/>
      <c r="E65" s="9"/>
      <c r="F65" s="9"/>
      <c r="G65" s="2" t="s">
        <v>191</v>
      </c>
      <c r="J65" s="7">
        <v>46127.0</v>
      </c>
      <c r="L65" s="2" t="s">
        <v>69</v>
      </c>
      <c r="M65" s="2">
        <v>5.00333697E8</v>
      </c>
      <c r="N65" s="8">
        <v>0.99</v>
      </c>
      <c r="O65" s="2">
        <v>1622486.0</v>
      </c>
      <c r="P65" s="2" t="s">
        <v>59</v>
      </c>
      <c r="Q65" s="2" t="s">
        <v>59</v>
      </c>
    </row>
    <row r="66" hidden="1">
      <c r="A66" s="6"/>
      <c r="B66" s="2"/>
      <c r="C66" s="2" t="s">
        <v>53</v>
      </c>
      <c r="D66" s="9"/>
      <c r="E66" s="9"/>
      <c r="F66" s="9"/>
      <c r="G66" s="2" t="s">
        <v>192</v>
      </c>
      <c r="J66" s="7">
        <v>46127.0</v>
      </c>
      <c r="L66" s="2" t="s">
        <v>69</v>
      </c>
      <c r="M66" s="2">
        <v>5.00333697E8</v>
      </c>
      <c r="N66" s="8">
        <v>0.99</v>
      </c>
      <c r="O66" s="2">
        <v>1622486.0</v>
      </c>
      <c r="P66" s="2" t="s">
        <v>59</v>
      </c>
      <c r="Q66" s="2" t="s">
        <v>59</v>
      </c>
    </row>
    <row r="67" hidden="1">
      <c r="A67" s="6"/>
      <c r="B67" s="2"/>
      <c r="C67" s="2" t="s">
        <v>53</v>
      </c>
      <c r="D67" s="9"/>
      <c r="E67" s="9"/>
      <c r="F67" s="9"/>
      <c r="G67" s="2" t="s">
        <v>194</v>
      </c>
      <c r="J67" s="7">
        <v>46127.0</v>
      </c>
      <c r="L67" s="2" t="s">
        <v>69</v>
      </c>
      <c r="M67" s="2">
        <v>5.00333697E8</v>
      </c>
      <c r="N67" s="8">
        <v>0.99</v>
      </c>
      <c r="O67" s="2">
        <v>1622486.0</v>
      </c>
      <c r="P67" s="2" t="s">
        <v>59</v>
      </c>
      <c r="Q67" s="2" t="s">
        <v>59</v>
      </c>
    </row>
    <row r="68" hidden="1">
      <c r="A68" s="6"/>
      <c r="B68" s="2"/>
      <c r="C68" s="2" t="s">
        <v>53</v>
      </c>
      <c r="D68" s="9"/>
      <c r="E68" s="9"/>
      <c r="F68" s="9"/>
      <c r="G68" s="2" t="s">
        <v>195</v>
      </c>
      <c r="J68" s="7">
        <v>46127.0</v>
      </c>
      <c r="L68" s="2" t="s">
        <v>69</v>
      </c>
      <c r="M68" s="2">
        <v>5.00333697E8</v>
      </c>
      <c r="N68" s="8">
        <v>0.99</v>
      </c>
      <c r="O68" s="2">
        <v>1622486.0</v>
      </c>
      <c r="P68" s="2" t="s">
        <v>59</v>
      </c>
      <c r="Q68" s="2" t="s">
        <v>59</v>
      </c>
    </row>
    <row r="69" hidden="1">
      <c r="A69" s="6"/>
      <c r="B69" s="2"/>
      <c r="C69" s="2" t="s">
        <v>53</v>
      </c>
      <c r="D69" s="9"/>
      <c r="E69" s="9"/>
      <c r="F69" s="9"/>
      <c r="G69" s="2" t="s">
        <v>196</v>
      </c>
      <c r="J69" s="7">
        <v>46127.0</v>
      </c>
      <c r="L69" s="2" t="s">
        <v>69</v>
      </c>
      <c r="M69" s="2">
        <v>5.00333697E8</v>
      </c>
      <c r="N69" s="8">
        <v>0.99</v>
      </c>
      <c r="O69" s="2">
        <v>1622486.0</v>
      </c>
      <c r="P69" s="2" t="s">
        <v>59</v>
      </c>
      <c r="Q69" s="2" t="s">
        <v>59</v>
      </c>
    </row>
    <row r="70" hidden="1">
      <c r="A70" s="6"/>
      <c r="B70" s="2"/>
      <c r="C70" s="2" t="s">
        <v>53</v>
      </c>
      <c r="D70" s="9"/>
      <c r="E70" s="9"/>
      <c r="F70" s="9"/>
      <c r="G70" s="2" t="s">
        <v>197</v>
      </c>
      <c r="J70" s="7">
        <v>46127.0</v>
      </c>
      <c r="L70" s="2" t="s">
        <v>69</v>
      </c>
      <c r="M70" s="2">
        <v>5.00333697E8</v>
      </c>
      <c r="N70" s="8">
        <v>0.99</v>
      </c>
      <c r="O70" s="2">
        <v>1622486.0</v>
      </c>
      <c r="P70" s="2" t="s">
        <v>59</v>
      </c>
      <c r="Q70" s="2" t="s">
        <v>59</v>
      </c>
    </row>
    <row r="71" hidden="1">
      <c r="A71" s="6"/>
      <c r="B71" s="2"/>
      <c r="C71" s="2" t="s">
        <v>53</v>
      </c>
      <c r="D71" s="9"/>
      <c r="E71" s="9"/>
      <c r="F71" s="9"/>
      <c r="G71" s="2" t="s">
        <v>198</v>
      </c>
      <c r="J71" s="7">
        <v>46127.0</v>
      </c>
      <c r="L71" s="2" t="s">
        <v>69</v>
      </c>
      <c r="M71" s="2">
        <v>5.00333697E8</v>
      </c>
      <c r="N71" s="8">
        <v>0.99</v>
      </c>
      <c r="O71" s="2">
        <v>1622486.0</v>
      </c>
      <c r="P71" s="2" t="s">
        <v>59</v>
      </c>
      <c r="Q71" s="2" t="s">
        <v>59</v>
      </c>
    </row>
    <row r="72" hidden="1">
      <c r="A72" s="6">
        <v>46127.80614959491</v>
      </c>
      <c r="B72" s="2" t="s">
        <v>107</v>
      </c>
      <c r="C72" s="2" t="s">
        <v>199</v>
      </c>
      <c r="D72" s="2" t="s">
        <v>200</v>
      </c>
      <c r="E72" s="2" t="s">
        <v>35</v>
      </c>
      <c r="F72" s="2" t="s">
        <v>35</v>
      </c>
      <c r="G72" s="2" t="s">
        <v>201</v>
      </c>
      <c r="J72" s="7">
        <v>46128.0</v>
      </c>
      <c r="L72" s="2" t="s">
        <v>38</v>
      </c>
      <c r="M72" s="2">
        <v>535977.0</v>
      </c>
      <c r="N72" s="8">
        <v>80.75</v>
      </c>
      <c r="O72" s="2">
        <v>685506.0</v>
      </c>
      <c r="P72" s="2" t="s">
        <v>43</v>
      </c>
      <c r="Q72" s="2" t="s">
        <v>43</v>
      </c>
    </row>
    <row r="73" hidden="1">
      <c r="A73" s="6"/>
      <c r="B73" s="2"/>
      <c r="C73" s="2" t="s">
        <v>202</v>
      </c>
      <c r="D73" s="9"/>
      <c r="E73" s="2" t="s">
        <v>35</v>
      </c>
      <c r="F73" s="2" t="s">
        <v>35</v>
      </c>
      <c r="G73" s="2" t="s">
        <v>51</v>
      </c>
      <c r="J73" s="7">
        <v>46128.0</v>
      </c>
      <c r="L73" s="2" t="s">
        <v>38</v>
      </c>
      <c r="M73" s="2">
        <v>535977.0</v>
      </c>
      <c r="N73" s="8">
        <v>114.0</v>
      </c>
      <c r="O73" s="2">
        <v>685506.0</v>
      </c>
      <c r="P73" s="2" t="s">
        <v>43</v>
      </c>
      <c r="Q73" s="2" t="s">
        <v>43</v>
      </c>
    </row>
    <row r="74" hidden="1">
      <c r="A74" s="6"/>
      <c r="B74" s="2"/>
      <c r="C74" s="2" t="s">
        <v>76</v>
      </c>
      <c r="D74" s="9"/>
      <c r="E74" s="9"/>
      <c r="F74" s="9"/>
      <c r="G74" s="2" t="s">
        <v>204</v>
      </c>
      <c r="J74" s="7">
        <v>46128.0</v>
      </c>
      <c r="L74" s="2" t="s">
        <v>38</v>
      </c>
      <c r="M74" s="2">
        <v>535977.0</v>
      </c>
      <c r="N74" s="8">
        <v>160.17</v>
      </c>
      <c r="O74" s="2">
        <v>685506.0</v>
      </c>
      <c r="P74" s="2" t="s">
        <v>59</v>
      </c>
      <c r="Q74" s="2" t="s">
        <v>59</v>
      </c>
    </row>
    <row r="75" hidden="1">
      <c r="A75" s="6"/>
      <c r="B75" s="2"/>
      <c r="C75" s="2" t="s">
        <v>76</v>
      </c>
      <c r="D75" s="9"/>
      <c r="E75" s="9"/>
      <c r="F75" s="9"/>
      <c r="G75" s="2" t="s">
        <v>205</v>
      </c>
      <c r="J75" s="7">
        <v>46128.0</v>
      </c>
      <c r="L75" s="2" t="s">
        <v>38</v>
      </c>
      <c r="M75" s="2">
        <v>535977.0</v>
      </c>
      <c r="N75" s="8">
        <v>160.17</v>
      </c>
      <c r="O75" s="2">
        <v>685506.0</v>
      </c>
      <c r="P75" s="2" t="s">
        <v>59</v>
      </c>
      <c r="Q75" s="2" t="s">
        <v>59</v>
      </c>
    </row>
    <row r="76" hidden="1">
      <c r="A76" s="6"/>
      <c r="B76" s="2"/>
      <c r="C76" s="2" t="s">
        <v>76</v>
      </c>
      <c r="D76" s="9"/>
      <c r="E76" s="9"/>
      <c r="F76" s="9"/>
      <c r="G76" s="2" t="s">
        <v>206</v>
      </c>
      <c r="J76" s="7">
        <v>46128.0</v>
      </c>
      <c r="L76" s="2" t="s">
        <v>38</v>
      </c>
      <c r="M76" s="2">
        <v>535977.0</v>
      </c>
      <c r="N76" s="8">
        <v>122.41</v>
      </c>
      <c r="O76" s="2">
        <v>685506.0</v>
      </c>
      <c r="P76" s="2" t="s">
        <v>59</v>
      </c>
      <c r="Q76" s="2" t="s">
        <v>59</v>
      </c>
    </row>
    <row r="77" hidden="1">
      <c r="A77" s="2"/>
      <c r="B77" s="2"/>
      <c r="C77" s="2" t="s">
        <v>53</v>
      </c>
      <c r="D77" s="9"/>
      <c r="E77" s="2"/>
      <c r="F77" s="2"/>
      <c r="G77" s="2" t="s">
        <v>218</v>
      </c>
      <c r="I77" s="2" t="s">
        <v>208</v>
      </c>
      <c r="J77" s="7">
        <v>46174.0</v>
      </c>
      <c r="L77" s="2" t="s">
        <v>38</v>
      </c>
      <c r="M77" s="2">
        <v>536133.0</v>
      </c>
      <c r="N77" s="8">
        <v>140.0</v>
      </c>
      <c r="O77" s="2">
        <v>685683.0</v>
      </c>
      <c r="P77" s="2" t="s">
        <v>59</v>
      </c>
      <c r="Q77" s="2" t="s">
        <v>59</v>
      </c>
    </row>
    <row r="78" hidden="1">
      <c r="A78" s="6"/>
      <c r="B78" s="2"/>
      <c r="C78" s="2" t="s">
        <v>53</v>
      </c>
      <c r="D78" s="2"/>
      <c r="E78" s="2"/>
      <c r="F78" s="2"/>
      <c r="G78" s="2" t="s">
        <v>222</v>
      </c>
      <c r="H78" s="2" t="s">
        <v>223</v>
      </c>
      <c r="I78" s="2" t="s">
        <v>208</v>
      </c>
      <c r="J78" s="7">
        <v>46174.0</v>
      </c>
      <c r="L78" s="2" t="s">
        <v>38</v>
      </c>
      <c r="M78" s="2">
        <v>536133.0</v>
      </c>
      <c r="N78" s="8">
        <v>72.0</v>
      </c>
      <c r="O78" s="2">
        <v>685683.0</v>
      </c>
      <c r="P78" s="2" t="s">
        <v>59</v>
      </c>
      <c r="Q78" s="2" t="s">
        <v>59</v>
      </c>
    </row>
    <row r="79" hidden="1">
      <c r="A79" s="6"/>
      <c r="B79" s="2"/>
      <c r="C79" s="2" t="s">
        <v>53</v>
      </c>
      <c r="D79" s="9"/>
      <c r="E79" s="9"/>
      <c r="F79" s="9"/>
      <c r="G79" s="2" t="s">
        <v>212</v>
      </c>
      <c r="H79" s="2" t="s">
        <v>225</v>
      </c>
      <c r="I79" s="2" t="s">
        <v>208</v>
      </c>
      <c r="J79" s="7">
        <v>46174.0</v>
      </c>
      <c r="L79" s="2" t="s">
        <v>38</v>
      </c>
      <c r="M79" s="2">
        <v>536133.0</v>
      </c>
      <c r="N79" s="8">
        <v>12.95</v>
      </c>
      <c r="O79" s="2">
        <v>685683.0</v>
      </c>
      <c r="P79" s="2" t="s">
        <v>59</v>
      </c>
      <c r="Q79" s="2" t="s">
        <v>59</v>
      </c>
    </row>
    <row r="80" hidden="1">
      <c r="A80" s="2"/>
      <c r="B80" s="2"/>
      <c r="C80" s="2" t="s">
        <v>53</v>
      </c>
      <c r="D80" s="9"/>
      <c r="E80" s="2"/>
      <c r="F80" s="2"/>
      <c r="G80" s="2" t="s">
        <v>213</v>
      </c>
      <c r="I80" s="2" t="s">
        <v>208</v>
      </c>
      <c r="J80" s="7">
        <v>46174.0</v>
      </c>
      <c r="L80" s="2" t="s">
        <v>38</v>
      </c>
      <c r="M80" s="2">
        <v>532489.0</v>
      </c>
      <c r="N80" s="8">
        <v>104.45</v>
      </c>
      <c r="O80" s="2">
        <v>681150.0</v>
      </c>
      <c r="P80" s="2" t="s">
        <v>59</v>
      </c>
      <c r="Q80" s="2" t="s">
        <v>59</v>
      </c>
    </row>
    <row r="81" hidden="1">
      <c r="A81" s="6"/>
      <c r="B81" s="2"/>
      <c r="C81" s="2" t="s">
        <v>53</v>
      </c>
      <c r="D81" s="2"/>
      <c r="E81" s="2"/>
      <c r="F81" s="2"/>
      <c r="G81" s="2" t="s">
        <v>214</v>
      </c>
      <c r="I81" s="2" t="s">
        <v>208</v>
      </c>
      <c r="J81" s="7">
        <v>46174.0</v>
      </c>
      <c r="L81" s="2" t="s">
        <v>38</v>
      </c>
      <c r="M81" s="2">
        <v>532489.0</v>
      </c>
      <c r="N81" s="8">
        <v>104.45</v>
      </c>
      <c r="O81" s="2">
        <v>681150.0</v>
      </c>
      <c r="P81" s="2" t="s">
        <v>59</v>
      </c>
      <c r="Q81" s="2" t="s">
        <v>59</v>
      </c>
    </row>
    <row r="82" hidden="1">
      <c r="A82" s="6"/>
      <c r="B82" s="2"/>
      <c r="C82" s="2" t="s">
        <v>53</v>
      </c>
      <c r="D82" s="9"/>
      <c r="E82" s="9"/>
      <c r="F82" s="9"/>
      <c r="G82" s="2" t="s">
        <v>215</v>
      </c>
      <c r="I82" s="2" t="s">
        <v>208</v>
      </c>
      <c r="J82" s="7">
        <v>46174.0</v>
      </c>
      <c r="L82" s="2" t="s">
        <v>38</v>
      </c>
      <c r="M82" s="2">
        <v>532489.0</v>
      </c>
      <c r="N82" s="8">
        <v>104.45</v>
      </c>
      <c r="O82" s="2">
        <v>681150.0</v>
      </c>
      <c r="P82" s="2" t="s">
        <v>59</v>
      </c>
      <c r="Q82" s="2" t="s">
        <v>59</v>
      </c>
    </row>
    <row r="83" hidden="1">
      <c r="A83" s="6"/>
      <c r="B83" s="2"/>
      <c r="C83" s="2" t="s">
        <v>53</v>
      </c>
      <c r="D83" s="9"/>
      <c r="E83" s="9"/>
      <c r="F83" s="9"/>
      <c r="G83" s="2" t="s">
        <v>216</v>
      </c>
      <c r="I83" s="2" t="s">
        <v>208</v>
      </c>
      <c r="J83" s="7">
        <v>46174.0</v>
      </c>
      <c r="L83" s="2" t="s">
        <v>38</v>
      </c>
      <c r="M83" s="2">
        <v>532489.0</v>
      </c>
      <c r="N83" s="8">
        <v>104.45</v>
      </c>
      <c r="O83" s="2">
        <v>681150.0</v>
      </c>
      <c r="P83" s="2" t="s">
        <v>59</v>
      </c>
      <c r="Q83" s="2" t="s">
        <v>59</v>
      </c>
    </row>
    <row r="84" hidden="1">
      <c r="A84" s="6"/>
      <c r="B84" s="2"/>
      <c r="C84" s="2" t="s">
        <v>53</v>
      </c>
      <c r="D84" s="9"/>
      <c r="E84" s="9"/>
      <c r="F84" s="9"/>
      <c r="G84" s="2" t="s">
        <v>217</v>
      </c>
      <c r="I84" s="2" t="s">
        <v>208</v>
      </c>
      <c r="J84" s="7">
        <v>46174.0</v>
      </c>
      <c r="L84" s="2" t="s">
        <v>38</v>
      </c>
      <c r="M84" s="2">
        <v>532489.0</v>
      </c>
      <c r="N84" s="8">
        <v>104.45</v>
      </c>
      <c r="O84" s="2">
        <v>681150.0</v>
      </c>
      <c r="P84" s="2" t="s">
        <v>59</v>
      </c>
      <c r="Q84" s="2" t="s">
        <v>59</v>
      </c>
    </row>
    <row r="85" hidden="1">
      <c r="A85" s="6"/>
      <c r="B85" s="2"/>
      <c r="C85" s="2" t="s">
        <v>53</v>
      </c>
      <c r="D85" s="9"/>
      <c r="E85" s="9"/>
      <c r="F85" s="9"/>
      <c r="G85" s="2" t="s">
        <v>220</v>
      </c>
      <c r="I85" s="2" t="s">
        <v>208</v>
      </c>
      <c r="J85" s="7">
        <v>46174.0</v>
      </c>
      <c r="L85" s="2" t="s">
        <v>38</v>
      </c>
      <c r="M85" s="2">
        <v>532489.0</v>
      </c>
      <c r="N85" s="8">
        <v>104.45</v>
      </c>
      <c r="O85" s="2">
        <v>681150.0</v>
      </c>
      <c r="P85" s="2" t="s">
        <v>59</v>
      </c>
      <c r="Q85" s="2" t="s">
        <v>59</v>
      </c>
    </row>
    <row r="86" hidden="1">
      <c r="A86" s="6"/>
      <c r="B86" s="2"/>
      <c r="C86" s="2" t="s">
        <v>53</v>
      </c>
      <c r="D86" s="9"/>
      <c r="E86" s="9"/>
      <c r="F86" s="9"/>
      <c r="G86" s="2" t="s">
        <v>221</v>
      </c>
      <c r="I86" s="2" t="s">
        <v>208</v>
      </c>
      <c r="J86" s="7">
        <v>46174.0</v>
      </c>
      <c r="L86" s="2" t="s">
        <v>38</v>
      </c>
      <c r="M86" s="2">
        <v>532489.0</v>
      </c>
      <c r="N86" s="8">
        <v>104.45</v>
      </c>
      <c r="O86" s="2">
        <v>681150.0</v>
      </c>
      <c r="P86" s="2" t="s">
        <v>59</v>
      </c>
      <c r="Q86" s="2" t="s">
        <v>59</v>
      </c>
    </row>
    <row r="87" hidden="1">
      <c r="A87" s="2"/>
      <c r="B87" s="2"/>
      <c r="C87" s="2" t="s">
        <v>53</v>
      </c>
      <c r="D87" s="9"/>
      <c r="E87" s="2"/>
      <c r="F87" s="2"/>
      <c r="G87" s="2" t="s">
        <v>224</v>
      </c>
      <c r="I87" s="2" t="s">
        <v>208</v>
      </c>
      <c r="J87" s="7">
        <v>46174.0</v>
      </c>
      <c r="L87" s="2" t="s">
        <v>38</v>
      </c>
      <c r="M87" s="2">
        <v>532489.0</v>
      </c>
      <c r="N87" s="8">
        <v>104.45</v>
      </c>
      <c r="O87" s="2">
        <v>681150.0</v>
      </c>
      <c r="P87" s="2" t="s">
        <v>59</v>
      </c>
      <c r="Q87" s="2" t="s">
        <v>59</v>
      </c>
    </row>
    <row r="88" hidden="1">
      <c r="A88" s="6"/>
      <c r="B88" s="2"/>
      <c r="C88" s="2" t="s">
        <v>53</v>
      </c>
      <c r="D88" s="2"/>
      <c r="E88" s="2"/>
      <c r="F88" s="2"/>
      <c r="G88" s="2" t="s">
        <v>226</v>
      </c>
      <c r="I88" s="2" t="s">
        <v>208</v>
      </c>
      <c r="J88" s="7">
        <v>46174.0</v>
      </c>
      <c r="L88" s="2" t="s">
        <v>38</v>
      </c>
      <c r="M88" s="2">
        <v>532489.0</v>
      </c>
      <c r="N88" s="8">
        <v>104.45</v>
      </c>
      <c r="O88" s="2">
        <v>681150.0</v>
      </c>
      <c r="P88" s="2" t="s">
        <v>59</v>
      </c>
      <c r="Q88" s="2" t="s">
        <v>59</v>
      </c>
    </row>
    <row r="89" hidden="1">
      <c r="A89" s="6"/>
      <c r="B89" s="2"/>
      <c r="C89" s="2" t="s">
        <v>53</v>
      </c>
      <c r="D89" s="9"/>
      <c r="E89" s="9"/>
      <c r="F89" s="9"/>
      <c r="G89" s="2" t="s">
        <v>227</v>
      </c>
      <c r="I89" s="2" t="s">
        <v>208</v>
      </c>
      <c r="J89" s="7">
        <v>46174.0</v>
      </c>
      <c r="L89" s="2" t="s">
        <v>38</v>
      </c>
      <c r="M89" s="2">
        <v>532489.0</v>
      </c>
      <c r="N89" s="8">
        <v>104.45</v>
      </c>
      <c r="O89" s="2">
        <v>681150.0</v>
      </c>
      <c r="P89" s="2" t="s">
        <v>59</v>
      </c>
      <c r="Q89" s="2" t="s">
        <v>59</v>
      </c>
    </row>
    <row r="90" hidden="1">
      <c r="A90" s="6"/>
      <c r="B90" s="2"/>
      <c r="C90" s="2" t="s">
        <v>53</v>
      </c>
      <c r="D90" s="9"/>
      <c r="E90" s="9"/>
      <c r="F90" s="9"/>
      <c r="G90" s="2" t="s">
        <v>217</v>
      </c>
      <c r="I90" s="2" t="s">
        <v>208</v>
      </c>
      <c r="J90" s="7">
        <v>46174.0</v>
      </c>
      <c r="L90" s="2" t="s">
        <v>38</v>
      </c>
      <c r="M90" s="2">
        <v>536586.0</v>
      </c>
      <c r="N90" s="8">
        <v>104.45</v>
      </c>
      <c r="O90" s="2">
        <v>686354.0</v>
      </c>
      <c r="P90" s="2" t="s">
        <v>59</v>
      </c>
      <c r="Q90" s="2" t="s">
        <v>59</v>
      </c>
    </row>
    <row r="91" hidden="1">
      <c r="A91" s="6"/>
      <c r="B91" s="2"/>
      <c r="C91" s="2" t="s">
        <v>53</v>
      </c>
      <c r="D91" s="2"/>
      <c r="E91" s="2" t="s">
        <v>41</v>
      </c>
      <c r="F91" s="2" t="s">
        <v>41</v>
      </c>
      <c r="G91" s="2" t="s">
        <v>229</v>
      </c>
      <c r="H91" s="2"/>
      <c r="I91" s="2" t="s">
        <v>208</v>
      </c>
      <c r="J91" s="7">
        <v>46174.0</v>
      </c>
      <c r="L91" s="2" t="s">
        <v>38</v>
      </c>
      <c r="M91" s="2">
        <v>536586.0</v>
      </c>
      <c r="N91" s="8">
        <v>160.17</v>
      </c>
      <c r="O91" s="2">
        <v>686354.0</v>
      </c>
      <c r="P91" s="2" t="s">
        <v>59</v>
      </c>
      <c r="Q91" s="2" t="s">
        <v>59</v>
      </c>
    </row>
    <row r="92" hidden="1">
      <c r="A92" s="6"/>
      <c r="B92" s="2"/>
      <c r="C92" s="2" t="s">
        <v>53</v>
      </c>
      <c r="D92" s="2"/>
      <c r="E92" s="2" t="s">
        <v>41</v>
      </c>
      <c r="F92" s="2" t="s">
        <v>41</v>
      </c>
      <c r="G92" s="2" t="s">
        <v>231</v>
      </c>
      <c r="I92" s="2" t="s">
        <v>208</v>
      </c>
      <c r="J92" s="7">
        <v>46174.0</v>
      </c>
      <c r="L92" s="2" t="s">
        <v>38</v>
      </c>
      <c r="M92" s="2">
        <v>536586.0</v>
      </c>
      <c r="N92" s="8">
        <v>158.94</v>
      </c>
      <c r="O92" s="2">
        <v>686354.0</v>
      </c>
      <c r="P92" s="2" t="s">
        <v>59</v>
      </c>
      <c r="Q92" s="2" t="s">
        <v>59</v>
      </c>
    </row>
    <row r="93" hidden="1">
      <c r="A93" s="6"/>
      <c r="B93" s="2"/>
      <c r="C93" s="2" t="s">
        <v>53</v>
      </c>
      <c r="D93" s="2"/>
      <c r="E93" s="2" t="s">
        <v>41</v>
      </c>
      <c r="F93" s="2" t="s">
        <v>41</v>
      </c>
      <c r="G93" s="2" t="s">
        <v>233</v>
      </c>
      <c r="H93" s="2"/>
      <c r="I93" s="2" t="s">
        <v>208</v>
      </c>
      <c r="J93" s="7">
        <v>46174.0</v>
      </c>
      <c r="L93" s="2" t="s">
        <v>38</v>
      </c>
      <c r="M93" s="2">
        <v>536586.0</v>
      </c>
      <c r="N93" s="8">
        <v>150.01</v>
      </c>
      <c r="O93" s="2">
        <v>686354.0</v>
      </c>
      <c r="P93" s="2" t="s">
        <v>59</v>
      </c>
      <c r="Q93" s="2" t="s">
        <v>59</v>
      </c>
    </row>
    <row r="94" hidden="1">
      <c r="A94" s="6"/>
      <c r="B94" s="2"/>
      <c r="C94" s="2" t="s">
        <v>53</v>
      </c>
      <c r="D94" s="2"/>
      <c r="E94" s="2" t="s">
        <v>41</v>
      </c>
      <c r="F94" s="2" t="s">
        <v>41</v>
      </c>
      <c r="G94" s="2" t="s">
        <v>234</v>
      </c>
      <c r="H94" s="2" t="s">
        <v>243</v>
      </c>
      <c r="I94" s="2" t="s">
        <v>208</v>
      </c>
      <c r="J94" s="7">
        <v>46174.0</v>
      </c>
      <c r="L94" s="2" t="s">
        <v>38</v>
      </c>
      <c r="M94" s="2">
        <v>536586.0</v>
      </c>
      <c r="N94" s="8">
        <v>150.01</v>
      </c>
      <c r="O94" s="2">
        <v>687513.0</v>
      </c>
      <c r="P94" s="2"/>
      <c r="Q94" s="2"/>
    </row>
    <row r="95" hidden="1">
      <c r="A95" s="6"/>
      <c r="B95" s="2"/>
      <c r="C95" s="2" t="s">
        <v>53</v>
      </c>
      <c r="D95" s="9"/>
      <c r="E95" s="2" t="s">
        <v>41</v>
      </c>
      <c r="F95" s="2" t="s">
        <v>41</v>
      </c>
      <c r="G95" s="2" t="s">
        <v>235</v>
      </c>
      <c r="H95" s="2" t="s">
        <v>243</v>
      </c>
      <c r="I95" s="2" t="s">
        <v>208</v>
      </c>
      <c r="J95" s="7">
        <v>46174.0</v>
      </c>
      <c r="L95" s="2" t="s">
        <v>38</v>
      </c>
      <c r="M95" s="2">
        <v>536586.0</v>
      </c>
      <c r="N95" s="8">
        <v>144.35</v>
      </c>
      <c r="O95" s="2">
        <v>687513.0</v>
      </c>
      <c r="P95" s="2" t="s">
        <v>59</v>
      </c>
      <c r="Q95" s="2" t="s">
        <v>59</v>
      </c>
    </row>
    <row r="96" hidden="1">
      <c r="A96" s="6"/>
      <c r="B96" s="2"/>
      <c r="C96" s="2" t="s">
        <v>53</v>
      </c>
      <c r="D96" s="9"/>
      <c r="E96" s="2" t="s">
        <v>41</v>
      </c>
      <c r="F96" s="2" t="s">
        <v>41</v>
      </c>
      <c r="G96" s="2" t="s">
        <v>132</v>
      </c>
      <c r="H96" s="2" t="s">
        <v>243</v>
      </c>
      <c r="I96" s="2" t="s">
        <v>208</v>
      </c>
      <c r="J96" s="7">
        <v>46174.0</v>
      </c>
      <c r="L96" s="2" t="s">
        <v>38</v>
      </c>
      <c r="M96" s="2">
        <v>536586.0</v>
      </c>
      <c r="N96" s="8">
        <v>144.35</v>
      </c>
      <c r="O96" s="2"/>
      <c r="P96" s="2"/>
      <c r="Q96" s="2"/>
    </row>
    <row r="97" hidden="1">
      <c r="A97" s="6"/>
      <c r="B97" s="2"/>
      <c r="C97" s="2" t="s">
        <v>53</v>
      </c>
      <c r="D97" s="9"/>
      <c r="E97" s="2" t="s">
        <v>41</v>
      </c>
      <c r="F97" s="2" t="s">
        <v>41</v>
      </c>
      <c r="G97" s="2" t="s">
        <v>237</v>
      </c>
      <c r="I97" s="2" t="s">
        <v>208</v>
      </c>
      <c r="J97" s="7">
        <v>46174.0</v>
      </c>
      <c r="L97" s="2" t="s">
        <v>38</v>
      </c>
      <c r="M97" s="2">
        <v>536586.0</v>
      </c>
      <c r="N97" s="8">
        <v>132.15</v>
      </c>
      <c r="O97" s="2">
        <v>686354.0</v>
      </c>
      <c r="P97" s="2" t="s">
        <v>59</v>
      </c>
      <c r="Q97" s="2" t="s">
        <v>59</v>
      </c>
    </row>
    <row r="98" hidden="1">
      <c r="A98" s="6"/>
      <c r="B98" s="2"/>
      <c r="C98" s="2" t="s">
        <v>53</v>
      </c>
      <c r="D98" s="9"/>
      <c r="E98" s="2" t="s">
        <v>41</v>
      </c>
      <c r="F98" s="2" t="s">
        <v>41</v>
      </c>
      <c r="G98" s="2" t="s">
        <v>239</v>
      </c>
      <c r="I98" s="2" t="s">
        <v>208</v>
      </c>
      <c r="J98" s="7">
        <v>46174.0</v>
      </c>
      <c r="L98" s="2" t="s">
        <v>38</v>
      </c>
      <c r="M98" s="2">
        <v>536586.0</v>
      </c>
      <c r="N98" s="8">
        <v>144.35</v>
      </c>
      <c r="O98" s="2">
        <v>686354.0</v>
      </c>
      <c r="P98" s="2" t="s">
        <v>59</v>
      </c>
      <c r="Q98" s="2" t="s">
        <v>59</v>
      </c>
    </row>
    <row r="99" hidden="1">
      <c r="A99" s="6"/>
      <c r="B99" s="2"/>
      <c r="C99" s="2" t="s">
        <v>53</v>
      </c>
      <c r="D99" s="9"/>
      <c r="E99" s="2" t="s">
        <v>41</v>
      </c>
      <c r="F99" s="2" t="s">
        <v>41</v>
      </c>
      <c r="G99" s="2" t="s">
        <v>240</v>
      </c>
      <c r="I99" s="2" t="s">
        <v>208</v>
      </c>
      <c r="J99" s="7">
        <v>46174.0</v>
      </c>
      <c r="L99" s="2" t="s">
        <v>38</v>
      </c>
      <c r="M99" s="2">
        <v>536586.0</v>
      </c>
      <c r="N99" s="8">
        <v>99.28</v>
      </c>
      <c r="O99" s="2">
        <v>686354.0</v>
      </c>
      <c r="P99" s="2" t="s">
        <v>59</v>
      </c>
      <c r="Q99" s="2" t="s">
        <v>59</v>
      </c>
    </row>
    <row r="100" hidden="1">
      <c r="A100" s="6"/>
      <c r="B100" s="2"/>
      <c r="C100" s="2" t="s">
        <v>53</v>
      </c>
      <c r="D100" s="9"/>
      <c r="E100" s="2" t="s">
        <v>41</v>
      </c>
      <c r="F100" s="2" t="s">
        <v>41</v>
      </c>
      <c r="G100" s="2" t="s">
        <v>241</v>
      </c>
      <c r="I100" s="2" t="s">
        <v>208</v>
      </c>
      <c r="J100" s="7">
        <v>46174.0</v>
      </c>
      <c r="L100" s="2" t="s">
        <v>38</v>
      </c>
      <c r="M100" s="2">
        <v>536586.0</v>
      </c>
      <c r="N100" s="8">
        <v>99.28</v>
      </c>
      <c r="O100" s="2">
        <v>686354.0</v>
      </c>
      <c r="P100" s="2" t="s">
        <v>59</v>
      </c>
      <c r="Q100" s="2" t="s">
        <v>59</v>
      </c>
    </row>
    <row r="101" hidden="1">
      <c r="A101" s="6"/>
      <c r="B101" s="2"/>
      <c r="C101" s="2" t="s">
        <v>53</v>
      </c>
      <c r="D101" s="9"/>
      <c r="E101" s="2" t="s">
        <v>41</v>
      </c>
      <c r="F101" s="2" t="s">
        <v>41</v>
      </c>
      <c r="G101" s="2" t="s">
        <v>242</v>
      </c>
      <c r="I101" s="2" t="s">
        <v>208</v>
      </c>
      <c r="J101" s="7">
        <v>46174.0</v>
      </c>
      <c r="L101" s="2" t="s">
        <v>38</v>
      </c>
      <c r="M101" s="2">
        <v>536586.0</v>
      </c>
      <c r="N101" s="8">
        <v>114.0</v>
      </c>
      <c r="O101" s="2">
        <v>686354.0</v>
      </c>
      <c r="P101" s="2" t="s">
        <v>59</v>
      </c>
      <c r="Q101" s="2" t="s">
        <v>59</v>
      </c>
    </row>
    <row r="102" hidden="1">
      <c r="A102" s="6"/>
      <c r="B102" s="2"/>
      <c r="C102" s="2" t="s">
        <v>53</v>
      </c>
      <c r="D102" s="9"/>
      <c r="E102" s="2" t="s">
        <v>41</v>
      </c>
      <c r="F102" s="2" t="s">
        <v>41</v>
      </c>
      <c r="G102" s="2" t="s">
        <v>244</v>
      </c>
      <c r="I102" s="2" t="s">
        <v>208</v>
      </c>
      <c r="J102" s="7">
        <v>46174.0</v>
      </c>
      <c r="L102" s="2" t="s">
        <v>38</v>
      </c>
      <c r="M102" s="2">
        <v>536586.0</v>
      </c>
      <c r="N102" s="8">
        <v>156.51</v>
      </c>
      <c r="O102" s="2">
        <v>686354.0</v>
      </c>
      <c r="P102" s="2" t="s">
        <v>59</v>
      </c>
      <c r="Q102" s="2" t="s">
        <v>59</v>
      </c>
    </row>
    <row r="103" hidden="1">
      <c r="A103" s="6"/>
      <c r="B103" s="2"/>
      <c r="C103" s="2" t="s">
        <v>53</v>
      </c>
      <c r="D103" s="9"/>
      <c r="E103" s="2" t="s">
        <v>41</v>
      </c>
      <c r="F103" s="2" t="s">
        <v>41</v>
      </c>
      <c r="G103" s="2" t="s">
        <v>146</v>
      </c>
      <c r="H103" s="2" t="s">
        <v>254</v>
      </c>
      <c r="I103" s="2" t="s">
        <v>208</v>
      </c>
      <c r="J103" s="7">
        <v>46174.0</v>
      </c>
      <c r="L103" s="2" t="s">
        <v>38</v>
      </c>
      <c r="M103" s="2">
        <v>536586.0</v>
      </c>
      <c r="N103" s="8">
        <v>156.51</v>
      </c>
      <c r="O103" s="2">
        <v>686354.0</v>
      </c>
      <c r="P103" s="2" t="s">
        <v>59</v>
      </c>
      <c r="Q103" s="2" t="s">
        <v>59</v>
      </c>
    </row>
    <row r="104" hidden="1">
      <c r="A104" s="6"/>
      <c r="B104" s="2"/>
      <c r="C104" s="2" t="s">
        <v>53</v>
      </c>
      <c r="D104" s="9"/>
      <c r="E104" s="2" t="s">
        <v>41</v>
      </c>
      <c r="F104" s="2" t="s">
        <v>41</v>
      </c>
      <c r="G104" s="2" t="s">
        <v>245</v>
      </c>
      <c r="I104" s="2" t="s">
        <v>208</v>
      </c>
      <c r="J104" s="7">
        <v>46174.0</v>
      </c>
      <c r="L104" s="2" t="s">
        <v>38</v>
      </c>
      <c r="M104" s="2">
        <v>536586.0</v>
      </c>
      <c r="N104" s="8">
        <v>132.15</v>
      </c>
      <c r="O104" s="2">
        <v>686354.0</v>
      </c>
      <c r="P104" s="2" t="s">
        <v>59</v>
      </c>
      <c r="Q104" s="2" t="s">
        <v>59</v>
      </c>
    </row>
    <row r="105" hidden="1">
      <c r="A105" s="6"/>
      <c r="B105" s="2"/>
      <c r="C105" s="2" t="s">
        <v>53</v>
      </c>
      <c r="D105" s="2"/>
      <c r="E105" s="2" t="s">
        <v>41</v>
      </c>
      <c r="F105" s="2" t="s">
        <v>41</v>
      </c>
      <c r="G105" s="2" t="s">
        <v>246</v>
      </c>
      <c r="H105" s="2"/>
      <c r="I105" s="2" t="s">
        <v>208</v>
      </c>
      <c r="J105" s="7">
        <v>46174.0</v>
      </c>
      <c r="L105" s="2" t="s">
        <v>38</v>
      </c>
      <c r="M105" s="2">
        <v>536586.0</v>
      </c>
      <c r="N105" s="8">
        <v>131.43</v>
      </c>
      <c r="O105" s="2">
        <v>686354.0</v>
      </c>
      <c r="P105" s="2" t="s">
        <v>59</v>
      </c>
      <c r="Q105" s="2" t="s">
        <v>59</v>
      </c>
    </row>
    <row r="106" hidden="1">
      <c r="A106" s="6">
        <v>46131.41045229167</v>
      </c>
      <c r="B106" s="2" t="s">
        <v>247</v>
      </c>
      <c r="C106" s="2" t="s">
        <v>248</v>
      </c>
      <c r="D106" s="2">
        <v>5.702092706E9</v>
      </c>
      <c r="E106" s="2" t="s">
        <v>41</v>
      </c>
      <c r="F106" s="2" t="s">
        <v>41</v>
      </c>
      <c r="G106" s="2" t="s">
        <v>249</v>
      </c>
      <c r="H106" s="2" t="s">
        <v>37</v>
      </c>
      <c r="J106" s="7">
        <v>46132.0</v>
      </c>
      <c r="L106" s="2" t="s">
        <v>38</v>
      </c>
      <c r="M106" s="2">
        <v>536483.0</v>
      </c>
      <c r="N106" s="8">
        <v>131.43</v>
      </c>
      <c r="O106" s="2">
        <v>686356.0</v>
      </c>
      <c r="P106" s="2" t="s">
        <v>43</v>
      </c>
    </row>
    <row r="107" hidden="1">
      <c r="A107" s="6">
        <v>46128.85739340278</v>
      </c>
      <c r="B107" s="2" t="s">
        <v>251</v>
      </c>
      <c r="C107" s="2" t="s">
        <v>252</v>
      </c>
      <c r="D107" s="2" t="s">
        <v>253</v>
      </c>
      <c r="E107" s="2" t="s">
        <v>41</v>
      </c>
      <c r="F107" s="2" t="s">
        <v>41</v>
      </c>
      <c r="G107" s="2" t="s">
        <v>246</v>
      </c>
      <c r="H107" s="2" t="s">
        <v>37</v>
      </c>
      <c r="J107" s="7">
        <v>46132.0</v>
      </c>
      <c r="L107" s="2" t="s">
        <v>38</v>
      </c>
      <c r="M107" s="2">
        <v>536483.0</v>
      </c>
      <c r="N107" s="8">
        <v>131.43</v>
      </c>
      <c r="O107" s="2">
        <v>686356.0</v>
      </c>
      <c r="P107" s="2" t="s">
        <v>43</v>
      </c>
      <c r="Q107" s="2" t="s">
        <v>43</v>
      </c>
    </row>
    <row r="108" hidden="1">
      <c r="A108" s="6"/>
      <c r="B108" s="2"/>
      <c r="C108" s="2" t="s">
        <v>160</v>
      </c>
      <c r="D108" s="2" t="s">
        <v>177</v>
      </c>
      <c r="E108" s="2" t="s">
        <v>35</v>
      </c>
      <c r="F108" s="2" t="s">
        <v>35</v>
      </c>
      <c r="G108" s="2" t="s">
        <v>256</v>
      </c>
      <c r="J108" s="7">
        <v>46132.0</v>
      </c>
      <c r="L108" s="2" t="s">
        <v>38</v>
      </c>
      <c r="M108" s="2">
        <v>536483.0</v>
      </c>
      <c r="N108" s="8">
        <v>20.9</v>
      </c>
      <c r="O108" s="2">
        <v>686356.0</v>
      </c>
    </row>
    <row r="109" hidden="1">
      <c r="A109" s="6">
        <v>46126.60271290509</v>
      </c>
      <c r="B109" s="2" t="s">
        <v>107</v>
      </c>
      <c r="C109" s="2" t="s">
        <v>258</v>
      </c>
      <c r="D109" s="2" t="s">
        <v>259</v>
      </c>
      <c r="E109" s="2" t="s">
        <v>41</v>
      </c>
      <c r="F109" s="2" t="s">
        <v>41</v>
      </c>
      <c r="G109" s="2" t="s">
        <v>260</v>
      </c>
      <c r="H109" s="2" t="s">
        <v>111</v>
      </c>
      <c r="J109" s="7">
        <v>46132.0</v>
      </c>
      <c r="L109" s="2" t="s">
        <v>38</v>
      </c>
      <c r="M109" s="2">
        <v>536483.0</v>
      </c>
      <c r="N109" s="8">
        <v>132.15</v>
      </c>
      <c r="O109" s="2">
        <v>686356.0</v>
      </c>
      <c r="P109" s="2" t="s">
        <v>43</v>
      </c>
      <c r="Q109" s="2" t="s">
        <v>43</v>
      </c>
    </row>
    <row r="110" hidden="1">
      <c r="A110" s="6"/>
      <c r="B110" s="2"/>
      <c r="C110" s="2" t="s">
        <v>53</v>
      </c>
      <c r="D110" s="9"/>
      <c r="E110" s="2" t="s">
        <v>41</v>
      </c>
      <c r="F110" s="2" t="s">
        <v>41</v>
      </c>
      <c r="G110" s="2" t="s">
        <v>261</v>
      </c>
      <c r="J110" s="7">
        <v>46132.0</v>
      </c>
      <c r="L110" s="2" t="s">
        <v>38</v>
      </c>
      <c r="M110" s="2">
        <v>536483.0</v>
      </c>
      <c r="N110" s="8">
        <v>11.35</v>
      </c>
      <c r="O110" s="2">
        <v>686356.0</v>
      </c>
      <c r="P110" s="2" t="s">
        <v>59</v>
      </c>
      <c r="Q110" s="2" t="s">
        <v>59</v>
      </c>
    </row>
    <row r="111" hidden="1">
      <c r="A111" s="6"/>
      <c r="B111" s="2"/>
      <c r="C111" s="2" t="s">
        <v>53</v>
      </c>
      <c r="D111" s="9"/>
      <c r="E111" s="2" t="s">
        <v>35</v>
      </c>
      <c r="F111" s="2" t="s">
        <v>35</v>
      </c>
      <c r="G111" s="2" t="s">
        <v>262</v>
      </c>
      <c r="J111" s="7">
        <v>46132.0</v>
      </c>
      <c r="L111" s="2" t="s">
        <v>38</v>
      </c>
      <c r="M111" s="2">
        <v>536483.0</v>
      </c>
      <c r="N111" s="8">
        <v>114.0</v>
      </c>
      <c r="O111" s="2">
        <v>686356.0</v>
      </c>
      <c r="P111" s="2" t="s">
        <v>59</v>
      </c>
      <c r="Q111" s="2" t="s">
        <v>59</v>
      </c>
    </row>
    <row r="112" hidden="1">
      <c r="A112" s="6"/>
      <c r="B112" s="2"/>
      <c r="C112" s="2" t="s">
        <v>53</v>
      </c>
      <c r="D112" s="9"/>
      <c r="E112" s="9"/>
      <c r="F112" s="9"/>
      <c r="G112" s="2" t="s">
        <v>263</v>
      </c>
      <c r="J112" s="7">
        <v>46132.0</v>
      </c>
      <c r="L112" s="2" t="s">
        <v>38</v>
      </c>
      <c r="M112" s="2">
        <v>536483.0</v>
      </c>
      <c r="N112" s="8">
        <v>13.35</v>
      </c>
      <c r="O112" s="2">
        <v>686356.0</v>
      </c>
      <c r="P112" s="2" t="s">
        <v>59</v>
      </c>
      <c r="Q112" s="2" t="s">
        <v>59</v>
      </c>
    </row>
    <row r="113" hidden="1">
      <c r="A113" s="6"/>
      <c r="B113" s="2"/>
      <c r="C113" s="2" t="s">
        <v>76</v>
      </c>
      <c r="D113" s="9"/>
      <c r="E113" s="9"/>
      <c r="F113" s="9"/>
      <c r="G113" s="2" t="s">
        <v>264</v>
      </c>
      <c r="J113" s="7">
        <v>46132.0</v>
      </c>
      <c r="L113" s="2" t="s">
        <v>38</v>
      </c>
      <c r="M113" s="2">
        <v>536483.0</v>
      </c>
      <c r="N113" s="8">
        <v>144.35</v>
      </c>
      <c r="O113" s="2">
        <v>686356.0</v>
      </c>
      <c r="P113" s="2" t="s">
        <v>59</v>
      </c>
      <c r="Q113" s="2" t="s">
        <v>59</v>
      </c>
    </row>
    <row r="114" hidden="1">
      <c r="A114" s="6"/>
      <c r="B114" s="2"/>
      <c r="C114" s="2" t="s">
        <v>76</v>
      </c>
      <c r="D114" s="9"/>
      <c r="E114" s="9"/>
      <c r="F114" s="9"/>
      <c r="G114" s="2" t="s">
        <v>265</v>
      </c>
      <c r="J114" s="7">
        <v>46132.0</v>
      </c>
      <c r="L114" s="2" t="s">
        <v>38</v>
      </c>
      <c r="M114" s="2">
        <v>536483.0</v>
      </c>
      <c r="N114" s="8">
        <v>144.35</v>
      </c>
      <c r="O114" s="2">
        <v>686356.0</v>
      </c>
      <c r="P114" s="2" t="s">
        <v>59</v>
      </c>
      <c r="Q114" s="2" t="s">
        <v>59</v>
      </c>
    </row>
    <row r="115" hidden="1">
      <c r="A115" s="6"/>
      <c r="B115" s="2"/>
      <c r="C115" s="2" t="s">
        <v>76</v>
      </c>
      <c r="D115" s="9"/>
      <c r="E115" s="9"/>
      <c r="F115" s="9"/>
      <c r="G115" s="2" t="s">
        <v>267</v>
      </c>
      <c r="J115" s="7">
        <v>46132.0</v>
      </c>
      <c r="L115" s="2" t="s">
        <v>38</v>
      </c>
      <c r="M115" s="2">
        <v>536483.0</v>
      </c>
      <c r="N115" s="8">
        <v>60.9</v>
      </c>
      <c r="O115" s="2">
        <v>686356.0</v>
      </c>
      <c r="P115" s="2" t="s">
        <v>59</v>
      </c>
      <c r="Q115" s="2" t="s">
        <v>59</v>
      </c>
    </row>
    <row r="116" hidden="1">
      <c r="A116" s="6"/>
      <c r="B116" s="2"/>
      <c r="C116" s="2" t="s">
        <v>76</v>
      </c>
      <c r="D116" s="9"/>
      <c r="E116" s="9"/>
      <c r="F116" s="9"/>
      <c r="G116" s="2" t="s">
        <v>268</v>
      </c>
      <c r="J116" s="7">
        <v>46132.0</v>
      </c>
      <c r="L116" s="2" t="s">
        <v>38</v>
      </c>
      <c r="M116" s="2">
        <v>536483.0</v>
      </c>
      <c r="N116" s="8">
        <v>71.25</v>
      </c>
      <c r="O116" s="2">
        <v>686356.0</v>
      </c>
      <c r="P116" s="2" t="s">
        <v>59</v>
      </c>
      <c r="Q116" s="2" t="s">
        <v>59</v>
      </c>
    </row>
    <row r="117" hidden="1">
      <c r="A117" s="6"/>
      <c r="B117" s="2"/>
      <c r="C117" s="2" t="s">
        <v>76</v>
      </c>
      <c r="D117" s="9"/>
      <c r="E117" s="9"/>
      <c r="F117" s="9"/>
      <c r="G117" s="2" t="s">
        <v>269</v>
      </c>
      <c r="J117" s="7">
        <v>46132.0</v>
      </c>
      <c r="L117" s="2" t="s">
        <v>38</v>
      </c>
      <c r="M117" s="2">
        <v>536483.0</v>
      </c>
      <c r="N117" s="8">
        <v>144.35</v>
      </c>
      <c r="O117" s="2">
        <v>686356.0</v>
      </c>
      <c r="P117" s="2" t="s">
        <v>59</v>
      </c>
      <c r="Q117" s="2" t="s">
        <v>59</v>
      </c>
    </row>
    <row r="118" hidden="1">
      <c r="A118" s="6"/>
      <c r="B118" s="2"/>
      <c r="C118" s="2" t="s">
        <v>53</v>
      </c>
      <c r="D118" s="9"/>
      <c r="E118" s="2" t="s">
        <v>41</v>
      </c>
      <c r="F118" s="2" t="s">
        <v>41</v>
      </c>
      <c r="G118" s="2" t="s">
        <v>270</v>
      </c>
      <c r="H118" s="2"/>
      <c r="J118" s="7">
        <v>46132.0</v>
      </c>
      <c r="L118" s="2" t="s">
        <v>38</v>
      </c>
      <c r="M118" s="2">
        <v>536483.0</v>
      </c>
      <c r="N118" s="8">
        <v>10.55</v>
      </c>
      <c r="O118" s="2">
        <v>686356.0</v>
      </c>
      <c r="P118" s="2" t="s">
        <v>59</v>
      </c>
      <c r="Q118" s="2" t="s">
        <v>59</v>
      </c>
    </row>
    <row r="119" hidden="1">
      <c r="A119" s="6"/>
      <c r="B119" s="2"/>
      <c r="C119" s="2" t="s">
        <v>271</v>
      </c>
      <c r="D119" s="2"/>
      <c r="E119" s="2" t="s">
        <v>41</v>
      </c>
      <c r="F119" s="2" t="s">
        <v>41</v>
      </c>
      <c r="G119" s="2" t="s">
        <v>272</v>
      </c>
      <c r="H119" s="2"/>
      <c r="J119" s="7">
        <v>46132.0</v>
      </c>
      <c r="L119" s="2" t="s">
        <v>38</v>
      </c>
      <c r="M119" s="2">
        <v>536483.0</v>
      </c>
      <c r="N119" s="8">
        <v>80.75</v>
      </c>
      <c r="O119" s="2">
        <v>686356.0</v>
      </c>
      <c r="P119" s="2" t="s">
        <v>43</v>
      </c>
      <c r="Q119" s="2" t="s">
        <v>43</v>
      </c>
    </row>
    <row r="120" hidden="1">
      <c r="A120" s="6">
        <v>46129.7752675</v>
      </c>
      <c r="B120" s="2"/>
      <c r="C120" s="2" t="s">
        <v>275</v>
      </c>
      <c r="D120" s="2">
        <v>5.70574637E9</v>
      </c>
      <c r="E120" s="2" t="s">
        <v>41</v>
      </c>
      <c r="F120" s="2" t="s">
        <v>41</v>
      </c>
      <c r="G120" s="2" t="s">
        <v>276</v>
      </c>
      <c r="H120" s="2"/>
      <c r="J120" s="7">
        <v>46132.0</v>
      </c>
      <c r="L120" s="2" t="s">
        <v>38</v>
      </c>
      <c r="M120" s="2">
        <v>536483.0</v>
      </c>
      <c r="N120" s="8">
        <v>150.01</v>
      </c>
      <c r="O120" s="2">
        <v>686356.0</v>
      </c>
      <c r="P120" s="2" t="s">
        <v>43</v>
      </c>
      <c r="Q120" s="2" t="s">
        <v>43</v>
      </c>
    </row>
    <row r="121" hidden="1">
      <c r="A121" s="6">
        <v>46130.38474158564</v>
      </c>
      <c r="B121" s="2" t="s">
        <v>107</v>
      </c>
      <c r="C121" s="2" t="s">
        <v>53</v>
      </c>
      <c r="D121" s="2" t="s">
        <v>277</v>
      </c>
      <c r="E121" s="2" t="s">
        <v>41</v>
      </c>
      <c r="F121" s="2" t="s">
        <v>41</v>
      </c>
      <c r="G121" s="2" t="s">
        <v>278</v>
      </c>
      <c r="H121" s="2"/>
      <c r="J121" s="7">
        <v>46132.0</v>
      </c>
      <c r="L121" s="2" t="s">
        <v>38</v>
      </c>
      <c r="M121" s="2">
        <v>536483.0</v>
      </c>
      <c r="N121" s="8">
        <v>5.56</v>
      </c>
      <c r="O121" s="2">
        <v>686356.0</v>
      </c>
      <c r="P121" s="2" t="s">
        <v>59</v>
      </c>
      <c r="Q121" s="2" t="s">
        <v>59</v>
      </c>
    </row>
    <row r="122" hidden="1">
      <c r="A122" s="6"/>
      <c r="B122" s="2"/>
      <c r="C122" s="2" t="s">
        <v>53</v>
      </c>
      <c r="D122" s="9"/>
      <c r="E122" s="2" t="s">
        <v>41</v>
      </c>
      <c r="F122" s="2" t="s">
        <v>41</v>
      </c>
      <c r="G122" s="2" t="s">
        <v>57</v>
      </c>
      <c r="J122" s="7">
        <v>46132.0</v>
      </c>
      <c r="L122" s="2" t="s">
        <v>38</v>
      </c>
      <c r="M122" s="2">
        <v>536483.0</v>
      </c>
      <c r="N122" s="8">
        <v>8.98</v>
      </c>
      <c r="O122" s="2">
        <v>686356.0</v>
      </c>
      <c r="P122" s="2" t="s">
        <v>59</v>
      </c>
      <c r="Q122" s="2" t="s">
        <v>59</v>
      </c>
    </row>
    <row r="123" hidden="1">
      <c r="A123" s="6">
        <v>46126.84992068287</v>
      </c>
      <c r="B123" s="2"/>
      <c r="C123" s="2" t="s">
        <v>279</v>
      </c>
      <c r="D123" s="2">
        <v>5.708990219E9</v>
      </c>
      <c r="E123" s="2" t="s">
        <v>169</v>
      </c>
      <c r="F123" s="2" t="s">
        <v>169</v>
      </c>
      <c r="G123" s="2" t="s">
        <v>170</v>
      </c>
      <c r="J123" s="7">
        <v>46132.0</v>
      </c>
      <c r="L123" s="2" t="s">
        <v>38</v>
      </c>
      <c r="M123" s="2">
        <v>536483.0</v>
      </c>
      <c r="N123" s="8">
        <v>132.15</v>
      </c>
      <c r="O123" s="2">
        <v>686356.0</v>
      </c>
      <c r="P123" s="2" t="s">
        <v>43</v>
      </c>
      <c r="Q123" s="2" t="s">
        <v>43</v>
      </c>
    </row>
    <row r="124" hidden="1">
      <c r="A124" s="6">
        <v>46121.850088935185</v>
      </c>
      <c r="B124" s="2" t="s">
        <v>280</v>
      </c>
      <c r="C124" s="2" t="s">
        <v>281</v>
      </c>
      <c r="D124" s="2">
        <v>5.707021643E9</v>
      </c>
      <c r="E124" s="2" t="s">
        <v>41</v>
      </c>
      <c r="F124" s="2" t="s">
        <v>41</v>
      </c>
      <c r="G124" s="2" t="s">
        <v>282</v>
      </c>
      <c r="H124" s="2" t="s">
        <v>111</v>
      </c>
      <c r="J124" s="7">
        <v>46132.0</v>
      </c>
      <c r="L124" s="2" t="s">
        <v>38</v>
      </c>
      <c r="M124" s="2">
        <v>536483.0</v>
      </c>
      <c r="N124" s="8">
        <v>99.28</v>
      </c>
      <c r="O124" s="2">
        <v>686356.0</v>
      </c>
      <c r="P124" s="2" t="s">
        <v>43</v>
      </c>
      <c r="Q124" s="2" t="s">
        <v>43</v>
      </c>
    </row>
    <row r="125" hidden="1">
      <c r="A125" s="6">
        <v>46130.90812359954</v>
      </c>
      <c r="B125" s="2" t="s">
        <v>283</v>
      </c>
      <c r="C125" s="2" t="s">
        <v>53</v>
      </c>
      <c r="D125" s="2">
        <v>5.705794933E9</v>
      </c>
      <c r="E125" s="2" t="s">
        <v>41</v>
      </c>
      <c r="F125" s="2" t="s">
        <v>41</v>
      </c>
      <c r="G125" s="2" t="s">
        <v>284</v>
      </c>
      <c r="H125" s="2" t="s">
        <v>48</v>
      </c>
      <c r="J125" s="7">
        <v>46132.0</v>
      </c>
      <c r="L125" s="2" t="s">
        <v>38</v>
      </c>
      <c r="M125" s="2">
        <v>536483.0</v>
      </c>
      <c r="N125" s="8">
        <v>24.07</v>
      </c>
      <c r="O125" s="2">
        <v>686356.0</v>
      </c>
      <c r="P125" s="2" t="s">
        <v>43</v>
      </c>
      <c r="Q125" s="2" t="s">
        <v>43</v>
      </c>
    </row>
    <row r="126" hidden="1">
      <c r="A126" s="6">
        <v>46130.90812359954</v>
      </c>
      <c r="B126" s="2" t="s">
        <v>283</v>
      </c>
      <c r="C126" s="2" t="s">
        <v>285</v>
      </c>
      <c r="D126" s="2">
        <v>5.705794933E9</v>
      </c>
      <c r="E126" s="2" t="s">
        <v>41</v>
      </c>
      <c r="F126" s="2" t="s">
        <v>41</v>
      </c>
      <c r="G126" s="2" t="s">
        <v>286</v>
      </c>
      <c r="J126" s="7">
        <v>46132.0</v>
      </c>
      <c r="L126" s="2" t="s">
        <v>38</v>
      </c>
      <c r="M126" s="2">
        <v>536483.0</v>
      </c>
      <c r="N126" s="8">
        <v>12.98</v>
      </c>
      <c r="O126" s="2">
        <v>686356.0</v>
      </c>
    </row>
    <row r="127" hidden="1">
      <c r="A127" s="6">
        <v>46130.90812359954</v>
      </c>
      <c r="B127" s="2" t="s">
        <v>283</v>
      </c>
      <c r="C127" s="2" t="s">
        <v>285</v>
      </c>
      <c r="D127" s="2">
        <v>5.705794933E9</v>
      </c>
      <c r="E127" s="2" t="s">
        <v>41</v>
      </c>
      <c r="F127" s="2" t="s">
        <v>41</v>
      </c>
      <c r="G127" s="2" t="s">
        <v>287</v>
      </c>
      <c r="J127" s="7">
        <v>46132.0</v>
      </c>
      <c r="L127" s="2" t="s">
        <v>38</v>
      </c>
      <c r="M127" s="2">
        <v>536483.0</v>
      </c>
      <c r="N127" s="8">
        <v>10.45</v>
      </c>
      <c r="O127" s="2">
        <v>686356.0</v>
      </c>
    </row>
    <row r="128" hidden="1">
      <c r="A128" s="2"/>
      <c r="B128" s="2"/>
      <c r="C128" s="2" t="s">
        <v>53</v>
      </c>
      <c r="D128" s="9"/>
      <c r="E128" s="2" t="s">
        <v>41</v>
      </c>
      <c r="F128" s="2" t="s">
        <v>41</v>
      </c>
      <c r="G128" s="2" t="s">
        <v>288</v>
      </c>
      <c r="J128" s="7">
        <v>46132.0</v>
      </c>
      <c r="L128" s="2" t="s">
        <v>38</v>
      </c>
      <c r="M128" s="2">
        <v>536483.0</v>
      </c>
      <c r="N128" s="8">
        <v>42.47</v>
      </c>
      <c r="O128" s="2">
        <v>686356.0</v>
      </c>
      <c r="P128" s="2" t="s">
        <v>59</v>
      </c>
      <c r="Q128" s="2" t="s">
        <v>59</v>
      </c>
    </row>
    <row r="129" hidden="1">
      <c r="A129" s="6">
        <v>46129.84286184028</v>
      </c>
      <c r="B129" s="2"/>
      <c r="C129" s="2" t="s">
        <v>289</v>
      </c>
      <c r="D129" s="2">
        <v>9.732205907E9</v>
      </c>
      <c r="E129" s="2" t="s">
        <v>290</v>
      </c>
      <c r="F129" s="2" t="s">
        <v>290</v>
      </c>
      <c r="G129" s="2" t="s">
        <v>291</v>
      </c>
      <c r="J129" s="7">
        <v>46132.0</v>
      </c>
      <c r="L129" s="2" t="s">
        <v>69</v>
      </c>
      <c r="M129" s="2">
        <v>5.00334924E8</v>
      </c>
      <c r="N129" s="8">
        <v>133.41</v>
      </c>
      <c r="P129" s="2" t="s">
        <v>43</v>
      </c>
      <c r="Q129" s="2" t="s">
        <v>43</v>
      </c>
    </row>
    <row r="130" hidden="1">
      <c r="A130" s="6"/>
      <c r="B130" s="2"/>
      <c r="C130" s="2" t="s">
        <v>53</v>
      </c>
      <c r="D130" s="9"/>
      <c r="E130" s="2" t="s">
        <v>64</v>
      </c>
      <c r="F130" s="2" t="s">
        <v>64</v>
      </c>
      <c r="G130" s="2" t="s">
        <v>132</v>
      </c>
      <c r="J130" s="7">
        <v>46132.0</v>
      </c>
      <c r="L130" s="2" t="s">
        <v>69</v>
      </c>
      <c r="M130" s="2">
        <v>5.00334924E8</v>
      </c>
      <c r="N130" s="8">
        <v>146.12</v>
      </c>
    </row>
    <row r="131" hidden="1">
      <c r="A131" s="6"/>
      <c r="B131" s="2"/>
      <c r="C131" s="2" t="s">
        <v>133</v>
      </c>
      <c r="D131" s="9"/>
      <c r="E131" s="2" t="s">
        <v>35</v>
      </c>
      <c r="F131" s="2" t="s">
        <v>35</v>
      </c>
      <c r="G131" s="2" t="s">
        <v>134</v>
      </c>
      <c r="J131" s="7">
        <v>46132.0</v>
      </c>
      <c r="L131" s="2" t="s">
        <v>69</v>
      </c>
      <c r="M131" s="2">
        <v>5.00334924E8</v>
      </c>
      <c r="N131" s="8">
        <v>146.12</v>
      </c>
      <c r="P131" s="2" t="s">
        <v>43</v>
      </c>
      <c r="Q131" s="2" t="s">
        <v>43</v>
      </c>
    </row>
    <row r="132" hidden="1">
      <c r="A132" s="6">
        <v>46112.763265138885</v>
      </c>
      <c r="B132" s="2" t="s">
        <v>136</v>
      </c>
      <c r="C132" s="2" t="s">
        <v>137</v>
      </c>
      <c r="D132" s="2">
        <v>2.019066445E9</v>
      </c>
      <c r="E132" s="2" t="s">
        <v>41</v>
      </c>
      <c r="F132" s="2" t="s">
        <v>41</v>
      </c>
      <c r="G132" s="2" t="s">
        <v>138</v>
      </c>
      <c r="H132" s="2" t="s">
        <v>37</v>
      </c>
      <c r="J132" s="7">
        <v>46132.0</v>
      </c>
      <c r="L132" s="2" t="s">
        <v>69</v>
      </c>
      <c r="M132" s="2">
        <v>5.00334924E8</v>
      </c>
      <c r="N132" s="8">
        <v>146.12</v>
      </c>
      <c r="P132" s="2" t="s">
        <v>43</v>
      </c>
      <c r="Q132" s="2" t="s">
        <v>43</v>
      </c>
    </row>
    <row r="133" hidden="1">
      <c r="A133" s="6">
        <v>46120.65522226851</v>
      </c>
      <c r="B133" s="2" t="s">
        <v>107</v>
      </c>
      <c r="C133" s="2" t="s">
        <v>123</v>
      </c>
      <c r="D133" s="2" t="s">
        <v>124</v>
      </c>
      <c r="E133" s="2" t="s">
        <v>41</v>
      </c>
      <c r="F133" s="2" t="s">
        <v>41</v>
      </c>
      <c r="G133" s="2" t="s">
        <v>144</v>
      </c>
      <c r="H133" s="2" t="s">
        <v>37</v>
      </c>
      <c r="J133" s="7">
        <v>46132.0</v>
      </c>
      <c r="L133" s="2" t="s">
        <v>69</v>
      </c>
      <c r="M133" s="2">
        <v>5.00334924E8</v>
      </c>
      <c r="N133" s="8">
        <v>126.56</v>
      </c>
      <c r="P133" s="2" t="s">
        <v>43</v>
      </c>
      <c r="Q133" s="2" t="s">
        <v>43</v>
      </c>
    </row>
    <row r="134" hidden="1">
      <c r="A134" s="6">
        <v>46131.834724872686</v>
      </c>
      <c r="B134" s="2" t="s">
        <v>292</v>
      </c>
      <c r="C134" s="2" t="s">
        <v>293</v>
      </c>
      <c r="D134" s="2" t="s">
        <v>295</v>
      </c>
      <c r="E134" s="2" t="s">
        <v>35</v>
      </c>
      <c r="F134" s="2" t="s">
        <v>35</v>
      </c>
      <c r="G134" s="2" t="s">
        <v>296</v>
      </c>
      <c r="J134" s="7">
        <v>46139.0</v>
      </c>
      <c r="L134" s="2" t="s">
        <v>38</v>
      </c>
      <c r="M134" s="2">
        <v>537994.0</v>
      </c>
      <c r="N134" s="8">
        <v>105.36</v>
      </c>
      <c r="O134" s="2">
        <v>687868.0</v>
      </c>
    </row>
    <row r="135" hidden="1">
      <c r="A135" s="6"/>
      <c r="B135" s="2"/>
      <c r="C135" s="2" t="s">
        <v>53</v>
      </c>
      <c r="D135" s="9"/>
      <c r="E135" s="2" t="s">
        <v>64</v>
      </c>
      <c r="F135" s="2" t="s">
        <v>64</v>
      </c>
      <c r="G135" s="2" t="s">
        <v>297</v>
      </c>
      <c r="J135" s="7">
        <v>46139.0</v>
      </c>
      <c r="L135" s="2" t="s">
        <v>38</v>
      </c>
      <c r="M135" s="2">
        <v>537994.0</v>
      </c>
      <c r="N135" s="8">
        <v>105.36</v>
      </c>
      <c r="O135" s="2">
        <v>687868.0</v>
      </c>
    </row>
    <row r="136" hidden="1">
      <c r="A136" s="6"/>
      <c r="B136" s="2"/>
      <c r="C136" s="2" t="s">
        <v>53</v>
      </c>
      <c r="D136" s="9"/>
      <c r="E136" s="2" t="s">
        <v>41</v>
      </c>
      <c r="F136" s="2" t="s">
        <v>41</v>
      </c>
      <c r="G136" s="2" t="s">
        <v>233</v>
      </c>
      <c r="J136" s="7">
        <v>46139.0</v>
      </c>
      <c r="L136" s="2" t="s">
        <v>38</v>
      </c>
      <c r="M136" s="2">
        <v>537994.0</v>
      </c>
      <c r="N136" s="8">
        <v>150.01</v>
      </c>
      <c r="O136" s="2">
        <v>687868.0</v>
      </c>
      <c r="P136" s="2" t="s">
        <v>59</v>
      </c>
      <c r="Q136" s="2" t="s">
        <v>59</v>
      </c>
    </row>
    <row r="137" hidden="1">
      <c r="A137" s="6"/>
      <c r="B137" s="2"/>
      <c r="C137" s="2" t="s">
        <v>76</v>
      </c>
      <c r="D137" s="9"/>
      <c r="E137" s="9"/>
      <c r="F137" s="9"/>
      <c r="G137" s="2" t="s">
        <v>234</v>
      </c>
      <c r="J137" s="7">
        <v>46139.0</v>
      </c>
      <c r="L137" s="2" t="s">
        <v>38</v>
      </c>
      <c r="M137" s="2">
        <v>537994.0</v>
      </c>
      <c r="N137" s="8">
        <v>150.01</v>
      </c>
      <c r="O137" s="2">
        <v>687868.0</v>
      </c>
      <c r="P137" s="2" t="s">
        <v>59</v>
      </c>
      <c r="Q137" s="2" t="s">
        <v>59</v>
      </c>
    </row>
    <row r="138" hidden="1">
      <c r="A138" s="6"/>
      <c r="B138" s="2"/>
      <c r="C138" s="9" t="s">
        <v>76</v>
      </c>
      <c r="D138" s="2" t="s">
        <v>48</v>
      </c>
      <c r="E138" s="2" t="s">
        <v>48</v>
      </c>
      <c r="F138" s="2" t="s">
        <v>48</v>
      </c>
      <c r="G138" s="2" t="s">
        <v>298</v>
      </c>
      <c r="H138" s="2"/>
      <c r="J138" s="7">
        <v>46139.0</v>
      </c>
      <c r="L138" s="2" t="s">
        <v>38</v>
      </c>
      <c r="M138" s="2">
        <v>537994.0</v>
      </c>
      <c r="N138" s="8">
        <v>79.8</v>
      </c>
      <c r="O138" s="2">
        <v>687868.0</v>
      </c>
      <c r="P138" s="2" t="s">
        <v>59</v>
      </c>
      <c r="Q138" s="2" t="s">
        <v>59</v>
      </c>
    </row>
    <row r="139" hidden="1">
      <c r="A139" s="6"/>
      <c r="B139" s="2"/>
      <c r="C139" s="9" t="s">
        <v>76</v>
      </c>
      <c r="D139" s="2" t="s">
        <v>48</v>
      </c>
      <c r="E139" s="2" t="s">
        <v>48</v>
      </c>
      <c r="F139" s="2" t="s">
        <v>48</v>
      </c>
      <c r="G139" s="2" t="s">
        <v>299</v>
      </c>
      <c r="H139" s="2"/>
      <c r="J139" s="7">
        <v>46139.0</v>
      </c>
      <c r="L139" s="2" t="s">
        <v>38</v>
      </c>
      <c r="M139" s="2">
        <v>537994.0</v>
      </c>
      <c r="N139" s="8">
        <v>132.15</v>
      </c>
      <c r="O139" s="2">
        <v>687868.0</v>
      </c>
      <c r="P139" s="2" t="s">
        <v>59</v>
      </c>
      <c r="Q139" s="2" t="s">
        <v>59</v>
      </c>
    </row>
    <row r="140" hidden="1">
      <c r="A140" s="6"/>
      <c r="B140" s="2"/>
      <c r="C140" s="2" t="s">
        <v>53</v>
      </c>
      <c r="D140" s="2"/>
      <c r="E140" s="2" t="s">
        <v>41</v>
      </c>
      <c r="F140" s="2" t="s">
        <v>41</v>
      </c>
      <c r="G140" s="2" t="s">
        <v>299</v>
      </c>
      <c r="H140" s="2"/>
      <c r="J140" s="7">
        <v>46139.0</v>
      </c>
      <c r="L140" s="2" t="s">
        <v>38</v>
      </c>
      <c r="M140" s="2">
        <v>537994.0</v>
      </c>
      <c r="N140" s="8">
        <v>132.15</v>
      </c>
      <c r="O140" s="2">
        <v>687868.0</v>
      </c>
      <c r="P140" s="2" t="s">
        <v>59</v>
      </c>
      <c r="Q140" s="2" t="s">
        <v>59</v>
      </c>
    </row>
    <row r="141" hidden="1">
      <c r="A141" s="6">
        <v>46135.34379439815</v>
      </c>
      <c r="B141" s="2" t="s">
        <v>107</v>
      </c>
      <c r="C141" s="2" t="s">
        <v>300</v>
      </c>
      <c r="D141" s="2" t="s">
        <v>301</v>
      </c>
      <c r="E141" s="2" t="s">
        <v>41</v>
      </c>
      <c r="F141" s="2" t="s">
        <v>41</v>
      </c>
      <c r="G141" s="2" t="s">
        <v>302</v>
      </c>
      <c r="H141" s="2" t="s">
        <v>111</v>
      </c>
      <c r="J141" s="7">
        <v>46139.0</v>
      </c>
      <c r="L141" s="2" t="s">
        <v>38</v>
      </c>
      <c r="M141" s="2">
        <v>537994.0</v>
      </c>
      <c r="N141" s="8">
        <v>114.0</v>
      </c>
      <c r="O141" s="2">
        <v>687868.0</v>
      </c>
      <c r="P141" s="2" t="s">
        <v>43</v>
      </c>
      <c r="Q141" s="2" t="s">
        <v>43</v>
      </c>
    </row>
    <row r="142" hidden="1">
      <c r="A142" s="6">
        <v>46134.40484480324</v>
      </c>
      <c r="B142" s="2"/>
      <c r="C142" s="2" t="s">
        <v>303</v>
      </c>
      <c r="D142" s="2">
        <v>5.703358973E9</v>
      </c>
      <c r="E142" s="2" t="s">
        <v>41</v>
      </c>
      <c r="F142" s="2" t="s">
        <v>41</v>
      </c>
      <c r="G142" s="2" t="s">
        <v>304</v>
      </c>
      <c r="J142" s="7">
        <v>46139.0</v>
      </c>
      <c r="L142" s="2" t="s">
        <v>38</v>
      </c>
      <c r="M142" s="2">
        <v>537994.0</v>
      </c>
      <c r="N142" s="8">
        <v>131.43</v>
      </c>
      <c r="O142" s="2">
        <v>687868.0</v>
      </c>
      <c r="P142" s="2" t="s">
        <v>43</v>
      </c>
      <c r="Q142" s="2" t="s">
        <v>43</v>
      </c>
    </row>
    <row r="143" hidden="1">
      <c r="A143" s="6"/>
      <c r="B143" s="2"/>
      <c r="C143" s="2" t="s">
        <v>53</v>
      </c>
      <c r="D143" s="9"/>
      <c r="E143" s="2" t="s">
        <v>41</v>
      </c>
      <c r="F143" s="2" t="s">
        <v>41</v>
      </c>
      <c r="G143" s="2" t="s">
        <v>146</v>
      </c>
      <c r="J143" s="7">
        <v>46139.0</v>
      </c>
      <c r="L143" s="2" t="s">
        <v>38</v>
      </c>
      <c r="M143" s="2">
        <v>537994.0</v>
      </c>
      <c r="N143" s="8">
        <v>156.51</v>
      </c>
      <c r="O143" s="2">
        <v>687868.0</v>
      </c>
      <c r="P143" s="2" t="s">
        <v>59</v>
      </c>
      <c r="Q143" s="2" t="s">
        <v>59</v>
      </c>
    </row>
    <row r="144" hidden="1">
      <c r="A144" s="6">
        <v>46132.81989114583</v>
      </c>
      <c r="B144" s="2" t="s">
        <v>305</v>
      </c>
      <c r="C144" s="2" t="s">
        <v>306</v>
      </c>
      <c r="D144" s="2">
        <v>5.703512186E9</v>
      </c>
      <c r="E144" s="2" t="s">
        <v>41</v>
      </c>
      <c r="F144" s="2" t="s">
        <v>41</v>
      </c>
      <c r="G144" s="2" t="s">
        <v>244</v>
      </c>
      <c r="H144" s="2" t="s">
        <v>111</v>
      </c>
      <c r="J144" s="7">
        <v>46139.0</v>
      </c>
      <c r="L144" s="2" t="s">
        <v>38</v>
      </c>
      <c r="M144" s="2">
        <v>537994.0</v>
      </c>
      <c r="N144" s="8">
        <v>156.51</v>
      </c>
      <c r="O144" s="2">
        <v>687868.0</v>
      </c>
    </row>
    <row r="145" hidden="1">
      <c r="A145" s="6"/>
      <c r="B145" s="2"/>
      <c r="C145" s="2" t="s">
        <v>53</v>
      </c>
      <c r="D145" s="9"/>
      <c r="E145" s="2" t="s">
        <v>41</v>
      </c>
      <c r="F145" s="2" t="s">
        <v>41</v>
      </c>
      <c r="G145" s="2" t="s">
        <v>307</v>
      </c>
      <c r="J145" s="7">
        <v>46139.0</v>
      </c>
      <c r="L145" s="2" t="s">
        <v>38</v>
      </c>
      <c r="M145" s="2">
        <v>537994.0</v>
      </c>
      <c r="N145" s="8">
        <v>158.94</v>
      </c>
      <c r="O145" s="2">
        <v>687868.0</v>
      </c>
      <c r="P145" s="2" t="s">
        <v>59</v>
      </c>
      <c r="Q145" s="2" t="s">
        <v>59</v>
      </c>
    </row>
    <row r="146" hidden="1">
      <c r="A146" s="6"/>
      <c r="B146" s="2"/>
      <c r="C146" s="2" t="s">
        <v>53</v>
      </c>
      <c r="D146" s="9"/>
      <c r="E146" s="2" t="s">
        <v>41</v>
      </c>
      <c r="F146" s="2" t="s">
        <v>41</v>
      </c>
      <c r="G146" s="2" t="s">
        <v>308</v>
      </c>
      <c r="J146" s="7">
        <v>46139.0</v>
      </c>
      <c r="L146" s="2" t="s">
        <v>38</v>
      </c>
      <c r="M146" s="2">
        <v>537994.0</v>
      </c>
      <c r="N146" s="8">
        <v>156.51</v>
      </c>
      <c r="O146" s="2">
        <v>687868.0</v>
      </c>
      <c r="P146" s="2" t="s">
        <v>59</v>
      </c>
      <c r="Q146" s="2" t="s">
        <v>59</v>
      </c>
    </row>
    <row r="147" hidden="1">
      <c r="A147" s="6"/>
      <c r="B147" s="2"/>
      <c r="C147" s="2" t="s">
        <v>53</v>
      </c>
      <c r="D147" s="2"/>
      <c r="E147" s="2" t="s">
        <v>41</v>
      </c>
      <c r="F147" s="2" t="s">
        <v>41</v>
      </c>
      <c r="G147" s="2" t="s">
        <v>240</v>
      </c>
      <c r="H147" s="2"/>
      <c r="J147" s="7">
        <v>46139.0</v>
      </c>
      <c r="L147" s="2" t="s">
        <v>38</v>
      </c>
      <c r="M147" s="2">
        <v>537994.0</v>
      </c>
      <c r="N147" s="8">
        <v>99.28</v>
      </c>
      <c r="O147" s="2">
        <v>687868.0</v>
      </c>
      <c r="P147" s="2" t="s">
        <v>59</v>
      </c>
      <c r="Q147" s="2" t="s">
        <v>59</v>
      </c>
    </row>
    <row r="148" hidden="1">
      <c r="A148" s="6">
        <v>46135.77240665509</v>
      </c>
      <c r="B148" s="2"/>
      <c r="C148" s="2" t="s">
        <v>310</v>
      </c>
      <c r="D148" s="2">
        <v>5.704996741E9</v>
      </c>
      <c r="E148" s="2" t="s">
        <v>35</v>
      </c>
      <c r="F148" s="2" t="s">
        <v>35</v>
      </c>
      <c r="G148" s="2" t="s">
        <v>311</v>
      </c>
      <c r="H148" s="2"/>
      <c r="J148" s="7">
        <v>46139.0</v>
      </c>
      <c r="L148" s="2" t="s">
        <v>38</v>
      </c>
      <c r="M148" s="2">
        <v>537994.0</v>
      </c>
      <c r="N148" s="8">
        <v>160.17</v>
      </c>
      <c r="O148" s="2">
        <v>687868.0</v>
      </c>
      <c r="P148" s="2" t="s">
        <v>43</v>
      </c>
      <c r="Q148" s="2" t="s">
        <v>43</v>
      </c>
    </row>
    <row r="149" hidden="1">
      <c r="A149" s="6">
        <v>46135.75818318287</v>
      </c>
      <c r="B149" s="2"/>
      <c r="C149" s="2" t="s">
        <v>310</v>
      </c>
      <c r="D149" s="2">
        <v>5.704996741E9</v>
      </c>
      <c r="E149" s="2" t="s">
        <v>35</v>
      </c>
      <c r="F149" s="2" t="s">
        <v>35</v>
      </c>
      <c r="G149" s="2" t="s">
        <v>312</v>
      </c>
      <c r="H149" s="2" t="s">
        <v>313</v>
      </c>
      <c r="J149" s="7">
        <v>46139.0</v>
      </c>
      <c r="L149" s="2" t="s">
        <v>38</v>
      </c>
      <c r="M149" s="2">
        <v>537994.0</v>
      </c>
      <c r="N149" s="8">
        <v>55.1</v>
      </c>
      <c r="O149" s="2">
        <v>687868.0</v>
      </c>
      <c r="P149" s="2" t="s">
        <v>43</v>
      </c>
      <c r="Q149" s="2" t="s">
        <v>43</v>
      </c>
    </row>
    <row r="150" hidden="1">
      <c r="A150" s="6">
        <v>46136.85426328704</v>
      </c>
      <c r="B150" s="2" t="s">
        <v>314</v>
      </c>
      <c r="C150" s="2" t="s">
        <v>315</v>
      </c>
      <c r="D150" s="2" t="s">
        <v>316</v>
      </c>
      <c r="E150" s="2" t="s">
        <v>41</v>
      </c>
      <c r="F150" s="2" t="s">
        <v>41</v>
      </c>
      <c r="G150" s="2" t="s">
        <v>317</v>
      </c>
      <c r="H150" s="2" t="s">
        <v>48</v>
      </c>
      <c r="J150" s="7">
        <v>46139.0</v>
      </c>
      <c r="L150" s="2" t="s">
        <v>38</v>
      </c>
      <c r="M150" s="2">
        <v>537994.0</v>
      </c>
      <c r="N150" s="8">
        <v>141.88</v>
      </c>
      <c r="O150" s="2">
        <v>687868.0</v>
      </c>
      <c r="P150" s="2" t="s">
        <v>43</v>
      </c>
      <c r="Q150" s="2" t="s">
        <v>43</v>
      </c>
    </row>
    <row r="151" hidden="1">
      <c r="A151" s="6">
        <v>46133.84197887732</v>
      </c>
      <c r="B151" s="2" t="s">
        <v>107</v>
      </c>
      <c r="C151" s="2" t="s">
        <v>318</v>
      </c>
      <c r="D151" s="2" t="s">
        <v>319</v>
      </c>
      <c r="E151" s="2" t="s">
        <v>41</v>
      </c>
      <c r="F151" s="2" t="s">
        <v>41</v>
      </c>
      <c r="G151" s="2" t="s">
        <v>320</v>
      </c>
      <c r="H151" s="2" t="s">
        <v>48</v>
      </c>
      <c r="J151" s="7">
        <v>46139.0</v>
      </c>
      <c r="L151" s="2" t="s">
        <v>38</v>
      </c>
      <c r="M151" s="2">
        <v>537994.0</v>
      </c>
      <c r="N151" s="8">
        <v>32.19</v>
      </c>
      <c r="O151" s="2">
        <v>687868.0</v>
      </c>
      <c r="P151" s="2"/>
      <c r="Q151" s="2"/>
    </row>
    <row r="152" hidden="1">
      <c r="A152" s="6"/>
      <c r="B152" s="2"/>
      <c r="C152" s="2" t="s">
        <v>53</v>
      </c>
      <c r="D152" s="9"/>
      <c r="E152" s="2" t="s">
        <v>41</v>
      </c>
      <c r="F152" s="2" t="s">
        <v>41</v>
      </c>
      <c r="G152" s="2" t="s">
        <v>217</v>
      </c>
      <c r="J152" s="7">
        <v>46139.0</v>
      </c>
      <c r="L152" s="2" t="s">
        <v>38</v>
      </c>
      <c r="M152" s="2">
        <v>537994.0</v>
      </c>
      <c r="N152" s="8">
        <v>104.45</v>
      </c>
      <c r="O152" s="2">
        <v>687868.0</v>
      </c>
      <c r="P152" s="2" t="s">
        <v>59</v>
      </c>
      <c r="Q152" s="2" t="s">
        <v>59</v>
      </c>
    </row>
    <row r="153" hidden="1">
      <c r="A153" s="6"/>
      <c r="B153" s="2"/>
      <c r="C153" s="2" t="s">
        <v>53</v>
      </c>
      <c r="D153" s="9"/>
      <c r="E153" s="2" t="s">
        <v>41</v>
      </c>
      <c r="F153" s="2" t="s">
        <v>41</v>
      </c>
      <c r="G153" s="2" t="s">
        <v>221</v>
      </c>
      <c r="J153" s="7">
        <v>46139.0</v>
      </c>
      <c r="L153" s="2" t="s">
        <v>38</v>
      </c>
      <c r="M153" s="2">
        <v>537994.0</v>
      </c>
      <c r="N153" s="8">
        <v>104.45</v>
      </c>
      <c r="O153" s="2">
        <v>687868.0</v>
      </c>
      <c r="P153" s="2" t="s">
        <v>59</v>
      </c>
      <c r="Q153" s="2" t="s">
        <v>59</v>
      </c>
    </row>
    <row r="154" hidden="1">
      <c r="A154" s="6">
        <v>46130.90812359954</v>
      </c>
      <c r="B154" s="2" t="s">
        <v>283</v>
      </c>
      <c r="C154" s="2" t="s">
        <v>285</v>
      </c>
      <c r="D154" s="2">
        <v>5.705794933E9</v>
      </c>
      <c r="E154" s="2" t="s">
        <v>41</v>
      </c>
      <c r="F154" s="2" t="s">
        <v>41</v>
      </c>
      <c r="G154" s="2" t="s">
        <v>284</v>
      </c>
      <c r="J154" s="7">
        <v>46139.0</v>
      </c>
      <c r="L154" s="2" t="s">
        <v>38</v>
      </c>
      <c r="M154" s="2">
        <v>537994.0</v>
      </c>
      <c r="N154" s="8">
        <v>24.07</v>
      </c>
      <c r="O154" s="2">
        <v>687868.0</v>
      </c>
    </row>
    <row r="155" hidden="1">
      <c r="A155" s="6"/>
      <c r="B155" s="2"/>
      <c r="C155" s="2" t="s">
        <v>53</v>
      </c>
      <c r="D155" s="9"/>
      <c r="E155" s="2" t="s">
        <v>41</v>
      </c>
      <c r="F155" s="2" t="s">
        <v>41</v>
      </c>
      <c r="G155" s="2" t="s">
        <v>323</v>
      </c>
      <c r="J155" s="7">
        <v>46139.0</v>
      </c>
      <c r="L155" s="2" t="s">
        <v>38</v>
      </c>
      <c r="M155" s="2">
        <v>537994.0</v>
      </c>
      <c r="N155" s="8">
        <v>6.79</v>
      </c>
      <c r="O155" s="2">
        <v>687868.0</v>
      </c>
      <c r="P155" s="2" t="s">
        <v>59</v>
      </c>
      <c r="Q155" s="2" t="s">
        <v>59</v>
      </c>
    </row>
    <row r="156" hidden="1">
      <c r="A156" s="6"/>
      <c r="B156" s="2"/>
      <c r="C156" s="2" t="s">
        <v>53</v>
      </c>
      <c r="D156" s="9"/>
      <c r="E156" s="2" t="s">
        <v>41</v>
      </c>
      <c r="F156" s="2" t="s">
        <v>41</v>
      </c>
      <c r="G156" s="2" t="s">
        <v>324</v>
      </c>
      <c r="J156" s="7">
        <v>46139.0</v>
      </c>
      <c r="L156" s="2" t="s">
        <v>38</v>
      </c>
      <c r="M156" s="2">
        <v>537994.0</v>
      </c>
      <c r="N156" s="8">
        <v>4.09</v>
      </c>
      <c r="O156" s="2">
        <v>687868.0</v>
      </c>
      <c r="P156" s="2" t="s">
        <v>59</v>
      </c>
      <c r="Q156" s="2" t="s">
        <v>59</v>
      </c>
    </row>
    <row r="157" hidden="1">
      <c r="A157" s="6"/>
      <c r="B157" s="2"/>
      <c r="C157" s="2" t="s">
        <v>53</v>
      </c>
      <c r="D157" s="9"/>
      <c r="E157" s="2" t="s">
        <v>41</v>
      </c>
      <c r="F157" s="2" t="s">
        <v>41</v>
      </c>
      <c r="G157" s="2" t="s">
        <v>325</v>
      </c>
      <c r="J157" s="7">
        <v>46139.0</v>
      </c>
      <c r="L157" s="2" t="s">
        <v>38</v>
      </c>
      <c r="M157" s="2">
        <v>537994.0</v>
      </c>
      <c r="N157" s="8">
        <v>3.75</v>
      </c>
      <c r="O157" s="2">
        <v>687868.0</v>
      </c>
      <c r="P157" s="2" t="s">
        <v>59</v>
      </c>
      <c r="Q157" s="2" t="s">
        <v>59</v>
      </c>
    </row>
    <row r="158" hidden="1">
      <c r="A158" s="6"/>
      <c r="B158" s="2"/>
      <c r="C158" s="2" t="s">
        <v>53</v>
      </c>
      <c r="D158" s="9"/>
      <c r="E158" s="2" t="s">
        <v>64</v>
      </c>
      <c r="F158" s="2" t="s">
        <v>64</v>
      </c>
      <c r="G158" s="2" t="s">
        <v>326</v>
      </c>
      <c r="J158" s="7">
        <v>46139.0</v>
      </c>
      <c r="L158" s="2" t="s">
        <v>38</v>
      </c>
      <c r="M158" s="2">
        <v>537994.0</v>
      </c>
      <c r="N158" s="8">
        <v>8.17</v>
      </c>
      <c r="O158" s="2">
        <v>687868.0</v>
      </c>
      <c r="P158" s="2" t="s">
        <v>59</v>
      </c>
      <c r="Q158" s="2" t="s">
        <v>59</v>
      </c>
    </row>
    <row r="159" hidden="1">
      <c r="A159" s="6"/>
      <c r="B159" s="2"/>
      <c r="C159" s="2" t="s">
        <v>53</v>
      </c>
      <c r="D159" s="9"/>
      <c r="E159" s="2" t="s">
        <v>41</v>
      </c>
      <c r="F159" s="2" t="s">
        <v>41</v>
      </c>
      <c r="G159" s="2" t="s">
        <v>327</v>
      </c>
      <c r="J159" s="7">
        <v>46139.0</v>
      </c>
      <c r="L159" s="2" t="s">
        <v>38</v>
      </c>
      <c r="M159" s="2">
        <v>537994.0</v>
      </c>
      <c r="N159" s="8">
        <v>9.12</v>
      </c>
      <c r="O159" s="2">
        <v>687868.0</v>
      </c>
      <c r="P159" s="2" t="s">
        <v>59</v>
      </c>
      <c r="Q159" s="2" t="s">
        <v>59</v>
      </c>
    </row>
    <row r="160" hidden="1">
      <c r="A160" s="6"/>
      <c r="B160" s="2"/>
      <c r="C160" s="2" t="s">
        <v>53</v>
      </c>
      <c r="D160" s="9"/>
      <c r="E160" s="2" t="s">
        <v>41</v>
      </c>
      <c r="F160" s="2" t="s">
        <v>41</v>
      </c>
      <c r="G160" s="2" t="s">
        <v>329</v>
      </c>
      <c r="J160" s="7">
        <v>46139.0</v>
      </c>
      <c r="L160" s="2" t="s">
        <v>38</v>
      </c>
      <c r="M160" s="2">
        <v>537994.0</v>
      </c>
      <c r="N160" s="8">
        <v>20.9</v>
      </c>
      <c r="O160" s="2">
        <v>687868.0</v>
      </c>
      <c r="P160" s="2" t="s">
        <v>59</v>
      </c>
      <c r="Q160" s="2" t="s">
        <v>59</v>
      </c>
    </row>
    <row r="161" hidden="1">
      <c r="A161" s="6"/>
      <c r="B161" s="2"/>
      <c r="C161" s="2" t="s">
        <v>53</v>
      </c>
      <c r="D161" s="9"/>
      <c r="E161" s="2" t="s">
        <v>41</v>
      </c>
      <c r="F161" s="2" t="s">
        <v>41</v>
      </c>
      <c r="G161" s="2" t="s">
        <v>330</v>
      </c>
      <c r="J161" s="7">
        <v>46139.0</v>
      </c>
      <c r="L161" s="2" t="s">
        <v>38</v>
      </c>
      <c r="M161" s="2">
        <v>537994.0</v>
      </c>
      <c r="N161" s="8">
        <v>2.38</v>
      </c>
      <c r="O161" s="2">
        <v>687868.0</v>
      </c>
      <c r="P161" s="2" t="s">
        <v>59</v>
      </c>
      <c r="Q161" s="2" t="s">
        <v>59</v>
      </c>
    </row>
    <row r="162" hidden="1">
      <c r="A162" s="6"/>
      <c r="B162" s="2"/>
      <c r="C162" s="2" t="s">
        <v>53</v>
      </c>
      <c r="D162" s="9"/>
      <c r="E162" s="2" t="s">
        <v>35</v>
      </c>
      <c r="F162" s="2" t="s">
        <v>35</v>
      </c>
      <c r="G162" s="2" t="s">
        <v>331</v>
      </c>
      <c r="J162" s="7">
        <v>46139.0</v>
      </c>
      <c r="L162" s="2" t="s">
        <v>38</v>
      </c>
      <c r="M162" s="2">
        <v>537994.0</v>
      </c>
      <c r="N162" s="8">
        <v>5.46</v>
      </c>
      <c r="O162" s="2">
        <v>687868.0</v>
      </c>
      <c r="P162" s="2" t="s">
        <v>59</v>
      </c>
      <c r="Q162" s="2" t="s">
        <v>59</v>
      </c>
    </row>
    <row r="163" hidden="1">
      <c r="A163" s="6"/>
      <c r="B163" s="2"/>
      <c r="C163" s="2" t="s">
        <v>53</v>
      </c>
      <c r="D163" s="9"/>
      <c r="E163" s="2" t="s">
        <v>41</v>
      </c>
      <c r="F163" s="2" t="s">
        <v>41</v>
      </c>
      <c r="G163" s="2" t="s">
        <v>332</v>
      </c>
      <c r="J163" s="7">
        <v>46139.0</v>
      </c>
      <c r="L163" s="2" t="s">
        <v>69</v>
      </c>
      <c r="M163" s="2">
        <v>5.00337238E8</v>
      </c>
      <c r="N163" s="8">
        <v>135.17</v>
      </c>
      <c r="P163" s="2" t="s">
        <v>59</v>
      </c>
      <c r="Q163" s="2" t="s">
        <v>59</v>
      </c>
    </row>
    <row r="164" hidden="1">
      <c r="A164" s="6"/>
      <c r="B164" s="2"/>
      <c r="C164" s="2" t="s">
        <v>53</v>
      </c>
      <c r="D164" s="9"/>
      <c r="E164" s="2" t="s">
        <v>41</v>
      </c>
      <c r="F164" s="2" t="s">
        <v>41</v>
      </c>
      <c r="G164" s="2" t="s">
        <v>333</v>
      </c>
      <c r="J164" s="7">
        <v>46139.0</v>
      </c>
      <c r="L164" s="2" t="s">
        <v>69</v>
      </c>
      <c r="M164" s="2">
        <v>5.00337238E8</v>
      </c>
      <c r="N164" s="8">
        <v>135.17</v>
      </c>
      <c r="P164" s="2" t="s">
        <v>59</v>
      </c>
      <c r="Q164" s="2" t="s">
        <v>59</v>
      </c>
    </row>
    <row r="165" hidden="1">
      <c r="A165" s="6"/>
      <c r="B165" s="2"/>
      <c r="C165" s="2" t="s">
        <v>53</v>
      </c>
      <c r="D165" s="9"/>
      <c r="E165" s="2" t="s">
        <v>35</v>
      </c>
      <c r="F165" s="2" t="s">
        <v>35</v>
      </c>
      <c r="G165" s="2" t="s">
        <v>335</v>
      </c>
      <c r="J165" s="7">
        <v>46139.0</v>
      </c>
      <c r="L165" s="2" t="s">
        <v>69</v>
      </c>
      <c r="M165" s="2">
        <v>5.00337238E8</v>
      </c>
      <c r="N165" s="8">
        <v>158.82</v>
      </c>
      <c r="P165" s="2" t="s">
        <v>59</v>
      </c>
      <c r="Q165" s="2" t="s">
        <v>59</v>
      </c>
    </row>
    <row r="166" hidden="1">
      <c r="A166" s="6"/>
      <c r="B166" s="2"/>
      <c r="C166" s="2" t="s">
        <v>337</v>
      </c>
      <c r="D166" s="2" t="s">
        <v>338</v>
      </c>
      <c r="E166" s="2" t="s">
        <v>41</v>
      </c>
      <c r="F166" s="2" t="s">
        <v>41</v>
      </c>
      <c r="G166" s="2" t="s">
        <v>339</v>
      </c>
      <c r="H166" s="2"/>
      <c r="J166" s="7">
        <v>46139.0</v>
      </c>
      <c r="L166" s="2" t="s">
        <v>69</v>
      </c>
      <c r="M166" s="2">
        <v>5.00337238E8</v>
      </c>
      <c r="N166" s="8">
        <v>158.82</v>
      </c>
    </row>
    <row r="167" hidden="1">
      <c r="A167" s="6">
        <v>46132.81989114583</v>
      </c>
      <c r="B167" s="2" t="s">
        <v>305</v>
      </c>
      <c r="C167" s="2" t="s">
        <v>306</v>
      </c>
      <c r="D167" s="2">
        <v>5.703512186E9</v>
      </c>
      <c r="E167" s="2" t="s">
        <v>41</v>
      </c>
      <c r="F167" s="2" t="s">
        <v>41</v>
      </c>
      <c r="G167" s="2" t="s">
        <v>340</v>
      </c>
      <c r="H167" s="2" t="s">
        <v>111</v>
      </c>
      <c r="J167" s="7">
        <v>46139.0</v>
      </c>
      <c r="L167" s="2" t="s">
        <v>69</v>
      </c>
      <c r="M167" s="2">
        <v>5.00337238E8</v>
      </c>
      <c r="N167" s="8">
        <v>133.41</v>
      </c>
    </row>
    <row r="168" hidden="1">
      <c r="A168" s="6"/>
      <c r="B168" s="2"/>
      <c r="C168" s="2" t="s">
        <v>53</v>
      </c>
      <c r="D168" s="9"/>
      <c r="E168" s="2" t="s">
        <v>64</v>
      </c>
      <c r="F168" s="2" t="s">
        <v>64</v>
      </c>
      <c r="G168" s="2" t="s">
        <v>132</v>
      </c>
      <c r="J168" s="7">
        <v>46139.0</v>
      </c>
      <c r="L168" s="2" t="s">
        <v>69</v>
      </c>
      <c r="M168" s="2">
        <v>5.00337238E8</v>
      </c>
      <c r="N168" s="8">
        <v>146.12</v>
      </c>
      <c r="P168" s="2" t="s">
        <v>59</v>
      </c>
      <c r="Q168" s="2" t="s">
        <v>59</v>
      </c>
    </row>
    <row r="169" hidden="1">
      <c r="A169" s="6"/>
      <c r="B169" s="2"/>
      <c r="C169" s="2" t="s">
        <v>53</v>
      </c>
      <c r="D169" s="9"/>
      <c r="E169" s="2"/>
      <c r="F169" s="2"/>
      <c r="G169" s="2" t="s">
        <v>341</v>
      </c>
      <c r="J169" s="7">
        <v>46139.0</v>
      </c>
      <c r="L169" s="2" t="s">
        <v>69</v>
      </c>
      <c r="M169" s="2">
        <v>5.00337238E8</v>
      </c>
      <c r="N169" s="8">
        <v>3.07</v>
      </c>
      <c r="P169" s="2" t="s">
        <v>59</v>
      </c>
      <c r="Q169" s="2" t="s">
        <v>59</v>
      </c>
    </row>
    <row r="170" hidden="1">
      <c r="A170" s="6"/>
      <c r="B170" s="2"/>
      <c r="C170" s="2" t="s">
        <v>53</v>
      </c>
      <c r="D170" s="2"/>
      <c r="E170" s="2"/>
      <c r="F170" s="2"/>
      <c r="G170" s="2" t="s">
        <v>342</v>
      </c>
      <c r="J170" s="7">
        <v>46139.0</v>
      </c>
      <c r="L170" s="2" t="s">
        <v>69</v>
      </c>
      <c r="M170" s="2">
        <v>5.00337238E8</v>
      </c>
      <c r="N170" s="8">
        <v>3.07</v>
      </c>
      <c r="P170" s="2" t="s">
        <v>59</v>
      </c>
      <c r="Q170" s="2" t="s">
        <v>59</v>
      </c>
    </row>
    <row r="171" hidden="1">
      <c r="A171" s="6"/>
      <c r="B171" s="2"/>
      <c r="C171" s="2" t="s">
        <v>53</v>
      </c>
      <c r="D171" s="9"/>
      <c r="E171" s="2"/>
      <c r="F171" s="2"/>
      <c r="G171" s="2" t="s">
        <v>343</v>
      </c>
      <c r="J171" s="7">
        <v>46139.0</v>
      </c>
      <c r="L171" s="2" t="s">
        <v>69</v>
      </c>
      <c r="M171" s="2">
        <v>5.00337238E8</v>
      </c>
      <c r="N171" s="8">
        <v>3.51</v>
      </c>
      <c r="P171" s="2" t="s">
        <v>59</v>
      </c>
      <c r="Q171" s="2" t="s">
        <v>59</v>
      </c>
    </row>
    <row r="172" hidden="1">
      <c r="A172" s="6"/>
      <c r="B172" s="2"/>
      <c r="C172" s="2" t="s">
        <v>53</v>
      </c>
      <c r="D172" s="9"/>
      <c r="E172" s="2"/>
      <c r="F172" s="2"/>
      <c r="G172" s="2" t="s">
        <v>344</v>
      </c>
      <c r="J172" s="7">
        <v>46139.0</v>
      </c>
      <c r="L172" s="2" t="s">
        <v>69</v>
      </c>
      <c r="M172" s="2">
        <v>5.00337238E8</v>
      </c>
      <c r="N172" s="8">
        <v>3.51</v>
      </c>
      <c r="P172" s="2" t="s">
        <v>59</v>
      </c>
      <c r="Q172" s="2" t="s">
        <v>59</v>
      </c>
    </row>
    <row r="173" hidden="1">
      <c r="A173" s="6"/>
      <c r="B173" s="2"/>
      <c r="C173" s="2" t="s">
        <v>53</v>
      </c>
      <c r="D173" s="9"/>
      <c r="E173" s="2"/>
      <c r="F173" s="2"/>
      <c r="G173" s="2" t="s">
        <v>346</v>
      </c>
      <c r="H173" s="2"/>
      <c r="J173" s="7">
        <v>46143.0</v>
      </c>
      <c r="L173" s="2" t="s">
        <v>347</v>
      </c>
      <c r="M173" s="2" t="s">
        <v>348</v>
      </c>
      <c r="N173" s="8">
        <v>95.4</v>
      </c>
    </row>
    <row r="174" hidden="1">
      <c r="A174" s="6"/>
      <c r="B174" s="2"/>
      <c r="C174" s="2" t="s">
        <v>53</v>
      </c>
      <c r="D174" s="9"/>
      <c r="E174" s="2"/>
      <c r="F174" s="2"/>
      <c r="G174" s="2" t="s">
        <v>349</v>
      </c>
      <c r="H174" s="2"/>
      <c r="J174" s="7">
        <v>46143.0</v>
      </c>
      <c r="L174" s="2" t="s">
        <v>347</v>
      </c>
      <c r="M174" s="2" t="s">
        <v>348</v>
      </c>
      <c r="N174" s="8">
        <v>95.4</v>
      </c>
    </row>
    <row r="175">
      <c r="A175" s="6"/>
      <c r="B175" s="2"/>
      <c r="C175" s="2" t="s">
        <v>53</v>
      </c>
      <c r="D175" s="2"/>
      <c r="E175" s="2" t="s">
        <v>35</v>
      </c>
      <c r="F175" s="2" t="s">
        <v>35</v>
      </c>
      <c r="G175" s="2" t="s">
        <v>351</v>
      </c>
      <c r="J175" s="7">
        <v>46146.0</v>
      </c>
      <c r="L175" s="2" t="s">
        <v>38</v>
      </c>
      <c r="M175" s="2">
        <v>539275.0</v>
      </c>
      <c r="N175" s="8">
        <v>8.98</v>
      </c>
    </row>
    <row r="176">
      <c r="A176" s="2"/>
      <c r="B176" s="2"/>
      <c r="C176" s="2" t="s">
        <v>53</v>
      </c>
      <c r="D176" s="9"/>
      <c r="E176" s="2" t="s">
        <v>35</v>
      </c>
      <c r="F176" s="2" t="s">
        <v>35</v>
      </c>
      <c r="G176" s="2" t="s">
        <v>352</v>
      </c>
      <c r="J176" s="7">
        <v>46146.0</v>
      </c>
      <c r="L176" s="2" t="s">
        <v>38</v>
      </c>
      <c r="M176" s="2">
        <v>539275.0</v>
      </c>
      <c r="N176" s="8">
        <v>13.35</v>
      </c>
    </row>
    <row r="177">
      <c r="A177" s="2"/>
      <c r="B177" s="2"/>
      <c r="C177" s="2" t="s">
        <v>53</v>
      </c>
      <c r="D177" s="9"/>
      <c r="E177" s="2" t="s">
        <v>35</v>
      </c>
      <c r="F177" s="2" t="s">
        <v>35</v>
      </c>
      <c r="G177" s="2" t="s">
        <v>353</v>
      </c>
      <c r="J177" s="7">
        <v>46146.0</v>
      </c>
      <c r="L177" s="2" t="s">
        <v>38</v>
      </c>
      <c r="M177" s="2">
        <v>539275.0</v>
      </c>
      <c r="N177" s="8">
        <v>13.3</v>
      </c>
    </row>
    <row r="178">
      <c r="A178" s="6"/>
      <c r="B178" s="2"/>
      <c r="C178" s="2" t="s">
        <v>53</v>
      </c>
      <c r="D178" s="9"/>
      <c r="E178" s="2" t="s">
        <v>41</v>
      </c>
      <c r="F178" s="2" t="s">
        <v>41</v>
      </c>
      <c r="G178" s="2" t="s">
        <v>203</v>
      </c>
      <c r="H178" s="2"/>
      <c r="J178" s="7">
        <v>46146.0</v>
      </c>
      <c r="L178" s="2" t="s">
        <v>38</v>
      </c>
      <c r="M178" s="2">
        <v>539275.0</v>
      </c>
      <c r="N178" s="8">
        <v>8.12</v>
      </c>
    </row>
    <row r="179">
      <c r="A179" s="6">
        <v>46140.91397504629</v>
      </c>
      <c r="B179" s="2" t="s">
        <v>136</v>
      </c>
      <c r="C179" s="2" t="s">
        <v>137</v>
      </c>
      <c r="D179" s="2" t="s">
        <v>355</v>
      </c>
      <c r="E179" s="2" t="s">
        <v>41</v>
      </c>
      <c r="F179" s="2" t="s">
        <v>41</v>
      </c>
      <c r="G179" s="2" t="s">
        <v>356</v>
      </c>
      <c r="H179" s="2" t="s">
        <v>37</v>
      </c>
      <c r="J179" s="7">
        <v>46146.0</v>
      </c>
      <c r="L179" s="2" t="s">
        <v>38</v>
      </c>
      <c r="M179" s="2">
        <v>539275.0</v>
      </c>
      <c r="N179" s="8">
        <v>105.36</v>
      </c>
    </row>
    <row r="180">
      <c r="A180" s="6"/>
      <c r="B180" s="2"/>
      <c r="C180" s="2" t="s">
        <v>53</v>
      </c>
      <c r="D180" s="9"/>
      <c r="E180" s="2" t="s">
        <v>41</v>
      </c>
      <c r="F180" s="2" t="s">
        <v>41</v>
      </c>
      <c r="G180" s="2" t="s">
        <v>356</v>
      </c>
      <c r="J180" s="7">
        <v>46146.0</v>
      </c>
      <c r="L180" s="2" t="s">
        <v>38</v>
      </c>
      <c r="M180" s="2">
        <v>539275.0</v>
      </c>
      <c r="N180" s="8">
        <v>105.36</v>
      </c>
    </row>
    <row r="181">
      <c r="A181" s="6">
        <v>46143.94571921296</v>
      </c>
      <c r="B181" s="2" t="s">
        <v>359</v>
      </c>
      <c r="C181" s="2" t="s">
        <v>360</v>
      </c>
      <c r="D181" s="2">
        <v>5.704457882E9</v>
      </c>
      <c r="E181" s="2" t="s">
        <v>41</v>
      </c>
      <c r="F181" s="2" t="s">
        <v>41</v>
      </c>
      <c r="G181" s="2" t="s">
        <v>362</v>
      </c>
      <c r="H181" s="2" t="s">
        <v>37</v>
      </c>
      <c r="J181" s="7">
        <v>46146.0</v>
      </c>
      <c r="L181" s="2" t="s">
        <v>38</v>
      </c>
      <c r="M181" s="2">
        <v>539275.0</v>
      </c>
      <c r="N181" s="8">
        <v>105.36</v>
      </c>
    </row>
    <row r="182">
      <c r="A182" s="6">
        <v>46145.549832523146</v>
      </c>
      <c r="B182" s="2"/>
      <c r="C182" s="2" t="s">
        <v>363</v>
      </c>
      <c r="D182" s="2">
        <v>5.708991592E9</v>
      </c>
      <c r="E182" s="2" t="s">
        <v>41</v>
      </c>
      <c r="F182" s="2" t="s">
        <v>41</v>
      </c>
      <c r="G182" s="2" t="s">
        <v>364</v>
      </c>
      <c r="J182" s="7">
        <v>46146.0</v>
      </c>
      <c r="L182" s="2" t="s">
        <v>38</v>
      </c>
      <c r="M182" s="2">
        <v>539275.0</v>
      </c>
      <c r="N182" s="8">
        <v>105.36</v>
      </c>
    </row>
    <row r="183">
      <c r="A183" s="6"/>
      <c r="B183" s="2"/>
      <c r="C183" s="2" t="s">
        <v>365</v>
      </c>
      <c r="D183" s="9"/>
      <c r="E183" s="2" t="s">
        <v>41</v>
      </c>
      <c r="F183" s="2" t="s">
        <v>41</v>
      </c>
      <c r="G183" s="2" t="s">
        <v>366</v>
      </c>
      <c r="J183" s="7">
        <v>46146.0</v>
      </c>
      <c r="L183" s="2" t="s">
        <v>38</v>
      </c>
      <c r="M183" s="2">
        <v>539275.0</v>
      </c>
      <c r="N183" s="8">
        <v>104.45</v>
      </c>
    </row>
    <row r="184">
      <c r="A184" s="6">
        <v>46143.36941571759</v>
      </c>
      <c r="B184" s="2" t="s">
        <v>367</v>
      </c>
      <c r="C184" s="2" t="s">
        <v>368</v>
      </c>
      <c r="D184" s="2" t="s">
        <v>369</v>
      </c>
      <c r="E184" s="2" t="s">
        <v>41</v>
      </c>
      <c r="F184" s="2" t="s">
        <v>41</v>
      </c>
      <c r="G184" s="2" t="s">
        <v>370</v>
      </c>
      <c r="H184" s="2" t="s">
        <v>37</v>
      </c>
      <c r="J184" s="7">
        <v>46146.0</v>
      </c>
      <c r="L184" s="2" t="s">
        <v>38</v>
      </c>
      <c r="M184" s="2">
        <v>539275.0</v>
      </c>
      <c r="N184" s="8">
        <v>156.51</v>
      </c>
    </row>
    <row r="185">
      <c r="A185" s="6"/>
      <c r="B185" s="2"/>
      <c r="C185" s="2" t="s">
        <v>53</v>
      </c>
      <c r="D185" s="9"/>
      <c r="E185" s="2" t="s">
        <v>41</v>
      </c>
      <c r="F185" s="2" t="s">
        <v>41</v>
      </c>
      <c r="G185" s="2" t="s">
        <v>374</v>
      </c>
      <c r="J185" s="7">
        <v>46146.0</v>
      </c>
      <c r="L185" s="2" t="s">
        <v>38</v>
      </c>
      <c r="M185" s="2">
        <v>539275.0</v>
      </c>
      <c r="N185" s="8">
        <v>14.82</v>
      </c>
    </row>
    <row r="186">
      <c r="A186" s="6">
        <v>46144.470850949074</v>
      </c>
      <c r="B186" s="2"/>
      <c r="C186" s="2" t="s">
        <v>375</v>
      </c>
      <c r="D186" s="2">
        <v>2.012074643E9</v>
      </c>
      <c r="E186" s="2" t="s">
        <v>41</v>
      </c>
      <c r="F186" s="2" t="s">
        <v>41</v>
      </c>
      <c r="G186" s="2" t="s">
        <v>376</v>
      </c>
      <c r="J186" s="7">
        <v>46146.0</v>
      </c>
      <c r="L186" s="2" t="s">
        <v>38</v>
      </c>
      <c r="M186" s="2">
        <v>539275.0</v>
      </c>
      <c r="N186" s="8">
        <v>119.99</v>
      </c>
    </row>
    <row r="187">
      <c r="A187" s="6"/>
      <c r="B187" s="2"/>
      <c r="C187" s="2" t="s">
        <v>53</v>
      </c>
      <c r="D187" s="9"/>
      <c r="E187" s="2" t="s">
        <v>41</v>
      </c>
      <c r="F187" s="2" t="s">
        <v>41</v>
      </c>
      <c r="G187" s="2" t="s">
        <v>377</v>
      </c>
      <c r="J187" s="7">
        <v>46146.0</v>
      </c>
      <c r="L187" s="2" t="s">
        <v>38</v>
      </c>
      <c r="M187" s="2">
        <v>539275.0</v>
      </c>
      <c r="N187" s="8">
        <v>113.91</v>
      </c>
    </row>
    <row r="188">
      <c r="A188" s="6"/>
      <c r="B188" s="2"/>
      <c r="C188" s="2" t="s">
        <v>53</v>
      </c>
      <c r="D188" s="9"/>
      <c r="E188" s="2" t="s">
        <v>41</v>
      </c>
      <c r="F188" s="2" t="s">
        <v>41</v>
      </c>
      <c r="G188" s="2" t="s">
        <v>278</v>
      </c>
      <c r="J188" s="7">
        <v>46146.0</v>
      </c>
      <c r="L188" s="2" t="s">
        <v>38</v>
      </c>
      <c r="M188" s="2">
        <v>539275.0</v>
      </c>
      <c r="N188" s="8">
        <v>5.56</v>
      </c>
    </row>
    <row r="189">
      <c r="A189" s="6"/>
      <c r="B189" s="2"/>
      <c r="C189" s="2" t="s">
        <v>53</v>
      </c>
      <c r="D189" s="9"/>
      <c r="E189" s="2" t="s">
        <v>41</v>
      </c>
      <c r="F189" s="2" t="s">
        <v>41</v>
      </c>
      <c r="G189" s="2" t="s">
        <v>380</v>
      </c>
      <c r="J189" s="7">
        <v>46146.0</v>
      </c>
      <c r="L189" s="2" t="s">
        <v>38</v>
      </c>
      <c r="M189" s="2">
        <v>539275.0</v>
      </c>
      <c r="N189" s="8">
        <v>12.3</v>
      </c>
    </row>
    <row r="190">
      <c r="A190" s="40"/>
      <c r="B190" s="9"/>
      <c r="C190" s="9" t="s">
        <v>76</v>
      </c>
      <c r="D190" s="9" t="s">
        <v>48</v>
      </c>
      <c r="E190" s="9" t="s">
        <v>48</v>
      </c>
      <c r="F190" s="9" t="s">
        <v>48</v>
      </c>
      <c r="G190" s="2" t="s">
        <v>378</v>
      </c>
      <c r="J190" s="7">
        <v>46146.0</v>
      </c>
      <c r="L190" s="2" t="s">
        <v>38</v>
      </c>
      <c r="M190" s="2">
        <v>539275.0</v>
      </c>
      <c r="N190" s="8">
        <v>144.35</v>
      </c>
    </row>
    <row r="191">
      <c r="A191" s="6">
        <v>46141.78765298611</v>
      </c>
      <c r="B191" s="2"/>
      <c r="C191" s="2" t="s">
        <v>371</v>
      </c>
      <c r="D191" s="2">
        <v>6.074355012E9</v>
      </c>
      <c r="E191" s="2" t="s">
        <v>372</v>
      </c>
      <c r="F191" s="2" t="s">
        <v>372</v>
      </c>
      <c r="G191" s="2" t="s">
        <v>373</v>
      </c>
      <c r="J191" s="7">
        <v>46146.0</v>
      </c>
      <c r="L191" s="2" t="s">
        <v>38</v>
      </c>
      <c r="M191" s="2">
        <v>539275.0</v>
      </c>
      <c r="N191" s="8">
        <v>50.11</v>
      </c>
    </row>
    <row r="192">
      <c r="A192" s="6"/>
      <c r="B192" s="2"/>
      <c r="C192" s="2" t="s">
        <v>76</v>
      </c>
      <c r="D192" s="9"/>
      <c r="E192" s="2"/>
      <c r="F192" s="2"/>
      <c r="G192" s="2" t="s">
        <v>354</v>
      </c>
      <c r="H192" s="2"/>
      <c r="J192" s="7">
        <v>46146.0</v>
      </c>
      <c r="L192" s="2" t="s">
        <v>38</v>
      </c>
      <c r="M192" s="2">
        <v>539275.0</v>
      </c>
      <c r="N192" s="8">
        <v>122.41</v>
      </c>
    </row>
    <row r="193" hidden="1">
      <c r="A193" s="2" t="s">
        <v>381</v>
      </c>
      <c r="B193" s="2" t="s">
        <v>382</v>
      </c>
      <c r="C193" s="2" t="s">
        <v>383</v>
      </c>
      <c r="D193" s="9"/>
      <c r="E193" s="2" t="s">
        <v>35</v>
      </c>
      <c r="F193" s="2" t="s">
        <v>35</v>
      </c>
      <c r="G193" s="2" t="s">
        <v>384</v>
      </c>
      <c r="N193" s="41"/>
    </row>
    <row r="194" hidden="1">
      <c r="A194" s="6">
        <v>46109.55904854166</v>
      </c>
      <c r="B194" s="2"/>
      <c r="C194" s="2" t="s">
        <v>388</v>
      </c>
      <c r="D194" s="2"/>
      <c r="E194" s="2" t="s">
        <v>35</v>
      </c>
      <c r="F194" s="2" t="s">
        <v>35</v>
      </c>
      <c r="G194" s="2" t="s">
        <v>389</v>
      </c>
      <c r="N194" s="41"/>
    </row>
    <row r="195" hidden="1">
      <c r="A195" s="6"/>
      <c r="B195" s="2"/>
      <c r="C195" s="2" t="s">
        <v>53</v>
      </c>
      <c r="D195" s="9"/>
      <c r="E195" s="9"/>
      <c r="F195" s="9"/>
      <c r="G195" s="2" t="s">
        <v>390</v>
      </c>
      <c r="N195" s="41"/>
    </row>
    <row r="196" hidden="1">
      <c r="A196" s="2"/>
      <c r="B196" s="2"/>
      <c r="C196" s="2" t="s">
        <v>53</v>
      </c>
      <c r="D196" s="9"/>
      <c r="E196" s="2" t="s">
        <v>41</v>
      </c>
      <c r="F196" s="2" t="s">
        <v>41</v>
      </c>
      <c r="G196" s="2" t="s">
        <v>391</v>
      </c>
      <c r="N196" s="41"/>
    </row>
    <row r="197" hidden="1">
      <c r="A197" s="6">
        <v>46138.4788596412</v>
      </c>
      <c r="B197" s="2" t="s">
        <v>367</v>
      </c>
      <c r="C197" s="2" t="s">
        <v>368</v>
      </c>
      <c r="D197" s="2" t="s">
        <v>369</v>
      </c>
      <c r="E197" s="2" t="s">
        <v>41</v>
      </c>
      <c r="F197" s="2" t="s">
        <v>41</v>
      </c>
      <c r="G197" s="2" t="s">
        <v>392</v>
      </c>
      <c r="H197" s="2" t="s">
        <v>37</v>
      </c>
      <c r="N197" s="41"/>
    </row>
    <row r="198" hidden="1">
      <c r="A198" s="6"/>
      <c r="B198" s="2"/>
      <c r="C198" s="2" t="s">
        <v>76</v>
      </c>
      <c r="D198" s="9"/>
      <c r="E198" s="9"/>
      <c r="F198" s="9"/>
      <c r="G198" s="2" t="s">
        <v>393</v>
      </c>
      <c r="N198" s="41"/>
    </row>
    <row r="199" hidden="1">
      <c r="A199" s="6"/>
      <c r="B199" s="2"/>
      <c r="C199" s="9"/>
      <c r="D199" s="9"/>
      <c r="E199" s="9"/>
      <c r="F199" s="9"/>
      <c r="G199" s="9"/>
      <c r="N199" s="41"/>
    </row>
    <row r="200" hidden="1">
      <c r="A200" s="6"/>
      <c r="B200" s="2"/>
      <c r="C200" s="9"/>
      <c r="D200" s="9"/>
      <c r="E200" s="9"/>
      <c r="F200" s="9"/>
      <c r="G200" s="9"/>
      <c r="N200" s="41"/>
    </row>
    <row r="201" hidden="1">
      <c r="A201" s="6"/>
      <c r="B201" s="2"/>
      <c r="C201" s="9"/>
      <c r="D201" s="9"/>
      <c r="E201" s="9"/>
      <c r="F201" s="9"/>
      <c r="G201" s="9"/>
      <c r="N201" s="41"/>
    </row>
    <row r="202" hidden="1">
      <c r="A202" s="6"/>
      <c r="B202" s="2"/>
      <c r="C202" s="9"/>
      <c r="D202" s="9"/>
      <c r="E202" s="9"/>
      <c r="F202" s="9"/>
      <c r="G202" s="9"/>
      <c r="N202" s="41"/>
    </row>
    <row r="203" hidden="1">
      <c r="A203" s="6"/>
      <c r="B203" s="2"/>
      <c r="C203" s="9"/>
      <c r="D203" s="9"/>
      <c r="E203" s="9"/>
      <c r="F203" s="9"/>
      <c r="G203" s="9"/>
      <c r="N203" s="41"/>
    </row>
    <row r="204" hidden="1">
      <c r="A204" s="6"/>
      <c r="B204" s="2"/>
      <c r="C204" s="9"/>
      <c r="D204" s="9"/>
      <c r="E204" s="9"/>
      <c r="F204" s="9"/>
      <c r="G204" s="9"/>
      <c r="N204" s="41"/>
    </row>
    <row r="205" hidden="1">
      <c r="A205" s="6"/>
      <c r="B205" s="2"/>
      <c r="C205" s="9"/>
      <c r="D205" s="9"/>
      <c r="E205" s="9"/>
      <c r="F205" s="9"/>
      <c r="G205" s="9"/>
      <c r="N205" s="41"/>
    </row>
    <row r="206" hidden="1">
      <c r="A206" s="6"/>
      <c r="B206" s="2"/>
      <c r="C206" s="9"/>
      <c r="D206" s="9"/>
      <c r="E206" s="9"/>
      <c r="F206" s="9"/>
      <c r="G206" s="9"/>
      <c r="N206" s="41"/>
    </row>
    <row r="207" hidden="1">
      <c r="A207" s="6"/>
      <c r="B207" s="2"/>
      <c r="C207" s="9"/>
      <c r="D207" s="9"/>
      <c r="E207" s="9"/>
      <c r="F207" s="9"/>
      <c r="G207" s="9"/>
      <c r="N207" s="41"/>
    </row>
    <row r="208" hidden="1">
      <c r="A208" s="6"/>
      <c r="B208" s="2"/>
      <c r="C208" s="9"/>
      <c r="D208" s="9"/>
      <c r="E208" s="9"/>
      <c r="F208" s="9"/>
      <c r="G208" s="9"/>
      <c r="N208" s="41"/>
    </row>
    <row r="209" hidden="1">
      <c r="A209" s="6"/>
      <c r="B209" s="2"/>
      <c r="C209" s="9"/>
      <c r="D209" s="9"/>
      <c r="E209" s="9"/>
      <c r="F209" s="9"/>
      <c r="G209" s="9"/>
      <c r="N209" s="41"/>
    </row>
    <row r="210" hidden="1">
      <c r="A210" s="6"/>
      <c r="B210" s="2"/>
      <c r="C210" s="9"/>
      <c r="D210" s="9"/>
      <c r="E210" s="9"/>
      <c r="F210" s="9"/>
      <c r="G210" s="9"/>
      <c r="N210" s="41"/>
    </row>
    <row r="211" hidden="1">
      <c r="A211" s="6"/>
      <c r="B211" s="2"/>
      <c r="C211" s="9"/>
      <c r="D211" s="9"/>
      <c r="E211" s="9"/>
      <c r="F211" s="9"/>
      <c r="G211" s="9"/>
      <c r="N211" s="41"/>
    </row>
    <row r="212" hidden="1">
      <c r="A212" s="6"/>
      <c r="B212" s="2"/>
      <c r="C212" s="9"/>
      <c r="D212" s="9"/>
      <c r="E212" s="9"/>
      <c r="F212" s="9"/>
      <c r="G212" s="9"/>
      <c r="N212" s="41"/>
    </row>
    <row r="213" hidden="1">
      <c r="A213" s="6"/>
      <c r="B213" s="2"/>
      <c r="C213" s="9"/>
      <c r="D213" s="9"/>
      <c r="E213" s="9"/>
      <c r="F213" s="9"/>
      <c r="G213" s="9"/>
      <c r="N213" s="41"/>
    </row>
    <row r="214" hidden="1">
      <c r="A214" s="6"/>
      <c r="B214" s="2"/>
      <c r="C214" s="9"/>
      <c r="D214" s="9"/>
      <c r="E214" s="9"/>
      <c r="F214" s="9"/>
      <c r="G214" s="9"/>
      <c r="N214" s="41"/>
    </row>
    <row r="215" hidden="1">
      <c r="A215" s="6"/>
      <c r="B215" s="2"/>
      <c r="C215" s="9"/>
      <c r="D215" s="9"/>
      <c r="E215" s="9"/>
      <c r="F215" s="9"/>
      <c r="G215" s="9"/>
      <c r="N215" s="41"/>
    </row>
    <row r="216" hidden="1">
      <c r="A216" s="6"/>
      <c r="B216" s="2"/>
      <c r="C216" s="9"/>
      <c r="D216" s="9"/>
      <c r="E216" s="9"/>
      <c r="F216" s="9"/>
      <c r="G216" s="9"/>
      <c r="N216" s="41"/>
    </row>
    <row r="217" hidden="1">
      <c r="A217" s="6"/>
      <c r="B217" s="2"/>
      <c r="C217" s="9"/>
      <c r="D217" s="9"/>
      <c r="E217" s="9"/>
      <c r="F217" s="9"/>
      <c r="G217" s="9"/>
      <c r="N217" s="41"/>
    </row>
    <row r="218" hidden="1">
      <c r="A218" s="6"/>
      <c r="B218" s="2"/>
      <c r="C218" s="9"/>
      <c r="D218" s="9"/>
      <c r="E218" s="9"/>
      <c r="F218" s="9"/>
      <c r="G218" s="9"/>
      <c r="N218" s="41"/>
    </row>
    <row r="219" hidden="1">
      <c r="A219" s="6"/>
      <c r="B219" s="2"/>
      <c r="C219" s="9"/>
      <c r="D219" s="9"/>
      <c r="E219" s="9"/>
      <c r="F219" s="9"/>
      <c r="G219" s="9"/>
      <c r="N219" s="41"/>
    </row>
    <row r="220" hidden="1">
      <c r="A220" s="6"/>
      <c r="B220" s="2"/>
      <c r="C220" s="9"/>
      <c r="D220" s="9"/>
      <c r="E220" s="9"/>
      <c r="F220" s="9"/>
      <c r="G220" s="9"/>
      <c r="N220" s="41"/>
    </row>
    <row r="221" hidden="1">
      <c r="A221" s="6"/>
      <c r="B221" s="2"/>
      <c r="C221" s="9"/>
      <c r="D221" s="9"/>
      <c r="E221" s="9"/>
      <c r="F221" s="9"/>
      <c r="G221" s="9"/>
      <c r="N221" s="41"/>
    </row>
    <row r="222" hidden="1">
      <c r="A222" s="6"/>
      <c r="B222" s="2"/>
      <c r="C222" s="9"/>
      <c r="D222" s="9"/>
      <c r="E222" s="9"/>
      <c r="F222" s="9"/>
      <c r="G222" s="9"/>
      <c r="N222" s="41"/>
    </row>
    <row r="223" hidden="1">
      <c r="A223" s="6"/>
      <c r="B223" s="2"/>
      <c r="C223" s="9"/>
      <c r="D223" s="9"/>
      <c r="E223" s="9"/>
      <c r="F223" s="9"/>
      <c r="G223" s="9"/>
      <c r="N223" s="41"/>
    </row>
    <row r="224" hidden="1">
      <c r="A224" s="6"/>
      <c r="B224" s="2"/>
      <c r="C224" s="9"/>
      <c r="D224" s="9"/>
      <c r="E224" s="9"/>
      <c r="F224" s="9"/>
      <c r="G224" s="9"/>
      <c r="N224" s="41"/>
    </row>
    <row r="225" hidden="1">
      <c r="A225" s="6"/>
      <c r="B225" s="2"/>
      <c r="C225" s="9"/>
      <c r="D225" s="9"/>
      <c r="E225" s="9"/>
      <c r="F225" s="9"/>
      <c r="G225" s="9"/>
      <c r="N225" s="41"/>
    </row>
    <row r="226" hidden="1">
      <c r="A226" s="6"/>
      <c r="B226" s="2"/>
      <c r="C226" s="9"/>
      <c r="D226" s="9"/>
      <c r="E226" s="9"/>
      <c r="F226" s="9"/>
      <c r="G226" s="9"/>
      <c r="N226" s="41"/>
    </row>
    <row r="227" hidden="1">
      <c r="A227" s="6"/>
      <c r="B227" s="2"/>
      <c r="C227" s="9"/>
      <c r="D227" s="9"/>
      <c r="E227" s="9"/>
      <c r="F227" s="9"/>
      <c r="G227" s="9"/>
      <c r="N227" s="41"/>
    </row>
    <row r="228" hidden="1">
      <c r="A228" s="6"/>
      <c r="B228" s="2"/>
      <c r="C228" s="9"/>
      <c r="D228" s="9"/>
      <c r="E228" s="9"/>
      <c r="F228" s="9"/>
      <c r="G228" s="9"/>
      <c r="N228" s="41"/>
    </row>
    <row r="229" hidden="1">
      <c r="A229" s="6"/>
      <c r="B229" s="2"/>
      <c r="C229" s="9"/>
      <c r="D229" s="9"/>
      <c r="E229" s="9"/>
      <c r="F229" s="9"/>
      <c r="G229" s="9"/>
      <c r="N229" s="41"/>
    </row>
    <row r="230" hidden="1">
      <c r="A230" s="6"/>
      <c r="B230" s="2"/>
      <c r="C230" s="9"/>
      <c r="D230" s="9"/>
      <c r="E230" s="9"/>
      <c r="F230" s="9"/>
      <c r="G230" s="9"/>
      <c r="N230" s="41"/>
    </row>
    <row r="231" hidden="1">
      <c r="A231" s="6"/>
      <c r="B231" s="2"/>
      <c r="C231" s="9"/>
      <c r="D231" s="9"/>
      <c r="E231" s="9"/>
      <c r="F231" s="9"/>
      <c r="G231" s="9"/>
      <c r="N231" s="41"/>
    </row>
    <row r="232" hidden="1">
      <c r="A232" s="6"/>
      <c r="B232" s="2"/>
      <c r="C232" s="9"/>
      <c r="D232" s="9"/>
      <c r="E232" s="9"/>
      <c r="F232" s="9"/>
      <c r="G232" s="9"/>
      <c r="N232" s="41"/>
    </row>
    <row r="233" hidden="1">
      <c r="A233" s="6"/>
      <c r="B233" s="2"/>
      <c r="C233" s="9"/>
      <c r="D233" s="9"/>
      <c r="E233" s="9"/>
      <c r="F233" s="9"/>
      <c r="G233" s="9"/>
      <c r="N233" s="41"/>
    </row>
    <row r="234" hidden="1">
      <c r="A234" s="6"/>
      <c r="B234" s="2"/>
      <c r="C234" s="9"/>
      <c r="D234" s="9"/>
      <c r="E234" s="9"/>
      <c r="F234" s="9"/>
      <c r="G234" s="9"/>
      <c r="N234" s="41"/>
    </row>
    <row r="235" hidden="1">
      <c r="A235" s="6"/>
      <c r="B235" s="2"/>
      <c r="C235" s="9"/>
      <c r="D235" s="9"/>
      <c r="E235" s="9"/>
      <c r="F235" s="9"/>
      <c r="G235" s="9"/>
      <c r="N235" s="41"/>
    </row>
    <row r="236" hidden="1">
      <c r="A236" s="6"/>
      <c r="B236" s="2"/>
      <c r="C236" s="9"/>
      <c r="D236" s="9"/>
      <c r="E236" s="9"/>
      <c r="F236" s="9"/>
      <c r="G236" s="9"/>
      <c r="N236" s="41"/>
    </row>
    <row r="237" hidden="1">
      <c r="A237" s="6"/>
      <c r="B237" s="2"/>
      <c r="C237" s="9"/>
      <c r="D237" s="9"/>
      <c r="E237" s="9"/>
      <c r="F237" s="9"/>
      <c r="G237" s="9"/>
      <c r="N237" s="41"/>
    </row>
    <row r="238" hidden="1">
      <c r="A238" s="6"/>
      <c r="B238" s="2"/>
      <c r="C238" s="9"/>
      <c r="D238" s="9"/>
      <c r="E238" s="9"/>
      <c r="F238" s="9"/>
      <c r="G238" s="9"/>
      <c r="N238" s="41"/>
    </row>
    <row r="239" hidden="1">
      <c r="A239" s="6"/>
      <c r="B239" s="2"/>
      <c r="C239" s="9"/>
      <c r="D239" s="9"/>
      <c r="E239" s="9"/>
      <c r="F239" s="9"/>
      <c r="G239" s="9"/>
      <c r="N239" s="41"/>
    </row>
    <row r="240" hidden="1">
      <c r="A240" s="6"/>
      <c r="B240" s="2"/>
      <c r="C240" s="9"/>
      <c r="D240" s="9"/>
      <c r="E240" s="9"/>
      <c r="F240" s="9"/>
      <c r="G240" s="9"/>
      <c r="N240" s="41"/>
    </row>
    <row r="241" hidden="1">
      <c r="A241" s="6"/>
      <c r="B241" s="2"/>
      <c r="C241" s="9"/>
      <c r="D241" s="9"/>
      <c r="E241" s="9"/>
      <c r="F241" s="9"/>
      <c r="G241" s="9"/>
      <c r="N241" s="41"/>
    </row>
    <row r="242" hidden="1">
      <c r="A242" s="6"/>
      <c r="B242" s="2"/>
      <c r="C242" s="9"/>
      <c r="D242" s="9"/>
      <c r="E242" s="9"/>
      <c r="F242" s="9"/>
      <c r="G242" s="9"/>
      <c r="N242" s="41"/>
    </row>
    <row r="243" hidden="1">
      <c r="A243" s="6"/>
      <c r="B243" s="2"/>
      <c r="C243" s="9"/>
      <c r="D243" s="9"/>
      <c r="E243" s="9"/>
      <c r="F243" s="9"/>
      <c r="G243" s="9"/>
      <c r="N243" s="41"/>
    </row>
    <row r="244" hidden="1">
      <c r="A244" s="6"/>
      <c r="B244" s="2"/>
      <c r="C244" s="9"/>
      <c r="D244" s="9"/>
      <c r="E244" s="9"/>
      <c r="F244" s="9"/>
      <c r="G244" s="9"/>
      <c r="N244" s="41"/>
    </row>
    <row r="245" hidden="1">
      <c r="A245" s="6"/>
      <c r="B245" s="2"/>
      <c r="C245" s="9"/>
      <c r="D245" s="9"/>
      <c r="E245" s="9"/>
      <c r="F245" s="9"/>
      <c r="G245" s="9"/>
      <c r="N245" s="41"/>
    </row>
    <row r="246" hidden="1">
      <c r="A246" s="6"/>
      <c r="B246" s="2"/>
      <c r="C246" s="9"/>
      <c r="D246" s="9"/>
      <c r="E246" s="9"/>
      <c r="F246" s="9"/>
      <c r="G246" s="9"/>
      <c r="N246" s="41"/>
    </row>
    <row r="247" hidden="1">
      <c r="A247" s="6"/>
      <c r="B247" s="2"/>
      <c r="C247" s="9"/>
      <c r="D247" s="9"/>
      <c r="E247" s="9"/>
      <c r="F247" s="9"/>
      <c r="G247" s="9"/>
      <c r="N247" s="41"/>
    </row>
    <row r="248" hidden="1">
      <c r="A248" s="6"/>
      <c r="B248" s="2"/>
      <c r="C248" s="9"/>
      <c r="D248" s="9"/>
      <c r="E248" s="9"/>
      <c r="F248" s="9"/>
      <c r="G248" s="9"/>
      <c r="N248" s="41"/>
    </row>
    <row r="249" hidden="1">
      <c r="A249" s="6"/>
      <c r="B249" s="2"/>
      <c r="C249" s="9"/>
      <c r="D249" s="9"/>
      <c r="E249" s="9"/>
      <c r="F249" s="9"/>
      <c r="G249" s="9"/>
      <c r="N249" s="41"/>
    </row>
    <row r="250" hidden="1">
      <c r="A250" s="6"/>
      <c r="B250" s="2"/>
      <c r="C250" s="9"/>
      <c r="D250" s="9"/>
      <c r="E250" s="9"/>
      <c r="F250" s="9"/>
      <c r="G250" s="9"/>
      <c r="N250" s="41"/>
    </row>
    <row r="251" hidden="1">
      <c r="A251" s="6"/>
      <c r="B251" s="2"/>
      <c r="C251" s="9"/>
      <c r="D251" s="9"/>
      <c r="E251" s="9"/>
      <c r="F251" s="9"/>
      <c r="G251" s="9"/>
      <c r="N251" s="41"/>
    </row>
    <row r="252" hidden="1">
      <c r="A252" s="6"/>
      <c r="B252" s="2"/>
      <c r="C252" s="9"/>
      <c r="D252" s="9"/>
      <c r="E252" s="9"/>
      <c r="F252" s="9"/>
      <c r="G252" s="9"/>
      <c r="N252" s="41"/>
    </row>
    <row r="253" hidden="1">
      <c r="A253" s="6"/>
      <c r="B253" s="2"/>
      <c r="C253" s="9"/>
      <c r="D253" s="9"/>
      <c r="E253" s="9"/>
      <c r="F253" s="9"/>
      <c r="G253" s="9"/>
      <c r="N253" s="41"/>
    </row>
    <row r="254" hidden="1">
      <c r="A254" s="6"/>
      <c r="B254" s="2"/>
      <c r="C254" s="9"/>
      <c r="D254" s="9"/>
      <c r="E254" s="9"/>
      <c r="F254" s="9"/>
      <c r="G254" s="9"/>
      <c r="N254" s="41"/>
    </row>
    <row r="255" hidden="1">
      <c r="A255" s="6"/>
      <c r="B255" s="2"/>
      <c r="C255" s="9"/>
      <c r="D255" s="9"/>
      <c r="E255" s="9"/>
      <c r="F255" s="9"/>
      <c r="G255" s="9"/>
      <c r="N255" s="41"/>
    </row>
    <row r="256" hidden="1">
      <c r="A256" s="6"/>
      <c r="B256" s="2"/>
      <c r="C256" s="9"/>
      <c r="D256" s="9"/>
      <c r="E256" s="9"/>
      <c r="F256" s="9"/>
      <c r="G256" s="9"/>
      <c r="N256" s="41"/>
    </row>
    <row r="257" hidden="1">
      <c r="A257" s="6"/>
      <c r="B257" s="2"/>
      <c r="C257" s="9"/>
      <c r="D257" s="9"/>
      <c r="E257" s="9"/>
      <c r="F257" s="9"/>
      <c r="G257" s="9"/>
      <c r="N257" s="41"/>
    </row>
    <row r="258" hidden="1">
      <c r="A258" s="6"/>
      <c r="B258" s="2"/>
      <c r="C258" s="9"/>
      <c r="D258" s="9"/>
      <c r="E258" s="9"/>
      <c r="F258" s="9"/>
      <c r="G258" s="9"/>
      <c r="N258" s="41"/>
    </row>
    <row r="259" hidden="1">
      <c r="A259" s="6"/>
      <c r="B259" s="2"/>
      <c r="C259" s="9"/>
      <c r="D259" s="9"/>
      <c r="E259" s="9"/>
      <c r="F259" s="9"/>
      <c r="G259" s="9"/>
      <c r="N259" s="41"/>
    </row>
    <row r="260" hidden="1">
      <c r="A260" s="6"/>
      <c r="B260" s="2"/>
      <c r="C260" s="9"/>
      <c r="D260" s="9"/>
      <c r="E260" s="9"/>
      <c r="F260" s="9"/>
      <c r="G260" s="9"/>
      <c r="N260" s="41"/>
    </row>
    <row r="261" hidden="1">
      <c r="A261" s="6"/>
      <c r="B261" s="2"/>
      <c r="C261" s="9"/>
      <c r="D261" s="9"/>
      <c r="E261" s="9"/>
      <c r="F261" s="9"/>
      <c r="G261" s="9"/>
      <c r="N261" s="41"/>
    </row>
    <row r="262" hidden="1">
      <c r="A262" s="6"/>
      <c r="B262" s="2"/>
      <c r="C262" s="9"/>
      <c r="D262" s="9"/>
      <c r="E262" s="9"/>
      <c r="F262" s="9"/>
      <c r="G262" s="9"/>
      <c r="N262" s="41"/>
    </row>
    <row r="263" hidden="1">
      <c r="A263" s="6"/>
      <c r="B263" s="2"/>
      <c r="C263" s="9"/>
      <c r="D263" s="9"/>
      <c r="E263" s="9"/>
      <c r="F263" s="9"/>
      <c r="G263" s="9"/>
      <c r="N263" s="41"/>
    </row>
    <row r="264" hidden="1">
      <c r="A264" s="6"/>
      <c r="B264" s="2"/>
      <c r="C264" s="9"/>
      <c r="D264" s="9"/>
      <c r="E264" s="9"/>
      <c r="F264" s="9"/>
      <c r="G264" s="9"/>
      <c r="N264" s="41"/>
    </row>
    <row r="265" hidden="1">
      <c r="A265" s="6"/>
      <c r="B265" s="2"/>
      <c r="C265" s="9"/>
      <c r="D265" s="9"/>
      <c r="E265" s="9"/>
      <c r="F265" s="9"/>
      <c r="G265" s="9"/>
      <c r="N265" s="41"/>
    </row>
    <row r="266" hidden="1">
      <c r="A266" s="6"/>
      <c r="B266" s="2"/>
      <c r="C266" s="9"/>
      <c r="D266" s="9"/>
      <c r="E266" s="9"/>
      <c r="F266" s="9"/>
      <c r="G266" s="9"/>
      <c r="N266" s="41"/>
    </row>
    <row r="267" hidden="1">
      <c r="A267" s="6"/>
      <c r="B267" s="2"/>
      <c r="C267" s="9"/>
      <c r="D267" s="9"/>
      <c r="E267" s="9"/>
      <c r="F267" s="9"/>
      <c r="G267" s="9"/>
      <c r="N267" s="41"/>
    </row>
    <row r="268" hidden="1">
      <c r="A268" s="6"/>
      <c r="B268" s="2"/>
      <c r="C268" s="9"/>
      <c r="D268" s="9"/>
      <c r="E268" s="9"/>
      <c r="F268" s="9"/>
      <c r="G268" s="9"/>
      <c r="N268" s="41"/>
    </row>
    <row r="269" hidden="1">
      <c r="A269" s="6"/>
      <c r="B269" s="2"/>
      <c r="C269" s="9"/>
      <c r="D269" s="9"/>
      <c r="E269" s="9"/>
      <c r="F269" s="9"/>
      <c r="G269" s="9"/>
      <c r="N269" s="41"/>
    </row>
    <row r="270" hidden="1">
      <c r="A270" s="6"/>
      <c r="B270" s="2"/>
      <c r="C270" s="9"/>
      <c r="D270" s="9"/>
      <c r="E270" s="9"/>
      <c r="F270" s="9"/>
      <c r="G270" s="9"/>
      <c r="N270" s="41"/>
    </row>
    <row r="271" hidden="1">
      <c r="A271" s="6"/>
      <c r="B271" s="2"/>
      <c r="C271" s="9"/>
      <c r="D271" s="9"/>
      <c r="E271" s="9"/>
      <c r="F271" s="9"/>
      <c r="G271" s="9"/>
      <c r="N271" s="41"/>
    </row>
    <row r="272" hidden="1">
      <c r="A272" s="6"/>
      <c r="B272" s="2"/>
      <c r="C272" s="9"/>
      <c r="D272" s="9"/>
      <c r="E272" s="9"/>
      <c r="F272" s="9"/>
      <c r="G272" s="9"/>
      <c r="N272" s="41"/>
    </row>
    <row r="273" hidden="1">
      <c r="A273" s="6"/>
      <c r="B273" s="2"/>
      <c r="C273" s="9"/>
      <c r="D273" s="9"/>
      <c r="E273" s="9"/>
      <c r="F273" s="9"/>
      <c r="G273" s="9"/>
      <c r="N273" s="41"/>
    </row>
    <row r="274" hidden="1">
      <c r="A274" s="6"/>
      <c r="B274" s="2"/>
      <c r="C274" s="9"/>
      <c r="D274" s="9"/>
      <c r="E274" s="9"/>
      <c r="F274" s="9"/>
      <c r="G274" s="9"/>
      <c r="N274" s="41"/>
    </row>
    <row r="275" hidden="1">
      <c r="A275" s="6"/>
      <c r="B275" s="2"/>
      <c r="C275" s="9"/>
      <c r="D275" s="9"/>
      <c r="E275" s="9"/>
      <c r="F275" s="9"/>
      <c r="G275" s="9"/>
      <c r="N275" s="41"/>
    </row>
    <row r="276" hidden="1">
      <c r="A276" s="6"/>
      <c r="B276" s="2"/>
      <c r="C276" s="9"/>
      <c r="D276" s="9"/>
      <c r="E276" s="9"/>
      <c r="F276" s="9"/>
      <c r="G276" s="9"/>
      <c r="N276" s="41"/>
    </row>
    <row r="277" hidden="1">
      <c r="A277" s="6"/>
      <c r="B277" s="2"/>
      <c r="C277" s="9"/>
      <c r="D277" s="9"/>
      <c r="E277" s="9"/>
      <c r="F277" s="9"/>
      <c r="G277" s="9"/>
      <c r="N277" s="41"/>
    </row>
    <row r="278" hidden="1">
      <c r="A278" s="6"/>
      <c r="B278" s="2"/>
      <c r="C278" s="9"/>
      <c r="D278" s="9"/>
      <c r="E278" s="9"/>
      <c r="F278" s="9"/>
      <c r="G278" s="9"/>
      <c r="N278" s="41"/>
    </row>
    <row r="279" hidden="1">
      <c r="A279" s="6"/>
      <c r="B279" s="2"/>
      <c r="C279" s="9"/>
      <c r="D279" s="9"/>
      <c r="E279" s="9"/>
      <c r="F279" s="9"/>
      <c r="G279" s="9"/>
      <c r="N279" s="41"/>
    </row>
    <row r="280" hidden="1">
      <c r="A280" s="6"/>
      <c r="B280" s="2"/>
      <c r="C280" s="9"/>
      <c r="D280" s="9"/>
      <c r="E280" s="9"/>
      <c r="F280" s="9"/>
      <c r="G280" s="9"/>
      <c r="N280" s="41"/>
    </row>
    <row r="281" hidden="1">
      <c r="A281" s="6"/>
      <c r="B281" s="2"/>
      <c r="C281" s="9"/>
      <c r="D281" s="9"/>
      <c r="E281" s="9"/>
      <c r="F281" s="9"/>
      <c r="G281" s="9"/>
      <c r="N281" s="41"/>
    </row>
    <row r="282" hidden="1">
      <c r="A282" s="6"/>
      <c r="B282" s="2"/>
      <c r="C282" s="9"/>
      <c r="D282" s="9"/>
      <c r="E282" s="9"/>
      <c r="F282" s="9"/>
      <c r="G282" s="9"/>
      <c r="N282" s="41"/>
    </row>
    <row r="283" hidden="1">
      <c r="A283" s="6"/>
      <c r="B283" s="2"/>
      <c r="C283" s="9"/>
      <c r="D283" s="9"/>
      <c r="E283" s="9"/>
      <c r="F283" s="9"/>
      <c r="G283" s="9"/>
      <c r="N283" s="41"/>
    </row>
    <row r="284" hidden="1">
      <c r="A284" s="6"/>
      <c r="B284" s="2"/>
      <c r="C284" s="9"/>
      <c r="D284" s="9"/>
      <c r="E284" s="9"/>
      <c r="F284" s="9"/>
      <c r="G284" s="9"/>
      <c r="N284" s="41"/>
    </row>
    <row r="285" hidden="1">
      <c r="A285" s="6"/>
      <c r="B285" s="2"/>
      <c r="C285" s="9"/>
      <c r="D285" s="9"/>
      <c r="E285" s="9"/>
      <c r="F285" s="9"/>
      <c r="G285" s="9"/>
      <c r="N285" s="41"/>
    </row>
    <row r="286" hidden="1">
      <c r="A286" s="6"/>
      <c r="B286" s="2"/>
      <c r="C286" s="9"/>
      <c r="D286" s="9"/>
      <c r="E286" s="9"/>
      <c r="F286" s="9"/>
      <c r="G286" s="9"/>
      <c r="N286" s="41"/>
    </row>
    <row r="287" hidden="1">
      <c r="A287" s="6"/>
      <c r="B287" s="2"/>
      <c r="C287" s="9"/>
      <c r="D287" s="9"/>
      <c r="E287" s="9"/>
      <c r="F287" s="9"/>
      <c r="G287" s="9"/>
      <c r="N287" s="41"/>
    </row>
    <row r="288" hidden="1">
      <c r="A288" s="6"/>
      <c r="B288" s="2"/>
      <c r="C288" s="9"/>
      <c r="D288" s="9"/>
      <c r="E288" s="9"/>
      <c r="F288" s="9"/>
      <c r="G288" s="9"/>
      <c r="N288" s="41"/>
    </row>
    <row r="289" hidden="1">
      <c r="A289" s="6"/>
      <c r="B289" s="2"/>
      <c r="C289" s="9"/>
      <c r="D289" s="9"/>
      <c r="E289" s="9"/>
      <c r="F289" s="9"/>
      <c r="G289" s="9"/>
      <c r="N289" s="41"/>
    </row>
    <row r="290" hidden="1">
      <c r="A290" s="6"/>
      <c r="B290" s="2"/>
      <c r="C290" s="9"/>
      <c r="D290" s="9"/>
      <c r="E290" s="9"/>
      <c r="F290" s="9"/>
      <c r="G290" s="9"/>
      <c r="N290" s="41"/>
    </row>
    <row r="291" hidden="1">
      <c r="A291" s="6"/>
      <c r="B291" s="2"/>
      <c r="C291" s="9"/>
      <c r="D291" s="9"/>
      <c r="E291" s="9"/>
      <c r="F291" s="9"/>
      <c r="G291" s="9"/>
      <c r="N291" s="41"/>
    </row>
    <row r="292" hidden="1">
      <c r="A292" s="6"/>
      <c r="B292" s="2"/>
      <c r="C292" s="9"/>
      <c r="D292" s="9"/>
      <c r="E292" s="9"/>
      <c r="F292" s="9"/>
      <c r="G292" s="9"/>
      <c r="N292" s="41"/>
    </row>
    <row r="293" hidden="1">
      <c r="A293" s="6"/>
      <c r="B293" s="2"/>
      <c r="C293" s="9"/>
      <c r="D293" s="9"/>
      <c r="E293" s="9"/>
      <c r="F293" s="9"/>
      <c r="G293" s="9"/>
      <c r="N293" s="41"/>
    </row>
    <row r="294" hidden="1">
      <c r="A294" s="6"/>
      <c r="B294" s="2"/>
      <c r="C294" s="9"/>
      <c r="D294" s="9"/>
      <c r="E294" s="9"/>
      <c r="F294" s="9"/>
      <c r="G294" s="9"/>
      <c r="N294" s="41"/>
    </row>
    <row r="295" hidden="1">
      <c r="A295" s="6"/>
      <c r="B295" s="2"/>
      <c r="C295" s="9"/>
      <c r="D295" s="9"/>
      <c r="E295" s="9"/>
      <c r="F295" s="9"/>
      <c r="G295" s="9"/>
      <c r="N295" s="41"/>
    </row>
    <row r="296" hidden="1">
      <c r="A296" s="6"/>
      <c r="B296" s="2"/>
      <c r="C296" s="9"/>
      <c r="D296" s="9"/>
      <c r="E296" s="9"/>
      <c r="F296" s="9"/>
      <c r="G296" s="9"/>
      <c r="N296" s="41"/>
    </row>
    <row r="297" hidden="1">
      <c r="A297" s="6"/>
      <c r="B297" s="2"/>
      <c r="C297" s="9"/>
      <c r="D297" s="9"/>
      <c r="E297" s="9"/>
      <c r="F297" s="9"/>
      <c r="G297" s="9"/>
      <c r="N297" s="41"/>
    </row>
    <row r="298" hidden="1">
      <c r="A298" s="6"/>
      <c r="B298" s="2"/>
      <c r="C298" s="9"/>
      <c r="D298" s="9"/>
      <c r="E298" s="9"/>
      <c r="F298" s="9"/>
      <c r="G298" s="9"/>
      <c r="N298" s="41"/>
    </row>
    <row r="299" hidden="1">
      <c r="A299" s="6"/>
      <c r="B299" s="2"/>
      <c r="C299" s="9"/>
      <c r="D299" s="9"/>
      <c r="E299" s="9"/>
      <c r="F299" s="9"/>
      <c r="G299" s="9"/>
      <c r="N299" s="41"/>
    </row>
    <row r="300" hidden="1">
      <c r="A300" s="6"/>
      <c r="B300" s="2"/>
      <c r="C300" s="9"/>
      <c r="D300" s="9"/>
      <c r="E300" s="9"/>
      <c r="F300" s="9"/>
      <c r="G300" s="9"/>
      <c r="N300" s="41"/>
    </row>
    <row r="301" hidden="1">
      <c r="A301" s="6"/>
      <c r="B301" s="2"/>
      <c r="C301" s="9"/>
      <c r="D301" s="9"/>
      <c r="E301" s="9"/>
      <c r="F301" s="9"/>
      <c r="G301" s="9"/>
      <c r="N301" s="41"/>
    </row>
    <row r="302" hidden="1">
      <c r="A302" s="6"/>
      <c r="B302" s="2"/>
      <c r="C302" s="9"/>
      <c r="D302" s="9"/>
      <c r="E302" s="9"/>
      <c r="F302" s="9"/>
      <c r="G302" s="9"/>
      <c r="N302" s="41"/>
    </row>
    <row r="303" hidden="1">
      <c r="A303" s="6"/>
      <c r="B303" s="2"/>
      <c r="C303" s="9"/>
      <c r="D303" s="9"/>
      <c r="E303" s="9"/>
      <c r="F303" s="9"/>
      <c r="G303" s="9"/>
      <c r="N303" s="41"/>
    </row>
    <row r="304" hidden="1">
      <c r="A304" s="6"/>
      <c r="B304" s="2"/>
      <c r="C304" s="9"/>
      <c r="D304" s="9"/>
      <c r="E304" s="9"/>
      <c r="F304" s="9"/>
      <c r="G304" s="9"/>
      <c r="N304" s="41"/>
    </row>
    <row r="305" hidden="1">
      <c r="A305" s="6"/>
      <c r="B305" s="2"/>
      <c r="C305" s="9"/>
      <c r="D305" s="9"/>
      <c r="E305" s="9"/>
      <c r="F305" s="9"/>
      <c r="G305" s="9"/>
      <c r="N305" s="41"/>
    </row>
    <row r="306" hidden="1">
      <c r="A306" s="6"/>
      <c r="B306" s="2"/>
      <c r="C306" s="9"/>
      <c r="D306" s="9"/>
      <c r="E306" s="9"/>
      <c r="F306" s="9"/>
      <c r="G306" s="9"/>
      <c r="N306" s="41"/>
    </row>
    <row r="307" hidden="1">
      <c r="A307" s="6"/>
      <c r="B307" s="2"/>
      <c r="C307" s="9"/>
      <c r="D307" s="9"/>
      <c r="E307" s="9"/>
      <c r="F307" s="9"/>
      <c r="G307" s="9"/>
      <c r="N307" s="41"/>
    </row>
    <row r="308" hidden="1">
      <c r="A308" s="6"/>
      <c r="B308" s="2"/>
      <c r="C308" s="9"/>
      <c r="D308" s="9"/>
      <c r="E308" s="9"/>
      <c r="F308" s="9"/>
      <c r="G308" s="9"/>
      <c r="N308" s="41"/>
    </row>
    <row r="309" hidden="1">
      <c r="A309" s="6"/>
      <c r="B309" s="2"/>
      <c r="C309" s="9"/>
      <c r="D309" s="9"/>
      <c r="E309" s="9"/>
      <c r="F309" s="9"/>
      <c r="G309" s="9"/>
      <c r="N309" s="41"/>
    </row>
    <row r="310" hidden="1">
      <c r="A310" s="6"/>
      <c r="B310" s="2"/>
      <c r="C310" s="9"/>
      <c r="D310" s="9"/>
      <c r="E310" s="9"/>
      <c r="F310" s="9"/>
      <c r="G310" s="9"/>
      <c r="N310" s="41"/>
    </row>
    <row r="311" hidden="1">
      <c r="A311" s="6"/>
      <c r="B311" s="2"/>
      <c r="C311" s="9"/>
      <c r="D311" s="9"/>
      <c r="E311" s="9"/>
      <c r="F311" s="9"/>
      <c r="G311" s="9"/>
      <c r="N311" s="41"/>
    </row>
    <row r="312" hidden="1">
      <c r="A312" s="6"/>
      <c r="B312" s="2"/>
      <c r="C312" s="9"/>
      <c r="D312" s="9"/>
      <c r="E312" s="9"/>
      <c r="F312" s="9"/>
      <c r="G312" s="9"/>
      <c r="N312" s="41"/>
    </row>
    <row r="313" hidden="1">
      <c r="A313" s="6"/>
      <c r="B313" s="2"/>
      <c r="C313" s="9"/>
      <c r="D313" s="9"/>
      <c r="E313" s="9"/>
      <c r="F313" s="9"/>
      <c r="G313" s="9"/>
      <c r="N313" s="41"/>
    </row>
    <row r="314" hidden="1">
      <c r="A314" s="6"/>
      <c r="B314" s="2"/>
      <c r="C314" s="9"/>
      <c r="D314" s="9"/>
      <c r="E314" s="9"/>
      <c r="F314" s="9"/>
      <c r="G314" s="9"/>
      <c r="N314" s="41"/>
    </row>
    <row r="315" hidden="1">
      <c r="A315" s="6"/>
      <c r="B315" s="2"/>
      <c r="C315" s="9"/>
      <c r="D315" s="9"/>
      <c r="E315" s="9"/>
      <c r="F315" s="9"/>
      <c r="G315" s="9"/>
      <c r="N315" s="41"/>
    </row>
    <row r="316" hidden="1">
      <c r="A316" s="6"/>
      <c r="B316" s="2"/>
      <c r="C316" s="9"/>
      <c r="D316" s="9"/>
      <c r="E316" s="9"/>
      <c r="F316" s="9"/>
      <c r="G316" s="9"/>
      <c r="N316" s="41"/>
    </row>
    <row r="317" hidden="1">
      <c r="A317" s="6"/>
      <c r="B317" s="2"/>
      <c r="C317" s="9"/>
      <c r="D317" s="9"/>
      <c r="E317" s="9"/>
      <c r="F317" s="9"/>
      <c r="G317" s="9"/>
      <c r="N317" s="41"/>
    </row>
    <row r="318" hidden="1">
      <c r="A318" s="6"/>
      <c r="B318" s="2"/>
      <c r="C318" s="9"/>
      <c r="D318" s="9"/>
      <c r="E318" s="9"/>
      <c r="F318" s="9"/>
      <c r="G318" s="9"/>
      <c r="N318" s="41"/>
    </row>
    <row r="319" hidden="1">
      <c r="A319" s="6"/>
      <c r="B319" s="2"/>
      <c r="C319" s="9"/>
      <c r="D319" s="9"/>
      <c r="E319" s="9"/>
      <c r="F319" s="9"/>
      <c r="G319" s="9"/>
      <c r="N319" s="41"/>
    </row>
    <row r="320" hidden="1">
      <c r="A320" s="6"/>
      <c r="B320" s="2"/>
      <c r="C320" s="9"/>
      <c r="D320" s="9"/>
      <c r="E320" s="9"/>
      <c r="F320" s="9"/>
      <c r="G320" s="9"/>
      <c r="N320" s="41"/>
    </row>
    <row r="321" hidden="1">
      <c r="A321" s="6"/>
      <c r="B321" s="2"/>
      <c r="C321" s="9"/>
      <c r="D321" s="9"/>
      <c r="E321" s="9"/>
      <c r="F321" s="9"/>
      <c r="G321" s="9"/>
      <c r="N321" s="41"/>
    </row>
    <row r="322" hidden="1">
      <c r="A322" s="6"/>
      <c r="B322" s="2"/>
      <c r="C322" s="9"/>
      <c r="D322" s="9"/>
      <c r="E322" s="9"/>
      <c r="F322" s="9"/>
      <c r="G322" s="9"/>
      <c r="N322" s="41"/>
    </row>
    <row r="323" hidden="1">
      <c r="A323" s="6"/>
      <c r="B323" s="2"/>
      <c r="C323" s="9"/>
      <c r="D323" s="9"/>
      <c r="E323" s="9"/>
      <c r="F323" s="9"/>
      <c r="G323" s="9"/>
      <c r="N323" s="41"/>
    </row>
    <row r="324" hidden="1">
      <c r="A324" s="6"/>
      <c r="B324" s="2"/>
      <c r="C324" s="9"/>
      <c r="D324" s="9"/>
      <c r="E324" s="9"/>
      <c r="F324" s="9"/>
      <c r="G324" s="9"/>
      <c r="N324" s="41"/>
    </row>
    <row r="325" hidden="1">
      <c r="A325" s="6"/>
      <c r="B325" s="2"/>
      <c r="C325" s="9"/>
      <c r="D325" s="9"/>
      <c r="E325" s="9"/>
      <c r="F325" s="9"/>
      <c r="G325" s="9"/>
      <c r="N325" s="41"/>
    </row>
    <row r="326" hidden="1">
      <c r="A326" s="6"/>
      <c r="B326" s="2"/>
      <c r="C326" s="9"/>
      <c r="D326" s="9"/>
      <c r="E326" s="9"/>
      <c r="F326" s="9"/>
      <c r="G326" s="9"/>
      <c r="N326" s="41"/>
    </row>
    <row r="327" hidden="1">
      <c r="A327" s="6"/>
      <c r="B327" s="2"/>
      <c r="C327" s="9"/>
      <c r="D327" s="9"/>
      <c r="E327" s="9"/>
      <c r="F327" s="9"/>
      <c r="G327" s="9"/>
      <c r="N327" s="41"/>
    </row>
    <row r="328" hidden="1">
      <c r="A328" s="6"/>
      <c r="B328" s="2"/>
      <c r="C328" s="9"/>
      <c r="D328" s="9"/>
      <c r="E328" s="9"/>
      <c r="F328" s="9"/>
      <c r="G328" s="9"/>
      <c r="N328" s="41"/>
    </row>
    <row r="329" hidden="1">
      <c r="A329" s="6"/>
      <c r="B329" s="2"/>
      <c r="C329" s="9"/>
      <c r="D329" s="9"/>
      <c r="E329" s="9"/>
      <c r="F329" s="9"/>
      <c r="G329" s="9"/>
      <c r="N329" s="41"/>
    </row>
    <row r="330" hidden="1">
      <c r="A330" s="6"/>
      <c r="B330" s="2"/>
      <c r="C330" s="9"/>
      <c r="D330" s="9"/>
      <c r="E330" s="9"/>
      <c r="F330" s="9"/>
      <c r="G330" s="9"/>
      <c r="N330" s="41"/>
    </row>
    <row r="331" hidden="1">
      <c r="A331" s="6"/>
      <c r="B331" s="2"/>
      <c r="C331" s="9"/>
      <c r="D331" s="9"/>
      <c r="E331" s="9"/>
      <c r="F331" s="9"/>
      <c r="G331" s="9"/>
      <c r="N331" s="41"/>
    </row>
    <row r="332" hidden="1">
      <c r="A332" s="6"/>
      <c r="B332" s="2"/>
      <c r="C332" s="9"/>
      <c r="D332" s="9"/>
      <c r="E332" s="9"/>
      <c r="F332" s="9"/>
      <c r="G332" s="9"/>
      <c r="N332" s="41"/>
    </row>
    <row r="333" hidden="1">
      <c r="A333" s="6"/>
      <c r="B333" s="2"/>
      <c r="C333" s="9"/>
      <c r="D333" s="9"/>
      <c r="E333" s="9"/>
      <c r="F333" s="9"/>
      <c r="G333" s="9"/>
      <c r="N333" s="41"/>
    </row>
    <row r="334" hidden="1">
      <c r="A334" s="6"/>
      <c r="B334" s="2"/>
      <c r="C334" s="9"/>
      <c r="D334" s="9"/>
      <c r="E334" s="9"/>
      <c r="F334" s="9"/>
      <c r="G334" s="9"/>
      <c r="N334" s="41"/>
    </row>
    <row r="335" hidden="1">
      <c r="A335" s="6"/>
      <c r="B335" s="2"/>
      <c r="C335" s="9"/>
      <c r="D335" s="9"/>
      <c r="E335" s="9"/>
      <c r="F335" s="9"/>
      <c r="G335" s="9"/>
      <c r="N335" s="41"/>
    </row>
    <row r="336" hidden="1">
      <c r="A336" s="6"/>
      <c r="B336" s="2"/>
      <c r="C336" s="9"/>
      <c r="D336" s="9"/>
      <c r="E336" s="9"/>
      <c r="F336" s="9"/>
      <c r="G336" s="9"/>
      <c r="N336" s="41"/>
    </row>
    <row r="337" hidden="1">
      <c r="A337" s="6"/>
      <c r="B337" s="2"/>
      <c r="C337" s="9"/>
      <c r="D337" s="9"/>
      <c r="E337" s="9"/>
      <c r="F337" s="9"/>
      <c r="G337" s="9"/>
      <c r="N337" s="41"/>
    </row>
    <row r="338" hidden="1">
      <c r="A338" s="6"/>
      <c r="B338" s="2"/>
      <c r="C338" s="9"/>
      <c r="D338" s="9"/>
      <c r="E338" s="9"/>
      <c r="F338" s="9"/>
      <c r="G338" s="9"/>
      <c r="N338" s="41"/>
    </row>
    <row r="339" hidden="1">
      <c r="A339" s="6"/>
      <c r="B339" s="2"/>
      <c r="C339" s="9"/>
      <c r="D339" s="9"/>
      <c r="E339" s="9"/>
      <c r="F339" s="9"/>
      <c r="G339" s="9"/>
      <c r="N339" s="41"/>
    </row>
    <row r="340" hidden="1">
      <c r="A340" s="6"/>
      <c r="B340" s="2"/>
      <c r="C340" s="9"/>
      <c r="D340" s="9"/>
      <c r="E340" s="9"/>
      <c r="F340" s="9"/>
      <c r="G340" s="9"/>
      <c r="N340" s="41"/>
    </row>
    <row r="341" hidden="1">
      <c r="A341" s="6"/>
      <c r="B341" s="2"/>
      <c r="C341" s="9"/>
      <c r="D341" s="9"/>
      <c r="E341" s="9"/>
      <c r="F341" s="9"/>
      <c r="G341" s="9"/>
      <c r="N341" s="41"/>
    </row>
    <row r="342" hidden="1">
      <c r="A342" s="6"/>
      <c r="B342" s="2"/>
      <c r="C342" s="9"/>
      <c r="D342" s="9"/>
      <c r="E342" s="9"/>
      <c r="F342" s="9"/>
      <c r="G342" s="9"/>
      <c r="N342" s="41"/>
    </row>
    <row r="343" hidden="1">
      <c r="A343" s="6"/>
      <c r="B343" s="2"/>
      <c r="C343" s="9"/>
      <c r="D343" s="9"/>
      <c r="E343" s="9"/>
      <c r="F343" s="9"/>
      <c r="G343" s="9"/>
      <c r="N343" s="41"/>
    </row>
    <row r="344" hidden="1">
      <c r="A344" s="6"/>
      <c r="B344" s="2"/>
      <c r="C344" s="9"/>
      <c r="D344" s="9"/>
      <c r="E344" s="9"/>
      <c r="F344" s="9"/>
      <c r="G344" s="9"/>
      <c r="N344" s="41"/>
    </row>
    <row r="345" hidden="1">
      <c r="A345" s="6"/>
      <c r="B345" s="2"/>
      <c r="C345" s="9"/>
      <c r="D345" s="9"/>
      <c r="E345" s="9"/>
      <c r="F345" s="9"/>
      <c r="G345" s="9"/>
      <c r="N345" s="41"/>
    </row>
    <row r="346" hidden="1">
      <c r="A346" s="6"/>
      <c r="B346" s="2"/>
      <c r="C346" s="9"/>
      <c r="D346" s="9"/>
      <c r="E346" s="9"/>
      <c r="F346" s="9"/>
      <c r="G346" s="9"/>
      <c r="N346" s="41"/>
    </row>
    <row r="347" hidden="1">
      <c r="A347" s="6"/>
      <c r="B347" s="2"/>
      <c r="C347" s="9"/>
      <c r="D347" s="9"/>
      <c r="E347" s="9"/>
      <c r="F347" s="9"/>
      <c r="G347" s="9"/>
      <c r="N347" s="41"/>
    </row>
    <row r="348" hidden="1">
      <c r="A348" s="6"/>
      <c r="B348" s="2"/>
      <c r="C348" s="9"/>
      <c r="D348" s="9"/>
      <c r="E348" s="9"/>
      <c r="F348" s="9"/>
      <c r="G348" s="9"/>
      <c r="N348" s="41"/>
    </row>
    <row r="349" hidden="1">
      <c r="A349" s="6"/>
      <c r="B349" s="2"/>
      <c r="C349" s="9"/>
      <c r="D349" s="9"/>
      <c r="E349" s="9"/>
      <c r="F349" s="9"/>
      <c r="G349" s="9"/>
      <c r="N349" s="41"/>
    </row>
    <row r="350" hidden="1">
      <c r="A350" s="6"/>
      <c r="B350" s="2"/>
      <c r="C350" s="9"/>
      <c r="D350" s="9"/>
      <c r="E350" s="9"/>
      <c r="F350" s="9"/>
      <c r="G350" s="9"/>
      <c r="N350" s="41"/>
    </row>
    <row r="351" hidden="1">
      <c r="A351" s="6"/>
      <c r="B351" s="2"/>
      <c r="C351" s="9"/>
      <c r="D351" s="9"/>
      <c r="E351" s="9"/>
      <c r="F351" s="9"/>
      <c r="G351" s="9"/>
      <c r="N351" s="41"/>
    </row>
    <row r="352" hidden="1">
      <c r="A352" s="6"/>
      <c r="B352" s="2"/>
      <c r="C352" s="9"/>
      <c r="D352" s="9"/>
      <c r="E352" s="9"/>
      <c r="F352" s="9"/>
      <c r="G352" s="9"/>
      <c r="N352" s="41"/>
      <c r="P352" s="2"/>
    </row>
  </sheetData>
  <autoFilter ref="$A$1:$T$352">
    <filterColumn colId="9">
      <filters>
        <filter val="5/4/26"/>
      </filters>
    </filterColumn>
    <sortState ref="A1:T352">
      <sortCondition descending="1" ref="E1:E352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4.88"/>
    <col customWidth="1" min="4" max="4" width="32.13"/>
    <col customWidth="1" min="7" max="14" width="14.38"/>
  </cols>
  <sheetData>
    <row r="1">
      <c r="A1" s="2" t="s">
        <v>1</v>
      </c>
      <c r="B1" s="2" t="s">
        <v>2</v>
      </c>
      <c r="C1" s="3" t="s">
        <v>3</v>
      </c>
      <c r="D1" s="2" t="s">
        <v>4</v>
      </c>
      <c r="E1" s="2" t="s">
        <v>5</v>
      </c>
      <c r="F1" s="4" t="s">
        <v>6</v>
      </c>
      <c r="G1" s="2" t="s">
        <v>8</v>
      </c>
      <c r="H1" s="2" t="s">
        <v>9</v>
      </c>
      <c r="I1" s="2" t="s">
        <v>12</v>
      </c>
      <c r="J1" s="2" t="s">
        <v>14</v>
      </c>
      <c r="K1" s="2" t="s">
        <v>16</v>
      </c>
      <c r="L1" s="2" t="s">
        <v>17</v>
      </c>
      <c r="M1" s="2" t="s">
        <v>19</v>
      </c>
      <c r="N1" s="2"/>
    </row>
    <row r="2">
      <c r="A2" s="2" t="str">
        <f t="shared" ref="A2:A989" si="1">if(isblank(B2)=true,"", TEXT(G2,"YYYYMMDD")&amp;"-"&amp;UPPER(BASE(MOD(SUMPRODUCT(CODE(MID(UPPER(B2&amp;C2&amp;D2&amp;E2),ROW(INDIRECT("1:"&amp;LEN(B2&amp;C2&amp;D2&amp;E2))),1))*ROW(INDIRECT("1:"&amp;LEN(B2&amp;C2&amp;D2&amp;E2)))),1679616),36)))</f>
        <v>20251210-3FJ0</v>
      </c>
      <c r="B2" s="2" t="s">
        <v>52</v>
      </c>
      <c r="C2" s="3" t="s">
        <v>54</v>
      </c>
      <c r="D2" s="2" t="s">
        <v>55</v>
      </c>
      <c r="E2" s="2" t="s">
        <v>56</v>
      </c>
      <c r="F2" s="4">
        <v>46001.0</v>
      </c>
      <c r="G2" s="10">
        <v>46001.70354753472</v>
      </c>
      <c r="H2" s="2" t="s">
        <v>58</v>
      </c>
      <c r="I2" s="2" t="s">
        <v>60</v>
      </c>
      <c r="J2" s="2" t="s">
        <v>60</v>
      </c>
      <c r="K2" s="2" t="s">
        <v>60</v>
      </c>
    </row>
    <row r="3">
      <c r="A3" s="2" t="str">
        <f t="shared" si="1"/>
        <v>20251210-1ZL6</v>
      </c>
      <c r="B3" s="2" t="s">
        <v>62</v>
      </c>
      <c r="C3" s="3"/>
      <c r="D3" s="2" t="s">
        <v>63</v>
      </c>
      <c r="E3" s="2" t="s">
        <v>35</v>
      </c>
      <c r="F3" s="4">
        <v>46006.0</v>
      </c>
      <c r="G3" s="10">
        <v>46001.70397674768</v>
      </c>
      <c r="H3" s="2" t="s">
        <v>58</v>
      </c>
      <c r="I3" s="2" t="s">
        <v>60</v>
      </c>
      <c r="J3" s="2" t="s">
        <v>60</v>
      </c>
    </row>
    <row r="4">
      <c r="A4" s="2" t="str">
        <f t="shared" si="1"/>
        <v>20251210-1GG4</v>
      </c>
      <c r="B4" s="11" t="s">
        <v>67</v>
      </c>
      <c r="C4" s="12"/>
      <c r="D4" s="11" t="s">
        <v>70</v>
      </c>
      <c r="E4" s="13"/>
      <c r="F4" s="14">
        <v>46007.79166666667</v>
      </c>
      <c r="G4" s="15">
        <v>46001.704264976855</v>
      </c>
      <c r="H4" s="11" t="s">
        <v>58</v>
      </c>
      <c r="I4" s="2" t="s">
        <v>60</v>
      </c>
      <c r="J4" s="2" t="s">
        <v>60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2" t="str">
        <f t="shared" si="1"/>
        <v>20251210-34J9</v>
      </c>
      <c r="B5" s="2" t="s">
        <v>73</v>
      </c>
      <c r="C5" s="3"/>
      <c r="D5" s="2" t="s">
        <v>74</v>
      </c>
      <c r="E5" s="2" t="s">
        <v>35</v>
      </c>
      <c r="F5" s="4">
        <v>46001.0</v>
      </c>
      <c r="G5" s="10">
        <v>46001.704829305556</v>
      </c>
      <c r="H5" s="2" t="s">
        <v>58</v>
      </c>
      <c r="I5" s="2" t="s">
        <v>60</v>
      </c>
      <c r="J5" s="2" t="s">
        <v>60</v>
      </c>
    </row>
    <row r="6">
      <c r="A6" s="2" t="str">
        <f t="shared" si="1"/>
        <v>20251221-2BWG</v>
      </c>
      <c r="B6" s="2" t="s">
        <v>76</v>
      </c>
      <c r="C6" s="2">
        <v>5.555555555E9</v>
      </c>
      <c r="D6" s="2" t="s">
        <v>77</v>
      </c>
      <c r="E6" s="2" t="s">
        <v>56</v>
      </c>
      <c r="F6" s="4">
        <v>46019.0</v>
      </c>
      <c r="G6" s="10">
        <v>46012.53880061343</v>
      </c>
      <c r="H6" s="2" t="s">
        <v>58</v>
      </c>
      <c r="I6" s="2" t="s">
        <v>60</v>
      </c>
      <c r="J6" s="2" t="s">
        <v>60</v>
      </c>
    </row>
    <row r="7">
      <c r="A7" s="2" t="str">
        <f t="shared" si="1"/>
        <v>20251229-8343</v>
      </c>
      <c r="B7" s="2" t="s">
        <v>79</v>
      </c>
      <c r="C7" s="3">
        <v>5.703719441E9</v>
      </c>
      <c r="D7" s="2" t="s">
        <v>81</v>
      </c>
      <c r="E7" s="2" t="s">
        <v>56</v>
      </c>
      <c r="F7" s="4">
        <v>46025.0</v>
      </c>
      <c r="G7" s="10">
        <v>46020.78624623842</v>
      </c>
      <c r="H7" s="2" t="s">
        <v>82</v>
      </c>
      <c r="I7" s="2" t="s">
        <v>60</v>
      </c>
      <c r="J7" s="2" t="s">
        <v>60</v>
      </c>
    </row>
    <row r="8">
      <c r="A8" s="2" t="str">
        <f t="shared" si="1"/>
        <v>20260119-1KKD</v>
      </c>
      <c r="B8" s="2" t="s">
        <v>62</v>
      </c>
      <c r="C8" s="3" t="s">
        <v>84</v>
      </c>
      <c r="D8" s="2" t="s">
        <v>85</v>
      </c>
      <c r="E8" s="2" t="s">
        <v>56</v>
      </c>
      <c r="F8" s="4">
        <v>46044.0</v>
      </c>
      <c r="G8" s="10">
        <v>46041.91927430556</v>
      </c>
      <c r="H8" s="2" t="s">
        <v>58</v>
      </c>
      <c r="I8" s="2" t="s">
        <v>60</v>
      </c>
      <c r="J8" s="2" t="s">
        <v>60</v>
      </c>
    </row>
    <row r="9">
      <c r="A9" s="2" t="str">
        <f t="shared" si="1"/>
        <v>20260307-1IZH</v>
      </c>
      <c r="B9" s="2" t="s">
        <v>88</v>
      </c>
      <c r="C9" s="3">
        <v>9.375364076E9</v>
      </c>
      <c r="D9" s="2" t="s">
        <v>90</v>
      </c>
      <c r="E9" s="2" t="s">
        <v>56</v>
      </c>
      <c r="F9" s="4">
        <v>46095.0</v>
      </c>
      <c r="G9" s="10">
        <v>46088.50229310185</v>
      </c>
      <c r="H9" s="2" t="s">
        <v>91</v>
      </c>
      <c r="I9" s="2" t="s">
        <v>92</v>
      </c>
    </row>
    <row r="10">
      <c r="A10" s="2" t="str">
        <f t="shared" si="1"/>
        <v>20260309-3W7X</v>
      </c>
      <c r="B10" s="2" t="s">
        <v>94</v>
      </c>
      <c r="C10" s="3">
        <v>5.708785963E9</v>
      </c>
      <c r="D10" s="2" t="s">
        <v>95</v>
      </c>
      <c r="E10" s="2" t="s">
        <v>56</v>
      </c>
      <c r="F10" s="4">
        <v>46097.0</v>
      </c>
      <c r="G10" s="10">
        <v>46090.84109217592</v>
      </c>
      <c r="H10" s="2" t="s">
        <v>58</v>
      </c>
      <c r="I10" s="2" t="s">
        <v>92</v>
      </c>
    </row>
    <row r="11">
      <c r="A11" s="2" t="str">
        <f t="shared" si="1"/>
        <v/>
      </c>
      <c r="E11" s="24"/>
      <c r="F11" s="4"/>
      <c r="G11" s="10"/>
      <c r="M11" s="10"/>
    </row>
    <row r="12">
      <c r="A12" s="2" t="str">
        <f t="shared" si="1"/>
        <v/>
      </c>
      <c r="C12" s="27"/>
      <c r="E12" s="24"/>
      <c r="F12" s="4"/>
      <c r="G12" s="10"/>
    </row>
    <row r="13">
      <c r="A13" s="2" t="str">
        <f t="shared" si="1"/>
        <v/>
      </c>
      <c r="C13" s="3"/>
      <c r="E13" s="24"/>
      <c r="F13" s="4"/>
      <c r="G13" s="10"/>
    </row>
    <row r="14">
      <c r="A14" s="2" t="str">
        <f t="shared" si="1"/>
        <v/>
      </c>
      <c r="C14" s="3"/>
      <c r="E14" s="24"/>
      <c r="F14" s="4"/>
      <c r="G14" s="10"/>
      <c r="M14" s="10"/>
    </row>
    <row r="15">
      <c r="A15" s="2" t="str">
        <f t="shared" si="1"/>
        <v/>
      </c>
      <c r="C15" s="3"/>
      <c r="E15" s="24"/>
      <c r="F15" s="4"/>
      <c r="G15" s="10"/>
    </row>
    <row r="16">
      <c r="A16" s="2" t="str">
        <f t="shared" si="1"/>
        <v/>
      </c>
      <c r="C16" s="3"/>
      <c r="E16" s="24"/>
      <c r="F16" s="4"/>
      <c r="G16" s="10"/>
    </row>
    <row r="17">
      <c r="A17" s="2" t="str">
        <f t="shared" si="1"/>
        <v/>
      </c>
      <c r="C17" s="3"/>
      <c r="E17" s="24"/>
      <c r="F17" s="4"/>
      <c r="G17" s="10"/>
    </row>
    <row r="18">
      <c r="A18" s="2" t="str">
        <f t="shared" si="1"/>
        <v/>
      </c>
      <c r="C18" s="3"/>
      <c r="E18" s="24"/>
      <c r="F18" s="4"/>
      <c r="G18" s="10"/>
    </row>
    <row r="19">
      <c r="A19" s="2" t="str">
        <f t="shared" si="1"/>
        <v/>
      </c>
      <c r="C19" s="27"/>
      <c r="E19" s="24"/>
      <c r="F19" s="4"/>
      <c r="G19" s="10"/>
    </row>
    <row r="20">
      <c r="A20" s="2" t="str">
        <f t="shared" si="1"/>
        <v/>
      </c>
      <c r="C20" s="3"/>
      <c r="E20" s="24"/>
      <c r="F20" s="4"/>
      <c r="G20" s="10"/>
    </row>
    <row r="21">
      <c r="A21" s="2" t="str">
        <f t="shared" si="1"/>
        <v/>
      </c>
      <c r="C21" s="3"/>
      <c r="E21" s="24"/>
      <c r="F21" s="4"/>
      <c r="G21" s="10"/>
    </row>
    <row r="22">
      <c r="A22" s="2" t="str">
        <f t="shared" si="1"/>
        <v/>
      </c>
      <c r="C22" s="3"/>
      <c r="E22" s="24"/>
      <c r="F22" s="4"/>
      <c r="G22" s="10"/>
    </row>
    <row r="23">
      <c r="A23" s="2" t="str">
        <f t="shared" si="1"/>
        <v/>
      </c>
      <c r="C23" s="3"/>
      <c r="E23" s="24"/>
      <c r="F23" s="4"/>
      <c r="G23" s="10"/>
    </row>
    <row r="24">
      <c r="A24" s="2" t="str">
        <f t="shared" si="1"/>
        <v/>
      </c>
      <c r="C24" s="27"/>
      <c r="E24" s="24"/>
      <c r="F24" s="4"/>
      <c r="G24" s="10"/>
    </row>
    <row r="25">
      <c r="A25" s="2" t="str">
        <f t="shared" si="1"/>
        <v/>
      </c>
      <c r="C25" s="3"/>
      <c r="E25" s="24"/>
      <c r="F25" s="4"/>
      <c r="G25" s="10"/>
    </row>
    <row r="26">
      <c r="A26" s="2" t="str">
        <f t="shared" si="1"/>
        <v/>
      </c>
      <c r="B26" s="12"/>
      <c r="C26" s="37"/>
      <c r="D26" s="12"/>
      <c r="E26" s="24"/>
      <c r="F26" s="4"/>
      <c r="G26" s="10"/>
      <c r="I26" s="13"/>
    </row>
    <row r="27">
      <c r="A27" s="2" t="str">
        <f t="shared" si="1"/>
        <v/>
      </c>
      <c r="B27" s="12"/>
      <c r="C27" s="37"/>
      <c r="D27" s="11"/>
      <c r="E27" s="24"/>
      <c r="F27" s="4"/>
      <c r="G27" s="10"/>
    </row>
    <row r="28">
      <c r="A28" s="2" t="str">
        <f t="shared" si="1"/>
        <v/>
      </c>
      <c r="C28" s="27"/>
      <c r="E28" s="24"/>
      <c r="F28" s="4"/>
      <c r="G28" s="10"/>
    </row>
    <row r="29">
      <c r="A29" s="2" t="str">
        <f t="shared" si="1"/>
        <v/>
      </c>
      <c r="C29" s="27"/>
      <c r="E29" s="24"/>
      <c r="F29" s="4"/>
      <c r="G29" s="10"/>
    </row>
    <row r="30">
      <c r="A30" s="2" t="str">
        <f t="shared" si="1"/>
        <v/>
      </c>
      <c r="C30" s="3"/>
      <c r="E30" s="24"/>
      <c r="F30" s="4"/>
      <c r="G30" s="10"/>
    </row>
    <row r="31">
      <c r="A31" s="2" t="str">
        <f t="shared" si="1"/>
        <v/>
      </c>
      <c r="C31" s="27"/>
      <c r="E31" s="24"/>
      <c r="F31" s="4"/>
      <c r="G31" s="10"/>
    </row>
    <row r="32">
      <c r="A32" s="2" t="str">
        <f t="shared" si="1"/>
        <v/>
      </c>
      <c r="C32" s="27"/>
      <c r="E32" s="24"/>
      <c r="F32" s="4"/>
      <c r="G32" s="10"/>
    </row>
    <row r="33">
      <c r="A33" s="2" t="str">
        <f t="shared" si="1"/>
        <v/>
      </c>
      <c r="C33" s="3"/>
      <c r="E33" s="24"/>
      <c r="F33" s="4"/>
      <c r="G33" s="10"/>
    </row>
    <row r="34">
      <c r="A34" s="2" t="str">
        <f t="shared" si="1"/>
        <v/>
      </c>
      <c r="C34" s="3"/>
      <c r="E34" s="24"/>
      <c r="F34" s="4"/>
      <c r="G34" s="10"/>
    </row>
    <row r="35">
      <c r="A35" s="2" t="str">
        <f t="shared" si="1"/>
        <v/>
      </c>
      <c r="C35" s="27"/>
      <c r="E35" s="24"/>
      <c r="F35" s="4"/>
      <c r="G35" s="10"/>
    </row>
    <row r="36">
      <c r="A36" s="2" t="str">
        <f t="shared" si="1"/>
        <v/>
      </c>
      <c r="C36" s="27"/>
      <c r="F36" s="39"/>
    </row>
    <row r="37">
      <c r="A37" s="2" t="str">
        <f t="shared" si="1"/>
        <v/>
      </c>
      <c r="C37" s="27"/>
      <c r="F37" s="39"/>
    </row>
    <row r="38">
      <c r="A38" s="2" t="str">
        <f t="shared" si="1"/>
        <v/>
      </c>
      <c r="C38" s="27"/>
      <c r="F38" s="39"/>
    </row>
    <row r="39">
      <c r="A39" s="2" t="str">
        <f t="shared" si="1"/>
        <v/>
      </c>
      <c r="C39" s="27"/>
      <c r="F39" s="39"/>
    </row>
    <row r="40">
      <c r="A40" s="2" t="str">
        <f t="shared" si="1"/>
        <v/>
      </c>
      <c r="C40" s="27"/>
      <c r="F40" s="39"/>
    </row>
    <row r="41">
      <c r="A41" s="2" t="str">
        <f t="shared" si="1"/>
        <v/>
      </c>
      <c r="C41" s="27"/>
      <c r="F41" s="39"/>
    </row>
    <row r="42">
      <c r="A42" s="2" t="str">
        <f t="shared" si="1"/>
        <v/>
      </c>
      <c r="C42" s="27"/>
      <c r="F42" s="39"/>
    </row>
    <row r="43">
      <c r="A43" s="2" t="str">
        <f t="shared" si="1"/>
        <v/>
      </c>
      <c r="C43" s="27"/>
      <c r="F43" s="39"/>
    </row>
    <row r="44">
      <c r="A44" s="2" t="str">
        <f t="shared" si="1"/>
        <v/>
      </c>
      <c r="C44" s="27"/>
      <c r="F44" s="39"/>
    </row>
    <row r="45">
      <c r="A45" s="2" t="str">
        <f t="shared" si="1"/>
        <v/>
      </c>
      <c r="C45" s="27"/>
      <c r="F45" s="39"/>
    </row>
    <row r="46">
      <c r="A46" s="2" t="str">
        <f t="shared" si="1"/>
        <v/>
      </c>
      <c r="C46" s="27"/>
      <c r="F46" s="39"/>
    </row>
    <row r="47">
      <c r="A47" s="2" t="str">
        <f t="shared" si="1"/>
        <v/>
      </c>
      <c r="C47" s="27"/>
      <c r="F47" s="39"/>
    </row>
    <row r="48">
      <c r="A48" s="2" t="str">
        <f t="shared" si="1"/>
        <v/>
      </c>
      <c r="C48" s="27"/>
      <c r="F48" s="39"/>
    </row>
    <row r="49">
      <c r="A49" s="2" t="str">
        <f t="shared" si="1"/>
        <v/>
      </c>
      <c r="C49" s="27"/>
      <c r="F49" s="39"/>
    </row>
    <row r="50">
      <c r="A50" s="2" t="str">
        <f t="shared" si="1"/>
        <v/>
      </c>
      <c r="C50" s="27"/>
      <c r="F50" s="39"/>
    </row>
    <row r="51">
      <c r="A51" s="2" t="str">
        <f t="shared" si="1"/>
        <v/>
      </c>
      <c r="C51" s="27"/>
      <c r="F51" s="39"/>
    </row>
    <row r="52">
      <c r="A52" s="2" t="str">
        <f t="shared" si="1"/>
        <v/>
      </c>
      <c r="C52" s="27"/>
      <c r="F52" s="39"/>
    </row>
    <row r="53">
      <c r="A53" s="2" t="str">
        <f t="shared" si="1"/>
        <v/>
      </c>
      <c r="C53" s="27"/>
      <c r="F53" s="39"/>
    </row>
    <row r="54">
      <c r="A54" s="2" t="str">
        <f t="shared" si="1"/>
        <v/>
      </c>
      <c r="C54" s="27"/>
      <c r="F54" s="39"/>
    </row>
    <row r="55">
      <c r="A55" s="2" t="str">
        <f t="shared" si="1"/>
        <v/>
      </c>
      <c r="C55" s="27"/>
      <c r="F55" s="39"/>
    </row>
    <row r="56">
      <c r="A56" s="2" t="str">
        <f t="shared" si="1"/>
        <v/>
      </c>
      <c r="C56" s="27"/>
      <c r="F56" s="39"/>
    </row>
    <row r="57">
      <c r="A57" s="2" t="str">
        <f t="shared" si="1"/>
        <v/>
      </c>
      <c r="C57" s="27"/>
      <c r="F57" s="39"/>
    </row>
    <row r="58">
      <c r="A58" s="2" t="str">
        <f t="shared" si="1"/>
        <v/>
      </c>
      <c r="C58" s="27"/>
      <c r="F58" s="39"/>
    </row>
    <row r="59">
      <c r="A59" s="2" t="str">
        <f t="shared" si="1"/>
        <v/>
      </c>
      <c r="C59" s="27"/>
      <c r="F59" s="39"/>
    </row>
    <row r="60">
      <c r="A60" s="2" t="str">
        <f t="shared" si="1"/>
        <v/>
      </c>
      <c r="C60" s="27"/>
      <c r="F60" s="39"/>
    </row>
    <row r="61">
      <c r="A61" s="2" t="str">
        <f t="shared" si="1"/>
        <v/>
      </c>
      <c r="C61" s="27"/>
      <c r="F61" s="39"/>
    </row>
    <row r="62">
      <c r="A62" s="2" t="str">
        <f t="shared" si="1"/>
        <v/>
      </c>
      <c r="C62" s="27"/>
      <c r="F62" s="39"/>
    </row>
    <row r="63">
      <c r="A63" s="2" t="str">
        <f t="shared" si="1"/>
        <v/>
      </c>
      <c r="C63" s="27"/>
      <c r="F63" s="39"/>
    </row>
    <row r="64">
      <c r="A64" s="2" t="str">
        <f t="shared" si="1"/>
        <v/>
      </c>
      <c r="C64" s="27"/>
      <c r="F64" s="39"/>
    </row>
    <row r="65">
      <c r="A65" s="2" t="str">
        <f t="shared" si="1"/>
        <v/>
      </c>
      <c r="C65" s="27"/>
      <c r="F65" s="39"/>
    </row>
    <row r="66">
      <c r="A66" s="2" t="str">
        <f t="shared" si="1"/>
        <v/>
      </c>
      <c r="C66" s="27"/>
      <c r="F66" s="39"/>
    </row>
    <row r="67">
      <c r="A67" s="2" t="str">
        <f t="shared" si="1"/>
        <v/>
      </c>
      <c r="C67" s="27"/>
      <c r="F67" s="39"/>
    </row>
    <row r="68">
      <c r="A68" s="2" t="str">
        <f t="shared" si="1"/>
        <v/>
      </c>
      <c r="C68" s="27"/>
      <c r="F68" s="39"/>
    </row>
    <row r="69">
      <c r="A69" s="2" t="str">
        <f t="shared" si="1"/>
        <v/>
      </c>
      <c r="C69" s="27"/>
      <c r="F69" s="39"/>
    </row>
    <row r="70">
      <c r="A70" s="2" t="str">
        <f t="shared" si="1"/>
        <v/>
      </c>
      <c r="C70" s="27"/>
      <c r="F70" s="39"/>
    </row>
    <row r="71">
      <c r="A71" s="2" t="str">
        <f t="shared" si="1"/>
        <v/>
      </c>
      <c r="C71" s="27"/>
      <c r="F71" s="39"/>
    </row>
    <row r="72">
      <c r="A72" s="2" t="str">
        <f t="shared" si="1"/>
        <v/>
      </c>
      <c r="C72" s="27"/>
      <c r="F72" s="39"/>
    </row>
    <row r="73">
      <c r="A73" s="2" t="str">
        <f t="shared" si="1"/>
        <v/>
      </c>
      <c r="C73" s="27"/>
      <c r="F73" s="39"/>
    </row>
    <row r="74">
      <c r="A74" s="2" t="str">
        <f t="shared" si="1"/>
        <v/>
      </c>
      <c r="C74" s="27"/>
      <c r="F74" s="39"/>
    </row>
    <row r="75">
      <c r="A75" s="2" t="str">
        <f t="shared" si="1"/>
        <v/>
      </c>
      <c r="C75" s="27"/>
      <c r="F75" s="39"/>
    </row>
    <row r="76">
      <c r="A76" s="2" t="str">
        <f t="shared" si="1"/>
        <v/>
      </c>
      <c r="C76" s="27"/>
      <c r="F76" s="39"/>
    </row>
    <row r="77">
      <c r="A77" s="2" t="str">
        <f t="shared" si="1"/>
        <v/>
      </c>
      <c r="C77" s="27"/>
      <c r="F77" s="39"/>
    </row>
    <row r="78">
      <c r="A78" s="2" t="str">
        <f t="shared" si="1"/>
        <v/>
      </c>
      <c r="C78" s="27"/>
      <c r="F78" s="39"/>
    </row>
    <row r="79">
      <c r="A79" s="2" t="str">
        <f t="shared" si="1"/>
        <v/>
      </c>
      <c r="C79" s="27"/>
      <c r="F79" s="39"/>
    </row>
    <row r="80">
      <c r="A80" s="2" t="str">
        <f t="shared" si="1"/>
        <v/>
      </c>
      <c r="C80" s="27"/>
      <c r="F80" s="39"/>
    </row>
    <row r="81">
      <c r="A81" s="2" t="str">
        <f t="shared" si="1"/>
        <v/>
      </c>
      <c r="C81" s="27"/>
      <c r="F81" s="39"/>
    </row>
    <row r="82">
      <c r="A82" s="2" t="str">
        <f t="shared" si="1"/>
        <v/>
      </c>
      <c r="C82" s="27"/>
      <c r="F82" s="39"/>
    </row>
    <row r="83">
      <c r="A83" s="2" t="str">
        <f t="shared" si="1"/>
        <v/>
      </c>
      <c r="C83" s="27"/>
      <c r="F83" s="39"/>
    </row>
    <row r="84">
      <c r="A84" s="2" t="str">
        <f t="shared" si="1"/>
        <v/>
      </c>
      <c r="C84" s="27"/>
      <c r="F84" s="39"/>
    </row>
    <row r="85">
      <c r="A85" s="2" t="str">
        <f t="shared" si="1"/>
        <v/>
      </c>
      <c r="C85" s="27"/>
      <c r="F85" s="39"/>
    </row>
    <row r="86">
      <c r="A86" s="2" t="str">
        <f t="shared" si="1"/>
        <v/>
      </c>
      <c r="C86" s="27"/>
      <c r="F86" s="39"/>
    </row>
    <row r="87">
      <c r="A87" s="2" t="str">
        <f t="shared" si="1"/>
        <v/>
      </c>
      <c r="C87" s="27"/>
      <c r="F87" s="39"/>
    </row>
    <row r="88">
      <c r="A88" s="2" t="str">
        <f t="shared" si="1"/>
        <v/>
      </c>
      <c r="C88" s="27"/>
      <c r="F88" s="39"/>
    </row>
    <row r="89">
      <c r="A89" s="2" t="str">
        <f t="shared" si="1"/>
        <v/>
      </c>
      <c r="C89" s="27"/>
      <c r="F89" s="39"/>
    </row>
    <row r="90">
      <c r="A90" s="2" t="str">
        <f t="shared" si="1"/>
        <v/>
      </c>
      <c r="C90" s="27"/>
      <c r="F90" s="39"/>
    </row>
    <row r="91">
      <c r="A91" s="2" t="str">
        <f t="shared" si="1"/>
        <v/>
      </c>
      <c r="C91" s="27"/>
      <c r="F91" s="39"/>
    </row>
    <row r="92">
      <c r="A92" s="2" t="str">
        <f t="shared" si="1"/>
        <v/>
      </c>
      <c r="C92" s="27"/>
      <c r="F92" s="39"/>
    </row>
    <row r="93">
      <c r="A93" s="2" t="str">
        <f t="shared" si="1"/>
        <v/>
      </c>
      <c r="C93" s="27"/>
      <c r="F93" s="39"/>
    </row>
    <row r="94">
      <c r="A94" s="2" t="str">
        <f t="shared" si="1"/>
        <v/>
      </c>
      <c r="C94" s="27"/>
      <c r="F94" s="39"/>
    </row>
    <row r="95">
      <c r="A95" s="2" t="str">
        <f t="shared" si="1"/>
        <v/>
      </c>
      <c r="C95" s="27"/>
      <c r="F95" s="39"/>
    </row>
    <row r="96">
      <c r="A96" s="2" t="str">
        <f t="shared" si="1"/>
        <v/>
      </c>
      <c r="C96" s="27"/>
      <c r="F96" s="39"/>
    </row>
    <row r="97">
      <c r="A97" s="2" t="str">
        <f t="shared" si="1"/>
        <v/>
      </c>
      <c r="C97" s="27"/>
      <c r="F97" s="39"/>
    </row>
    <row r="98">
      <c r="A98" s="2" t="str">
        <f t="shared" si="1"/>
        <v/>
      </c>
      <c r="C98" s="27"/>
      <c r="F98" s="39"/>
    </row>
    <row r="99">
      <c r="A99" s="2" t="str">
        <f t="shared" si="1"/>
        <v/>
      </c>
      <c r="C99" s="27"/>
      <c r="F99" s="39"/>
    </row>
    <row r="100">
      <c r="A100" s="2" t="str">
        <f t="shared" si="1"/>
        <v/>
      </c>
      <c r="C100" s="27"/>
      <c r="F100" s="39"/>
    </row>
    <row r="101">
      <c r="A101" s="2" t="str">
        <f t="shared" si="1"/>
        <v/>
      </c>
      <c r="C101" s="27"/>
      <c r="F101" s="39"/>
    </row>
    <row r="102">
      <c r="A102" s="2" t="str">
        <f t="shared" si="1"/>
        <v/>
      </c>
      <c r="C102" s="27"/>
      <c r="F102" s="39"/>
    </row>
    <row r="103">
      <c r="A103" s="2" t="str">
        <f t="shared" si="1"/>
        <v/>
      </c>
      <c r="C103" s="27"/>
      <c r="F103" s="39"/>
    </row>
    <row r="104">
      <c r="A104" s="2" t="str">
        <f t="shared" si="1"/>
        <v/>
      </c>
      <c r="C104" s="27"/>
      <c r="F104" s="39"/>
    </row>
    <row r="105">
      <c r="A105" s="2" t="str">
        <f t="shared" si="1"/>
        <v/>
      </c>
      <c r="C105" s="27"/>
      <c r="F105" s="39"/>
    </row>
    <row r="106">
      <c r="A106" s="2" t="str">
        <f t="shared" si="1"/>
        <v/>
      </c>
      <c r="C106" s="27"/>
      <c r="F106" s="39"/>
    </row>
    <row r="107">
      <c r="A107" s="2" t="str">
        <f t="shared" si="1"/>
        <v/>
      </c>
      <c r="C107" s="27"/>
      <c r="F107" s="39"/>
    </row>
    <row r="108">
      <c r="A108" s="2" t="str">
        <f t="shared" si="1"/>
        <v/>
      </c>
      <c r="C108" s="27"/>
      <c r="F108" s="39"/>
    </row>
    <row r="109">
      <c r="A109" s="2" t="str">
        <f t="shared" si="1"/>
        <v/>
      </c>
      <c r="C109" s="27"/>
      <c r="F109" s="39"/>
    </row>
    <row r="110">
      <c r="A110" s="2" t="str">
        <f t="shared" si="1"/>
        <v/>
      </c>
      <c r="C110" s="27"/>
      <c r="F110" s="39"/>
    </row>
    <row r="111">
      <c r="A111" s="2" t="str">
        <f t="shared" si="1"/>
        <v/>
      </c>
      <c r="C111" s="27"/>
      <c r="F111" s="39"/>
    </row>
    <row r="112">
      <c r="A112" s="2" t="str">
        <f t="shared" si="1"/>
        <v/>
      </c>
      <c r="C112" s="27"/>
      <c r="F112" s="39"/>
    </row>
    <row r="113">
      <c r="A113" s="2" t="str">
        <f t="shared" si="1"/>
        <v/>
      </c>
      <c r="C113" s="27"/>
      <c r="F113" s="39"/>
    </row>
    <row r="114">
      <c r="A114" s="2" t="str">
        <f t="shared" si="1"/>
        <v/>
      </c>
      <c r="C114" s="27"/>
      <c r="F114" s="39"/>
    </row>
    <row r="115">
      <c r="A115" s="2" t="str">
        <f t="shared" si="1"/>
        <v/>
      </c>
      <c r="C115" s="27"/>
      <c r="F115" s="39"/>
    </row>
    <row r="116">
      <c r="A116" s="2" t="str">
        <f t="shared" si="1"/>
        <v/>
      </c>
      <c r="C116" s="27"/>
      <c r="F116" s="39"/>
    </row>
    <row r="117">
      <c r="A117" s="2" t="str">
        <f t="shared" si="1"/>
        <v/>
      </c>
      <c r="C117" s="27"/>
      <c r="F117" s="39"/>
    </row>
    <row r="118">
      <c r="A118" s="2" t="str">
        <f t="shared" si="1"/>
        <v/>
      </c>
      <c r="C118" s="27"/>
      <c r="F118" s="39"/>
    </row>
    <row r="119">
      <c r="A119" s="2" t="str">
        <f t="shared" si="1"/>
        <v/>
      </c>
      <c r="C119" s="27"/>
      <c r="F119" s="39"/>
    </row>
    <row r="120">
      <c r="A120" s="2" t="str">
        <f t="shared" si="1"/>
        <v/>
      </c>
      <c r="C120" s="27"/>
      <c r="F120" s="39"/>
    </row>
    <row r="121">
      <c r="A121" s="2" t="str">
        <f t="shared" si="1"/>
        <v/>
      </c>
      <c r="C121" s="27"/>
      <c r="F121" s="39"/>
    </row>
    <row r="122">
      <c r="A122" s="2" t="str">
        <f t="shared" si="1"/>
        <v/>
      </c>
      <c r="C122" s="27"/>
      <c r="F122" s="39"/>
    </row>
    <row r="123">
      <c r="A123" s="2" t="str">
        <f t="shared" si="1"/>
        <v/>
      </c>
      <c r="C123" s="27"/>
      <c r="F123" s="39"/>
    </row>
    <row r="124">
      <c r="A124" s="2" t="str">
        <f t="shared" si="1"/>
        <v/>
      </c>
      <c r="C124" s="27"/>
      <c r="F124" s="39"/>
    </row>
    <row r="125">
      <c r="A125" s="2" t="str">
        <f t="shared" si="1"/>
        <v/>
      </c>
      <c r="C125" s="27"/>
      <c r="F125" s="39"/>
    </row>
    <row r="126">
      <c r="A126" s="2" t="str">
        <f t="shared" si="1"/>
        <v/>
      </c>
      <c r="C126" s="27"/>
      <c r="F126" s="39"/>
    </row>
    <row r="127">
      <c r="A127" s="2" t="str">
        <f t="shared" si="1"/>
        <v/>
      </c>
      <c r="C127" s="27"/>
      <c r="F127" s="39"/>
    </row>
    <row r="128">
      <c r="A128" s="2" t="str">
        <f t="shared" si="1"/>
        <v/>
      </c>
      <c r="C128" s="27"/>
      <c r="F128" s="39"/>
    </row>
    <row r="129">
      <c r="A129" s="2" t="str">
        <f t="shared" si="1"/>
        <v/>
      </c>
      <c r="C129" s="27"/>
      <c r="F129" s="39"/>
    </row>
    <row r="130">
      <c r="A130" s="2" t="str">
        <f t="shared" si="1"/>
        <v/>
      </c>
      <c r="C130" s="27"/>
      <c r="F130" s="39"/>
    </row>
    <row r="131">
      <c r="A131" s="2" t="str">
        <f t="shared" si="1"/>
        <v/>
      </c>
      <c r="C131" s="27"/>
      <c r="F131" s="39"/>
    </row>
    <row r="132">
      <c r="A132" s="2" t="str">
        <f t="shared" si="1"/>
        <v/>
      </c>
      <c r="C132" s="27"/>
      <c r="F132" s="39"/>
    </row>
    <row r="133">
      <c r="A133" s="2" t="str">
        <f t="shared" si="1"/>
        <v/>
      </c>
      <c r="C133" s="27"/>
      <c r="F133" s="39"/>
    </row>
    <row r="134">
      <c r="A134" s="2" t="str">
        <f t="shared" si="1"/>
        <v/>
      </c>
      <c r="C134" s="27"/>
      <c r="F134" s="39"/>
    </row>
    <row r="135">
      <c r="A135" s="2" t="str">
        <f t="shared" si="1"/>
        <v/>
      </c>
      <c r="C135" s="27"/>
      <c r="F135" s="39"/>
    </row>
    <row r="136">
      <c r="A136" s="2" t="str">
        <f t="shared" si="1"/>
        <v/>
      </c>
      <c r="C136" s="27"/>
      <c r="F136" s="39"/>
    </row>
    <row r="137">
      <c r="A137" s="2" t="str">
        <f t="shared" si="1"/>
        <v/>
      </c>
      <c r="C137" s="27"/>
      <c r="F137" s="39"/>
    </row>
    <row r="138">
      <c r="A138" s="2" t="str">
        <f t="shared" si="1"/>
        <v/>
      </c>
      <c r="C138" s="27"/>
      <c r="F138" s="39"/>
    </row>
    <row r="139">
      <c r="A139" s="2" t="str">
        <f t="shared" si="1"/>
        <v/>
      </c>
      <c r="C139" s="27"/>
      <c r="F139" s="39"/>
    </row>
    <row r="140">
      <c r="A140" s="2" t="str">
        <f t="shared" si="1"/>
        <v/>
      </c>
      <c r="C140" s="27"/>
      <c r="F140" s="39"/>
    </row>
    <row r="141">
      <c r="A141" s="2" t="str">
        <f t="shared" si="1"/>
        <v/>
      </c>
      <c r="C141" s="27"/>
      <c r="F141" s="39"/>
    </row>
    <row r="142">
      <c r="A142" s="2" t="str">
        <f t="shared" si="1"/>
        <v/>
      </c>
      <c r="C142" s="27"/>
      <c r="F142" s="39"/>
    </row>
    <row r="143">
      <c r="A143" s="2" t="str">
        <f t="shared" si="1"/>
        <v/>
      </c>
      <c r="C143" s="27"/>
      <c r="F143" s="39"/>
    </row>
    <row r="144">
      <c r="A144" s="2" t="str">
        <f t="shared" si="1"/>
        <v/>
      </c>
      <c r="C144" s="27"/>
      <c r="F144" s="39"/>
    </row>
    <row r="145">
      <c r="A145" s="2" t="str">
        <f t="shared" si="1"/>
        <v/>
      </c>
      <c r="C145" s="27"/>
      <c r="F145" s="39"/>
    </row>
    <row r="146">
      <c r="A146" s="2" t="str">
        <f t="shared" si="1"/>
        <v/>
      </c>
      <c r="C146" s="27"/>
      <c r="F146" s="39"/>
    </row>
    <row r="147">
      <c r="A147" s="2" t="str">
        <f t="shared" si="1"/>
        <v/>
      </c>
      <c r="C147" s="27"/>
      <c r="F147" s="39"/>
    </row>
    <row r="148">
      <c r="A148" s="2" t="str">
        <f t="shared" si="1"/>
        <v/>
      </c>
      <c r="C148" s="27"/>
      <c r="F148" s="39"/>
    </row>
    <row r="149">
      <c r="A149" s="2" t="str">
        <f t="shared" si="1"/>
        <v/>
      </c>
      <c r="C149" s="27"/>
      <c r="F149" s="39"/>
    </row>
    <row r="150">
      <c r="A150" s="2" t="str">
        <f t="shared" si="1"/>
        <v/>
      </c>
      <c r="C150" s="27"/>
      <c r="F150" s="39"/>
    </row>
    <row r="151">
      <c r="A151" s="2" t="str">
        <f t="shared" si="1"/>
        <v/>
      </c>
      <c r="C151" s="27"/>
      <c r="F151" s="39"/>
    </row>
    <row r="152">
      <c r="A152" s="2" t="str">
        <f t="shared" si="1"/>
        <v/>
      </c>
      <c r="C152" s="27"/>
      <c r="F152" s="39"/>
    </row>
    <row r="153">
      <c r="A153" s="2" t="str">
        <f t="shared" si="1"/>
        <v/>
      </c>
      <c r="C153" s="27"/>
      <c r="F153" s="39"/>
    </row>
    <row r="154">
      <c r="A154" s="2" t="str">
        <f t="shared" si="1"/>
        <v/>
      </c>
      <c r="C154" s="27"/>
      <c r="F154" s="39"/>
    </row>
    <row r="155">
      <c r="A155" s="2" t="str">
        <f t="shared" si="1"/>
        <v/>
      </c>
      <c r="C155" s="27"/>
      <c r="F155" s="39"/>
    </row>
    <row r="156">
      <c r="A156" s="2" t="str">
        <f t="shared" si="1"/>
        <v/>
      </c>
      <c r="C156" s="27"/>
      <c r="F156" s="39"/>
    </row>
    <row r="157">
      <c r="A157" s="2" t="str">
        <f t="shared" si="1"/>
        <v/>
      </c>
      <c r="C157" s="27"/>
      <c r="F157" s="39"/>
    </row>
    <row r="158">
      <c r="A158" s="2" t="str">
        <f t="shared" si="1"/>
        <v/>
      </c>
      <c r="C158" s="27"/>
      <c r="F158" s="39"/>
    </row>
    <row r="159">
      <c r="A159" s="2" t="str">
        <f t="shared" si="1"/>
        <v/>
      </c>
      <c r="C159" s="27"/>
      <c r="F159" s="39"/>
    </row>
    <row r="160">
      <c r="A160" s="2" t="str">
        <f t="shared" si="1"/>
        <v/>
      </c>
      <c r="C160" s="27"/>
      <c r="F160" s="39"/>
    </row>
    <row r="161">
      <c r="A161" s="2" t="str">
        <f t="shared" si="1"/>
        <v/>
      </c>
      <c r="C161" s="27"/>
      <c r="F161" s="39"/>
    </row>
    <row r="162">
      <c r="A162" s="2" t="str">
        <f t="shared" si="1"/>
        <v/>
      </c>
      <c r="C162" s="27"/>
      <c r="F162" s="39"/>
    </row>
    <row r="163">
      <c r="A163" s="2" t="str">
        <f t="shared" si="1"/>
        <v/>
      </c>
      <c r="C163" s="27"/>
      <c r="F163" s="39"/>
    </row>
    <row r="164">
      <c r="A164" s="2" t="str">
        <f t="shared" si="1"/>
        <v/>
      </c>
      <c r="C164" s="27"/>
      <c r="F164" s="39"/>
    </row>
    <row r="165">
      <c r="A165" s="2" t="str">
        <f t="shared" si="1"/>
        <v/>
      </c>
      <c r="C165" s="27"/>
      <c r="F165" s="39"/>
    </row>
    <row r="166">
      <c r="A166" s="2" t="str">
        <f t="shared" si="1"/>
        <v/>
      </c>
      <c r="C166" s="27"/>
      <c r="F166" s="39"/>
    </row>
    <row r="167">
      <c r="A167" s="2" t="str">
        <f t="shared" si="1"/>
        <v/>
      </c>
      <c r="C167" s="27"/>
      <c r="F167" s="39"/>
    </row>
    <row r="168">
      <c r="A168" s="2" t="str">
        <f t="shared" si="1"/>
        <v/>
      </c>
      <c r="C168" s="27"/>
      <c r="F168" s="39"/>
    </row>
    <row r="169">
      <c r="A169" s="2" t="str">
        <f t="shared" si="1"/>
        <v/>
      </c>
      <c r="C169" s="27"/>
      <c r="F169" s="39"/>
    </row>
    <row r="170">
      <c r="A170" s="2" t="str">
        <f t="shared" si="1"/>
        <v/>
      </c>
      <c r="C170" s="27"/>
      <c r="F170" s="39"/>
    </row>
    <row r="171">
      <c r="A171" s="2" t="str">
        <f t="shared" si="1"/>
        <v/>
      </c>
      <c r="C171" s="27"/>
      <c r="F171" s="39"/>
    </row>
    <row r="172">
      <c r="A172" s="2" t="str">
        <f t="shared" si="1"/>
        <v/>
      </c>
      <c r="C172" s="27"/>
      <c r="F172" s="39"/>
    </row>
    <row r="173">
      <c r="A173" s="2" t="str">
        <f t="shared" si="1"/>
        <v/>
      </c>
      <c r="C173" s="27"/>
      <c r="F173" s="39"/>
    </row>
    <row r="174">
      <c r="A174" s="2" t="str">
        <f t="shared" si="1"/>
        <v/>
      </c>
      <c r="C174" s="27"/>
      <c r="F174" s="39"/>
    </row>
    <row r="175">
      <c r="A175" s="2" t="str">
        <f t="shared" si="1"/>
        <v/>
      </c>
      <c r="C175" s="27"/>
      <c r="F175" s="39"/>
    </row>
    <row r="176">
      <c r="A176" s="2" t="str">
        <f t="shared" si="1"/>
        <v/>
      </c>
      <c r="C176" s="27"/>
      <c r="F176" s="39"/>
    </row>
    <row r="177">
      <c r="A177" s="2" t="str">
        <f t="shared" si="1"/>
        <v/>
      </c>
      <c r="C177" s="27"/>
      <c r="F177" s="39"/>
    </row>
    <row r="178">
      <c r="A178" s="2" t="str">
        <f t="shared" si="1"/>
        <v/>
      </c>
      <c r="C178" s="27"/>
      <c r="F178" s="39"/>
    </row>
    <row r="179">
      <c r="A179" s="2" t="str">
        <f t="shared" si="1"/>
        <v/>
      </c>
      <c r="C179" s="27"/>
      <c r="F179" s="39"/>
    </row>
    <row r="180">
      <c r="A180" s="2" t="str">
        <f t="shared" si="1"/>
        <v/>
      </c>
      <c r="C180" s="27"/>
      <c r="F180" s="39"/>
    </row>
    <row r="181">
      <c r="A181" s="2" t="str">
        <f t="shared" si="1"/>
        <v/>
      </c>
      <c r="C181" s="27"/>
      <c r="F181" s="39"/>
    </row>
    <row r="182">
      <c r="A182" s="2" t="str">
        <f t="shared" si="1"/>
        <v/>
      </c>
      <c r="C182" s="27"/>
      <c r="F182" s="39"/>
    </row>
    <row r="183">
      <c r="A183" s="2" t="str">
        <f t="shared" si="1"/>
        <v/>
      </c>
      <c r="C183" s="27"/>
      <c r="F183" s="39"/>
    </row>
    <row r="184">
      <c r="A184" s="2" t="str">
        <f t="shared" si="1"/>
        <v/>
      </c>
      <c r="C184" s="27"/>
      <c r="F184" s="39"/>
    </row>
    <row r="185">
      <c r="A185" s="2" t="str">
        <f t="shared" si="1"/>
        <v/>
      </c>
      <c r="C185" s="27"/>
      <c r="F185" s="39"/>
    </row>
    <row r="186">
      <c r="A186" s="2" t="str">
        <f t="shared" si="1"/>
        <v/>
      </c>
      <c r="C186" s="27"/>
      <c r="F186" s="39"/>
    </row>
    <row r="187">
      <c r="A187" s="2" t="str">
        <f t="shared" si="1"/>
        <v/>
      </c>
      <c r="C187" s="27"/>
      <c r="F187" s="39"/>
    </row>
    <row r="188">
      <c r="A188" s="2" t="str">
        <f t="shared" si="1"/>
        <v/>
      </c>
      <c r="C188" s="27"/>
      <c r="F188" s="39"/>
    </row>
    <row r="189">
      <c r="A189" s="2" t="str">
        <f t="shared" si="1"/>
        <v/>
      </c>
      <c r="C189" s="27"/>
      <c r="F189" s="39"/>
    </row>
    <row r="190">
      <c r="A190" s="2" t="str">
        <f t="shared" si="1"/>
        <v/>
      </c>
      <c r="C190" s="27"/>
      <c r="F190" s="39"/>
    </row>
    <row r="191">
      <c r="A191" s="2" t="str">
        <f t="shared" si="1"/>
        <v/>
      </c>
      <c r="C191" s="27"/>
      <c r="F191" s="39"/>
    </row>
    <row r="192">
      <c r="A192" s="2" t="str">
        <f t="shared" si="1"/>
        <v/>
      </c>
      <c r="C192" s="27"/>
      <c r="F192" s="39"/>
    </row>
    <row r="193">
      <c r="A193" s="2" t="str">
        <f t="shared" si="1"/>
        <v/>
      </c>
      <c r="C193" s="27"/>
      <c r="F193" s="39"/>
    </row>
    <row r="194">
      <c r="A194" s="2" t="str">
        <f t="shared" si="1"/>
        <v/>
      </c>
      <c r="C194" s="27"/>
      <c r="F194" s="39"/>
    </row>
    <row r="195">
      <c r="A195" s="2" t="str">
        <f t="shared" si="1"/>
        <v/>
      </c>
      <c r="C195" s="27"/>
      <c r="F195" s="39"/>
    </row>
    <row r="196">
      <c r="A196" s="2" t="str">
        <f t="shared" si="1"/>
        <v/>
      </c>
      <c r="C196" s="27"/>
      <c r="F196" s="39"/>
    </row>
    <row r="197">
      <c r="A197" s="2" t="str">
        <f t="shared" si="1"/>
        <v/>
      </c>
      <c r="C197" s="27"/>
      <c r="F197" s="39"/>
    </row>
    <row r="198">
      <c r="A198" s="2" t="str">
        <f t="shared" si="1"/>
        <v/>
      </c>
      <c r="C198" s="27"/>
      <c r="F198" s="39"/>
    </row>
    <row r="199">
      <c r="A199" s="2" t="str">
        <f t="shared" si="1"/>
        <v/>
      </c>
      <c r="C199" s="27"/>
      <c r="F199" s="39"/>
    </row>
    <row r="200">
      <c r="A200" s="2" t="str">
        <f t="shared" si="1"/>
        <v/>
      </c>
      <c r="C200" s="27"/>
      <c r="F200" s="39"/>
    </row>
    <row r="201">
      <c r="A201" s="2" t="str">
        <f t="shared" si="1"/>
        <v/>
      </c>
      <c r="C201" s="27"/>
      <c r="F201" s="39"/>
    </row>
    <row r="202">
      <c r="A202" s="2" t="str">
        <f t="shared" si="1"/>
        <v/>
      </c>
      <c r="C202" s="27"/>
      <c r="F202" s="39"/>
    </row>
    <row r="203">
      <c r="A203" s="2" t="str">
        <f t="shared" si="1"/>
        <v/>
      </c>
      <c r="C203" s="27"/>
      <c r="F203" s="39"/>
    </row>
    <row r="204">
      <c r="A204" s="2" t="str">
        <f t="shared" si="1"/>
        <v/>
      </c>
      <c r="C204" s="27"/>
      <c r="F204" s="39"/>
    </row>
    <row r="205">
      <c r="A205" s="2" t="str">
        <f t="shared" si="1"/>
        <v/>
      </c>
      <c r="C205" s="27"/>
      <c r="F205" s="39"/>
    </row>
    <row r="206">
      <c r="A206" s="2" t="str">
        <f t="shared" si="1"/>
        <v/>
      </c>
      <c r="C206" s="27"/>
      <c r="F206" s="39"/>
    </row>
    <row r="207">
      <c r="A207" s="2" t="str">
        <f t="shared" si="1"/>
        <v/>
      </c>
      <c r="C207" s="27"/>
      <c r="F207" s="39"/>
    </row>
    <row r="208">
      <c r="A208" s="2" t="str">
        <f t="shared" si="1"/>
        <v/>
      </c>
      <c r="C208" s="27"/>
      <c r="F208" s="39"/>
    </row>
    <row r="209">
      <c r="A209" s="2" t="str">
        <f t="shared" si="1"/>
        <v/>
      </c>
      <c r="C209" s="27"/>
      <c r="F209" s="39"/>
    </row>
    <row r="210">
      <c r="A210" s="2" t="str">
        <f t="shared" si="1"/>
        <v/>
      </c>
      <c r="C210" s="27"/>
      <c r="F210" s="39"/>
    </row>
    <row r="211">
      <c r="A211" s="2" t="str">
        <f t="shared" si="1"/>
        <v/>
      </c>
      <c r="C211" s="27"/>
      <c r="F211" s="39"/>
    </row>
    <row r="212">
      <c r="A212" s="2" t="str">
        <f t="shared" si="1"/>
        <v/>
      </c>
      <c r="C212" s="27"/>
      <c r="F212" s="39"/>
    </row>
    <row r="213">
      <c r="A213" s="2" t="str">
        <f t="shared" si="1"/>
        <v/>
      </c>
      <c r="C213" s="27"/>
      <c r="F213" s="39"/>
    </row>
    <row r="214">
      <c r="A214" s="2" t="str">
        <f t="shared" si="1"/>
        <v/>
      </c>
      <c r="C214" s="27"/>
      <c r="F214" s="39"/>
    </row>
    <row r="215">
      <c r="A215" s="2" t="str">
        <f t="shared" si="1"/>
        <v/>
      </c>
      <c r="C215" s="27"/>
      <c r="F215" s="39"/>
    </row>
    <row r="216">
      <c r="A216" s="2" t="str">
        <f t="shared" si="1"/>
        <v/>
      </c>
      <c r="C216" s="27"/>
      <c r="F216" s="39"/>
    </row>
    <row r="217">
      <c r="A217" s="2" t="str">
        <f t="shared" si="1"/>
        <v/>
      </c>
      <c r="C217" s="27"/>
      <c r="F217" s="39"/>
    </row>
    <row r="218">
      <c r="A218" s="2" t="str">
        <f t="shared" si="1"/>
        <v/>
      </c>
      <c r="C218" s="27"/>
      <c r="F218" s="39"/>
    </row>
    <row r="219">
      <c r="A219" s="2" t="str">
        <f t="shared" si="1"/>
        <v/>
      </c>
      <c r="C219" s="27"/>
      <c r="F219" s="39"/>
    </row>
    <row r="220">
      <c r="A220" s="2" t="str">
        <f t="shared" si="1"/>
        <v/>
      </c>
      <c r="C220" s="27"/>
      <c r="F220" s="39"/>
    </row>
    <row r="221">
      <c r="A221" s="2" t="str">
        <f t="shared" si="1"/>
        <v/>
      </c>
      <c r="C221" s="27"/>
      <c r="F221" s="39"/>
    </row>
    <row r="222">
      <c r="A222" s="2" t="str">
        <f t="shared" si="1"/>
        <v/>
      </c>
      <c r="C222" s="27"/>
      <c r="F222" s="39"/>
    </row>
    <row r="223">
      <c r="A223" s="2" t="str">
        <f t="shared" si="1"/>
        <v/>
      </c>
      <c r="C223" s="27"/>
      <c r="F223" s="39"/>
    </row>
    <row r="224">
      <c r="A224" s="2" t="str">
        <f t="shared" si="1"/>
        <v/>
      </c>
      <c r="C224" s="27"/>
      <c r="F224" s="39"/>
    </row>
    <row r="225">
      <c r="A225" s="2" t="str">
        <f t="shared" si="1"/>
        <v/>
      </c>
      <c r="C225" s="27"/>
      <c r="F225" s="39"/>
    </row>
    <row r="226">
      <c r="A226" s="2" t="str">
        <f t="shared" si="1"/>
        <v/>
      </c>
      <c r="C226" s="27"/>
      <c r="F226" s="39"/>
    </row>
    <row r="227">
      <c r="A227" s="2" t="str">
        <f t="shared" si="1"/>
        <v/>
      </c>
      <c r="C227" s="27"/>
      <c r="F227" s="39"/>
    </row>
    <row r="228">
      <c r="A228" s="2" t="str">
        <f t="shared" si="1"/>
        <v/>
      </c>
      <c r="C228" s="27"/>
      <c r="F228" s="39"/>
    </row>
    <row r="229">
      <c r="A229" s="2" t="str">
        <f t="shared" si="1"/>
        <v/>
      </c>
      <c r="C229" s="27"/>
      <c r="F229" s="39"/>
    </row>
    <row r="230">
      <c r="A230" s="2" t="str">
        <f t="shared" si="1"/>
        <v/>
      </c>
      <c r="C230" s="27"/>
      <c r="F230" s="39"/>
    </row>
    <row r="231">
      <c r="A231" s="2" t="str">
        <f t="shared" si="1"/>
        <v/>
      </c>
      <c r="C231" s="27"/>
      <c r="F231" s="39"/>
    </row>
    <row r="232">
      <c r="A232" s="2" t="str">
        <f t="shared" si="1"/>
        <v/>
      </c>
      <c r="C232" s="27"/>
      <c r="F232" s="39"/>
    </row>
    <row r="233">
      <c r="A233" s="2" t="str">
        <f t="shared" si="1"/>
        <v/>
      </c>
      <c r="C233" s="27"/>
      <c r="F233" s="39"/>
    </row>
    <row r="234">
      <c r="A234" s="2" t="str">
        <f t="shared" si="1"/>
        <v/>
      </c>
      <c r="C234" s="27"/>
      <c r="F234" s="39"/>
    </row>
    <row r="235">
      <c r="A235" s="2" t="str">
        <f t="shared" si="1"/>
        <v/>
      </c>
      <c r="C235" s="27"/>
      <c r="F235" s="39"/>
    </row>
    <row r="236">
      <c r="A236" s="2" t="str">
        <f t="shared" si="1"/>
        <v/>
      </c>
      <c r="C236" s="27"/>
      <c r="F236" s="39"/>
    </row>
    <row r="237">
      <c r="A237" s="2" t="str">
        <f t="shared" si="1"/>
        <v/>
      </c>
      <c r="C237" s="27"/>
      <c r="F237" s="39"/>
    </row>
    <row r="238">
      <c r="A238" s="2" t="str">
        <f t="shared" si="1"/>
        <v/>
      </c>
      <c r="C238" s="27"/>
      <c r="F238" s="39"/>
    </row>
    <row r="239">
      <c r="A239" s="2" t="str">
        <f t="shared" si="1"/>
        <v/>
      </c>
      <c r="C239" s="27"/>
      <c r="F239" s="39"/>
    </row>
    <row r="240">
      <c r="A240" s="2" t="str">
        <f t="shared" si="1"/>
        <v/>
      </c>
      <c r="C240" s="27"/>
      <c r="F240" s="39"/>
    </row>
    <row r="241">
      <c r="A241" s="2" t="str">
        <f t="shared" si="1"/>
        <v/>
      </c>
      <c r="C241" s="27"/>
      <c r="F241" s="39"/>
    </row>
    <row r="242">
      <c r="A242" s="2" t="str">
        <f t="shared" si="1"/>
        <v/>
      </c>
      <c r="C242" s="27"/>
      <c r="F242" s="39"/>
    </row>
    <row r="243">
      <c r="A243" s="2" t="str">
        <f t="shared" si="1"/>
        <v/>
      </c>
      <c r="C243" s="27"/>
      <c r="F243" s="39"/>
    </row>
    <row r="244">
      <c r="A244" s="2" t="str">
        <f t="shared" si="1"/>
        <v/>
      </c>
      <c r="C244" s="27"/>
      <c r="F244" s="39"/>
    </row>
    <row r="245">
      <c r="A245" s="2" t="str">
        <f t="shared" si="1"/>
        <v/>
      </c>
      <c r="C245" s="27"/>
      <c r="F245" s="39"/>
    </row>
    <row r="246">
      <c r="A246" s="2" t="str">
        <f t="shared" si="1"/>
        <v/>
      </c>
      <c r="C246" s="27"/>
      <c r="F246" s="39"/>
    </row>
    <row r="247">
      <c r="A247" s="2" t="str">
        <f t="shared" si="1"/>
        <v/>
      </c>
      <c r="C247" s="27"/>
      <c r="F247" s="39"/>
    </row>
    <row r="248">
      <c r="A248" s="2" t="str">
        <f t="shared" si="1"/>
        <v/>
      </c>
      <c r="C248" s="27"/>
      <c r="F248" s="39"/>
    </row>
    <row r="249">
      <c r="A249" s="2" t="str">
        <f t="shared" si="1"/>
        <v/>
      </c>
      <c r="C249" s="27"/>
      <c r="F249" s="39"/>
    </row>
    <row r="250">
      <c r="A250" s="2" t="str">
        <f t="shared" si="1"/>
        <v/>
      </c>
      <c r="C250" s="27"/>
      <c r="F250" s="39"/>
    </row>
    <row r="251">
      <c r="A251" s="2" t="str">
        <f t="shared" si="1"/>
        <v/>
      </c>
      <c r="C251" s="27"/>
      <c r="F251" s="39"/>
    </row>
    <row r="252">
      <c r="A252" s="2" t="str">
        <f t="shared" si="1"/>
        <v/>
      </c>
      <c r="C252" s="27"/>
      <c r="F252" s="39"/>
    </row>
    <row r="253">
      <c r="A253" s="2" t="str">
        <f t="shared" si="1"/>
        <v/>
      </c>
      <c r="C253" s="27"/>
      <c r="F253" s="39"/>
    </row>
    <row r="254">
      <c r="A254" s="2" t="str">
        <f t="shared" si="1"/>
        <v/>
      </c>
      <c r="C254" s="27"/>
      <c r="F254" s="39"/>
    </row>
    <row r="255">
      <c r="A255" s="2" t="str">
        <f t="shared" si="1"/>
        <v/>
      </c>
      <c r="C255" s="27"/>
      <c r="F255" s="39"/>
    </row>
    <row r="256">
      <c r="A256" s="2" t="str">
        <f t="shared" si="1"/>
        <v/>
      </c>
      <c r="C256" s="27"/>
      <c r="F256" s="39"/>
    </row>
    <row r="257">
      <c r="A257" s="2" t="str">
        <f t="shared" si="1"/>
        <v/>
      </c>
      <c r="C257" s="27"/>
      <c r="F257" s="39"/>
    </row>
    <row r="258">
      <c r="A258" s="2" t="str">
        <f t="shared" si="1"/>
        <v/>
      </c>
      <c r="C258" s="27"/>
      <c r="F258" s="39"/>
    </row>
    <row r="259">
      <c r="A259" s="2" t="str">
        <f t="shared" si="1"/>
        <v/>
      </c>
      <c r="C259" s="27"/>
      <c r="F259" s="39"/>
    </row>
    <row r="260">
      <c r="A260" s="2" t="str">
        <f t="shared" si="1"/>
        <v/>
      </c>
      <c r="C260" s="27"/>
      <c r="F260" s="39"/>
    </row>
    <row r="261">
      <c r="A261" s="2" t="str">
        <f t="shared" si="1"/>
        <v/>
      </c>
      <c r="C261" s="27"/>
      <c r="F261" s="39"/>
    </row>
    <row r="262">
      <c r="A262" s="2" t="str">
        <f t="shared" si="1"/>
        <v/>
      </c>
      <c r="C262" s="27"/>
      <c r="F262" s="39"/>
    </row>
    <row r="263">
      <c r="A263" s="2" t="str">
        <f t="shared" si="1"/>
        <v/>
      </c>
      <c r="C263" s="27"/>
      <c r="F263" s="39"/>
    </row>
    <row r="264">
      <c r="A264" s="2" t="str">
        <f t="shared" si="1"/>
        <v/>
      </c>
      <c r="C264" s="27"/>
      <c r="F264" s="39"/>
    </row>
    <row r="265">
      <c r="A265" s="2" t="str">
        <f t="shared" si="1"/>
        <v/>
      </c>
      <c r="C265" s="27"/>
      <c r="F265" s="39"/>
    </row>
    <row r="266">
      <c r="A266" s="2" t="str">
        <f t="shared" si="1"/>
        <v/>
      </c>
      <c r="C266" s="27"/>
      <c r="F266" s="39"/>
    </row>
    <row r="267">
      <c r="A267" s="2" t="str">
        <f t="shared" si="1"/>
        <v/>
      </c>
      <c r="C267" s="27"/>
      <c r="F267" s="39"/>
    </row>
    <row r="268">
      <c r="A268" s="2" t="str">
        <f t="shared" si="1"/>
        <v/>
      </c>
      <c r="C268" s="27"/>
      <c r="F268" s="39"/>
    </row>
    <row r="269">
      <c r="A269" s="2" t="str">
        <f t="shared" si="1"/>
        <v/>
      </c>
      <c r="C269" s="27"/>
      <c r="F269" s="39"/>
    </row>
    <row r="270">
      <c r="A270" s="2" t="str">
        <f t="shared" si="1"/>
        <v/>
      </c>
      <c r="C270" s="27"/>
      <c r="F270" s="39"/>
    </row>
    <row r="271">
      <c r="A271" s="2" t="str">
        <f t="shared" si="1"/>
        <v/>
      </c>
      <c r="C271" s="27"/>
      <c r="F271" s="39"/>
    </row>
    <row r="272">
      <c r="A272" s="2" t="str">
        <f t="shared" si="1"/>
        <v/>
      </c>
      <c r="C272" s="27"/>
      <c r="F272" s="39"/>
    </row>
    <row r="273">
      <c r="A273" s="2" t="str">
        <f t="shared" si="1"/>
        <v/>
      </c>
      <c r="C273" s="27"/>
      <c r="F273" s="39"/>
    </row>
    <row r="274">
      <c r="A274" s="2" t="str">
        <f t="shared" si="1"/>
        <v/>
      </c>
      <c r="C274" s="27"/>
      <c r="F274" s="39"/>
    </row>
    <row r="275">
      <c r="A275" s="2" t="str">
        <f t="shared" si="1"/>
        <v/>
      </c>
      <c r="C275" s="27"/>
      <c r="F275" s="39"/>
    </row>
    <row r="276">
      <c r="A276" s="2" t="str">
        <f t="shared" si="1"/>
        <v/>
      </c>
      <c r="C276" s="27"/>
      <c r="F276" s="39"/>
    </row>
    <row r="277">
      <c r="A277" s="2" t="str">
        <f t="shared" si="1"/>
        <v/>
      </c>
      <c r="C277" s="27"/>
      <c r="F277" s="39"/>
    </row>
    <row r="278">
      <c r="A278" s="2" t="str">
        <f t="shared" si="1"/>
        <v/>
      </c>
      <c r="C278" s="27"/>
      <c r="F278" s="39"/>
    </row>
    <row r="279">
      <c r="A279" s="2" t="str">
        <f t="shared" si="1"/>
        <v/>
      </c>
      <c r="C279" s="27"/>
      <c r="F279" s="39"/>
    </row>
    <row r="280">
      <c r="A280" s="2" t="str">
        <f t="shared" si="1"/>
        <v/>
      </c>
      <c r="C280" s="27"/>
      <c r="F280" s="39"/>
    </row>
    <row r="281">
      <c r="A281" s="2" t="str">
        <f t="shared" si="1"/>
        <v/>
      </c>
      <c r="C281" s="27"/>
      <c r="F281" s="39"/>
    </row>
    <row r="282">
      <c r="A282" s="2" t="str">
        <f t="shared" si="1"/>
        <v/>
      </c>
      <c r="C282" s="27"/>
      <c r="F282" s="39"/>
    </row>
    <row r="283">
      <c r="A283" s="2" t="str">
        <f t="shared" si="1"/>
        <v/>
      </c>
      <c r="C283" s="27"/>
      <c r="F283" s="39"/>
    </row>
    <row r="284">
      <c r="A284" s="2" t="str">
        <f t="shared" si="1"/>
        <v/>
      </c>
      <c r="C284" s="27"/>
      <c r="F284" s="39"/>
    </row>
    <row r="285">
      <c r="A285" s="2" t="str">
        <f t="shared" si="1"/>
        <v/>
      </c>
      <c r="C285" s="27"/>
      <c r="F285" s="39"/>
    </row>
    <row r="286">
      <c r="A286" s="2" t="str">
        <f t="shared" si="1"/>
        <v/>
      </c>
      <c r="C286" s="27"/>
      <c r="F286" s="39"/>
    </row>
    <row r="287">
      <c r="A287" s="2" t="str">
        <f t="shared" si="1"/>
        <v/>
      </c>
      <c r="C287" s="27"/>
      <c r="F287" s="39"/>
    </row>
    <row r="288">
      <c r="A288" s="2" t="str">
        <f t="shared" si="1"/>
        <v/>
      </c>
      <c r="C288" s="27"/>
      <c r="F288" s="39"/>
    </row>
    <row r="289">
      <c r="A289" s="2" t="str">
        <f t="shared" si="1"/>
        <v/>
      </c>
      <c r="C289" s="27"/>
      <c r="F289" s="39"/>
    </row>
    <row r="290">
      <c r="A290" s="2" t="str">
        <f t="shared" si="1"/>
        <v/>
      </c>
      <c r="C290" s="27"/>
      <c r="F290" s="39"/>
    </row>
    <row r="291">
      <c r="A291" s="2" t="str">
        <f t="shared" si="1"/>
        <v/>
      </c>
      <c r="C291" s="27"/>
      <c r="F291" s="39"/>
    </row>
    <row r="292">
      <c r="A292" s="2" t="str">
        <f t="shared" si="1"/>
        <v/>
      </c>
      <c r="C292" s="27"/>
      <c r="F292" s="39"/>
    </row>
    <row r="293">
      <c r="A293" s="2" t="str">
        <f t="shared" si="1"/>
        <v/>
      </c>
      <c r="C293" s="27"/>
      <c r="F293" s="39"/>
    </row>
    <row r="294">
      <c r="A294" s="2" t="str">
        <f t="shared" si="1"/>
        <v/>
      </c>
      <c r="C294" s="27"/>
      <c r="F294" s="39"/>
    </row>
    <row r="295">
      <c r="A295" s="2" t="str">
        <f t="shared" si="1"/>
        <v/>
      </c>
      <c r="C295" s="27"/>
      <c r="F295" s="39"/>
    </row>
    <row r="296">
      <c r="A296" s="2" t="str">
        <f t="shared" si="1"/>
        <v/>
      </c>
      <c r="C296" s="27"/>
      <c r="F296" s="39"/>
    </row>
    <row r="297">
      <c r="A297" s="2" t="str">
        <f t="shared" si="1"/>
        <v/>
      </c>
      <c r="C297" s="27"/>
      <c r="F297" s="39"/>
    </row>
    <row r="298">
      <c r="A298" s="2" t="str">
        <f t="shared" si="1"/>
        <v/>
      </c>
      <c r="C298" s="27"/>
      <c r="F298" s="39"/>
    </row>
    <row r="299">
      <c r="A299" s="2" t="str">
        <f t="shared" si="1"/>
        <v/>
      </c>
      <c r="C299" s="27"/>
      <c r="F299" s="39"/>
    </row>
    <row r="300">
      <c r="A300" s="2" t="str">
        <f t="shared" si="1"/>
        <v/>
      </c>
      <c r="C300" s="27"/>
      <c r="F300" s="39"/>
    </row>
    <row r="301">
      <c r="A301" s="2" t="str">
        <f t="shared" si="1"/>
        <v/>
      </c>
      <c r="C301" s="27"/>
      <c r="F301" s="39"/>
    </row>
    <row r="302">
      <c r="A302" s="2" t="str">
        <f t="shared" si="1"/>
        <v/>
      </c>
      <c r="C302" s="27"/>
      <c r="F302" s="39"/>
    </row>
    <row r="303">
      <c r="A303" s="2" t="str">
        <f t="shared" si="1"/>
        <v/>
      </c>
      <c r="C303" s="27"/>
      <c r="F303" s="39"/>
    </row>
    <row r="304">
      <c r="A304" s="2" t="str">
        <f t="shared" si="1"/>
        <v/>
      </c>
      <c r="C304" s="27"/>
      <c r="F304" s="39"/>
    </row>
    <row r="305">
      <c r="A305" s="2" t="str">
        <f t="shared" si="1"/>
        <v/>
      </c>
      <c r="C305" s="27"/>
      <c r="F305" s="39"/>
    </row>
    <row r="306">
      <c r="A306" s="2" t="str">
        <f t="shared" si="1"/>
        <v/>
      </c>
      <c r="C306" s="27"/>
      <c r="F306" s="39"/>
    </row>
    <row r="307">
      <c r="A307" s="2" t="str">
        <f t="shared" si="1"/>
        <v/>
      </c>
      <c r="C307" s="27"/>
      <c r="F307" s="39"/>
    </row>
    <row r="308">
      <c r="A308" s="2" t="str">
        <f t="shared" si="1"/>
        <v/>
      </c>
      <c r="C308" s="27"/>
      <c r="F308" s="39"/>
    </row>
    <row r="309">
      <c r="A309" s="2" t="str">
        <f t="shared" si="1"/>
        <v/>
      </c>
      <c r="C309" s="27"/>
      <c r="F309" s="39"/>
    </row>
    <row r="310">
      <c r="A310" s="2" t="str">
        <f t="shared" si="1"/>
        <v/>
      </c>
      <c r="C310" s="27"/>
      <c r="F310" s="39"/>
    </row>
    <row r="311">
      <c r="A311" s="2" t="str">
        <f t="shared" si="1"/>
        <v/>
      </c>
      <c r="C311" s="27"/>
      <c r="F311" s="39"/>
    </row>
    <row r="312">
      <c r="A312" s="2" t="str">
        <f t="shared" si="1"/>
        <v/>
      </c>
      <c r="C312" s="27"/>
      <c r="F312" s="39"/>
    </row>
    <row r="313">
      <c r="A313" s="2" t="str">
        <f t="shared" si="1"/>
        <v/>
      </c>
      <c r="C313" s="27"/>
      <c r="F313" s="39"/>
    </row>
    <row r="314">
      <c r="A314" s="2" t="str">
        <f t="shared" si="1"/>
        <v/>
      </c>
      <c r="C314" s="27"/>
      <c r="F314" s="39"/>
    </row>
    <row r="315">
      <c r="A315" s="2" t="str">
        <f t="shared" si="1"/>
        <v/>
      </c>
      <c r="C315" s="27"/>
      <c r="F315" s="39"/>
    </row>
    <row r="316">
      <c r="A316" s="2" t="str">
        <f t="shared" si="1"/>
        <v/>
      </c>
      <c r="C316" s="27"/>
      <c r="F316" s="39"/>
    </row>
    <row r="317">
      <c r="A317" s="2" t="str">
        <f t="shared" si="1"/>
        <v/>
      </c>
      <c r="C317" s="27"/>
      <c r="F317" s="39"/>
    </row>
    <row r="318">
      <c r="A318" s="2" t="str">
        <f t="shared" si="1"/>
        <v/>
      </c>
      <c r="C318" s="27"/>
      <c r="F318" s="39"/>
    </row>
    <row r="319">
      <c r="A319" s="2" t="str">
        <f t="shared" si="1"/>
        <v/>
      </c>
      <c r="C319" s="27"/>
      <c r="F319" s="39"/>
    </row>
    <row r="320">
      <c r="A320" s="2" t="str">
        <f t="shared" si="1"/>
        <v/>
      </c>
      <c r="C320" s="27"/>
      <c r="F320" s="39"/>
    </row>
    <row r="321">
      <c r="A321" s="2" t="str">
        <f t="shared" si="1"/>
        <v/>
      </c>
      <c r="C321" s="27"/>
      <c r="F321" s="39"/>
    </row>
    <row r="322">
      <c r="A322" s="2" t="str">
        <f t="shared" si="1"/>
        <v/>
      </c>
      <c r="C322" s="27"/>
      <c r="F322" s="39"/>
    </row>
    <row r="323">
      <c r="A323" s="2" t="str">
        <f t="shared" si="1"/>
        <v/>
      </c>
      <c r="C323" s="27"/>
      <c r="F323" s="39"/>
    </row>
    <row r="324">
      <c r="A324" s="2" t="str">
        <f t="shared" si="1"/>
        <v/>
      </c>
      <c r="C324" s="27"/>
      <c r="F324" s="39"/>
    </row>
    <row r="325">
      <c r="A325" s="2" t="str">
        <f t="shared" si="1"/>
        <v/>
      </c>
      <c r="C325" s="27"/>
      <c r="F325" s="39"/>
    </row>
    <row r="326">
      <c r="A326" s="2" t="str">
        <f t="shared" si="1"/>
        <v/>
      </c>
      <c r="C326" s="27"/>
      <c r="F326" s="39"/>
    </row>
    <row r="327">
      <c r="A327" s="2" t="str">
        <f t="shared" si="1"/>
        <v/>
      </c>
      <c r="C327" s="27"/>
      <c r="F327" s="39"/>
    </row>
    <row r="328">
      <c r="A328" s="2" t="str">
        <f t="shared" si="1"/>
        <v/>
      </c>
      <c r="C328" s="27"/>
      <c r="F328" s="39"/>
    </row>
    <row r="329">
      <c r="A329" s="2" t="str">
        <f t="shared" si="1"/>
        <v/>
      </c>
      <c r="C329" s="27"/>
      <c r="F329" s="39"/>
    </row>
    <row r="330">
      <c r="A330" s="2" t="str">
        <f t="shared" si="1"/>
        <v/>
      </c>
      <c r="C330" s="27"/>
      <c r="F330" s="39"/>
    </row>
    <row r="331">
      <c r="A331" s="2" t="str">
        <f t="shared" si="1"/>
        <v/>
      </c>
      <c r="C331" s="27"/>
      <c r="F331" s="39"/>
    </row>
    <row r="332">
      <c r="A332" s="2" t="str">
        <f t="shared" si="1"/>
        <v/>
      </c>
      <c r="C332" s="27"/>
      <c r="F332" s="39"/>
    </row>
    <row r="333">
      <c r="A333" s="2" t="str">
        <f t="shared" si="1"/>
        <v/>
      </c>
      <c r="C333" s="27"/>
      <c r="F333" s="39"/>
    </row>
    <row r="334">
      <c r="A334" s="2" t="str">
        <f t="shared" si="1"/>
        <v/>
      </c>
      <c r="C334" s="27"/>
      <c r="F334" s="39"/>
    </row>
    <row r="335">
      <c r="A335" s="2" t="str">
        <f t="shared" si="1"/>
        <v/>
      </c>
      <c r="C335" s="27"/>
      <c r="F335" s="39"/>
    </row>
    <row r="336">
      <c r="A336" s="2" t="str">
        <f t="shared" si="1"/>
        <v/>
      </c>
      <c r="C336" s="27"/>
      <c r="F336" s="39"/>
    </row>
    <row r="337">
      <c r="A337" s="2" t="str">
        <f t="shared" si="1"/>
        <v/>
      </c>
      <c r="C337" s="27"/>
      <c r="F337" s="39"/>
    </row>
    <row r="338">
      <c r="A338" s="2" t="str">
        <f t="shared" si="1"/>
        <v/>
      </c>
      <c r="C338" s="27"/>
      <c r="F338" s="39"/>
    </row>
    <row r="339">
      <c r="A339" s="2" t="str">
        <f t="shared" si="1"/>
        <v/>
      </c>
      <c r="C339" s="27"/>
      <c r="F339" s="39"/>
    </row>
    <row r="340">
      <c r="A340" s="2" t="str">
        <f t="shared" si="1"/>
        <v/>
      </c>
      <c r="C340" s="27"/>
      <c r="F340" s="39"/>
    </row>
    <row r="341">
      <c r="A341" s="2" t="str">
        <f t="shared" si="1"/>
        <v/>
      </c>
      <c r="C341" s="27"/>
      <c r="F341" s="39"/>
    </row>
    <row r="342">
      <c r="A342" s="2" t="str">
        <f t="shared" si="1"/>
        <v/>
      </c>
      <c r="C342" s="27"/>
      <c r="F342" s="39"/>
    </row>
    <row r="343">
      <c r="A343" s="2" t="str">
        <f t="shared" si="1"/>
        <v/>
      </c>
      <c r="C343" s="27"/>
      <c r="F343" s="39"/>
    </row>
    <row r="344">
      <c r="A344" s="2" t="str">
        <f t="shared" si="1"/>
        <v/>
      </c>
      <c r="C344" s="27"/>
      <c r="F344" s="39"/>
    </row>
    <row r="345">
      <c r="A345" s="2" t="str">
        <f t="shared" si="1"/>
        <v/>
      </c>
      <c r="C345" s="27"/>
      <c r="F345" s="39"/>
    </row>
    <row r="346">
      <c r="A346" s="2" t="str">
        <f t="shared" si="1"/>
        <v/>
      </c>
      <c r="C346" s="27"/>
      <c r="F346" s="39"/>
    </row>
    <row r="347">
      <c r="A347" s="2" t="str">
        <f t="shared" si="1"/>
        <v/>
      </c>
      <c r="C347" s="27"/>
      <c r="F347" s="39"/>
    </row>
    <row r="348">
      <c r="A348" s="2" t="str">
        <f t="shared" si="1"/>
        <v/>
      </c>
      <c r="C348" s="27"/>
      <c r="F348" s="39"/>
    </row>
    <row r="349">
      <c r="A349" s="2" t="str">
        <f t="shared" si="1"/>
        <v/>
      </c>
      <c r="C349" s="27"/>
      <c r="F349" s="39"/>
    </row>
    <row r="350">
      <c r="A350" s="2" t="str">
        <f t="shared" si="1"/>
        <v/>
      </c>
      <c r="C350" s="27"/>
      <c r="F350" s="39"/>
    </row>
    <row r="351">
      <c r="A351" s="2" t="str">
        <f t="shared" si="1"/>
        <v/>
      </c>
      <c r="C351" s="27"/>
      <c r="F351" s="39"/>
    </row>
    <row r="352">
      <c r="A352" s="2" t="str">
        <f t="shared" si="1"/>
        <v/>
      </c>
      <c r="C352" s="27"/>
      <c r="F352" s="39"/>
    </row>
    <row r="353">
      <c r="A353" s="2" t="str">
        <f t="shared" si="1"/>
        <v/>
      </c>
      <c r="C353" s="27"/>
      <c r="F353" s="39"/>
    </row>
    <row r="354">
      <c r="A354" s="2" t="str">
        <f t="shared" si="1"/>
        <v/>
      </c>
      <c r="C354" s="27"/>
      <c r="F354" s="39"/>
    </row>
    <row r="355">
      <c r="A355" s="2" t="str">
        <f t="shared" si="1"/>
        <v/>
      </c>
      <c r="C355" s="27"/>
      <c r="F355" s="39"/>
    </row>
    <row r="356">
      <c r="A356" s="2" t="str">
        <f t="shared" si="1"/>
        <v/>
      </c>
      <c r="C356" s="27"/>
      <c r="F356" s="39"/>
    </row>
    <row r="357">
      <c r="A357" s="2" t="str">
        <f t="shared" si="1"/>
        <v/>
      </c>
      <c r="C357" s="27"/>
      <c r="F357" s="39"/>
    </row>
    <row r="358">
      <c r="A358" s="2" t="str">
        <f t="shared" si="1"/>
        <v/>
      </c>
      <c r="C358" s="27"/>
      <c r="F358" s="39"/>
    </row>
    <row r="359">
      <c r="A359" s="2" t="str">
        <f t="shared" si="1"/>
        <v/>
      </c>
      <c r="C359" s="27"/>
      <c r="F359" s="39"/>
    </row>
    <row r="360">
      <c r="A360" s="2" t="str">
        <f t="shared" si="1"/>
        <v/>
      </c>
      <c r="C360" s="27"/>
      <c r="F360" s="39"/>
    </row>
    <row r="361">
      <c r="A361" s="2" t="str">
        <f t="shared" si="1"/>
        <v/>
      </c>
      <c r="C361" s="27"/>
      <c r="F361" s="39"/>
    </row>
    <row r="362">
      <c r="A362" s="2" t="str">
        <f t="shared" si="1"/>
        <v/>
      </c>
      <c r="C362" s="27"/>
      <c r="F362" s="39"/>
    </row>
    <row r="363">
      <c r="A363" s="2" t="str">
        <f t="shared" si="1"/>
        <v/>
      </c>
      <c r="C363" s="27"/>
      <c r="F363" s="39"/>
    </row>
    <row r="364">
      <c r="A364" s="2" t="str">
        <f t="shared" si="1"/>
        <v/>
      </c>
      <c r="C364" s="27"/>
      <c r="F364" s="39"/>
    </row>
    <row r="365">
      <c r="A365" s="2" t="str">
        <f t="shared" si="1"/>
        <v/>
      </c>
      <c r="C365" s="27"/>
      <c r="F365" s="39"/>
    </row>
    <row r="366">
      <c r="A366" s="2" t="str">
        <f t="shared" si="1"/>
        <v/>
      </c>
      <c r="C366" s="27"/>
      <c r="F366" s="39"/>
    </row>
    <row r="367">
      <c r="A367" s="2" t="str">
        <f t="shared" si="1"/>
        <v/>
      </c>
      <c r="C367" s="27"/>
      <c r="F367" s="39"/>
    </row>
    <row r="368">
      <c r="A368" s="2" t="str">
        <f t="shared" si="1"/>
        <v/>
      </c>
      <c r="C368" s="27"/>
      <c r="F368" s="39"/>
    </row>
    <row r="369">
      <c r="A369" s="2" t="str">
        <f t="shared" si="1"/>
        <v/>
      </c>
      <c r="C369" s="27"/>
      <c r="F369" s="39"/>
    </row>
    <row r="370">
      <c r="A370" s="2" t="str">
        <f t="shared" si="1"/>
        <v/>
      </c>
      <c r="C370" s="27"/>
      <c r="F370" s="39"/>
    </row>
    <row r="371">
      <c r="A371" s="2" t="str">
        <f t="shared" si="1"/>
        <v/>
      </c>
      <c r="C371" s="27"/>
      <c r="F371" s="39"/>
    </row>
    <row r="372">
      <c r="A372" s="2" t="str">
        <f t="shared" si="1"/>
        <v/>
      </c>
      <c r="C372" s="27"/>
      <c r="F372" s="39"/>
    </row>
    <row r="373">
      <c r="A373" s="2" t="str">
        <f t="shared" si="1"/>
        <v/>
      </c>
      <c r="C373" s="27"/>
      <c r="F373" s="39"/>
    </row>
    <row r="374">
      <c r="A374" s="2" t="str">
        <f t="shared" si="1"/>
        <v/>
      </c>
      <c r="C374" s="27"/>
      <c r="F374" s="39"/>
    </row>
    <row r="375">
      <c r="A375" s="2" t="str">
        <f t="shared" si="1"/>
        <v/>
      </c>
      <c r="C375" s="27"/>
      <c r="F375" s="39"/>
    </row>
    <row r="376">
      <c r="A376" s="2" t="str">
        <f t="shared" si="1"/>
        <v/>
      </c>
      <c r="C376" s="27"/>
      <c r="F376" s="39"/>
    </row>
    <row r="377">
      <c r="A377" s="2" t="str">
        <f t="shared" si="1"/>
        <v/>
      </c>
      <c r="C377" s="27"/>
      <c r="F377" s="39"/>
    </row>
    <row r="378">
      <c r="A378" s="2" t="str">
        <f t="shared" si="1"/>
        <v/>
      </c>
      <c r="C378" s="27"/>
      <c r="F378" s="39"/>
    </row>
    <row r="379">
      <c r="A379" s="2" t="str">
        <f t="shared" si="1"/>
        <v/>
      </c>
      <c r="C379" s="27"/>
      <c r="F379" s="39"/>
    </row>
    <row r="380">
      <c r="A380" s="2" t="str">
        <f t="shared" si="1"/>
        <v/>
      </c>
      <c r="C380" s="27"/>
      <c r="F380" s="39"/>
    </row>
    <row r="381">
      <c r="A381" s="2" t="str">
        <f t="shared" si="1"/>
        <v/>
      </c>
      <c r="C381" s="27"/>
      <c r="F381" s="39"/>
    </row>
    <row r="382">
      <c r="A382" s="2" t="str">
        <f t="shared" si="1"/>
        <v/>
      </c>
      <c r="C382" s="27"/>
      <c r="F382" s="39"/>
    </row>
    <row r="383">
      <c r="A383" s="2" t="str">
        <f t="shared" si="1"/>
        <v/>
      </c>
      <c r="C383" s="27"/>
      <c r="F383" s="39"/>
    </row>
    <row r="384">
      <c r="A384" s="2" t="str">
        <f t="shared" si="1"/>
        <v/>
      </c>
      <c r="C384" s="27"/>
      <c r="F384" s="39"/>
    </row>
    <row r="385">
      <c r="A385" s="2" t="str">
        <f t="shared" si="1"/>
        <v/>
      </c>
      <c r="C385" s="27"/>
      <c r="F385" s="39"/>
    </row>
    <row r="386">
      <c r="A386" s="2" t="str">
        <f t="shared" si="1"/>
        <v/>
      </c>
      <c r="C386" s="27"/>
      <c r="F386" s="39"/>
    </row>
    <row r="387">
      <c r="A387" s="2" t="str">
        <f t="shared" si="1"/>
        <v/>
      </c>
      <c r="C387" s="27"/>
      <c r="F387" s="39"/>
    </row>
    <row r="388">
      <c r="A388" s="2" t="str">
        <f t="shared" si="1"/>
        <v/>
      </c>
      <c r="C388" s="27"/>
      <c r="F388" s="39"/>
    </row>
    <row r="389">
      <c r="A389" s="2" t="str">
        <f t="shared" si="1"/>
        <v/>
      </c>
      <c r="C389" s="27"/>
      <c r="F389" s="39"/>
    </row>
    <row r="390">
      <c r="A390" s="2" t="str">
        <f t="shared" si="1"/>
        <v/>
      </c>
      <c r="C390" s="27"/>
      <c r="F390" s="39"/>
    </row>
    <row r="391">
      <c r="A391" s="2" t="str">
        <f t="shared" si="1"/>
        <v/>
      </c>
      <c r="C391" s="27"/>
      <c r="F391" s="39"/>
    </row>
    <row r="392">
      <c r="A392" s="2" t="str">
        <f t="shared" si="1"/>
        <v/>
      </c>
      <c r="C392" s="27"/>
      <c r="F392" s="39"/>
    </row>
    <row r="393">
      <c r="A393" s="2" t="str">
        <f t="shared" si="1"/>
        <v/>
      </c>
      <c r="C393" s="27"/>
      <c r="F393" s="39"/>
    </row>
    <row r="394">
      <c r="A394" s="2" t="str">
        <f t="shared" si="1"/>
        <v/>
      </c>
      <c r="C394" s="27"/>
      <c r="F394" s="39"/>
    </row>
    <row r="395">
      <c r="A395" s="2" t="str">
        <f t="shared" si="1"/>
        <v/>
      </c>
      <c r="C395" s="27"/>
      <c r="F395" s="39"/>
    </row>
    <row r="396">
      <c r="A396" s="2" t="str">
        <f t="shared" si="1"/>
        <v/>
      </c>
      <c r="C396" s="27"/>
      <c r="F396" s="39"/>
    </row>
    <row r="397">
      <c r="A397" s="2" t="str">
        <f t="shared" si="1"/>
        <v/>
      </c>
      <c r="C397" s="27"/>
      <c r="F397" s="39"/>
    </row>
    <row r="398">
      <c r="A398" s="2" t="str">
        <f t="shared" si="1"/>
        <v/>
      </c>
      <c r="C398" s="27"/>
      <c r="F398" s="39"/>
    </row>
    <row r="399">
      <c r="A399" s="2" t="str">
        <f t="shared" si="1"/>
        <v/>
      </c>
      <c r="C399" s="27"/>
      <c r="F399" s="39"/>
    </row>
    <row r="400">
      <c r="A400" s="2" t="str">
        <f t="shared" si="1"/>
        <v/>
      </c>
      <c r="C400" s="27"/>
      <c r="F400" s="39"/>
    </row>
    <row r="401">
      <c r="A401" s="2" t="str">
        <f t="shared" si="1"/>
        <v/>
      </c>
      <c r="C401" s="27"/>
      <c r="F401" s="39"/>
    </row>
    <row r="402">
      <c r="A402" s="2" t="str">
        <f t="shared" si="1"/>
        <v/>
      </c>
      <c r="C402" s="27"/>
      <c r="F402" s="39"/>
    </row>
    <row r="403">
      <c r="A403" s="2" t="str">
        <f t="shared" si="1"/>
        <v/>
      </c>
      <c r="C403" s="27"/>
      <c r="F403" s="39"/>
    </row>
    <row r="404">
      <c r="A404" s="2" t="str">
        <f t="shared" si="1"/>
        <v/>
      </c>
      <c r="C404" s="27"/>
      <c r="F404" s="39"/>
    </row>
    <row r="405">
      <c r="A405" s="2" t="str">
        <f t="shared" si="1"/>
        <v/>
      </c>
      <c r="C405" s="27"/>
      <c r="F405" s="39"/>
    </row>
    <row r="406">
      <c r="A406" s="2" t="str">
        <f t="shared" si="1"/>
        <v/>
      </c>
      <c r="C406" s="27"/>
      <c r="F406" s="39"/>
    </row>
    <row r="407">
      <c r="A407" s="2" t="str">
        <f t="shared" si="1"/>
        <v/>
      </c>
      <c r="C407" s="27"/>
      <c r="F407" s="39"/>
    </row>
    <row r="408">
      <c r="A408" s="2" t="str">
        <f t="shared" si="1"/>
        <v/>
      </c>
      <c r="C408" s="27"/>
      <c r="F408" s="39"/>
    </row>
    <row r="409">
      <c r="A409" s="2" t="str">
        <f t="shared" si="1"/>
        <v/>
      </c>
      <c r="C409" s="27"/>
      <c r="F409" s="39"/>
    </row>
    <row r="410">
      <c r="A410" s="2" t="str">
        <f t="shared" si="1"/>
        <v/>
      </c>
      <c r="C410" s="27"/>
      <c r="F410" s="39"/>
    </row>
    <row r="411">
      <c r="A411" s="2" t="str">
        <f t="shared" si="1"/>
        <v/>
      </c>
      <c r="C411" s="27"/>
      <c r="F411" s="39"/>
    </row>
    <row r="412">
      <c r="A412" s="2" t="str">
        <f t="shared" si="1"/>
        <v/>
      </c>
      <c r="C412" s="27"/>
      <c r="F412" s="39"/>
    </row>
    <row r="413">
      <c r="A413" s="2" t="str">
        <f t="shared" si="1"/>
        <v/>
      </c>
      <c r="C413" s="27"/>
      <c r="F413" s="39"/>
    </row>
    <row r="414">
      <c r="A414" s="2" t="str">
        <f t="shared" si="1"/>
        <v/>
      </c>
      <c r="C414" s="27"/>
      <c r="F414" s="39"/>
    </row>
    <row r="415">
      <c r="A415" s="2" t="str">
        <f t="shared" si="1"/>
        <v/>
      </c>
      <c r="C415" s="27"/>
      <c r="F415" s="39"/>
    </row>
    <row r="416">
      <c r="A416" s="2" t="str">
        <f t="shared" si="1"/>
        <v/>
      </c>
      <c r="C416" s="27"/>
      <c r="F416" s="39"/>
    </row>
    <row r="417">
      <c r="A417" s="2" t="str">
        <f t="shared" si="1"/>
        <v/>
      </c>
      <c r="C417" s="27"/>
      <c r="F417" s="39"/>
    </row>
    <row r="418">
      <c r="A418" s="2" t="str">
        <f t="shared" si="1"/>
        <v/>
      </c>
      <c r="C418" s="27"/>
      <c r="F418" s="39"/>
    </row>
    <row r="419">
      <c r="A419" s="2" t="str">
        <f t="shared" si="1"/>
        <v/>
      </c>
      <c r="C419" s="27"/>
      <c r="F419" s="39"/>
    </row>
    <row r="420">
      <c r="A420" s="2" t="str">
        <f t="shared" si="1"/>
        <v/>
      </c>
      <c r="C420" s="27"/>
      <c r="F420" s="39"/>
    </row>
    <row r="421">
      <c r="A421" s="2" t="str">
        <f t="shared" si="1"/>
        <v/>
      </c>
      <c r="C421" s="27"/>
      <c r="F421" s="39"/>
    </row>
    <row r="422">
      <c r="A422" s="2" t="str">
        <f t="shared" si="1"/>
        <v/>
      </c>
      <c r="C422" s="27"/>
      <c r="F422" s="39"/>
    </row>
    <row r="423">
      <c r="A423" s="2" t="str">
        <f t="shared" si="1"/>
        <v/>
      </c>
      <c r="C423" s="27"/>
      <c r="F423" s="39"/>
    </row>
    <row r="424">
      <c r="A424" s="2" t="str">
        <f t="shared" si="1"/>
        <v/>
      </c>
      <c r="C424" s="27"/>
      <c r="F424" s="39"/>
    </row>
    <row r="425">
      <c r="A425" s="2" t="str">
        <f t="shared" si="1"/>
        <v/>
      </c>
      <c r="C425" s="27"/>
      <c r="F425" s="39"/>
    </row>
    <row r="426">
      <c r="A426" s="2" t="str">
        <f t="shared" si="1"/>
        <v/>
      </c>
      <c r="C426" s="27"/>
      <c r="F426" s="39"/>
    </row>
    <row r="427">
      <c r="A427" s="2" t="str">
        <f t="shared" si="1"/>
        <v/>
      </c>
      <c r="C427" s="27"/>
      <c r="F427" s="39"/>
    </row>
    <row r="428">
      <c r="A428" s="2" t="str">
        <f t="shared" si="1"/>
        <v/>
      </c>
      <c r="C428" s="27"/>
      <c r="F428" s="39"/>
    </row>
    <row r="429">
      <c r="A429" s="2" t="str">
        <f t="shared" si="1"/>
        <v/>
      </c>
      <c r="C429" s="27"/>
      <c r="F429" s="39"/>
    </row>
    <row r="430">
      <c r="A430" s="2" t="str">
        <f t="shared" si="1"/>
        <v/>
      </c>
      <c r="C430" s="27"/>
      <c r="F430" s="39"/>
    </row>
    <row r="431">
      <c r="A431" s="2" t="str">
        <f t="shared" si="1"/>
        <v/>
      </c>
      <c r="C431" s="27"/>
      <c r="F431" s="39"/>
    </row>
    <row r="432">
      <c r="A432" s="2" t="str">
        <f t="shared" si="1"/>
        <v/>
      </c>
      <c r="C432" s="27"/>
      <c r="F432" s="39"/>
    </row>
    <row r="433">
      <c r="A433" s="2" t="str">
        <f t="shared" si="1"/>
        <v/>
      </c>
      <c r="C433" s="27"/>
      <c r="F433" s="39"/>
    </row>
    <row r="434">
      <c r="A434" s="2" t="str">
        <f t="shared" si="1"/>
        <v/>
      </c>
      <c r="C434" s="27"/>
      <c r="F434" s="39"/>
    </row>
    <row r="435">
      <c r="A435" s="2" t="str">
        <f t="shared" si="1"/>
        <v/>
      </c>
      <c r="C435" s="27"/>
      <c r="F435" s="39"/>
    </row>
    <row r="436">
      <c r="A436" s="2" t="str">
        <f t="shared" si="1"/>
        <v/>
      </c>
      <c r="C436" s="27"/>
      <c r="F436" s="39"/>
    </row>
    <row r="437">
      <c r="A437" s="2" t="str">
        <f t="shared" si="1"/>
        <v/>
      </c>
      <c r="C437" s="27"/>
      <c r="F437" s="39"/>
    </row>
    <row r="438">
      <c r="A438" s="2" t="str">
        <f t="shared" si="1"/>
        <v/>
      </c>
      <c r="C438" s="27"/>
      <c r="F438" s="39"/>
    </row>
    <row r="439">
      <c r="A439" s="2" t="str">
        <f t="shared" si="1"/>
        <v/>
      </c>
      <c r="C439" s="27"/>
      <c r="F439" s="39"/>
    </row>
    <row r="440">
      <c r="A440" s="2" t="str">
        <f t="shared" si="1"/>
        <v/>
      </c>
      <c r="C440" s="27"/>
      <c r="F440" s="39"/>
    </row>
    <row r="441">
      <c r="A441" s="2" t="str">
        <f t="shared" si="1"/>
        <v/>
      </c>
      <c r="C441" s="27"/>
      <c r="F441" s="39"/>
    </row>
    <row r="442">
      <c r="A442" s="2" t="str">
        <f t="shared" si="1"/>
        <v/>
      </c>
      <c r="C442" s="27"/>
      <c r="F442" s="39"/>
    </row>
    <row r="443">
      <c r="A443" s="2" t="str">
        <f t="shared" si="1"/>
        <v/>
      </c>
      <c r="C443" s="27"/>
      <c r="F443" s="39"/>
    </row>
    <row r="444">
      <c r="A444" s="2" t="str">
        <f t="shared" si="1"/>
        <v/>
      </c>
      <c r="C444" s="27"/>
      <c r="F444" s="39"/>
    </row>
    <row r="445">
      <c r="A445" s="2" t="str">
        <f t="shared" si="1"/>
        <v/>
      </c>
      <c r="C445" s="27"/>
      <c r="F445" s="39"/>
    </row>
    <row r="446">
      <c r="A446" s="2" t="str">
        <f t="shared" si="1"/>
        <v/>
      </c>
      <c r="C446" s="27"/>
      <c r="F446" s="39"/>
    </row>
    <row r="447">
      <c r="A447" s="2" t="str">
        <f t="shared" si="1"/>
        <v/>
      </c>
      <c r="C447" s="27"/>
      <c r="F447" s="39"/>
    </row>
    <row r="448">
      <c r="A448" s="2" t="str">
        <f t="shared" si="1"/>
        <v/>
      </c>
      <c r="C448" s="27"/>
      <c r="F448" s="39"/>
    </row>
    <row r="449">
      <c r="A449" s="2" t="str">
        <f t="shared" si="1"/>
        <v/>
      </c>
      <c r="C449" s="27"/>
      <c r="F449" s="39"/>
    </row>
    <row r="450">
      <c r="A450" s="2" t="str">
        <f t="shared" si="1"/>
        <v/>
      </c>
      <c r="C450" s="27"/>
      <c r="F450" s="39"/>
    </row>
    <row r="451">
      <c r="A451" s="2" t="str">
        <f t="shared" si="1"/>
        <v/>
      </c>
      <c r="C451" s="27"/>
      <c r="F451" s="39"/>
    </row>
    <row r="452">
      <c r="A452" s="2" t="str">
        <f t="shared" si="1"/>
        <v/>
      </c>
      <c r="C452" s="27"/>
      <c r="F452" s="39"/>
    </row>
    <row r="453">
      <c r="A453" s="2" t="str">
        <f t="shared" si="1"/>
        <v/>
      </c>
      <c r="C453" s="27"/>
      <c r="F453" s="39"/>
    </row>
    <row r="454">
      <c r="A454" s="2" t="str">
        <f t="shared" si="1"/>
        <v/>
      </c>
      <c r="C454" s="27"/>
      <c r="F454" s="39"/>
    </row>
    <row r="455">
      <c r="A455" s="2" t="str">
        <f t="shared" si="1"/>
        <v/>
      </c>
      <c r="C455" s="27"/>
      <c r="F455" s="39"/>
    </row>
    <row r="456">
      <c r="A456" s="2" t="str">
        <f t="shared" si="1"/>
        <v/>
      </c>
      <c r="C456" s="27"/>
      <c r="F456" s="39"/>
    </row>
    <row r="457">
      <c r="A457" s="2" t="str">
        <f t="shared" si="1"/>
        <v/>
      </c>
      <c r="C457" s="27"/>
      <c r="F457" s="39"/>
    </row>
    <row r="458">
      <c r="A458" s="2" t="str">
        <f t="shared" si="1"/>
        <v/>
      </c>
      <c r="C458" s="27"/>
      <c r="F458" s="39"/>
    </row>
    <row r="459">
      <c r="A459" s="2" t="str">
        <f t="shared" si="1"/>
        <v/>
      </c>
      <c r="C459" s="27"/>
      <c r="F459" s="39"/>
    </row>
    <row r="460">
      <c r="A460" s="2" t="str">
        <f t="shared" si="1"/>
        <v/>
      </c>
      <c r="C460" s="27"/>
      <c r="F460" s="39"/>
    </row>
    <row r="461">
      <c r="A461" s="2" t="str">
        <f t="shared" si="1"/>
        <v/>
      </c>
      <c r="C461" s="27"/>
      <c r="F461" s="39"/>
    </row>
    <row r="462">
      <c r="A462" s="2" t="str">
        <f t="shared" si="1"/>
        <v/>
      </c>
      <c r="C462" s="27"/>
      <c r="F462" s="39"/>
    </row>
    <row r="463">
      <c r="A463" s="2" t="str">
        <f t="shared" si="1"/>
        <v/>
      </c>
      <c r="C463" s="27"/>
      <c r="F463" s="39"/>
    </row>
    <row r="464">
      <c r="A464" s="2" t="str">
        <f t="shared" si="1"/>
        <v/>
      </c>
      <c r="C464" s="27"/>
      <c r="F464" s="39"/>
    </row>
    <row r="465">
      <c r="A465" s="2" t="str">
        <f t="shared" si="1"/>
        <v/>
      </c>
      <c r="C465" s="27"/>
      <c r="F465" s="39"/>
    </row>
    <row r="466">
      <c r="A466" s="2" t="str">
        <f t="shared" si="1"/>
        <v/>
      </c>
      <c r="C466" s="27"/>
      <c r="F466" s="39"/>
    </row>
    <row r="467">
      <c r="A467" s="2" t="str">
        <f t="shared" si="1"/>
        <v/>
      </c>
      <c r="C467" s="27"/>
      <c r="F467" s="39"/>
    </row>
    <row r="468">
      <c r="A468" s="2" t="str">
        <f t="shared" si="1"/>
        <v/>
      </c>
      <c r="C468" s="27"/>
      <c r="F468" s="39"/>
    </row>
    <row r="469">
      <c r="A469" s="2" t="str">
        <f t="shared" si="1"/>
        <v/>
      </c>
      <c r="C469" s="27"/>
      <c r="F469" s="39"/>
    </row>
    <row r="470">
      <c r="A470" s="2" t="str">
        <f t="shared" si="1"/>
        <v/>
      </c>
      <c r="C470" s="27"/>
      <c r="F470" s="39"/>
    </row>
    <row r="471">
      <c r="A471" s="2" t="str">
        <f t="shared" si="1"/>
        <v/>
      </c>
      <c r="C471" s="27"/>
      <c r="F471" s="39"/>
    </row>
    <row r="472">
      <c r="A472" s="2" t="str">
        <f t="shared" si="1"/>
        <v/>
      </c>
      <c r="C472" s="27"/>
      <c r="F472" s="39"/>
    </row>
    <row r="473">
      <c r="A473" s="2" t="str">
        <f t="shared" si="1"/>
        <v/>
      </c>
      <c r="C473" s="27"/>
      <c r="F473" s="39"/>
    </row>
    <row r="474">
      <c r="A474" s="2" t="str">
        <f t="shared" si="1"/>
        <v/>
      </c>
      <c r="C474" s="27"/>
      <c r="F474" s="39"/>
    </row>
    <row r="475">
      <c r="A475" s="2" t="str">
        <f t="shared" si="1"/>
        <v/>
      </c>
      <c r="C475" s="27"/>
      <c r="F475" s="39"/>
    </row>
    <row r="476">
      <c r="A476" s="2" t="str">
        <f t="shared" si="1"/>
        <v/>
      </c>
      <c r="C476" s="27"/>
      <c r="F476" s="39"/>
    </row>
    <row r="477">
      <c r="A477" s="2" t="str">
        <f t="shared" si="1"/>
        <v/>
      </c>
      <c r="C477" s="27"/>
      <c r="F477" s="39"/>
    </row>
    <row r="478">
      <c r="A478" s="2" t="str">
        <f t="shared" si="1"/>
        <v/>
      </c>
      <c r="C478" s="27"/>
      <c r="F478" s="39"/>
    </row>
    <row r="479">
      <c r="A479" s="2" t="str">
        <f t="shared" si="1"/>
        <v/>
      </c>
      <c r="C479" s="27"/>
      <c r="F479" s="39"/>
    </row>
    <row r="480">
      <c r="A480" s="2" t="str">
        <f t="shared" si="1"/>
        <v/>
      </c>
      <c r="C480" s="27"/>
      <c r="F480" s="39"/>
    </row>
    <row r="481">
      <c r="A481" s="2" t="str">
        <f t="shared" si="1"/>
        <v/>
      </c>
      <c r="C481" s="27"/>
      <c r="F481" s="39"/>
    </row>
    <row r="482">
      <c r="A482" s="2" t="str">
        <f t="shared" si="1"/>
        <v/>
      </c>
      <c r="C482" s="27"/>
      <c r="F482" s="39"/>
    </row>
    <row r="483">
      <c r="A483" s="2" t="str">
        <f t="shared" si="1"/>
        <v/>
      </c>
      <c r="C483" s="27"/>
      <c r="F483" s="39"/>
    </row>
    <row r="484">
      <c r="A484" s="2" t="str">
        <f t="shared" si="1"/>
        <v/>
      </c>
      <c r="C484" s="27"/>
      <c r="F484" s="39"/>
    </row>
    <row r="485">
      <c r="A485" s="2" t="str">
        <f t="shared" si="1"/>
        <v/>
      </c>
      <c r="C485" s="27"/>
      <c r="F485" s="39"/>
    </row>
    <row r="486">
      <c r="A486" s="2" t="str">
        <f t="shared" si="1"/>
        <v/>
      </c>
      <c r="C486" s="27"/>
      <c r="F486" s="39"/>
    </row>
    <row r="487">
      <c r="A487" s="2" t="str">
        <f t="shared" si="1"/>
        <v/>
      </c>
      <c r="C487" s="27"/>
      <c r="F487" s="39"/>
    </row>
    <row r="488">
      <c r="A488" s="2" t="str">
        <f t="shared" si="1"/>
        <v/>
      </c>
      <c r="C488" s="27"/>
      <c r="F488" s="39"/>
    </row>
    <row r="489">
      <c r="A489" s="2" t="str">
        <f t="shared" si="1"/>
        <v/>
      </c>
      <c r="C489" s="27"/>
      <c r="F489" s="39"/>
    </row>
    <row r="490">
      <c r="A490" s="2" t="str">
        <f t="shared" si="1"/>
        <v/>
      </c>
      <c r="C490" s="27"/>
      <c r="F490" s="39"/>
    </row>
    <row r="491">
      <c r="A491" s="2" t="str">
        <f t="shared" si="1"/>
        <v/>
      </c>
      <c r="C491" s="27"/>
      <c r="F491" s="39"/>
    </row>
    <row r="492">
      <c r="A492" s="2" t="str">
        <f t="shared" si="1"/>
        <v/>
      </c>
      <c r="C492" s="27"/>
      <c r="F492" s="39"/>
    </row>
    <row r="493">
      <c r="A493" s="2" t="str">
        <f t="shared" si="1"/>
        <v/>
      </c>
      <c r="C493" s="27"/>
      <c r="F493" s="39"/>
    </row>
    <row r="494">
      <c r="A494" s="2" t="str">
        <f t="shared" si="1"/>
        <v/>
      </c>
      <c r="C494" s="27"/>
      <c r="F494" s="39"/>
    </row>
    <row r="495">
      <c r="A495" s="2" t="str">
        <f t="shared" si="1"/>
        <v/>
      </c>
      <c r="C495" s="27"/>
      <c r="F495" s="39"/>
    </row>
    <row r="496">
      <c r="A496" s="2" t="str">
        <f t="shared" si="1"/>
        <v/>
      </c>
      <c r="C496" s="27"/>
      <c r="F496" s="39"/>
    </row>
    <row r="497">
      <c r="A497" s="2" t="str">
        <f t="shared" si="1"/>
        <v/>
      </c>
      <c r="C497" s="27"/>
      <c r="F497" s="39"/>
    </row>
    <row r="498">
      <c r="A498" s="2" t="str">
        <f t="shared" si="1"/>
        <v/>
      </c>
      <c r="C498" s="27"/>
      <c r="F498" s="39"/>
    </row>
    <row r="499">
      <c r="A499" s="2" t="str">
        <f t="shared" si="1"/>
        <v/>
      </c>
      <c r="C499" s="27"/>
      <c r="F499" s="39"/>
    </row>
    <row r="500">
      <c r="A500" s="2" t="str">
        <f t="shared" si="1"/>
        <v/>
      </c>
      <c r="C500" s="27"/>
      <c r="F500" s="39"/>
    </row>
    <row r="501">
      <c r="A501" s="2" t="str">
        <f t="shared" si="1"/>
        <v/>
      </c>
      <c r="C501" s="27"/>
      <c r="F501" s="39"/>
    </row>
    <row r="502">
      <c r="A502" s="2" t="str">
        <f t="shared" si="1"/>
        <v/>
      </c>
      <c r="C502" s="27"/>
      <c r="F502" s="39"/>
    </row>
    <row r="503">
      <c r="A503" s="2" t="str">
        <f t="shared" si="1"/>
        <v/>
      </c>
      <c r="C503" s="27"/>
      <c r="F503" s="39"/>
    </row>
    <row r="504">
      <c r="A504" s="2" t="str">
        <f t="shared" si="1"/>
        <v/>
      </c>
      <c r="C504" s="27"/>
      <c r="F504" s="39"/>
    </row>
    <row r="505">
      <c r="A505" s="2" t="str">
        <f t="shared" si="1"/>
        <v/>
      </c>
      <c r="C505" s="27"/>
      <c r="F505" s="39"/>
    </row>
    <row r="506">
      <c r="A506" s="2" t="str">
        <f t="shared" si="1"/>
        <v/>
      </c>
      <c r="C506" s="27"/>
      <c r="F506" s="39"/>
    </row>
    <row r="507">
      <c r="A507" s="2" t="str">
        <f t="shared" si="1"/>
        <v/>
      </c>
      <c r="C507" s="27"/>
      <c r="F507" s="39"/>
    </row>
    <row r="508">
      <c r="A508" s="2" t="str">
        <f t="shared" si="1"/>
        <v/>
      </c>
      <c r="C508" s="27"/>
      <c r="F508" s="39"/>
    </row>
    <row r="509">
      <c r="A509" s="2" t="str">
        <f t="shared" si="1"/>
        <v/>
      </c>
      <c r="C509" s="27"/>
      <c r="F509" s="39"/>
    </row>
    <row r="510">
      <c r="A510" s="2" t="str">
        <f t="shared" si="1"/>
        <v/>
      </c>
      <c r="C510" s="27"/>
      <c r="F510" s="39"/>
    </row>
    <row r="511">
      <c r="A511" s="2" t="str">
        <f t="shared" si="1"/>
        <v/>
      </c>
      <c r="C511" s="27"/>
      <c r="F511" s="39"/>
    </row>
    <row r="512">
      <c r="A512" s="2" t="str">
        <f t="shared" si="1"/>
        <v/>
      </c>
      <c r="C512" s="27"/>
      <c r="F512" s="39"/>
    </row>
    <row r="513">
      <c r="A513" s="2" t="str">
        <f t="shared" si="1"/>
        <v/>
      </c>
      <c r="C513" s="27"/>
      <c r="F513" s="39"/>
    </row>
    <row r="514">
      <c r="A514" s="2" t="str">
        <f t="shared" si="1"/>
        <v/>
      </c>
      <c r="C514" s="27"/>
      <c r="F514" s="39"/>
    </row>
    <row r="515">
      <c r="A515" s="2" t="str">
        <f t="shared" si="1"/>
        <v/>
      </c>
      <c r="C515" s="27"/>
      <c r="F515" s="39"/>
    </row>
    <row r="516">
      <c r="A516" s="2" t="str">
        <f t="shared" si="1"/>
        <v/>
      </c>
      <c r="C516" s="27"/>
      <c r="F516" s="39"/>
    </row>
    <row r="517">
      <c r="A517" s="2" t="str">
        <f t="shared" si="1"/>
        <v/>
      </c>
      <c r="C517" s="27"/>
      <c r="F517" s="39"/>
    </row>
    <row r="518">
      <c r="A518" s="2" t="str">
        <f t="shared" si="1"/>
        <v/>
      </c>
      <c r="C518" s="27"/>
      <c r="F518" s="39"/>
    </row>
    <row r="519">
      <c r="A519" s="2" t="str">
        <f t="shared" si="1"/>
        <v/>
      </c>
      <c r="C519" s="27"/>
      <c r="F519" s="39"/>
    </row>
    <row r="520">
      <c r="A520" s="2" t="str">
        <f t="shared" si="1"/>
        <v/>
      </c>
      <c r="C520" s="27"/>
      <c r="F520" s="39"/>
    </row>
    <row r="521">
      <c r="A521" s="2" t="str">
        <f t="shared" si="1"/>
        <v/>
      </c>
      <c r="C521" s="27"/>
      <c r="F521" s="39"/>
    </row>
    <row r="522">
      <c r="A522" s="2" t="str">
        <f t="shared" si="1"/>
        <v/>
      </c>
      <c r="C522" s="27"/>
      <c r="F522" s="39"/>
    </row>
    <row r="523">
      <c r="A523" s="2" t="str">
        <f t="shared" si="1"/>
        <v/>
      </c>
      <c r="C523" s="27"/>
      <c r="F523" s="39"/>
    </row>
    <row r="524">
      <c r="A524" s="2" t="str">
        <f t="shared" si="1"/>
        <v/>
      </c>
      <c r="C524" s="27"/>
      <c r="F524" s="39"/>
    </row>
    <row r="525">
      <c r="A525" s="2" t="str">
        <f t="shared" si="1"/>
        <v/>
      </c>
      <c r="C525" s="27"/>
      <c r="F525" s="39"/>
    </row>
    <row r="526">
      <c r="A526" s="2" t="str">
        <f t="shared" si="1"/>
        <v/>
      </c>
      <c r="C526" s="27"/>
      <c r="F526" s="39"/>
    </row>
    <row r="527">
      <c r="A527" s="2" t="str">
        <f t="shared" si="1"/>
        <v/>
      </c>
      <c r="C527" s="27"/>
      <c r="F527" s="39"/>
    </row>
    <row r="528">
      <c r="A528" s="2" t="str">
        <f t="shared" si="1"/>
        <v/>
      </c>
      <c r="C528" s="27"/>
      <c r="F528" s="39"/>
    </row>
    <row r="529">
      <c r="A529" s="2" t="str">
        <f t="shared" si="1"/>
        <v/>
      </c>
      <c r="C529" s="27"/>
      <c r="F529" s="39"/>
    </row>
    <row r="530">
      <c r="A530" s="2" t="str">
        <f t="shared" si="1"/>
        <v/>
      </c>
      <c r="C530" s="27"/>
      <c r="F530" s="39"/>
    </row>
    <row r="531">
      <c r="A531" s="2" t="str">
        <f t="shared" si="1"/>
        <v/>
      </c>
      <c r="C531" s="27"/>
      <c r="F531" s="39"/>
    </row>
    <row r="532">
      <c r="A532" s="2" t="str">
        <f t="shared" si="1"/>
        <v/>
      </c>
      <c r="C532" s="27"/>
      <c r="F532" s="39"/>
    </row>
    <row r="533">
      <c r="A533" s="2" t="str">
        <f t="shared" si="1"/>
        <v/>
      </c>
      <c r="C533" s="27"/>
      <c r="F533" s="39"/>
    </row>
    <row r="534">
      <c r="A534" s="2" t="str">
        <f t="shared" si="1"/>
        <v/>
      </c>
      <c r="C534" s="27"/>
      <c r="F534" s="39"/>
    </row>
    <row r="535">
      <c r="A535" s="2" t="str">
        <f t="shared" si="1"/>
        <v/>
      </c>
      <c r="C535" s="27"/>
      <c r="F535" s="39"/>
    </row>
    <row r="536">
      <c r="A536" s="2" t="str">
        <f t="shared" si="1"/>
        <v/>
      </c>
      <c r="C536" s="27"/>
      <c r="F536" s="39"/>
    </row>
    <row r="537">
      <c r="A537" s="2" t="str">
        <f t="shared" si="1"/>
        <v/>
      </c>
      <c r="C537" s="27"/>
      <c r="F537" s="39"/>
    </row>
    <row r="538">
      <c r="A538" s="2" t="str">
        <f t="shared" si="1"/>
        <v/>
      </c>
      <c r="C538" s="27"/>
      <c r="F538" s="39"/>
    </row>
    <row r="539">
      <c r="A539" s="2" t="str">
        <f t="shared" si="1"/>
        <v/>
      </c>
      <c r="C539" s="27"/>
      <c r="F539" s="39"/>
    </row>
    <row r="540">
      <c r="A540" s="2" t="str">
        <f t="shared" si="1"/>
        <v/>
      </c>
      <c r="C540" s="27"/>
      <c r="F540" s="39"/>
    </row>
    <row r="541">
      <c r="A541" s="2" t="str">
        <f t="shared" si="1"/>
        <v/>
      </c>
      <c r="C541" s="27"/>
      <c r="F541" s="39"/>
    </row>
    <row r="542">
      <c r="A542" s="2" t="str">
        <f t="shared" si="1"/>
        <v/>
      </c>
      <c r="C542" s="27"/>
      <c r="F542" s="39"/>
    </row>
    <row r="543">
      <c r="A543" s="2" t="str">
        <f t="shared" si="1"/>
        <v/>
      </c>
      <c r="C543" s="27"/>
      <c r="F543" s="39"/>
    </row>
    <row r="544">
      <c r="A544" s="2" t="str">
        <f t="shared" si="1"/>
        <v/>
      </c>
      <c r="C544" s="27"/>
      <c r="F544" s="39"/>
    </row>
    <row r="545">
      <c r="A545" s="2" t="str">
        <f t="shared" si="1"/>
        <v/>
      </c>
      <c r="C545" s="27"/>
      <c r="F545" s="39"/>
    </row>
    <row r="546">
      <c r="A546" s="2" t="str">
        <f t="shared" si="1"/>
        <v/>
      </c>
      <c r="C546" s="27"/>
      <c r="F546" s="39"/>
    </row>
    <row r="547">
      <c r="A547" s="2" t="str">
        <f t="shared" si="1"/>
        <v/>
      </c>
      <c r="C547" s="27"/>
      <c r="F547" s="39"/>
    </row>
    <row r="548">
      <c r="A548" s="2" t="str">
        <f t="shared" si="1"/>
        <v/>
      </c>
      <c r="C548" s="27"/>
      <c r="F548" s="39"/>
    </row>
    <row r="549">
      <c r="A549" s="2" t="str">
        <f t="shared" si="1"/>
        <v/>
      </c>
      <c r="C549" s="27"/>
      <c r="F549" s="39"/>
    </row>
    <row r="550">
      <c r="A550" s="2" t="str">
        <f t="shared" si="1"/>
        <v/>
      </c>
      <c r="C550" s="27"/>
      <c r="F550" s="39"/>
    </row>
    <row r="551">
      <c r="A551" s="2" t="str">
        <f t="shared" si="1"/>
        <v/>
      </c>
      <c r="C551" s="27"/>
      <c r="F551" s="39"/>
    </row>
    <row r="552">
      <c r="A552" s="2" t="str">
        <f t="shared" si="1"/>
        <v/>
      </c>
      <c r="C552" s="27"/>
      <c r="F552" s="39"/>
    </row>
    <row r="553">
      <c r="A553" s="2" t="str">
        <f t="shared" si="1"/>
        <v/>
      </c>
      <c r="C553" s="27"/>
      <c r="F553" s="39"/>
    </row>
    <row r="554">
      <c r="A554" s="2" t="str">
        <f t="shared" si="1"/>
        <v/>
      </c>
      <c r="C554" s="27"/>
      <c r="F554" s="39"/>
    </row>
    <row r="555">
      <c r="A555" s="2" t="str">
        <f t="shared" si="1"/>
        <v/>
      </c>
      <c r="C555" s="27"/>
      <c r="F555" s="39"/>
    </row>
    <row r="556">
      <c r="A556" s="2" t="str">
        <f t="shared" si="1"/>
        <v/>
      </c>
      <c r="C556" s="27"/>
      <c r="F556" s="39"/>
    </row>
    <row r="557">
      <c r="A557" s="2" t="str">
        <f t="shared" si="1"/>
        <v/>
      </c>
      <c r="C557" s="27"/>
      <c r="F557" s="39"/>
    </row>
    <row r="558">
      <c r="A558" s="2" t="str">
        <f t="shared" si="1"/>
        <v/>
      </c>
      <c r="C558" s="27"/>
      <c r="F558" s="39"/>
    </row>
    <row r="559">
      <c r="A559" s="2" t="str">
        <f t="shared" si="1"/>
        <v/>
      </c>
      <c r="C559" s="27"/>
      <c r="F559" s="39"/>
    </row>
    <row r="560">
      <c r="A560" s="2" t="str">
        <f t="shared" si="1"/>
        <v/>
      </c>
      <c r="C560" s="27"/>
      <c r="F560" s="39"/>
    </row>
    <row r="561">
      <c r="A561" s="2" t="str">
        <f t="shared" si="1"/>
        <v/>
      </c>
      <c r="C561" s="27"/>
      <c r="F561" s="39"/>
    </row>
    <row r="562">
      <c r="A562" s="2" t="str">
        <f t="shared" si="1"/>
        <v/>
      </c>
      <c r="C562" s="27"/>
      <c r="F562" s="39"/>
    </row>
    <row r="563">
      <c r="A563" s="2" t="str">
        <f t="shared" si="1"/>
        <v/>
      </c>
      <c r="C563" s="27"/>
      <c r="F563" s="39"/>
    </row>
    <row r="564">
      <c r="A564" s="2" t="str">
        <f t="shared" si="1"/>
        <v/>
      </c>
      <c r="C564" s="27"/>
      <c r="F564" s="39"/>
    </row>
    <row r="565">
      <c r="A565" s="2" t="str">
        <f t="shared" si="1"/>
        <v/>
      </c>
      <c r="C565" s="27"/>
      <c r="F565" s="39"/>
    </row>
    <row r="566">
      <c r="A566" s="2" t="str">
        <f t="shared" si="1"/>
        <v/>
      </c>
      <c r="C566" s="27"/>
      <c r="F566" s="39"/>
    </row>
    <row r="567">
      <c r="A567" s="2" t="str">
        <f t="shared" si="1"/>
        <v/>
      </c>
      <c r="C567" s="27"/>
      <c r="F567" s="39"/>
    </row>
    <row r="568">
      <c r="A568" s="2" t="str">
        <f t="shared" si="1"/>
        <v/>
      </c>
      <c r="C568" s="27"/>
      <c r="F568" s="39"/>
    </row>
    <row r="569">
      <c r="A569" s="2" t="str">
        <f t="shared" si="1"/>
        <v/>
      </c>
      <c r="C569" s="27"/>
      <c r="F569" s="39"/>
    </row>
    <row r="570">
      <c r="A570" s="2" t="str">
        <f t="shared" si="1"/>
        <v/>
      </c>
      <c r="C570" s="27"/>
      <c r="F570" s="39"/>
    </row>
    <row r="571">
      <c r="A571" s="2" t="str">
        <f t="shared" si="1"/>
        <v/>
      </c>
      <c r="C571" s="27"/>
      <c r="F571" s="39"/>
    </row>
    <row r="572">
      <c r="A572" s="2" t="str">
        <f t="shared" si="1"/>
        <v/>
      </c>
      <c r="C572" s="27"/>
      <c r="F572" s="39"/>
    </row>
    <row r="573">
      <c r="A573" s="2" t="str">
        <f t="shared" si="1"/>
        <v/>
      </c>
      <c r="C573" s="27"/>
      <c r="F573" s="39"/>
    </row>
    <row r="574">
      <c r="A574" s="2" t="str">
        <f t="shared" si="1"/>
        <v/>
      </c>
      <c r="C574" s="27"/>
      <c r="F574" s="39"/>
    </row>
    <row r="575">
      <c r="A575" s="2" t="str">
        <f t="shared" si="1"/>
        <v/>
      </c>
      <c r="C575" s="27"/>
      <c r="F575" s="39"/>
    </row>
    <row r="576">
      <c r="A576" s="2" t="str">
        <f t="shared" si="1"/>
        <v/>
      </c>
      <c r="C576" s="27"/>
      <c r="F576" s="39"/>
    </row>
    <row r="577">
      <c r="A577" s="2" t="str">
        <f t="shared" si="1"/>
        <v/>
      </c>
      <c r="C577" s="27"/>
      <c r="F577" s="39"/>
    </row>
    <row r="578">
      <c r="A578" s="2" t="str">
        <f t="shared" si="1"/>
        <v/>
      </c>
      <c r="C578" s="27"/>
      <c r="F578" s="39"/>
    </row>
    <row r="579">
      <c r="A579" s="2" t="str">
        <f t="shared" si="1"/>
        <v/>
      </c>
      <c r="C579" s="27"/>
      <c r="F579" s="39"/>
    </row>
    <row r="580">
      <c r="A580" s="2" t="str">
        <f t="shared" si="1"/>
        <v/>
      </c>
      <c r="C580" s="27"/>
      <c r="F580" s="39"/>
    </row>
    <row r="581">
      <c r="A581" s="2" t="str">
        <f t="shared" si="1"/>
        <v/>
      </c>
      <c r="C581" s="27"/>
      <c r="F581" s="39"/>
    </row>
    <row r="582">
      <c r="A582" s="2" t="str">
        <f t="shared" si="1"/>
        <v/>
      </c>
      <c r="C582" s="27"/>
      <c r="F582" s="39"/>
    </row>
    <row r="583">
      <c r="A583" s="2" t="str">
        <f t="shared" si="1"/>
        <v/>
      </c>
      <c r="C583" s="27"/>
      <c r="F583" s="39"/>
    </row>
    <row r="584">
      <c r="A584" s="2" t="str">
        <f t="shared" si="1"/>
        <v/>
      </c>
      <c r="C584" s="27"/>
      <c r="F584" s="39"/>
    </row>
    <row r="585">
      <c r="A585" s="2" t="str">
        <f t="shared" si="1"/>
        <v/>
      </c>
      <c r="C585" s="27"/>
      <c r="F585" s="39"/>
    </row>
    <row r="586">
      <c r="A586" s="2" t="str">
        <f t="shared" si="1"/>
        <v/>
      </c>
      <c r="C586" s="27"/>
      <c r="F586" s="39"/>
    </row>
    <row r="587">
      <c r="A587" s="2" t="str">
        <f t="shared" si="1"/>
        <v/>
      </c>
      <c r="C587" s="27"/>
      <c r="F587" s="39"/>
    </row>
    <row r="588">
      <c r="A588" s="2" t="str">
        <f t="shared" si="1"/>
        <v/>
      </c>
      <c r="C588" s="27"/>
      <c r="F588" s="39"/>
    </row>
    <row r="589">
      <c r="A589" s="2" t="str">
        <f t="shared" si="1"/>
        <v/>
      </c>
      <c r="C589" s="27"/>
      <c r="F589" s="39"/>
    </row>
    <row r="590">
      <c r="A590" s="2" t="str">
        <f t="shared" si="1"/>
        <v/>
      </c>
      <c r="C590" s="27"/>
      <c r="F590" s="39"/>
    </row>
    <row r="591">
      <c r="A591" s="2" t="str">
        <f t="shared" si="1"/>
        <v/>
      </c>
      <c r="C591" s="27"/>
      <c r="F591" s="39"/>
    </row>
    <row r="592">
      <c r="A592" s="2" t="str">
        <f t="shared" si="1"/>
        <v/>
      </c>
      <c r="C592" s="27"/>
      <c r="F592" s="39"/>
    </row>
    <row r="593">
      <c r="A593" s="2" t="str">
        <f t="shared" si="1"/>
        <v/>
      </c>
      <c r="C593" s="27"/>
      <c r="F593" s="39"/>
    </row>
    <row r="594">
      <c r="A594" s="2" t="str">
        <f t="shared" si="1"/>
        <v/>
      </c>
      <c r="C594" s="27"/>
      <c r="F594" s="39"/>
    </row>
    <row r="595">
      <c r="A595" s="2" t="str">
        <f t="shared" si="1"/>
        <v/>
      </c>
      <c r="C595" s="27"/>
      <c r="F595" s="39"/>
    </row>
    <row r="596">
      <c r="A596" s="2" t="str">
        <f t="shared" si="1"/>
        <v/>
      </c>
      <c r="C596" s="27"/>
      <c r="F596" s="39"/>
    </row>
    <row r="597">
      <c r="A597" s="2" t="str">
        <f t="shared" si="1"/>
        <v/>
      </c>
      <c r="C597" s="27"/>
      <c r="F597" s="39"/>
    </row>
    <row r="598">
      <c r="A598" s="2" t="str">
        <f t="shared" si="1"/>
        <v/>
      </c>
      <c r="C598" s="27"/>
      <c r="F598" s="39"/>
    </row>
    <row r="599">
      <c r="A599" s="2" t="str">
        <f t="shared" si="1"/>
        <v/>
      </c>
      <c r="C599" s="27"/>
      <c r="F599" s="39"/>
    </row>
    <row r="600">
      <c r="A600" s="2" t="str">
        <f t="shared" si="1"/>
        <v/>
      </c>
      <c r="C600" s="27"/>
      <c r="F600" s="39"/>
    </row>
    <row r="601">
      <c r="A601" s="2" t="str">
        <f t="shared" si="1"/>
        <v/>
      </c>
      <c r="C601" s="27"/>
      <c r="F601" s="39"/>
    </row>
    <row r="602">
      <c r="A602" s="2" t="str">
        <f t="shared" si="1"/>
        <v/>
      </c>
      <c r="C602" s="27"/>
      <c r="F602" s="39"/>
    </row>
    <row r="603">
      <c r="A603" s="2" t="str">
        <f t="shared" si="1"/>
        <v/>
      </c>
      <c r="C603" s="27"/>
      <c r="F603" s="39"/>
    </row>
    <row r="604">
      <c r="A604" s="2" t="str">
        <f t="shared" si="1"/>
        <v/>
      </c>
      <c r="C604" s="27"/>
      <c r="F604" s="39"/>
    </row>
    <row r="605">
      <c r="A605" s="2" t="str">
        <f t="shared" si="1"/>
        <v/>
      </c>
      <c r="C605" s="27"/>
      <c r="F605" s="39"/>
    </row>
    <row r="606">
      <c r="A606" s="2" t="str">
        <f t="shared" si="1"/>
        <v/>
      </c>
      <c r="C606" s="27"/>
      <c r="F606" s="39"/>
    </row>
    <row r="607">
      <c r="A607" s="2" t="str">
        <f t="shared" si="1"/>
        <v/>
      </c>
      <c r="C607" s="27"/>
      <c r="F607" s="39"/>
    </row>
    <row r="608">
      <c r="A608" s="2" t="str">
        <f t="shared" si="1"/>
        <v/>
      </c>
      <c r="C608" s="27"/>
      <c r="F608" s="39"/>
    </row>
    <row r="609">
      <c r="A609" s="2" t="str">
        <f t="shared" si="1"/>
        <v/>
      </c>
      <c r="C609" s="27"/>
      <c r="F609" s="39"/>
    </row>
    <row r="610">
      <c r="A610" s="2" t="str">
        <f t="shared" si="1"/>
        <v/>
      </c>
      <c r="C610" s="27"/>
      <c r="F610" s="39"/>
    </row>
    <row r="611">
      <c r="A611" s="2" t="str">
        <f t="shared" si="1"/>
        <v/>
      </c>
      <c r="C611" s="27"/>
      <c r="F611" s="39"/>
    </row>
    <row r="612">
      <c r="A612" s="2" t="str">
        <f t="shared" si="1"/>
        <v/>
      </c>
      <c r="C612" s="27"/>
      <c r="F612" s="39"/>
    </row>
    <row r="613">
      <c r="A613" s="2" t="str">
        <f t="shared" si="1"/>
        <v/>
      </c>
      <c r="C613" s="27"/>
      <c r="F613" s="39"/>
    </row>
    <row r="614">
      <c r="A614" s="2" t="str">
        <f t="shared" si="1"/>
        <v/>
      </c>
      <c r="C614" s="27"/>
      <c r="F614" s="39"/>
    </row>
    <row r="615">
      <c r="A615" s="2" t="str">
        <f t="shared" si="1"/>
        <v/>
      </c>
      <c r="C615" s="27"/>
      <c r="F615" s="39"/>
    </row>
    <row r="616">
      <c r="A616" s="2" t="str">
        <f t="shared" si="1"/>
        <v/>
      </c>
      <c r="C616" s="27"/>
      <c r="F616" s="39"/>
    </row>
    <row r="617">
      <c r="A617" s="2" t="str">
        <f t="shared" si="1"/>
        <v/>
      </c>
      <c r="C617" s="27"/>
      <c r="F617" s="39"/>
    </row>
    <row r="618">
      <c r="A618" s="2" t="str">
        <f t="shared" si="1"/>
        <v/>
      </c>
      <c r="C618" s="27"/>
      <c r="F618" s="39"/>
    </row>
    <row r="619">
      <c r="A619" s="2" t="str">
        <f t="shared" si="1"/>
        <v/>
      </c>
      <c r="C619" s="27"/>
      <c r="F619" s="39"/>
    </row>
    <row r="620">
      <c r="A620" s="2" t="str">
        <f t="shared" si="1"/>
        <v/>
      </c>
      <c r="C620" s="27"/>
      <c r="F620" s="39"/>
    </row>
    <row r="621">
      <c r="A621" s="2" t="str">
        <f t="shared" si="1"/>
        <v/>
      </c>
      <c r="C621" s="27"/>
      <c r="F621" s="39"/>
    </row>
    <row r="622">
      <c r="A622" s="2" t="str">
        <f t="shared" si="1"/>
        <v/>
      </c>
      <c r="C622" s="27"/>
      <c r="F622" s="39"/>
    </row>
    <row r="623">
      <c r="A623" s="2" t="str">
        <f t="shared" si="1"/>
        <v/>
      </c>
      <c r="C623" s="27"/>
      <c r="F623" s="39"/>
    </row>
    <row r="624">
      <c r="A624" s="2" t="str">
        <f t="shared" si="1"/>
        <v/>
      </c>
      <c r="C624" s="27"/>
      <c r="F624" s="39"/>
    </row>
    <row r="625">
      <c r="A625" s="2" t="str">
        <f t="shared" si="1"/>
        <v/>
      </c>
      <c r="C625" s="27"/>
      <c r="F625" s="39"/>
    </row>
    <row r="626">
      <c r="A626" s="2" t="str">
        <f t="shared" si="1"/>
        <v/>
      </c>
      <c r="C626" s="27"/>
      <c r="F626" s="39"/>
    </row>
    <row r="627">
      <c r="A627" s="2" t="str">
        <f t="shared" si="1"/>
        <v/>
      </c>
      <c r="C627" s="27"/>
      <c r="F627" s="39"/>
    </row>
    <row r="628">
      <c r="A628" s="2" t="str">
        <f t="shared" si="1"/>
        <v/>
      </c>
      <c r="C628" s="27"/>
      <c r="F628" s="39"/>
    </row>
    <row r="629">
      <c r="A629" s="2" t="str">
        <f t="shared" si="1"/>
        <v/>
      </c>
      <c r="C629" s="27"/>
      <c r="F629" s="39"/>
    </row>
    <row r="630">
      <c r="A630" s="2" t="str">
        <f t="shared" si="1"/>
        <v/>
      </c>
      <c r="C630" s="27"/>
      <c r="F630" s="39"/>
    </row>
    <row r="631">
      <c r="A631" s="2" t="str">
        <f t="shared" si="1"/>
        <v/>
      </c>
      <c r="C631" s="27"/>
      <c r="F631" s="39"/>
    </row>
    <row r="632">
      <c r="A632" s="2" t="str">
        <f t="shared" si="1"/>
        <v/>
      </c>
      <c r="C632" s="27"/>
      <c r="F632" s="39"/>
    </row>
    <row r="633">
      <c r="A633" s="2" t="str">
        <f t="shared" si="1"/>
        <v/>
      </c>
      <c r="C633" s="27"/>
      <c r="F633" s="39"/>
    </row>
    <row r="634">
      <c r="A634" s="2" t="str">
        <f t="shared" si="1"/>
        <v/>
      </c>
      <c r="C634" s="27"/>
      <c r="F634" s="39"/>
    </row>
    <row r="635">
      <c r="A635" s="2" t="str">
        <f t="shared" si="1"/>
        <v/>
      </c>
      <c r="C635" s="27"/>
      <c r="F635" s="39"/>
    </row>
    <row r="636">
      <c r="A636" s="2" t="str">
        <f t="shared" si="1"/>
        <v/>
      </c>
      <c r="C636" s="27"/>
      <c r="F636" s="39"/>
    </row>
    <row r="637">
      <c r="A637" s="2" t="str">
        <f t="shared" si="1"/>
        <v/>
      </c>
      <c r="C637" s="27"/>
      <c r="F637" s="39"/>
    </row>
    <row r="638">
      <c r="A638" s="2" t="str">
        <f t="shared" si="1"/>
        <v/>
      </c>
      <c r="C638" s="27"/>
      <c r="F638" s="39"/>
    </row>
    <row r="639">
      <c r="A639" s="2" t="str">
        <f t="shared" si="1"/>
        <v/>
      </c>
      <c r="C639" s="27"/>
      <c r="F639" s="39"/>
    </row>
    <row r="640">
      <c r="A640" s="2" t="str">
        <f t="shared" si="1"/>
        <v/>
      </c>
      <c r="C640" s="27"/>
      <c r="F640" s="39"/>
    </row>
    <row r="641">
      <c r="A641" s="2" t="str">
        <f t="shared" si="1"/>
        <v/>
      </c>
      <c r="C641" s="27"/>
      <c r="F641" s="39"/>
    </row>
    <row r="642">
      <c r="A642" s="2" t="str">
        <f t="shared" si="1"/>
        <v/>
      </c>
      <c r="C642" s="27"/>
      <c r="F642" s="39"/>
    </row>
    <row r="643">
      <c r="A643" s="2" t="str">
        <f t="shared" si="1"/>
        <v/>
      </c>
      <c r="C643" s="27"/>
      <c r="F643" s="39"/>
    </row>
    <row r="644">
      <c r="A644" s="2" t="str">
        <f t="shared" si="1"/>
        <v/>
      </c>
      <c r="C644" s="27"/>
      <c r="F644" s="39"/>
    </row>
    <row r="645">
      <c r="A645" s="2" t="str">
        <f t="shared" si="1"/>
        <v/>
      </c>
      <c r="C645" s="27"/>
      <c r="F645" s="39"/>
    </row>
    <row r="646">
      <c r="A646" s="2" t="str">
        <f t="shared" si="1"/>
        <v/>
      </c>
      <c r="C646" s="27"/>
      <c r="F646" s="39"/>
    </row>
    <row r="647">
      <c r="A647" s="2" t="str">
        <f t="shared" si="1"/>
        <v/>
      </c>
      <c r="C647" s="27"/>
      <c r="F647" s="39"/>
    </row>
    <row r="648">
      <c r="A648" s="2" t="str">
        <f t="shared" si="1"/>
        <v/>
      </c>
      <c r="C648" s="27"/>
      <c r="F648" s="39"/>
    </row>
    <row r="649">
      <c r="A649" s="2" t="str">
        <f t="shared" si="1"/>
        <v/>
      </c>
      <c r="C649" s="27"/>
      <c r="F649" s="39"/>
    </row>
    <row r="650">
      <c r="A650" s="2" t="str">
        <f t="shared" si="1"/>
        <v/>
      </c>
      <c r="C650" s="27"/>
      <c r="F650" s="39"/>
    </row>
    <row r="651">
      <c r="A651" s="2" t="str">
        <f t="shared" si="1"/>
        <v/>
      </c>
      <c r="C651" s="27"/>
      <c r="F651" s="39"/>
    </row>
    <row r="652">
      <c r="A652" s="2" t="str">
        <f t="shared" si="1"/>
        <v/>
      </c>
      <c r="C652" s="27"/>
      <c r="F652" s="39"/>
    </row>
    <row r="653">
      <c r="A653" s="2" t="str">
        <f t="shared" si="1"/>
        <v/>
      </c>
      <c r="C653" s="27"/>
      <c r="F653" s="39"/>
    </row>
    <row r="654">
      <c r="A654" s="2" t="str">
        <f t="shared" si="1"/>
        <v/>
      </c>
      <c r="C654" s="27"/>
      <c r="F654" s="39"/>
    </row>
    <row r="655">
      <c r="A655" s="2" t="str">
        <f t="shared" si="1"/>
        <v/>
      </c>
      <c r="C655" s="27"/>
      <c r="F655" s="39"/>
    </row>
    <row r="656">
      <c r="A656" s="2" t="str">
        <f t="shared" si="1"/>
        <v/>
      </c>
      <c r="C656" s="27"/>
      <c r="F656" s="39"/>
    </row>
    <row r="657">
      <c r="A657" s="2" t="str">
        <f t="shared" si="1"/>
        <v/>
      </c>
      <c r="C657" s="27"/>
      <c r="F657" s="39"/>
    </row>
    <row r="658">
      <c r="A658" s="2" t="str">
        <f t="shared" si="1"/>
        <v/>
      </c>
      <c r="C658" s="27"/>
      <c r="F658" s="39"/>
    </row>
    <row r="659">
      <c r="A659" s="2" t="str">
        <f t="shared" si="1"/>
        <v/>
      </c>
      <c r="C659" s="27"/>
      <c r="F659" s="39"/>
    </row>
    <row r="660">
      <c r="A660" s="2" t="str">
        <f t="shared" si="1"/>
        <v/>
      </c>
      <c r="C660" s="27"/>
      <c r="F660" s="39"/>
    </row>
    <row r="661">
      <c r="A661" s="2" t="str">
        <f t="shared" si="1"/>
        <v/>
      </c>
      <c r="C661" s="27"/>
      <c r="F661" s="39"/>
    </row>
    <row r="662">
      <c r="A662" s="2" t="str">
        <f t="shared" si="1"/>
        <v/>
      </c>
      <c r="C662" s="27"/>
      <c r="F662" s="39"/>
    </row>
    <row r="663">
      <c r="A663" s="2" t="str">
        <f t="shared" si="1"/>
        <v/>
      </c>
      <c r="C663" s="27"/>
      <c r="F663" s="39"/>
    </row>
    <row r="664">
      <c r="A664" s="2" t="str">
        <f t="shared" si="1"/>
        <v/>
      </c>
      <c r="C664" s="27"/>
      <c r="F664" s="39"/>
    </row>
    <row r="665">
      <c r="A665" s="2" t="str">
        <f t="shared" si="1"/>
        <v/>
      </c>
      <c r="C665" s="27"/>
      <c r="F665" s="39"/>
    </row>
    <row r="666">
      <c r="A666" s="2" t="str">
        <f t="shared" si="1"/>
        <v/>
      </c>
      <c r="C666" s="27"/>
      <c r="F666" s="39"/>
    </row>
    <row r="667">
      <c r="A667" s="2" t="str">
        <f t="shared" si="1"/>
        <v/>
      </c>
      <c r="C667" s="27"/>
      <c r="F667" s="39"/>
    </row>
    <row r="668">
      <c r="A668" s="2" t="str">
        <f t="shared" si="1"/>
        <v/>
      </c>
      <c r="C668" s="27"/>
      <c r="F668" s="39"/>
    </row>
    <row r="669">
      <c r="A669" s="2" t="str">
        <f t="shared" si="1"/>
        <v/>
      </c>
      <c r="C669" s="27"/>
      <c r="F669" s="39"/>
    </row>
    <row r="670">
      <c r="A670" s="2" t="str">
        <f t="shared" si="1"/>
        <v/>
      </c>
      <c r="C670" s="27"/>
      <c r="F670" s="39"/>
    </row>
    <row r="671">
      <c r="A671" s="2" t="str">
        <f t="shared" si="1"/>
        <v/>
      </c>
      <c r="C671" s="27"/>
      <c r="F671" s="39"/>
    </row>
    <row r="672">
      <c r="A672" s="2" t="str">
        <f t="shared" si="1"/>
        <v/>
      </c>
      <c r="C672" s="27"/>
      <c r="F672" s="39"/>
    </row>
    <row r="673">
      <c r="A673" s="2" t="str">
        <f t="shared" si="1"/>
        <v/>
      </c>
      <c r="C673" s="27"/>
      <c r="F673" s="39"/>
    </row>
    <row r="674">
      <c r="A674" s="2" t="str">
        <f t="shared" si="1"/>
        <v/>
      </c>
      <c r="C674" s="27"/>
      <c r="F674" s="39"/>
    </row>
    <row r="675">
      <c r="A675" s="2" t="str">
        <f t="shared" si="1"/>
        <v/>
      </c>
      <c r="C675" s="27"/>
      <c r="F675" s="39"/>
    </row>
    <row r="676">
      <c r="A676" s="2" t="str">
        <f t="shared" si="1"/>
        <v/>
      </c>
      <c r="C676" s="27"/>
      <c r="F676" s="39"/>
    </row>
    <row r="677">
      <c r="A677" s="2" t="str">
        <f t="shared" si="1"/>
        <v/>
      </c>
      <c r="C677" s="27"/>
      <c r="F677" s="39"/>
    </row>
    <row r="678">
      <c r="A678" s="2" t="str">
        <f t="shared" si="1"/>
        <v/>
      </c>
      <c r="C678" s="27"/>
      <c r="F678" s="39"/>
    </row>
    <row r="679">
      <c r="A679" s="2" t="str">
        <f t="shared" si="1"/>
        <v/>
      </c>
      <c r="C679" s="27"/>
      <c r="F679" s="39"/>
    </row>
    <row r="680">
      <c r="A680" s="2" t="str">
        <f t="shared" si="1"/>
        <v/>
      </c>
      <c r="C680" s="27"/>
      <c r="F680" s="39"/>
    </row>
    <row r="681">
      <c r="A681" s="2" t="str">
        <f t="shared" si="1"/>
        <v/>
      </c>
      <c r="C681" s="27"/>
      <c r="F681" s="39"/>
    </row>
    <row r="682">
      <c r="A682" s="2" t="str">
        <f t="shared" si="1"/>
        <v/>
      </c>
      <c r="C682" s="27"/>
      <c r="F682" s="39"/>
    </row>
    <row r="683">
      <c r="A683" s="2" t="str">
        <f t="shared" si="1"/>
        <v/>
      </c>
      <c r="C683" s="27"/>
      <c r="F683" s="39"/>
    </row>
    <row r="684">
      <c r="A684" s="2" t="str">
        <f t="shared" si="1"/>
        <v/>
      </c>
      <c r="C684" s="27"/>
      <c r="F684" s="39"/>
    </row>
    <row r="685">
      <c r="A685" s="2" t="str">
        <f t="shared" si="1"/>
        <v/>
      </c>
      <c r="C685" s="27"/>
      <c r="F685" s="39"/>
    </row>
    <row r="686">
      <c r="A686" s="2" t="str">
        <f t="shared" si="1"/>
        <v/>
      </c>
      <c r="C686" s="27"/>
      <c r="F686" s="39"/>
    </row>
    <row r="687">
      <c r="A687" s="2" t="str">
        <f t="shared" si="1"/>
        <v/>
      </c>
      <c r="C687" s="27"/>
      <c r="F687" s="39"/>
    </row>
    <row r="688">
      <c r="A688" s="2" t="str">
        <f t="shared" si="1"/>
        <v/>
      </c>
      <c r="C688" s="27"/>
      <c r="F688" s="39"/>
    </row>
    <row r="689">
      <c r="A689" s="2" t="str">
        <f t="shared" si="1"/>
        <v/>
      </c>
      <c r="C689" s="27"/>
      <c r="F689" s="39"/>
    </row>
    <row r="690">
      <c r="A690" s="2" t="str">
        <f t="shared" si="1"/>
        <v/>
      </c>
      <c r="C690" s="27"/>
      <c r="F690" s="39"/>
    </row>
    <row r="691">
      <c r="A691" s="2" t="str">
        <f t="shared" si="1"/>
        <v/>
      </c>
      <c r="C691" s="27"/>
      <c r="F691" s="39"/>
    </row>
    <row r="692">
      <c r="A692" s="2" t="str">
        <f t="shared" si="1"/>
        <v/>
      </c>
      <c r="C692" s="27"/>
      <c r="F692" s="39"/>
    </row>
    <row r="693">
      <c r="A693" s="2" t="str">
        <f t="shared" si="1"/>
        <v/>
      </c>
      <c r="C693" s="27"/>
      <c r="F693" s="39"/>
    </row>
    <row r="694">
      <c r="A694" s="2" t="str">
        <f t="shared" si="1"/>
        <v/>
      </c>
      <c r="C694" s="27"/>
      <c r="F694" s="39"/>
    </row>
    <row r="695">
      <c r="A695" s="2" t="str">
        <f t="shared" si="1"/>
        <v/>
      </c>
      <c r="C695" s="27"/>
      <c r="F695" s="39"/>
    </row>
    <row r="696">
      <c r="A696" s="2" t="str">
        <f t="shared" si="1"/>
        <v/>
      </c>
      <c r="C696" s="27"/>
      <c r="F696" s="39"/>
    </row>
    <row r="697">
      <c r="A697" s="2" t="str">
        <f t="shared" si="1"/>
        <v/>
      </c>
      <c r="C697" s="27"/>
      <c r="F697" s="39"/>
    </row>
    <row r="698">
      <c r="A698" s="2" t="str">
        <f t="shared" si="1"/>
        <v/>
      </c>
      <c r="C698" s="27"/>
      <c r="F698" s="39"/>
    </row>
    <row r="699">
      <c r="A699" s="2" t="str">
        <f t="shared" si="1"/>
        <v/>
      </c>
      <c r="C699" s="27"/>
      <c r="F699" s="39"/>
    </row>
    <row r="700">
      <c r="A700" s="2" t="str">
        <f t="shared" si="1"/>
        <v/>
      </c>
      <c r="C700" s="27"/>
      <c r="F700" s="39"/>
    </row>
    <row r="701">
      <c r="A701" s="2" t="str">
        <f t="shared" si="1"/>
        <v/>
      </c>
      <c r="C701" s="27"/>
      <c r="F701" s="39"/>
    </row>
    <row r="702">
      <c r="A702" s="2" t="str">
        <f t="shared" si="1"/>
        <v/>
      </c>
      <c r="C702" s="27"/>
      <c r="F702" s="39"/>
    </row>
    <row r="703">
      <c r="A703" s="2" t="str">
        <f t="shared" si="1"/>
        <v/>
      </c>
      <c r="C703" s="27"/>
      <c r="F703" s="39"/>
    </row>
    <row r="704">
      <c r="A704" s="2" t="str">
        <f t="shared" si="1"/>
        <v/>
      </c>
      <c r="C704" s="27"/>
      <c r="F704" s="39"/>
    </row>
    <row r="705">
      <c r="A705" s="2" t="str">
        <f t="shared" si="1"/>
        <v/>
      </c>
      <c r="C705" s="27"/>
      <c r="F705" s="39"/>
    </row>
    <row r="706">
      <c r="A706" s="2" t="str">
        <f t="shared" si="1"/>
        <v/>
      </c>
      <c r="C706" s="27"/>
      <c r="F706" s="39"/>
    </row>
    <row r="707">
      <c r="A707" s="2" t="str">
        <f t="shared" si="1"/>
        <v/>
      </c>
      <c r="C707" s="27"/>
      <c r="F707" s="39"/>
    </row>
    <row r="708">
      <c r="A708" s="2" t="str">
        <f t="shared" si="1"/>
        <v/>
      </c>
      <c r="C708" s="27"/>
      <c r="F708" s="39"/>
    </row>
    <row r="709">
      <c r="A709" s="2" t="str">
        <f t="shared" si="1"/>
        <v/>
      </c>
      <c r="C709" s="27"/>
      <c r="F709" s="39"/>
    </row>
    <row r="710">
      <c r="A710" s="2" t="str">
        <f t="shared" si="1"/>
        <v/>
      </c>
      <c r="C710" s="27"/>
      <c r="F710" s="39"/>
    </row>
    <row r="711">
      <c r="A711" s="2" t="str">
        <f t="shared" si="1"/>
        <v/>
      </c>
      <c r="C711" s="27"/>
      <c r="F711" s="39"/>
    </row>
    <row r="712">
      <c r="A712" s="2" t="str">
        <f t="shared" si="1"/>
        <v/>
      </c>
      <c r="C712" s="27"/>
      <c r="F712" s="39"/>
    </row>
    <row r="713">
      <c r="A713" s="2" t="str">
        <f t="shared" si="1"/>
        <v/>
      </c>
      <c r="C713" s="27"/>
      <c r="F713" s="39"/>
    </row>
    <row r="714">
      <c r="A714" s="2" t="str">
        <f t="shared" si="1"/>
        <v/>
      </c>
      <c r="C714" s="27"/>
      <c r="F714" s="39"/>
    </row>
    <row r="715">
      <c r="A715" s="2" t="str">
        <f t="shared" si="1"/>
        <v/>
      </c>
      <c r="C715" s="27"/>
      <c r="F715" s="39"/>
    </row>
    <row r="716">
      <c r="A716" s="2" t="str">
        <f t="shared" si="1"/>
        <v/>
      </c>
      <c r="C716" s="27"/>
      <c r="F716" s="39"/>
    </row>
    <row r="717">
      <c r="A717" s="2" t="str">
        <f t="shared" si="1"/>
        <v/>
      </c>
      <c r="C717" s="27"/>
      <c r="F717" s="39"/>
    </row>
    <row r="718">
      <c r="A718" s="2" t="str">
        <f t="shared" si="1"/>
        <v/>
      </c>
      <c r="C718" s="27"/>
      <c r="F718" s="39"/>
    </row>
    <row r="719">
      <c r="A719" s="2" t="str">
        <f t="shared" si="1"/>
        <v/>
      </c>
      <c r="C719" s="27"/>
      <c r="F719" s="39"/>
    </row>
    <row r="720">
      <c r="A720" s="2" t="str">
        <f t="shared" si="1"/>
        <v/>
      </c>
      <c r="C720" s="27"/>
      <c r="F720" s="39"/>
    </row>
    <row r="721">
      <c r="A721" s="2" t="str">
        <f t="shared" si="1"/>
        <v/>
      </c>
      <c r="C721" s="27"/>
      <c r="F721" s="39"/>
    </row>
    <row r="722">
      <c r="A722" s="2" t="str">
        <f t="shared" si="1"/>
        <v/>
      </c>
      <c r="C722" s="27"/>
      <c r="F722" s="39"/>
    </row>
    <row r="723">
      <c r="A723" s="2" t="str">
        <f t="shared" si="1"/>
        <v/>
      </c>
      <c r="C723" s="27"/>
      <c r="F723" s="39"/>
    </row>
    <row r="724">
      <c r="A724" s="2" t="str">
        <f t="shared" si="1"/>
        <v/>
      </c>
      <c r="C724" s="27"/>
      <c r="F724" s="39"/>
    </row>
    <row r="725">
      <c r="A725" s="2" t="str">
        <f t="shared" si="1"/>
        <v/>
      </c>
      <c r="C725" s="27"/>
      <c r="F725" s="39"/>
    </row>
    <row r="726">
      <c r="A726" s="2" t="str">
        <f t="shared" si="1"/>
        <v/>
      </c>
      <c r="C726" s="27"/>
      <c r="F726" s="39"/>
    </row>
    <row r="727">
      <c r="A727" s="2" t="str">
        <f t="shared" si="1"/>
        <v/>
      </c>
      <c r="C727" s="27"/>
      <c r="F727" s="39"/>
    </row>
    <row r="728">
      <c r="A728" s="2" t="str">
        <f t="shared" si="1"/>
        <v/>
      </c>
      <c r="C728" s="27"/>
      <c r="F728" s="39"/>
    </row>
    <row r="729">
      <c r="A729" s="2" t="str">
        <f t="shared" si="1"/>
        <v/>
      </c>
      <c r="C729" s="27"/>
      <c r="F729" s="39"/>
    </row>
    <row r="730">
      <c r="A730" s="2" t="str">
        <f t="shared" si="1"/>
        <v/>
      </c>
      <c r="C730" s="27"/>
      <c r="F730" s="39"/>
    </row>
    <row r="731">
      <c r="A731" s="2" t="str">
        <f t="shared" si="1"/>
        <v/>
      </c>
      <c r="C731" s="27"/>
      <c r="F731" s="39"/>
    </row>
    <row r="732">
      <c r="A732" s="2" t="str">
        <f t="shared" si="1"/>
        <v/>
      </c>
      <c r="C732" s="27"/>
      <c r="F732" s="39"/>
    </row>
    <row r="733">
      <c r="A733" s="2" t="str">
        <f t="shared" si="1"/>
        <v/>
      </c>
      <c r="C733" s="27"/>
      <c r="F733" s="39"/>
    </row>
    <row r="734">
      <c r="A734" s="2" t="str">
        <f t="shared" si="1"/>
        <v/>
      </c>
      <c r="C734" s="27"/>
      <c r="F734" s="39"/>
    </row>
    <row r="735">
      <c r="A735" s="2" t="str">
        <f t="shared" si="1"/>
        <v/>
      </c>
      <c r="C735" s="27"/>
      <c r="F735" s="39"/>
    </row>
    <row r="736">
      <c r="A736" s="2" t="str">
        <f t="shared" si="1"/>
        <v/>
      </c>
      <c r="C736" s="27"/>
      <c r="F736" s="39"/>
    </row>
    <row r="737">
      <c r="A737" s="2" t="str">
        <f t="shared" si="1"/>
        <v/>
      </c>
      <c r="C737" s="27"/>
      <c r="F737" s="39"/>
    </row>
    <row r="738">
      <c r="A738" s="2" t="str">
        <f t="shared" si="1"/>
        <v/>
      </c>
      <c r="C738" s="27"/>
      <c r="F738" s="39"/>
    </row>
    <row r="739">
      <c r="A739" s="2" t="str">
        <f t="shared" si="1"/>
        <v/>
      </c>
      <c r="C739" s="27"/>
      <c r="F739" s="39"/>
    </row>
    <row r="740">
      <c r="A740" s="2" t="str">
        <f t="shared" si="1"/>
        <v/>
      </c>
      <c r="C740" s="27"/>
      <c r="F740" s="39"/>
    </row>
    <row r="741">
      <c r="A741" s="2" t="str">
        <f t="shared" si="1"/>
        <v/>
      </c>
      <c r="C741" s="27"/>
      <c r="F741" s="39"/>
    </row>
    <row r="742">
      <c r="A742" s="2" t="str">
        <f t="shared" si="1"/>
        <v/>
      </c>
      <c r="C742" s="27"/>
      <c r="F742" s="39"/>
    </row>
    <row r="743">
      <c r="A743" s="2" t="str">
        <f t="shared" si="1"/>
        <v/>
      </c>
      <c r="C743" s="27"/>
      <c r="F743" s="39"/>
    </row>
    <row r="744">
      <c r="A744" s="2" t="str">
        <f t="shared" si="1"/>
        <v/>
      </c>
      <c r="C744" s="27"/>
      <c r="F744" s="39"/>
    </row>
    <row r="745">
      <c r="A745" s="2" t="str">
        <f t="shared" si="1"/>
        <v/>
      </c>
      <c r="C745" s="27"/>
      <c r="F745" s="39"/>
    </row>
    <row r="746">
      <c r="A746" s="2" t="str">
        <f t="shared" si="1"/>
        <v/>
      </c>
      <c r="C746" s="27"/>
      <c r="F746" s="39"/>
    </row>
    <row r="747">
      <c r="A747" s="2" t="str">
        <f t="shared" si="1"/>
        <v/>
      </c>
      <c r="C747" s="27"/>
      <c r="F747" s="39"/>
    </row>
    <row r="748">
      <c r="A748" s="2" t="str">
        <f t="shared" si="1"/>
        <v/>
      </c>
      <c r="C748" s="27"/>
      <c r="F748" s="39"/>
    </row>
    <row r="749">
      <c r="A749" s="2" t="str">
        <f t="shared" si="1"/>
        <v/>
      </c>
      <c r="C749" s="27"/>
      <c r="F749" s="39"/>
    </row>
    <row r="750">
      <c r="A750" s="2" t="str">
        <f t="shared" si="1"/>
        <v/>
      </c>
      <c r="C750" s="27"/>
      <c r="F750" s="39"/>
    </row>
    <row r="751">
      <c r="A751" s="2" t="str">
        <f t="shared" si="1"/>
        <v/>
      </c>
      <c r="C751" s="27"/>
      <c r="F751" s="39"/>
    </row>
    <row r="752">
      <c r="A752" s="2" t="str">
        <f t="shared" si="1"/>
        <v/>
      </c>
      <c r="C752" s="27"/>
      <c r="F752" s="39"/>
    </row>
    <row r="753">
      <c r="A753" s="2" t="str">
        <f t="shared" si="1"/>
        <v/>
      </c>
      <c r="C753" s="27"/>
      <c r="F753" s="39"/>
    </row>
    <row r="754">
      <c r="A754" s="2" t="str">
        <f t="shared" si="1"/>
        <v/>
      </c>
      <c r="C754" s="27"/>
      <c r="F754" s="39"/>
    </row>
    <row r="755">
      <c r="A755" s="2" t="str">
        <f t="shared" si="1"/>
        <v/>
      </c>
      <c r="C755" s="27"/>
      <c r="F755" s="39"/>
    </row>
    <row r="756">
      <c r="A756" s="2" t="str">
        <f t="shared" si="1"/>
        <v/>
      </c>
      <c r="C756" s="27"/>
      <c r="F756" s="39"/>
    </row>
    <row r="757">
      <c r="A757" s="2" t="str">
        <f t="shared" si="1"/>
        <v/>
      </c>
      <c r="C757" s="27"/>
      <c r="F757" s="39"/>
    </row>
    <row r="758">
      <c r="A758" s="2" t="str">
        <f t="shared" si="1"/>
        <v/>
      </c>
      <c r="C758" s="27"/>
      <c r="F758" s="39"/>
    </row>
    <row r="759">
      <c r="A759" s="2" t="str">
        <f t="shared" si="1"/>
        <v/>
      </c>
      <c r="C759" s="27"/>
      <c r="F759" s="39"/>
    </row>
    <row r="760">
      <c r="A760" s="2" t="str">
        <f t="shared" si="1"/>
        <v/>
      </c>
      <c r="C760" s="27"/>
      <c r="F760" s="39"/>
    </row>
    <row r="761">
      <c r="A761" s="2" t="str">
        <f t="shared" si="1"/>
        <v/>
      </c>
      <c r="C761" s="27"/>
      <c r="F761" s="39"/>
    </row>
    <row r="762">
      <c r="A762" s="2" t="str">
        <f t="shared" si="1"/>
        <v/>
      </c>
      <c r="C762" s="27"/>
      <c r="F762" s="39"/>
    </row>
    <row r="763">
      <c r="A763" s="2" t="str">
        <f t="shared" si="1"/>
        <v/>
      </c>
      <c r="C763" s="27"/>
      <c r="F763" s="39"/>
    </row>
    <row r="764">
      <c r="A764" s="2" t="str">
        <f t="shared" si="1"/>
        <v/>
      </c>
      <c r="C764" s="27"/>
      <c r="F764" s="39"/>
    </row>
    <row r="765">
      <c r="A765" s="2" t="str">
        <f t="shared" si="1"/>
        <v/>
      </c>
      <c r="C765" s="27"/>
      <c r="F765" s="39"/>
    </row>
    <row r="766">
      <c r="A766" s="2" t="str">
        <f t="shared" si="1"/>
        <v/>
      </c>
      <c r="C766" s="27"/>
      <c r="F766" s="39"/>
    </row>
    <row r="767">
      <c r="A767" s="2" t="str">
        <f t="shared" si="1"/>
        <v/>
      </c>
      <c r="C767" s="27"/>
      <c r="F767" s="39"/>
    </row>
    <row r="768">
      <c r="A768" s="2" t="str">
        <f t="shared" si="1"/>
        <v/>
      </c>
      <c r="C768" s="27"/>
      <c r="F768" s="39"/>
    </row>
    <row r="769">
      <c r="A769" s="2" t="str">
        <f t="shared" si="1"/>
        <v/>
      </c>
      <c r="C769" s="27"/>
      <c r="F769" s="39"/>
    </row>
    <row r="770">
      <c r="A770" s="2" t="str">
        <f t="shared" si="1"/>
        <v/>
      </c>
      <c r="C770" s="27"/>
      <c r="F770" s="39"/>
    </row>
    <row r="771">
      <c r="A771" s="2" t="str">
        <f t="shared" si="1"/>
        <v/>
      </c>
      <c r="C771" s="27"/>
      <c r="F771" s="39"/>
    </row>
    <row r="772">
      <c r="A772" s="2" t="str">
        <f t="shared" si="1"/>
        <v/>
      </c>
      <c r="C772" s="27"/>
      <c r="F772" s="39"/>
    </row>
    <row r="773">
      <c r="A773" s="2" t="str">
        <f t="shared" si="1"/>
        <v/>
      </c>
      <c r="C773" s="27"/>
      <c r="F773" s="39"/>
    </row>
    <row r="774">
      <c r="A774" s="2" t="str">
        <f t="shared" si="1"/>
        <v/>
      </c>
      <c r="C774" s="27"/>
      <c r="F774" s="39"/>
    </row>
    <row r="775">
      <c r="A775" s="2" t="str">
        <f t="shared" si="1"/>
        <v/>
      </c>
      <c r="C775" s="27"/>
      <c r="F775" s="39"/>
    </row>
    <row r="776">
      <c r="A776" s="2" t="str">
        <f t="shared" si="1"/>
        <v/>
      </c>
      <c r="C776" s="27"/>
      <c r="F776" s="39"/>
    </row>
    <row r="777">
      <c r="A777" s="2" t="str">
        <f t="shared" si="1"/>
        <v/>
      </c>
      <c r="C777" s="27"/>
      <c r="F777" s="39"/>
    </row>
    <row r="778">
      <c r="A778" s="2" t="str">
        <f t="shared" si="1"/>
        <v/>
      </c>
      <c r="C778" s="27"/>
      <c r="F778" s="39"/>
    </row>
    <row r="779">
      <c r="A779" s="2" t="str">
        <f t="shared" si="1"/>
        <v/>
      </c>
      <c r="C779" s="27"/>
      <c r="F779" s="39"/>
    </row>
    <row r="780">
      <c r="A780" s="2" t="str">
        <f t="shared" si="1"/>
        <v/>
      </c>
      <c r="C780" s="27"/>
      <c r="F780" s="39"/>
    </row>
    <row r="781">
      <c r="A781" s="2" t="str">
        <f t="shared" si="1"/>
        <v/>
      </c>
      <c r="C781" s="27"/>
      <c r="F781" s="39"/>
    </row>
    <row r="782">
      <c r="A782" s="2" t="str">
        <f t="shared" si="1"/>
        <v/>
      </c>
      <c r="C782" s="27"/>
      <c r="F782" s="39"/>
    </row>
    <row r="783">
      <c r="A783" s="2" t="str">
        <f t="shared" si="1"/>
        <v/>
      </c>
      <c r="C783" s="27"/>
      <c r="F783" s="39"/>
    </row>
    <row r="784">
      <c r="A784" s="2" t="str">
        <f t="shared" si="1"/>
        <v/>
      </c>
      <c r="C784" s="27"/>
      <c r="F784" s="39"/>
    </row>
    <row r="785">
      <c r="A785" s="2" t="str">
        <f t="shared" si="1"/>
        <v/>
      </c>
      <c r="C785" s="27"/>
      <c r="F785" s="39"/>
    </row>
    <row r="786">
      <c r="A786" s="2" t="str">
        <f t="shared" si="1"/>
        <v/>
      </c>
      <c r="C786" s="27"/>
      <c r="F786" s="39"/>
    </row>
    <row r="787">
      <c r="A787" s="2" t="str">
        <f t="shared" si="1"/>
        <v/>
      </c>
      <c r="C787" s="27"/>
      <c r="F787" s="39"/>
    </row>
    <row r="788">
      <c r="A788" s="2" t="str">
        <f t="shared" si="1"/>
        <v/>
      </c>
      <c r="C788" s="27"/>
      <c r="F788" s="39"/>
    </row>
    <row r="789">
      <c r="A789" s="2" t="str">
        <f t="shared" si="1"/>
        <v/>
      </c>
      <c r="C789" s="27"/>
      <c r="F789" s="39"/>
    </row>
    <row r="790">
      <c r="A790" s="2" t="str">
        <f t="shared" si="1"/>
        <v/>
      </c>
      <c r="C790" s="27"/>
      <c r="F790" s="39"/>
    </row>
    <row r="791">
      <c r="A791" s="2" t="str">
        <f t="shared" si="1"/>
        <v/>
      </c>
      <c r="C791" s="27"/>
      <c r="F791" s="39"/>
    </row>
    <row r="792">
      <c r="A792" s="2" t="str">
        <f t="shared" si="1"/>
        <v/>
      </c>
      <c r="C792" s="27"/>
      <c r="F792" s="39"/>
    </row>
    <row r="793">
      <c r="A793" s="2" t="str">
        <f t="shared" si="1"/>
        <v/>
      </c>
      <c r="C793" s="27"/>
      <c r="F793" s="39"/>
    </row>
    <row r="794">
      <c r="A794" s="2" t="str">
        <f t="shared" si="1"/>
        <v/>
      </c>
      <c r="C794" s="27"/>
      <c r="F794" s="39"/>
    </row>
    <row r="795">
      <c r="A795" s="2" t="str">
        <f t="shared" si="1"/>
        <v/>
      </c>
      <c r="C795" s="27"/>
      <c r="F795" s="39"/>
    </row>
    <row r="796">
      <c r="A796" s="2" t="str">
        <f t="shared" si="1"/>
        <v/>
      </c>
      <c r="C796" s="27"/>
      <c r="F796" s="39"/>
    </row>
    <row r="797">
      <c r="A797" s="2" t="str">
        <f t="shared" si="1"/>
        <v/>
      </c>
      <c r="C797" s="27"/>
      <c r="F797" s="39"/>
    </row>
    <row r="798">
      <c r="A798" s="2" t="str">
        <f t="shared" si="1"/>
        <v/>
      </c>
      <c r="C798" s="27"/>
      <c r="F798" s="39"/>
    </row>
    <row r="799">
      <c r="A799" s="2" t="str">
        <f t="shared" si="1"/>
        <v/>
      </c>
      <c r="C799" s="27"/>
      <c r="F799" s="39"/>
    </row>
    <row r="800">
      <c r="A800" s="2" t="str">
        <f t="shared" si="1"/>
        <v/>
      </c>
      <c r="C800" s="27"/>
      <c r="F800" s="39"/>
    </row>
    <row r="801">
      <c r="A801" s="2" t="str">
        <f t="shared" si="1"/>
        <v/>
      </c>
      <c r="C801" s="27"/>
      <c r="F801" s="39"/>
    </row>
    <row r="802">
      <c r="A802" s="2" t="str">
        <f t="shared" si="1"/>
        <v/>
      </c>
      <c r="C802" s="27"/>
      <c r="F802" s="39"/>
    </row>
    <row r="803">
      <c r="A803" s="2" t="str">
        <f t="shared" si="1"/>
        <v/>
      </c>
      <c r="C803" s="27"/>
      <c r="F803" s="39"/>
    </row>
    <row r="804">
      <c r="A804" s="2" t="str">
        <f t="shared" si="1"/>
        <v/>
      </c>
      <c r="C804" s="27"/>
      <c r="F804" s="39"/>
    </row>
    <row r="805">
      <c r="A805" s="2" t="str">
        <f t="shared" si="1"/>
        <v/>
      </c>
      <c r="C805" s="27"/>
      <c r="F805" s="39"/>
    </row>
    <row r="806">
      <c r="A806" s="2" t="str">
        <f t="shared" si="1"/>
        <v/>
      </c>
      <c r="C806" s="27"/>
      <c r="F806" s="39"/>
    </row>
    <row r="807">
      <c r="A807" s="2" t="str">
        <f t="shared" si="1"/>
        <v/>
      </c>
      <c r="C807" s="27"/>
      <c r="F807" s="39"/>
    </row>
    <row r="808">
      <c r="A808" s="2" t="str">
        <f t="shared" si="1"/>
        <v/>
      </c>
      <c r="C808" s="27"/>
      <c r="F808" s="39"/>
    </row>
    <row r="809">
      <c r="A809" s="2" t="str">
        <f t="shared" si="1"/>
        <v/>
      </c>
      <c r="C809" s="27"/>
      <c r="F809" s="39"/>
    </row>
    <row r="810">
      <c r="A810" s="2" t="str">
        <f t="shared" si="1"/>
        <v/>
      </c>
      <c r="C810" s="27"/>
      <c r="F810" s="39"/>
    </row>
    <row r="811">
      <c r="A811" s="2" t="str">
        <f t="shared" si="1"/>
        <v/>
      </c>
      <c r="C811" s="27"/>
      <c r="F811" s="39"/>
    </row>
    <row r="812">
      <c r="A812" s="2" t="str">
        <f t="shared" si="1"/>
        <v/>
      </c>
      <c r="C812" s="27"/>
      <c r="F812" s="39"/>
    </row>
    <row r="813">
      <c r="A813" s="2" t="str">
        <f t="shared" si="1"/>
        <v/>
      </c>
      <c r="C813" s="27"/>
      <c r="F813" s="39"/>
    </row>
    <row r="814">
      <c r="A814" s="2" t="str">
        <f t="shared" si="1"/>
        <v/>
      </c>
      <c r="C814" s="27"/>
      <c r="F814" s="39"/>
    </row>
    <row r="815">
      <c r="A815" s="2" t="str">
        <f t="shared" si="1"/>
        <v/>
      </c>
      <c r="C815" s="27"/>
      <c r="F815" s="39"/>
    </row>
    <row r="816">
      <c r="A816" s="2" t="str">
        <f t="shared" si="1"/>
        <v/>
      </c>
      <c r="C816" s="27"/>
      <c r="F816" s="39"/>
    </row>
    <row r="817">
      <c r="A817" s="2" t="str">
        <f t="shared" si="1"/>
        <v/>
      </c>
      <c r="C817" s="27"/>
      <c r="F817" s="39"/>
    </row>
    <row r="818">
      <c r="A818" s="2" t="str">
        <f t="shared" si="1"/>
        <v/>
      </c>
      <c r="C818" s="27"/>
      <c r="F818" s="39"/>
    </row>
    <row r="819">
      <c r="A819" s="2" t="str">
        <f t="shared" si="1"/>
        <v/>
      </c>
      <c r="C819" s="27"/>
      <c r="F819" s="39"/>
    </row>
    <row r="820">
      <c r="A820" s="2" t="str">
        <f t="shared" si="1"/>
        <v/>
      </c>
      <c r="C820" s="27"/>
      <c r="F820" s="39"/>
    </row>
    <row r="821">
      <c r="A821" s="2" t="str">
        <f t="shared" si="1"/>
        <v/>
      </c>
      <c r="C821" s="27"/>
      <c r="F821" s="39"/>
    </row>
    <row r="822">
      <c r="A822" s="2" t="str">
        <f t="shared" si="1"/>
        <v/>
      </c>
      <c r="C822" s="27"/>
      <c r="F822" s="39"/>
    </row>
    <row r="823">
      <c r="A823" s="2" t="str">
        <f t="shared" si="1"/>
        <v/>
      </c>
      <c r="C823" s="27"/>
      <c r="F823" s="39"/>
    </row>
    <row r="824">
      <c r="A824" s="2" t="str">
        <f t="shared" si="1"/>
        <v/>
      </c>
      <c r="C824" s="27"/>
      <c r="F824" s="39"/>
    </row>
    <row r="825">
      <c r="A825" s="2" t="str">
        <f t="shared" si="1"/>
        <v/>
      </c>
      <c r="C825" s="27"/>
      <c r="F825" s="39"/>
    </row>
    <row r="826">
      <c r="A826" s="2" t="str">
        <f t="shared" si="1"/>
        <v/>
      </c>
      <c r="C826" s="27"/>
      <c r="F826" s="39"/>
    </row>
    <row r="827">
      <c r="A827" s="2" t="str">
        <f t="shared" si="1"/>
        <v/>
      </c>
      <c r="C827" s="27"/>
      <c r="F827" s="39"/>
    </row>
    <row r="828">
      <c r="A828" s="2" t="str">
        <f t="shared" si="1"/>
        <v/>
      </c>
      <c r="C828" s="27"/>
      <c r="F828" s="39"/>
    </row>
    <row r="829">
      <c r="A829" s="2" t="str">
        <f t="shared" si="1"/>
        <v/>
      </c>
      <c r="C829" s="27"/>
      <c r="F829" s="39"/>
    </row>
    <row r="830">
      <c r="A830" s="2" t="str">
        <f t="shared" si="1"/>
        <v/>
      </c>
      <c r="C830" s="27"/>
      <c r="F830" s="39"/>
    </row>
    <row r="831">
      <c r="A831" s="2" t="str">
        <f t="shared" si="1"/>
        <v/>
      </c>
      <c r="C831" s="27"/>
      <c r="F831" s="39"/>
    </row>
    <row r="832">
      <c r="A832" s="2" t="str">
        <f t="shared" si="1"/>
        <v/>
      </c>
      <c r="C832" s="27"/>
      <c r="F832" s="39"/>
    </row>
    <row r="833">
      <c r="A833" s="2" t="str">
        <f t="shared" si="1"/>
        <v/>
      </c>
      <c r="C833" s="27"/>
      <c r="F833" s="39"/>
    </row>
    <row r="834">
      <c r="A834" s="2" t="str">
        <f t="shared" si="1"/>
        <v/>
      </c>
      <c r="C834" s="27"/>
      <c r="F834" s="39"/>
    </row>
    <row r="835">
      <c r="A835" s="2" t="str">
        <f t="shared" si="1"/>
        <v/>
      </c>
      <c r="C835" s="27"/>
      <c r="F835" s="39"/>
    </row>
    <row r="836">
      <c r="A836" s="2" t="str">
        <f t="shared" si="1"/>
        <v/>
      </c>
      <c r="C836" s="27"/>
      <c r="F836" s="39"/>
    </row>
    <row r="837">
      <c r="A837" s="2" t="str">
        <f t="shared" si="1"/>
        <v/>
      </c>
      <c r="C837" s="27"/>
      <c r="F837" s="39"/>
    </row>
    <row r="838">
      <c r="A838" s="2" t="str">
        <f t="shared" si="1"/>
        <v/>
      </c>
      <c r="C838" s="27"/>
      <c r="F838" s="39"/>
    </row>
    <row r="839">
      <c r="A839" s="2" t="str">
        <f t="shared" si="1"/>
        <v/>
      </c>
      <c r="C839" s="27"/>
      <c r="F839" s="39"/>
    </row>
    <row r="840">
      <c r="A840" s="2" t="str">
        <f t="shared" si="1"/>
        <v/>
      </c>
      <c r="C840" s="27"/>
      <c r="F840" s="39"/>
    </row>
    <row r="841">
      <c r="A841" s="2" t="str">
        <f t="shared" si="1"/>
        <v/>
      </c>
      <c r="C841" s="27"/>
      <c r="F841" s="39"/>
    </row>
    <row r="842">
      <c r="A842" s="2" t="str">
        <f t="shared" si="1"/>
        <v/>
      </c>
      <c r="C842" s="27"/>
      <c r="F842" s="39"/>
    </row>
    <row r="843">
      <c r="A843" s="2" t="str">
        <f t="shared" si="1"/>
        <v/>
      </c>
      <c r="C843" s="27"/>
      <c r="F843" s="39"/>
    </row>
    <row r="844">
      <c r="A844" s="2" t="str">
        <f t="shared" si="1"/>
        <v/>
      </c>
      <c r="C844" s="27"/>
      <c r="F844" s="39"/>
    </row>
    <row r="845">
      <c r="A845" s="2" t="str">
        <f t="shared" si="1"/>
        <v/>
      </c>
      <c r="C845" s="27"/>
      <c r="F845" s="39"/>
    </row>
    <row r="846">
      <c r="A846" s="2" t="str">
        <f t="shared" si="1"/>
        <v/>
      </c>
      <c r="C846" s="27"/>
      <c r="F846" s="39"/>
    </row>
    <row r="847">
      <c r="A847" s="2" t="str">
        <f t="shared" si="1"/>
        <v/>
      </c>
      <c r="C847" s="27"/>
      <c r="F847" s="39"/>
    </row>
    <row r="848">
      <c r="A848" s="2" t="str">
        <f t="shared" si="1"/>
        <v/>
      </c>
      <c r="C848" s="27"/>
      <c r="F848" s="39"/>
    </row>
    <row r="849">
      <c r="A849" s="2" t="str">
        <f t="shared" si="1"/>
        <v/>
      </c>
      <c r="C849" s="27"/>
      <c r="F849" s="39"/>
    </row>
    <row r="850">
      <c r="A850" s="2" t="str">
        <f t="shared" si="1"/>
        <v/>
      </c>
      <c r="C850" s="27"/>
      <c r="F850" s="39"/>
    </row>
    <row r="851">
      <c r="A851" s="2" t="str">
        <f t="shared" si="1"/>
        <v/>
      </c>
      <c r="C851" s="27"/>
      <c r="F851" s="39"/>
    </row>
    <row r="852">
      <c r="A852" s="2" t="str">
        <f t="shared" si="1"/>
        <v/>
      </c>
      <c r="C852" s="27"/>
      <c r="F852" s="39"/>
    </row>
    <row r="853">
      <c r="A853" s="2" t="str">
        <f t="shared" si="1"/>
        <v/>
      </c>
      <c r="C853" s="27"/>
      <c r="F853" s="39"/>
    </row>
    <row r="854">
      <c r="A854" s="2" t="str">
        <f t="shared" si="1"/>
        <v/>
      </c>
      <c r="C854" s="27"/>
      <c r="F854" s="39"/>
    </row>
    <row r="855">
      <c r="A855" s="2" t="str">
        <f t="shared" si="1"/>
        <v/>
      </c>
      <c r="C855" s="27"/>
      <c r="F855" s="39"/>
    </row>
    <row r="856">
      <c r="A856" s="2" t="str">
        <f t="shared" si="1"/>
        <v/>
      </c>
      <c r="C856" s="27"/>
      <c r="F856" s="39"/>
    </row>
    <row r="857">
      <c r="A857" s="2" t="str">
        <f t="shared" si="1"/>
        <v/>
      </c>
      <c r="C857" s="27"/>
      <c r="F857" s="39"/>
    </row>
    <row r="858">
      <c r="A858" s="2" t="str">
        <f t="shared" si="1"/>
        <v/>
      </c>
      <c r="C858" s="27"/>
      <c r="F858" s="39"/>
    </row>
    <row r="859">
      <c r="A859" s="2" t="str">
        <f t="shared" si="1"/>
        <v/>
      </c>
      <c r="C859" s="27"/>
      <c r="F859" s="39"/>
    </row>
    <row r="860">
      <c r="A860" s="2" t="str">
        <f t="shared" si="1"/>
        <v/>
      </c>
      <c r="C860" s="27"/>
      <c r="F860" s="39"/>
    </row>
    <row r="861">
      <c r="A861" s="2" t="str">
        <f t="shared" si="1"/>
        <v/>
      </c>
      <c r="C861" s="27"/>
      <c r="F861" s="39"/>
    </row>
    <row r="862">
      <c r="A862" s="2" t="str">
        <f t="shared" si="1"/>
        <v/>
      </c>
      <c r="C862" s="27"/>
      <c r="F862" s="39"/>
    </row>
    <row r="863">
      <c r="A863" s="2" t="str">
        <f t="shared" si="1"/>
        <v/>
      </c>
      <c r="C863" s="27"/>
      <c r="F863" s="39"/>
    </row>
    <row r="864">
      <c r="A864" s="2" t="str">
        <f t="shared" si="1"/>
        <v/>
      </c>
      <c r="C864" s="27"/>
      <c r="F864" s="39"/>
    </row>
    <row r="865">
      <c r="A865" s="2" t="str">
        <f t="shared" si="1"/>
        <v/>
      </c>
      <c r="C865" s="27"/>
      <c r="F865" s="39"/>
    </row>
    <row r="866">
      <c r="A866" s="2" t="str">
        <f t="shared" si="1"/>
        <v/>
      </c>
      <c r="C866" s="27"/>
      <c r="F866" s="39"/>
    </row>
    <row r="867">
      <c r="A867" s="2" t="str">
        <f t="shared" si="1"/>
        <v/>
      </c>
      <c r="C867" s="27"/>
      <c r="F867" s="39"/>
    </row>
    <row r="868">
      <c r="A868" s="2" t="str">
        <f t="shared" si="1"/>
        <v/>
      </c>
      <c r="C868" s="27"/>
      <c r="F868" s="39"/>
    </row>
    <row r="869">
      <c r="A869" s="2" t="str">
        <f t="shared" si="1"/>
        <v/>
      </c>
      <c r="C869" s="27"/>
      <c r="F869" s="39"/>
    </row>
    <row r="870">
      <c r="A870" s="2" t="str">
        <f t="shared" si="1"/>
        <v/>
      </c>
      <c r="C870" s="27"/>
      <c r="F870" s="39"/>
    </row>
    <row r="871">
      <c r="A871" s="2" t="str">
        <f t="shared" si="1"/>
        <v/>
      </c>
      <c r="C871" s="27"/>
      <c r="F871" s="39"/>
    </row>
    <row r="872">
      <c r="A872" s="2" t="str">
        <f t="shared" si="1"/>
        <v/>
      </c>
      <c r="C872" s="27"/>
      <c r="F872" s="39"/>
    </row>
    <row r="873">
      <c r="A873" s="2" t="str">
        <f t="shared" si="1"/>
        <v/>
      </c>
      <c r="C873" s="27"/>
      <c r="F873" s="39"/>
    </row>
    <row r="874">
      <c r="A874" s="2" t="str">
        <f t="shared" si="1"/>
        <v/>
      </c>
      <c r="C874" s="27"/>
      <c r="F874" s="39"/>
    </row>
    <row r="875">
      <c r="A875" s="2" t="str">
        <f t="shared" si="1"/>
        <v/>
      </c>
      <c r="C875" s="27"/>
      <c r="F875" s="39"/>
    </row>
    <row r="876">
      <c r="A876" s="2" t="str">
        <f t="shared" si="1"/>
        <v/>
      </c>
      <c r="C876" s="27"/>
      <c r="F876" s="39"/>
    </row>
    <row r="877">
      <c r="A877" s="2" t="str">
        <f t="shared" si="1"/>
        <v/>
      </c>
      <c r="C877" s="27"/>
      <c r="F877" s="39"/>
    </row>
    <row r="878">
      <c r="A878" s="2" t="str">
        <f t="shared" si="1"/>
        <v/>
      </c>
      <c r="C878" s="27"/>
      <c r="F878" s="39"/>
    </row>
    <row r="879">
      <c r="A879" s="2" t="str">
        <f t="shared" si="1"/>
        <v/>
      </c>
      <c r="C879" s="27"/>
      <c r="F879" s="39"/>
    </row>
    <row r="880">
      <c r="A880" s="2" t="str">
        <f t="shared" si="1"/>
        <v/>
      </c>
      <c r="C880" s="27"/>
      <c r="F880" s="39"/>
    </row>
    <row r="881">
      <c r="A881" s="2" t="str">
        <f t="shared" si="1"/>
        <v/>
      </c>
      <c r="C881" s="27"/>
      <c r="F881" s="39"/>
    </row>
    <row r="882">
      <c r="A882" s="2" t="str">
        <f t="shared" si="1"/>
        <v/>
      </c>
      <c r="C882" s="27"/>
      <c r="F882" s="39"/>
    </row>
    <row r="883">
      <c r="A883" s="2" t="str">
        <f t="shared" si="1"/>
        <v/>
      </c>
      <c r="C883" s="27"/>
      <c r="F883" s="39"/>
    </row>
    <row r="884">
      <c r="A884" s="2" t="str">
        <f t="shared" si="1"/>
        <v/>
      </c>
      <c r="C884" s="27"/>
      <c r="F884" s="39"/>
    </row>
    <row r="885">
      <c r="A885" s="2" t="str">
        <f t="shared" si="1"/>
        <v/>
      </c>
      <c r="C885" s="27"/>
      <c r="F885" s="39"/>
    </row>
    <row r="886">
      <c r="A886" s="2" t="str">
        <f t="shared" si="1"/>
        <v/>
      </c>
      <c r="C886" s="27"/>
      <c r="F886" s="39"/>
    </row>
    <row r="887">
      <c r="A887" s="2" t="str">
        <f t="shared" si="1"/>
        <v/>
      </c>
      <c r="C887" s="27"/>
      <c r="F887" s="39"/>
    </row>
    <row r="888">
      <c r="A888" s="2" t="str">
        <f t="shared" si="1"/>
        <v/>
      </c>
      <c r="C888" s="27"/>
      <c r="F888" s="39"/>
    </row>
    <row r="889">
      <c r="A889" s="2" t="str">
        <f t="shared" si="1"/>
        <v/>
      </c>
      <c r="C889" s="27"/>
      <c r="F889" s="39"/>
    </row>
    <row r="890">
      <c r="A890" s="2" t="str">
        <f t="shared" si="1"/>
        <v/>
      </c>
      <c r="C890" s="27"/>
      <c r="F890" s="39"/>
    </row>
    <row r="891">
      <c r="A891" s="2" t="str">
        <f t="shared" si="1"/>
        <v/>
      </c>
      <c r="C891" s="27"/>
      <c r="F891" s="39"/>
    </row>
    <row r="892">
      <c r="A892" s="2" t="str">
        <f t="shared" si="1"/>
        <v/>
      </c>
      <c r="C892" s="27"/>
      <c r="F892" s="39"/>
    </row>
    <row r="893">
      <c r="A893" s="2" t="str">
        <f t="shared" si="1"/>
        <v/>
      </c>
      <c r="C893" s="27"/>
      <c r="F893" s="39"/>
    </row>
    <row r="894">
      <c r="A894" s="2" t="str">
        <f t="shared" si="1"/>
        <v/>
      </c>
      <c r="C894" s="27"/>
      <c r="F894" s="39"/>
    </row>
    <row r="895">
      <c r="A895" s="2" t="str">
        <f t="shared" si="1"/>
        <v/>
      </c>
      <c r="C895" s="27"/>
      <c r="F895" s="39"/>
    </row>
    <row r="896">
      <c r="A896" s="2" t="str">
        <f t="shared" si="1"/>
        <v/>
      </c>
      <c r="C896" s="27"/>
      <c r="F896" s="39"/>
    </row>
    <row r="897">
      <c r="A897" s="2" t="str">
        <f t="shared" si="1"/>
        <v/>
      </c>
      <c r="C897" s="27"/>
      <c r="F897" s="39"/>
    </row>
    <row r="898">
      <c r="A898" s="2" t="str">
        <f t="shared" si="1"/>
        <v/>
      </c>
      <c r="C898" s="27"/>
      <c r="F898" s="39"/>
    </row>
    <row r="899">
      <c r="A899" s="2" t="str">
        <f t="shared" si="1"/>
        <v/>
      </c>
      <c r="C899" s="27"/>
      <c r="F899" s="39"/>
    </row>
    <row r="900">
      <c r="A900" s="2" t="str">
        <f t="shared" si="1"/>
        <v/>
      </c>
      <c r="C900" s="27"/>
      <c r="F900" s="39"/>
    </row>
    <row r="901">
      <c r="A901" s="2" t="str">
        <f t="shared" si="1"/>
        <v/>
      </c>
      <c r="C901" s="27"/>
      <c r="F901" s="39"/>
    </row>
    <row r="902">
      <c r="A902" s="2" t="str">
        <f t="shared" si="1"/>
        <v/>
      </c>
      <c r="C902" s="27"/>
      <c r="F902" s="39"/>
    </row>
    <row r="903">
      <c r="A903" s="2" t="str">
        <f t="shared" si="1"/>
        <v/>
      </c>
      <c r="C903" s="27"/>
      <c r="F903" s="39"/>
    </row>
    <row r="904">
      <c r="A904" s="2" t="str">
        <f t="shared" si="1"/>
        <v/>
      </c>
      <c r="C904" s="27"/>
      <c r="F904" s="39"/>
    </row>
    <row r="905">
      <c r="A905" s="2" t="str">
        <f t="shared" si="1"/>
        <v/>
      </c>
      <c r="C905" s="27"/>
      <c r="F905" s="39"/>
    </row>
    <row r="906">
      <c r="A906" s="2" t="str">
        <f t="shared" si="1"/>
        <v/>
      </c>
      <c r="C906" s="27"/>
      <c r="F906" s="39"/>
    </row>
    <row r="907">
      <c r="A907" s="2" t="str">
        <f t="shared" si="1"/>
        <v/>
      </c>
      <c r="C907" s="27"/>
      <c r="F907" s="39"/>
    </row>
    <row r="908">
      <c r="A908" s="2" t="str">
        <f t="shared" si="1"/>
        <v/>
      </c>
      <c r="C908" s="27"/>
      <c r="F908" s="39"/>
    </row>
    <row r="909">
      <c r="A909" s="2" t="str">
        <f t="shared" si="1"/>
        <v/>
      </c>
      <c r="C909" s="27"/>
      <c r="F909" s="39"/>
    </row>
    <row r="910">
      <c r="A910" s="2" t="str">
        <f t="shared" si="1"/>
        <v/>
      </c>
      <c r="C910" s="27"/>
      <c r="F910" s="39"/>
    </row>
    <row r="911">
      <c r="A911" s="2" t="str">
        <f t="shared" si="1"/>
        <v/>
      </c>
      <c r="C911" s="27"/>
      <c r="F911" s="39"/>
    </row>
    <row r="912">
      <c r="A912" s="2" t="str">
        <f t="shared" si="1"/>
        <v/>
      </c>
      <c r="C912" s="27"/>
      <c r="F912" s="39"/>
    </row>
    <row r="913">
      <c r="A913" s="2" t="str">
        <f t="shared" si="1"/>
        <v/>
      </c>
      <c r="C913" s="27"/>
      <c r="F913" s="39"/>
    </row>
    <row r="914">
      <c r="A914" s="2" t="str">
        <f t="shared" si="1"/>
        <v/>
      </c>
      <c r="C914" s="27"/>
      <c r="F914" s="39"/>
    </row>
    <row r="915">
      <c r="A915" s="2" t="str">
        <f t="shared" si="1"/>
        <v/>
      </c>
      <c r="C915" s="27"/>
      <c r="F915" s="39"/>
    </row>
    <row r="916">
      <c r="A916" s="2" t="str">
        <f t="shared" si="1"/>
        <v/>
      </c>
      <c r="C916" s="27"/>
      <c r="F916" s="39"/>
    </row>
    <row r="917">
      <c r="A917" s="2" t="str">
        <f t="shared" si="1"/>
        <v/>
      </c>
      <c r="C917" s="27"/>
      <c r="F917" s="39"/>
    </row>
    <row r="918">
      <c r="A918" s="2" t="str">
        <f t="shared" si="1"/>
        <v/>
      </c>
      <c r="C918" s="27"/>
      <c r="F918" s="39"/>
    </row>
    <row r="919">
      <c r="A919" s="2" t="str">
        <f t="shared" si="1"/>
        <v/>
      </c>
      <c r="C919" s="27"/>
      <c r="F919" s="39"/>
    </row>
    <row r="920">
      <c r="A920" s="2" t="str">
        <f t="shared" si="1"/>
        <v/>
      </c>
      <c r="C920" s="27"/>
      <c r="F920" s="39"/>
    </row>
    <row r="921">
      <c r="A921" s="2" t="str">
        <f t="shared" si="1"/>
        <v/>
      </c>
      <c r="C921" s="27"/>
      <c r="F921" s="39"/>
    </row>
    <row r="922">
      <c r="A922" s="2" t="str">
        <f t="shared" si="1"/>
        <v/>
      </c>
      <c r="C922" s="27"/>
      <c r="F922" s="39"/>
    </row>
    <row r="923">
      <c r="A923" s="2" t="str">
        <f t="shared" si="1"/>
        <v/>
      </c>
      <c r="C923" s="27"/>
      <c r="F923" s="39"/>
    </row>
    <row r="924">
      <c r="A924" s="2" t="str">
        <f t="shared" si="1"/>
        <v/>
      </c>
      <c r="C924" s="27"/>
      <c r="F924" s="39"/>
    </row>
    <row r="925">
      <c r="A925" s="2" t="str">
        <f t="shared" si="1"/>
        <v/>
      </c>
      <c r="C925" s="27"/>
      <c r="F925" s="39"/>
    </row>
    <row r="926">
      <c r="A926" s="2" t="str">
        <f t="shared" si="1"/>
        <v/>
      </c>
      <c r="C926" s="27"/>
      <c r="F926" s="39"/>
    </row>
    <row r="927">
      <c r="A927" s="2" t="str">
        <f t="shared" si="1"/>
        <v/>
      </c>
      <c r="C927" s="27"/>
      <c r="F927" s="39"/>
    </row>
    <row r="928">
      <c r="A928" s="2" t="str">
        <f t="shared" si="1"/>
        <v/>
      </c>
      <c r="C928" s="27"/>
      <c r="F928" s="39"/>
    </row>
    <row r="929">
      <c r="A929" s="2" t="str">
        <f t="shared" si="1"/>
        <v/>
      </c>
      <c r="C929" s="27"/>
      <c r="F929" s="39"/>
    </row>
    <row r="930">
      <c r="A930" s="2" t="str">
        <f t="shared" si="1"/>
        <v/>
      </c>
      <c r="C930" s="27"/>
      <c r="F930" s="39"/>
    </row>
    <row r="931">
      <c r="A931" s="2" t="str">
        <f t="shared" si="1"/>
        <v/>
      </c>
      <c r="C931" s="27"/>
      <c r="F931" s="39"/>
    </row>
    <row r="932">
      <c r="A932" s="2" t="str">
        <f t="shared" si="1"/>
        <v/>
      </c>
      <c r="C932" s="27"/>
      <c r="F932" s="39"/>
    </row>
    <row r="933">
      <c r="A933" s="2" t="str">
        <f t="shared" si="1"/>
        <v/>
      </c>
      <c r="C933" s="27"/>
      <c r="F933" s="39"/>
    </row>
    <row r="934">
      <c r="A934" s="2" t="str">
        <f t="shared" si="1"/>
        <v/>
      </c>
      <c r="C934" s="27"/>
      <c r="F934" s="39"/>
    </row>
    <row r="935">
      <c r="A935" s="2" t="str">
        <f t="shared" si="1"/>
        <v/>
      </c>
      <c r="C935" s="27"/>
      <c r="F935" s="39"/>
    </row>
    <row r="936">
      <c r="A936" s="2" t="str">
        <f t="shared" si="1"/>
        <v/>
      </c>
      <c r="C936" s="27"/>
      <c r="F936" s="39"/>
    </row>
    <row r="937">
      <c r="A937" s="2" t="str">
        <f t="shared" si="1"/>
        <v/>
      </c>
      <c r="C937" s="27"/>
      <c r="F937" s="39"/>
    </row>
    <row r="938">
      <c r="A938" s="2" t="str">
        <f t="shared" si="1"/>
        <v/>
      </c>
      <c r="C938" s="27"/>
      <c r="F938" s="39"/>
    </row>
    <row r="939">
      <c r="A939" s="2" t="str">
        <f t="shared" si="1"/>
        <v/>
      </c>
      <c r="C939" s="27"/>
      <c r="F939" s="39"/>
    </row>
    <row r="940">
      <c r="A940" s="2" t="str">
        <f t="shared" si="1"/>
        <v/>
      </c>
      <c r="C940" s="27"/>
      <c r="F940" s="39"/>
    </row>
    <row r="941">
      <c r="A941" s="2" t="str">
        <f t="shared" si="1"/>
        <v/>
      </c>
      <c r="C941" s="27"/>
      <c r="F941" s="39"/>
    </row>
    <row r="942">
      <c r="A942" s="2" t="str">
        <f t="shared" si="1"/>
        <v/>
      </c>
      <c r="C942" s="27"/>
      <c r="F942" s="39"/>
    </row>
    <row r="943">
      <c r="A943" s="2" t="str">
        <f t="shared" si="1"/>
        <v/>
      </c>
      <c r="C943" s="27"/>
      <c r="F943" s="39"/>
    </row>
    <row r="944">
      <c r="A944" s="2" t="str">
        <f t="shared" si="1"/>
        <v/>
      </c>
      <c r="C944" s="27"/>
      <c r="F944" s="39"/>
    </row>
    <row r="945">
      <c r="A945" s="2" t="str">
        <f t="shared" si="1"/>
        <v/>
      </c>
      <c r="C945" s="27"/>
      <c r="F945" s="39"/>
    </row>
    <row r="946">
      <c r="A946" s="2" t="str">
        <f t="shared" si="1"/>
        <v/>
      </c>
      <c r="C946" s="27"/>
      <c r="F946" s="39"/>
    </row>
    <row r="947">
      <c r="A947" s="2" t="str">
        <f t="shared" si="1"/>
        <v/>
      </c>
      <c r="C947" s="27"/>
      <c r="F947" s="39"/>
    </row>
    <row r="948">
      <c r="A948" s="2" t="str">
        <f t="shared" si="1"/>
        <v/>
      </c>
      <c r="C948" s="27"/>
      <c r="F948" s="39"/>
    </row>
    <row r="949">
      <c r="A949" s="2" t="str">
        <f t="shared" si="1"/>
        <v/>
      </c>
      <c r="C949" s="27"/>
      <c r="F949" s="39"/>
    </row>
    <row r="950">
      <c r="A950" s="2" t="str">
        <f t="shared" si="1"/>
        <v/>
      </c>
      <c r="C950" s="27"/>
      <c r="F950" s="39"/>
    </row>
    <row r="951">
      <c r="A951" s="2" t="str">
        <f t="shared" si="1"/>
        <v/>
      </c>
      <c r="C951" s="27"/>
      <c r="F951" s="39"/>
    </row>
    <row r="952">
      <c r="A952" s="2" t="str">
        <f t="shared" si="1"/>
        <v/>
      </c>
      <c r="C952" s="27"/>
      <c r="F952" s="39"/>
    </row>
    <row r="953">
      <c r="A953" s="2" t="str">
        <f t="shared" si="1"/>
        <v/>
      </c>
      <c r="C953" s="27"/>
      <c r="F953" s="39"/>
    </row>
    <row r="954">
      <c r="A954" s="2" t="str">
        <f t="shared" si="1"/>
        <v/>
      </c>
      <c r="C954" s="27"/>
      <c r="F954" s="39"/>
    </row>
    <row r="955">
      <c r="A955" s="2" t="str">
        <f t="shared" si="1"/>
        <v/>
      </c>
      <c r="C955" s="27"/>
      <c r="F955" s="39"/>
    </row>
    <row r="956">
      <c r="A956" s="2" t="str">
        <f t="shared" si="1"/>
        <v/>
      </c>
      <c r="C956" s="27"/>
      <c r="F956" s="39"/>
    </row>
    <row r="957">
      <c r="A957" s="2" t="str">
        <f t="shared" si="1"/>
        <v/>
      </c>
      <c r="C957" s="27"/>
      <c r="F957" s="39"/>
    </row>
    <row r="958">
      <c r="A958" s="2" t="str">
        <f t="shared" si="1"/>
        <v/>
      </c>
      <c r="C958" s="27"/>
      <c r="F958" s="39"/>
    </row>
    <row r="959">
      <c r="A959" s="2" t="str">
        <f t="shared" si="1"/>
        <v/>
      </c>
      <c r="C959" s="27"/>
      <c r="F959" s="39"/>
    </row>
    <row r="960">
      <c r="A960" s="2" t="str">
        <f t="shared" si="1"/>
        <v/>
      </c>
      <c r="C960" s="27"/>
      <c r="F960" s="39"/>
    </row>
    <row r="961">
      <c r="A961" s="2" t="str">
        <f t="shared" si="1"/>
        <v/>
      </c>
      <c r="C961" s="27"/>
      <c r="F961" s="39"/>
    </row>
    <row r="962">
      <c r="A962" s="2" t="str">
        <f t="shared" si="1"/>
        <v/>
      </c>
      <c r="C962" s="27"/>
      <c r="F962" s="39"/>
    </row>
    <row r="963">
      <c r="A963" s="2" t="str">
        <f t="shared" si="1"/>
        <v/>
      </c>
      <c r="C963" s="27"/>
      <c r="F963" s="39"/>
    </row>
    <row r="964">
      <c r="A964" s="2" t="str">
        <f t="shared" si="1"/>
        <v/>
      </c>
      <c r="C964" s="27"/>
      <c r="F964" s="39"/>
    </row>
    <row r="965">
      <c r="A965" s="2" t="str">
        <f t="shared" si="1"/>
        <v/>
      </c>
      <c r="C965" s="27"/>
      <c r="F965" s="39"/>
    </row>
    <row r="966">
      <c r="A966" s="2" t="str">
        <f t="shared" si="1"/>
        <v/>
      </c>
      <c r="C966" s="27"/>
      <c r="F966" s="39"/>
    </row>
    <row r="967">
      <c r="A967" s="2" t="str">
        <f t="shared" si="1"/>
        <v/>
      </c>
      <c r="C967" s="27"/>
      <c r="F967" s="39"/>
    </row>
    <row r="968">
      <c r="A968" s="2" t="str">
        <f t="shared" si="1"/>
        <v/>
      </c>
      <c r="C968" s="27"/>
      <c r="F968" s="39"/>
    </row>
    <row r="969">
      <c r="A969" s="2" t="str">
        <f t="shared" si="1"/>
        <v/>
      </c>
      <c r="C969" s="27"/>
      <c r="F969" s="39"/>
    </row>
    <row r="970">
      <c r="A970" s="2" t="str">
        <f t="shared" si="1"/>
        <v/>
      </c>
      <c r="C970" s="27"/>
      <c r="F970" s="39"/>
    </row>
    <row r="971">
      <c r="A971" s="2" t="str">
        <f t="shared" si="1"/>
        <v/>
      </c>
      <c r="C971" s="27"/>
      <c r="F971" s="39"/>
    </row>
    <row r="972">
      <c r="A972" s="2" t="str">
        <f t="shared" si="1"/>
        <v/>
      </c>
      <c r="C972" s="27"/>
      <c r="F972" s="39"/>
    </row>
    <row r="973">
      <c r="A973" s="2" t="str">
        <f t="shared" si="1"/>
        <v/>
      </c>
      <c r="C973" s="27"/>
      <c r="F973" s="39"/>
    </row>
    <row r="974">
      <c r="A974" s="2" t="str">
        <f t="shared" si="1"/>
        <v/>
      </c>
      <c r="C974" s="27"/>
      <c r="F974" s="39"/>
    </row>
    <row r="975">
      <c r="A975" s="2" t="str">
        <f t="shared" si="1"/>
        <v/>
      </c>
      <c r="C975" s="27"/>
      <c r="F975" s="39"/>
    </row>
    <row r="976">
      <c r="A976" s="2" t="str">
        <f t="shared" si="1"/>
        <v/>
      </c>
      <c r="C976" s="27"/>
      <c r="F976" s="39"/>
    </row>
    <row r="977">
      <c r="A977" s="2" t="str">
        <f t="shared" si="1"/>
        <v/>
      </c>
      <c r="C977" s="27"/>
      <c r="F977" s="39"/>
    </row>
    <row r="978">
      <c r="A978" s="2" t="str">
        <f t="shared" si="1"/>
        <v/>
      </c>
      <c r="C978" s="27"/>
      <c r="F978" s="39"/>
    </row>
    <row r="979">
      <c r="A979" s="2" t="str">
        <f t="shared" si="1"/>
        <v/>
      </c>
      <c r="C979" s="27"/>
      <c r="F979" s="39"/>
    </row>
    <row r="980">
      <c r="A980" s="2" t="str">
        <f t="shared" si="1"/>
        <v/>
      </c>
      <c r="C980" s="27"/>
      <c r="F980" s="39"/>
    </row>
    <row r="981">
      <c r="A981" s="2" t="str">
        <f t="shared" si="1"/>
        <v/>
      </c>
      <c r="C981" s="27"/>
      <c r="F981" s="39"/>
    </row>
    <row r="982">
      <c r="A982" s="2" t="str">
        <f t="shared" si="1"/>
        <v/>
      </c>
      <c r="C982" s="27"/>
      <c r="F982" s="39"/>
    </row>
    <row r="983">
      <c r="A983" s="2" t="str">
        <f t="shared" si="1"/>
        <v/>
      </c>
      <c r="C983" s="27"/>
      <c r="F983" s="39"/>
    </row>
    <row r="984">
      <c r="A984" s="2" t="str">
        <f t="shared" si="1"/>
        <v/>
      </c>
      <c r="C984" s="27"/>
      <c r="F984" s="39"/>
    </row>
    <row r="985">
      <c r="A985" s="2" t="str">
        <f t="shared" si="1"/>
        <v/>
      </c>
      <c r="C985" s="27"/>
      <c r="F985" s="39"/>
    </row>
    <row r="986">
      <c r="A986" s="2" t="str">
        <f t="shared" si="1"/>
        <v/>
      </c>
      <c r="C986" s="27"/>
      <c r="F986" s="39"/>
    </row>
    <row r="987">
      <c r="A987" s="2" t="str">
        <f t="shared" si="1"/>
        <v/>
      </c>
      <c r="C987" s="27"/>
      <c r="F987" s="39"/>
    </row>
    <row r="988">
      <c r="A988" s="2" t="str">
        <f t="shared" si="1"/>
        <v/>
      </c>
      <c r="C988" s="27"/>
      <c r="F988" s="39"/>
    </row>
    <row r="989">
      <c r="A989" s="2" t="str">
        <f t="shared" si="1"/>
        <v/>
      </c>
      <c r="C989" s="27"/>
      <c r="F989" s="39"/>
    </row>
    <row r="990">
      <c r="C990" s="27"/>
      <c r="F990" s="3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5" max="5" width="31.63"/>
    <col customWidth="1" min="6" max="6" width="22.0"/>
    <col customWidth="1" min="10" max="10" width="33.13"/>
    <col customWidth="1" min="11" max="11" width="21.88"/>
    <col customWidth="1" min="12" max="12" width="44.13"/>
  </cols>
  <sheetData>
    <row r="1" ht="15.0" customHeight="1">
      <c r="A1" s="42" t="s">
        <v>532</v>
      </c>
      <c r="B1" s="42" t="s">
        <v>2</v>
      </c>
      <c r="C1" s="44" t="s">
        <v>3</v>
      </c>
      <c r="D1" s="42" t="s">
        <v>535</v>
      </c>
      <c r="E1" s="42" t="s">
        <v>536</v>
      </c>
      <c r="F1" s="42" t="s">
        <v>22</v>
      </c>
      <c r="G1" s="42" t="s">
        <v>5</v>
      </c>
      <c r="H1" s="42" t="s">
        <v>537</v>
      </c>
      <c r="I1" s="42" t="s">
        <v>538</v>
      </c>
      <c r="J1" s="42" t="s">
        <v>9</v>
      </c>
      <c r="K1" s="45" t="s">
        <v>23</v>
      </c>
      <c r="L1" s="45" t="s">
        <v>25</v>
      </c>
      <c r="M1" s="45" t="s">
        <v>26</v>
      </c>
      <c r="N1" s="45" t="s">
        <v>27</v>
      </c>
      <c r="O1" s="45" t="s">
        <v>28</v>
      </c>
      <c r="P1" s="45" t="s">
        <v>539</v>
      </c>
      <c r="Q1" s="42" t="s">
        <v>540</v>
      </c>
      <c r="R1" s="42" t="s">
        <v>541</v>
      </c>
      <c r="S1" s="46" t="s">
        <v>542</v>
      </c>
      <c r="T1" s="47" t="s">
        <v>17</v>
      </c>
      <c r="U1" s="47" t="s">
        <v>19</v>
      </c>
      <c r="V1" s="48"/>
      <c r="W1" s="48"/>
      <c r="X1" s="48"/>
      <c r="Y1" s="48"/>
      <c r="Z1" s="48"/>
      <c r="AA1" s="48"/>
      <c r="AB1" s="48"/>
      <c r="AC1" s="48"/>
      <c r="AD1" s="48"/>
      <c r="AE1" s="48"/>
    </row>
    <row r="2">
      <c r="A2" s="49" t="str">
        <f>IFERROR(__xludf.DUMMYFUNCTION("QUERY({
  'Shop Order Listing 2025 Q4'!A322:Z1012;
'Shop Order Listing 2026 Q1'!A2:Z925
},
""select * 
 where Col2 &lt;&gt; 'stock'
   and Col2 &lt;&gt; 'Stock'
   and Col2 is not null"", 0)
"),"20251210-YP4")</f>
        <v>20251210-YP4</v>
      </c>
      <c r="B2" s="49" t="str">
        <f>IFERROR(__xludf.DUMMYFUNCTION("""COMPUTED_VALUE"""),"Kim Smalls")</f>
        <v>Kim Smalls</v>
      </c>
      <c r="C2" s="50"/>
      <c r="D2" s="49">
        <f>IFERROR(__xludf.DUMMYFUNCTION("""COMPUTED_VALUE"""),1.0)</f>
        <v>1</v>
      </c>
      <c r="E2" s="49" t="str">
        <f>IFERROR(__xludf.DUMMYFUNCTION("""COMPUTED_VALUE"""),"Storm Phaze II Pearl 15 lb")</f>
        <v>Storm Phaze II Pearl 15 lb</v>
      </c>
      <c r="F2" s="49" t="str">
        <f>IFERROR(__xludf.DUMMYFUNCTION("""COMPUTED_VALUE"""),"surprise for Tim ")</f>
        <v>surprise for Tim </v>
      </c>
      <c r="G2" s="10"/>
      <c r="H2" s="10">
        <f>IFERROR(__xludf.DUMMYFUNCTION("""COMPUTED_VALUE"""),46001.0)</f>
        <v>46001</v>
      </c>
      <c r="I2" s="24"/>
      <c r="J2" s="51"/>
      <c r="K2" s="52">
        <f>IFERROR(__xludf.DUMMYFUNCTION("""COMPUTED_VALUE"""),46001.0)</f>
        <v>46001</v>
      </c>
      <c r="L2" s="49" t="str">
        <f>IFERROR(__xludf.DUMMYFUNCTION("""COMPUTED_VALUE"""),"Ace ")</f>
        <v>Ace </v>
      </c>
      <c r="M2" s="49">
        <f>IFERROR(__xludf.DUMMYFUNCTION("""COMPUTED_VALUE"""),5.00280618E8)</f>
        <v>500280618</v>
      </c>
      <c r="N2" s="53">
        <f>IFERROR(__xludf.DUMMYFUNCTION("""COMPUTED_VALUE"""),144.53)</f>
        <v>144.53</v>
      </c>
      <c r="O2" s="54"/>
      <c r="P2" s="49"/>
      <c r="Q2" s="49" t="str">
        <f>IFERROR(__xludf.DUMMYFUNCTION("""COMPUTED_VALUE"""),"Y")</f>
        <v>Y</v>
      </c>
      <c r="R2" s="49" t="str">
        <f>IFERROR(__xludf.DUMMYFUNCTION("""COMPUTED_VALUE"""),"Y")</f>
        <v>Y</v>
      </c>
      <c r="S2" s="49"/>
      <c r="T2" s="49"/>
      <c r="U2" s="49"/>
      <c r="V2" s="49"/>
      <c r="W2" s="49"/>
      <c r="X2" s="49"/>
      <c r="Y2" s="49"/>
      <c r="Z2" s="49"/>
    </row>
    <row r="3">
      <c r="A3" s="49" t="str">
        <f>IFERROR(__xludf.DUMMYFUNCTION("""COMPUTED_VALUE"""),"20251210-10PR")</f>
        <v>20251210-10PR</v>
      </c>
      <c r="B3" s="49" t="str">
        <f>IFERROR(__xludf.DUMMYFUNCTION("""COMPUTED_VALUE"""),"Mark Ottone")</f>
        <v>Mark Ottone</v>
      </c>
      <c r="C3" s="55"/>
      <c r="D3" s="49">
        <f>IFERROR(__xludf.DUMMYFUNCTION("""COMPUTED_VALUE"""),1.0)</f>
        <v>1</v>
      </c>
      <c r="E3" s="49" t="str">
        <f>IFERROR(__xludf.DUMMYFUNCTION("""COMPUTED_VALUE"""),"Storm Phaze II Pearl 15 lb")</f>
        <v>Storm Phaze II Pearl 15 lb</v>
      </c>
      <c r="F3" s="49"/>
      <c r="G3" s="10"/>
      <c r="H3" s="10">
        <f>IFERROR(__xludf.DUMMYFUNCTION("""COMPUTED_VALUE"""),46001.0)</f>
        <v>46001</v>
      </c>
      <c r="I3" s="24"/>
      <c r="J3" s="51"/>
      <c r="K3" s="52">
        <f>IFERROR(__xludf.DUMMYFUNCTION("""COMPUTED_VALUE"""),46001.0)</f>
        <v>46001</v>
      </c>
      <c r="L3" s="49" t="str">
        <f>IFERROR(__xludf.DUMMYFUNCTION("""COMPUTED_VALUE"""),"Ace ")</f>
        <v>Ace </v>
      </c>
      <c r="M3" s="49">
        <f>IFERROR(__xludf.DUMMYFUNCTION("""COMPUTED_VALUE"""),5.00280618E8)</f>
        <v>500280618</v>
      </c>
      <c r="N3" s="53">
        <f>IFERROR(__xludf.DUMMYFUNCTION("""COMPUTED_VALUE"""),144.53)</f>
        <v>144.53</v>
      </c>
      <c r="O3" s="54"/>
      <c r="P3" s="49"/>
      <c r="Q3" s="49" t="str">
        <f>IFERROR(__xludf.DUMMYFUNCTION("""COMPUTED_VALUE"""),"Y")</f>
        <v>Y</v>
      </c>
      <c r="R3" s="49" t="str">
        <f>IFERROR(__xludf.DUMMYFUNCTION("""COMPUTED_VALUE"""),"Y")</f>
        <v>Y</v>
      </c>
      <c r="S3" s="49"/>
      <c r="T3" s="49"/>
      <c r="U3" s="49"/>
      <c r="V3" s="49"/>
      <c r="W3" s="49"/>
      <c r="X3" s="49"/>
      <c r="Y3" s="49"/>
      <c r="Z3" s="49"/>
    </row>
    <row r="4">
      <c r="A4" s="49" t="str">
        <f>IFERROR(__xludf.DUMMYFUNCTION("""COMPUTED_VALUE"""),"20251211-33V4")</f>
        <v>20251211-33V4</v>
      </c>
      <c r="B4" s="49" t="str">
        <f>IFERROR(__xludf.DUMMYFUNCTION("""COMPUTED_VALUE"""),"Dylan Wesley")</f>
        <v>Dylan Wesley</v>
      </c>
      <c r="C4" s="55" t="str">
        <f>IFERROR(__xludf.DUMMYFUNCTION("""COMPUTED_VALUE"""),"570-690-6589")</f>
        <v>570-690-6589</v>
      </c>
      <c r="D4" s="49">
        <f>IFERROR(__xludf.DUMMYFUNCTION("""COMPUTED_VALUE"""),1.0)</f>
        <v>1</v>
      </c>
      <c r="E4" s="49" t="str">
        <f>IFERROR(__xludf.DUMMYFUNCTION("""COMPUTED_VALUE"""),"Dexter T2+ Hyperflex Traction sole large")</f>
        <v>Dexter T2+ Hyperflex Traction sole large</v>
      </c>
      <c r="F4" s="49"/>
      <c r="G4" s="10" t="str">
        <f>IFERROR(__xludf.DUMMYFUNCTION("""COMPUTED_VALUE"""),"South")</f>
        <v>South</v>
      </c>
      <c r="H4" s="10">
        <f>IFERROR(__xludf.DUMMYFUNCTION("""COMPUTED_VALUE"""),46002.0)</f>
        <v>46002</v>
      </c>
      <c r="I4" s="24"/>
      <c r="J4" s="51"/>
      <c r="K4" s="52">
        <f>IFERROR(__xludf.DUMMYFUNCTION("""COMPUTED_VALUE"""),46002.0)</f>
        <v>46002</v>
      </c>
      <c r="L4" s="49" t="str">
        <f>IFERROR(__xludf.DUMMYFUNCTION("""COMPUTED_VALUE"""),"B Supply")</f>
        <v>B Supply</v>
      </c>
      <c r="M4" s="49">
        <f>IFERROR(__xludf.DUMMYFUNCTION("""COMPUTED_VALUE"""),5066147.0)</f>
        <v>5066147</v>
      </c>
      <c r="N4" s="53">
        <f>IFERROR(__xludf.DUMMYFUNCTION("""COMPUTED_VALUE"""),13.3)</f>
        <v>13.3</v>
      </c>
      <c r="O4" s="54">
        <f>IFERROR(__xludf.DUMMYFUNCTION("""COMPUTED_VALUE"""),649805.0)</f>
        <v>649805</v>
      </c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49" t="str">
        <f>IFERROR(__xludf.DUMMYFUNCTION("""COMPUTED_VALUE"""),"20251211-1ZAZ")</f>
        <v>20251211-1ZAZ</v>
      </c>
      <c r="B5" s="49" t="str">
        <f>IFERROR(__xludf.DUMMYFUNCTION("""COMPUTED_VALUE"""),"Tara Castrogiovanni")</f>
        <v>Tara Castrogiovanni</v>
      </c>
      <c r="C5" s="55"/>
      <c r="D5" s="49">
        <f>IFERROR(__xludf.DUMMYFUNCTION("""COMPUTED_VALUE"""),1.0)</f>
        <v>1</v>
      </c>
      <c r="E5" s="49" t="str">
        <f>IFERROR(__xludf.DUMMYFUNCTION("""COMPUTED_VALUE"""),"Brunswick Twist pink/black 10 lb")</f>
        <v>Brunswick Twist pink/black 10 lb</v>
      </c>
      <c r="F5" s="49"/>
      <c r="G5" s="10" t="str">
        <f>IFERROR(__xludf.DUMMYFUNCTION("""COMPUTED_VALUE"""),"Valley")</f>
        <v>Valley</v>
      </c>
      <c r="H5" s="10">
        <f>IFERROR(__xludf.DUMMYFUNCTION("""COMPUTED_VALUE"""),46002.0)</f>
        <v>46002</v>
      </c>
      <c r="I5" s="24"/>
      <c r="J5" s="51"/>
      <c r="K5" s="52">
        <f>IFERROR(__xludf.DUMMYFUNCTION("""COMPUTED_VALUE"""),46002.0)</f>
        <v>46002</v>
      </c>
      <c r="L5" s="49" t="str">
        <f>IFERROR(__xludf.DUMMYFUNCTION("""COMPUTED_VALUE"""),"B Supply")</f>
        <v>B Supply</v>
      </c>
      <c r="M5" s="49">
        <f>IFERROR(__xludf.DUMMYFUNCTION("""COMPUTED_VALUE"""),5066147.0)</f>
        <v>5066147</v>
      </c>
      <c r="N5" s="53">
        <f>IFERROR(__xludf.DUMMYFUNCTION("""COMPUTED_VALUE"""),60.8)</f>
        <v>60.8</v>
      </c>
      <c r="O5" s="54">
        <f>IFERROR(__xludf.DUMMYFUNCTION("""COMPUTED_VALUE"""),649439.0)</f>
        <v>649439</v>
      </c>
      <c r="P5" s="49"/>
      <c r="Q5" s="49" t="str">
        <f>IFERROR(__xludf.DUMMYFUNCTION("""COMPUTED_VALUE"""),"Y")</f>
        <v>Y</v>
      </c>
      <c r="R5" s="49" t="str">
        <f>IFERROR(__xludf.DUMMYFUNCTION("""COMPUTED_VALUE"""),"Y")</f>
        <v>Y</v>
      </c>
      <c r="S5" s="49"/>
      <c r="T5" s="49"/>
      <c r="U5" s="49"/>
      <c r="V5" s="49"/>
      <c r="W5" s="49"/>
      <c r="X5" s="49"/>
      <c r="Y5" s="49"/>
      <c r="Z5" s="49"/>
    </row>
    <row r="6">
      <c r="A6" s="49" t="str">
        <f>IFERROR(__xludf.DUMMYFUNCTION("""COMPUTED_VALUE"""),"20251211-25AQ")</f>
        <v>20251211-25AQ</v>
      </c>
      <c r="B6" s="49" t="str">
        <f>IFERROR(__xludf.DUMMYFUNCTION("""COMPUTED_VALUE"""),"Tara Castrogiovanni")</f>
        <v>Tara Castrogiovanni</v>
      </c>
      <c r="C6" s="55"/>
      <c r="D6" s="49">
        <f>IFERROR(__xludf.DUMMYFUNCTION("""COMPUTED_VALUE"""),1.0)</f>
        <v>1</v>
      </c>
      <c r="E6" s="49" t="str">
        <f>IFERROR(__xludf.DUMMYFUNCTION("""COMPUTED_VALUE"""),"Brunswick Spark single tote black")</f>
        <v>Brunswick Spark single tote black</v>
      </c>
      <c r="F6" s="49"/>
      <c r="G6" s="10" t="str">
        <f>IFERROR(__xludf.DUMMYFUNCTION("""COMPUTED_VALUE"""),"Valley")</f>
        <v>Valley</v>
      </c>
      <c r="H6" s="10">
        <f>IFERROR(__xludf.DUMMYFUNCTION("""COMPUTED_VALUE"""),46002.0)</f>
        <v>46002</v>
      </c>
      <c r="I6" s="10"/>
      <c r="J6" s="51"/>
      <c r="K6" s="52">
        <f>IFERROR(__xludf.DUMMYFUNCTION("""COMPUTED_VALUE"""),46002.0)</f>
        <v>46002</v>
      </c>
      <c r="L6" s="49" t="str">
        <f>IFERROR(__xludf.DUMMYFUNCTION("""COMPUTED_VALUE"""),"B Supply")</f>
        <v>B Supply</v>
      </c>
      <c r="M6" s="49">
        <f>IFERROR(__xludf.DUMMYFUNCTION("""COMPUTED_VALUE"""),5066147.0)</f>
        <v>5066147</v>
      </c>
      <c r="N6" s="53">
        <f>IFERROR(__xludf.DUMMYFUNCTION("""COMPUTED_VALUE"""),15.87)</f>
        <v>15.87</v>
      </c>
      <c r="O6" s="54">
        <f>IFERROR(__xludf.DUMMYFUNCTION("""COMPUTED_VALUE"""),649439.0)</f>
        <v>649439</v>
      </c>
      <c r="P6" s="49"/>
      <c r="Q6" s="49" t="str">
        <f>IFERROR(__xludf.DUMMYFUNCTION("""COMPUTED_VALUE"""),"Y")</f>
        <v>Y</v>
      </c>
      <c r="R6" s="49" t="str">
        <f>IFERROR(__xludf.DUMMYFUNCTION("""COMPUTED_VALUE"""),"Y")</f>
        <v>Y</v>
      </c>
      <c r="S6" s="10"/>
      <c r="T6" s="49"/>
      <c r="U6" s="49"/>
      <c r="V6" s="49"/>
      <c r="W6" s="49"/>
      <c r="X6" s="49"/>
      <c r="Y6" s="49"/>
      <c r="Z6" s="49"/>
    </row>
    <row r="7">
      <c r="A7" s="49" t="str">
        <f>IFERROR(__xludf.DUMMYFUNCTION("""COMPUTED_VALUE"""),"20251211-1IE3")</f>
        <v>20251211-1IE3</v>
      </c>
      <c r="B7" s="49" t="str">
        <f>IFERROR(__xludf.DUMMYFUNCTION("""COMPUTED_VALUE"""),"Troy Petrillo")</f>
        <v>Troy Petrillo</v>
      </c>
      <c r="C7" s="55"/>
      <c r="D7" s="49">
        <f>IFERROR(__xludf.DUMMYFUNCTION("""COMPUTED_VALUE"""),1.0)</f>
        <v>1</v>
      </c>
      <c r="E7" s="49" t="str">
        <f>IFERROR(__xludf.DUMMYFUNCTION("""COMPUTED_VALUE"""),"Dexter Turbo BOA white size 10.5")</f>
        <v>Dexter Turbo BOA white size 10.5</v>
      </c>
      <c r="F7" s="49"/>
      <c r="G7" s="10" t="str">
        <f>IFERROR(__xludf.DUMMYFUNCTION("""COMPUTED_VALUE"""),"South")</f>
        <v>South</v>
      </c>
      <c r="H7" s="10">
        <f>IFERROR(__xludf.DUMMYFUNCTION("""COMPUTED_VALUE"""),46002.0)</f>
        <v>46002</v>
      </c>
      <c r="I7" s="10"/>
      <c r="J7" s="51"/>
      <c r="K7" s="52">
        <f>IFERROR(__xludf.DUMMYFUNCTION("""COMPUTED_VALUE"""),46002.0)</f>
        <v>46002</v>
      </c>
      <c r="L7" s="49" t="str">
        <f>IFERROR(__xludf.DUMMYFUNCTION("""COMPUTED_VALUE"""),"B Supply")</f>
        <v>B Supply</v>
      </c>
      <c r="M7" s="49">
        <f>IFERROR(__xludf.DUMMYFUNCTION("""COMPUTED_VALUE"""),5066147.0)</f>
        <v>5066147</v>
      </c>
      <c r="N7" s="53">
        <f>IFERROR(__xludf.DUMMYFUNCTION("""COMPUTED_VALUE"""),70.3)</f>
        <v>70.3</v>
      </c>
      <c r="O7" s="54">
        <f>IFERROR(__xludf.DUMMYFUNCTION("""COMPUTED_VALUE"""),649439.0)</f>
        <v>649439</v>
      </c>
      <c r="P7" s="49" t="str">
        <f>IFERROR(__xludf.DUMMYFUNCTION("""COMPUTED_VALUE"""),"paid")</f>
        <v>paid</v>
      </c>
      <c r="Q7" s="49" t="str">
        <f>IFERROR(__xludf.DUMMYFUNCTION("""COMPUTED_VALUE"""),"Y")</f>
        <v>Y</v>
      </c>
      <c r="R7" s="49" t="str">
        <f>IFERROR(__xludf.DUMMYFUNCTION("""COMPUTED_VALUE"""),"Y")</f>
        <v>Y</v>
      </c>
      <c r="S7" s="49"/>
      <c r="T7" s="49"/>
      <c r="U7" s="49"/>
      <c r="V7" s="49"/>
      <c r="W7" s="49"/>
      <c r="X7" s="49"/>
      <c r="Y7" s="49"/>
      <c r="Z7" s="49"/>
    </row>
    <row r="8">
      <c r="A8" s="49" t="str">
        <f>IFERROR(__xludf.DUMMYFUNCTION("""COMPUTED_VALUE"""),"20251211-1SXH")</f>
        <v>20251211-1SXH</v>
      </c>
      <c r="B8" s="49" t="str">
        <f>IFERROR(__xludf.DUMMYFUNCTION("""COMPUTED_VALUE"""),"William Kennedy")</f>
        <v>William Kennedy</v>
      </c>
      <c r="C8" s="50" t="str">
        <f>IFERROR(__xludf.DUMMYFUNCTION("""COMPUTED_VALUE"""),"570-687-4578")</f>
        <v>570-687-4578</v>
      </c>
      <c r="D8" s="49">
        <f>IFERROR(__xludf.DUMMYFUNCTION("""COMPUTED_VALUE"""),1.0)</f>
        <v>1</v>
      </c>
      <c r="E8" s="49" t="str">
        <f>IFERROR(__xludf.DUMMYFUNCTION("""COMPUTED_VALUE"""),"Storm Next Factor 14 lb")</f>
        <v>Storm Next Factor 14 lb</v>
      </c>
      <c r="F8" s="49"/>
      <c r="G8" s="10" t="str">
        <f>IFERROR(__xludf.DUMMYFUNCTION("""COMPUTED_VALUE"""),"South")</f>
        <v>South</v>
      </c>
      <c r="H8" s="10">
        <f>IFERROR(__xludf.DUMMYFUNCTION("""COMPUTED_VALUE"""),46002.0)</f>
        <v>46002</v>
      </c>
      <c r="I8" s="10"/>
      <c r="J8" s="51"/>
      <c r="K8" s="52">
        <f>IFERROR(__xludf.DUMMYFUNCTION("""COMPUTED_VALUE"""),46002.0)</f>
        <v>46002</v>
      </c>
      <c r="L8" s="49" t="str">
        <f>IFERROR(__xludf.DUMMYFUNCTION("""COMPUTED_VALUE"""),"B Supply")</f>
        <v>B Supply</v>
      </c>
      <c r="M8" s="49">
        <f>IFERROR(__xludf.DUMMYFUNCTION("""COMPUTED_VALUE"""),5066147.0)</f>
        <v>5066147</v>
      </c>
      <c r="N8" s="53">
        <f>IFERROR(__xludf.DUMMYFUNCTION("""COMPUTED_VALUE"""),159.46)</f>
        <v>159.46</v>
      </c>
      <c r="O8" s="54">
        <f>IFERROR(__xludf.DUMMYFUNCTION("""COMPUTED_VALUE"""),649439.0)</f>
        <v>649439</v>
      </c>
      <c r="P8" s="49"/>
      <c r="Q8" s="49" t="str">
        <f>IFERROR(__xludf.DUMMYFUNCTION("""COMPUTED_VALUE"""),"Y")</f>
        <v>Y</v>
      </c>
      <c r="R8" s="49" t="str">
        <f>IFERROR(__xludf.DUMMYFUNCTION("""COMPUTED_VALUE"""),"Y")</f>
        <v>Y</v>
      </c>
      <c r="S8" s="49"/>
      <c r="T8" s="49"/>
      <c r="U8" s="49"/>
      <c r="V8" s="49"/>
      <c r="W8" s="49"/>
      <c r="X8" s="49"/>
      <c r="Y8" s="49"/>
      <c r="Z8" s="49"/>
    </row>
    <row r="9">
      <c r="A9" s="49" t="str">
        <f>IFERROR(__xludf.DUMMYFUNCTION("""COMPUTED_VALUE"""),"20251211-1M35")</f>
        <v>20251211-1M35</v>
      </c>
      <c r="B9" s="49" t="str">
        <f>IFERROR(__xludf.DUMMYFUNCTION("""COMPUTED_VALUE"""),"Scott Betson")</f>
        <v>Scott Betson</v>
      </c>
      <c r="C9" s="55" t="str">
        <f>IFERROR(__xludf.DUMMYFUNCTION("""COMPUTED_VALUE"""),"570-267-7853")</f>
        <v>570-267-7853</v>
      </c>
      <c r="D9" s="49">
        <f>IFERROR(__xludf.DUMMYFUNCTION("""COMPUTED_VALUE"""),1.0)</f>
        <v>1</v>
      </c>
      <c r="E9" s="49" t="str">
        <f>IFERROR(__xludf.DUMMYFUNCTION("""COMPUTED_VALUE"""),"Brunswick Alpha size 12")</f>
        <v>Brunswick Alpha size 12</v>
      </c>
      <c r="F9" s="49" t="str">
        <f>IFERROR(__xludf.DUMMYFUNCTION("""COMPUTED_VALUE"""),"paid")</f>
        <v>paid</v>
      </c>
      <c r="G9" s="10" t="str">
        <f>IFERROR(__xludf.DUMMYFUNCTION("""COMPUTED_VALUE"""),"Valley")</f>
        <v>Valley</v>
      </c>
      <c r="H9" s="10">
        <f>IFERROR(__xludf.DUMMYFUNCTION("""COMPUTED_VALUE"""),46002.0)</f>
        <v>46002</v>
      </c>
      <c r="I9" s="10"/>
      <c r="J9" s="51"/>
      <c r="K9" s="52">
        <f>IFERROR(__xludf.DUMMYFUNCTION("""COMPUTED_VALUE"""),46002.0)</f>
        <v>46002</v>
      </c>
      <c r="L9" s="49" t="str">
        <f>IFERROR(__xludf.DUMMYFUNCTION("""COMPUTED_VALUE"""),"B Supply")</f>
        <v>B Supply</v>
      </c>
      <c r="M9" s="49">
        <f>IFERROR(__xludf.DUMMYFUNCTION("""COMPUTED_VALUE"""),5066147.0)</f>
        <v>5066147</v>
      </c>
      <c r="N9" s="53">
        <f>IFERROR(__xludf.DUMMYFUNCTION("""COMPUTED_VALUE"""),50.07)</f>
        <v>50.07</v>
      </c>
      <c r="O9" s="54">
        <f>IFERROR(__xludf.DUMMYFUNCTION("""COMPUTED_VALUE"""),649439.0)</f>
        <v>649439</v>
      </c>
      <c r="P9" s="49"/>
      <c r="Q9" s="49"/>
      <c r="R9" s="49"/>
      <c r="S9" s="10"/>
      <c r="T9" s="49"/>
      <c r="U9" s="49"/>
      <c r="V9" s="49"/>
      <c r="W9" s="49"/>
      <c r="X9" s="49"/>
      <c r="Y9" s="49"/>
      <c r="Z9" s="49"/>
    </row>
    <row r="10">
      <c r="A10" s="49" t="str">
        <f>IFERROR(__xludf.DUMMYFUNCTION("""COMPUTED_VALUE"""),"20251211-1NQ7")</f>
        <v>20251211-1NQ7</v>
      </c>
      <c r="B10" s="49" t="str">
        <f>IFERROR(__xludf.DUMMYFUNCTION("""COMPUTED_VALUE"""),"Jonathan Ottone")</f>
        <v>Jonathan Ottone</v>
      </c>
      <c r="C10" s="55" t="str">
        <f>IFERROR(__xludf.DUMMYFUNCTION("""COMPUTED_VALUE"""),"570-335-5366")</f>
        <v>570-335-5366</v>
      </c>
      <c r="D10" s="49">
        <f>IFERROR(__xludf.DUMMYFUNCTION("""COMPUTED_VALUE"""),1.0)</f>
        <v>1</v>
      </c>
      <c r="E10" s="49" t="str">
        <f>IFERROR(__xludf.DUMMYFUNCTION("""COMPUTED_VALUE"""),"Brunswick Alert 14 lb")</f>
        <v>Brunswick Alert 14 lb</v>
      </c>
      <c r="F10" s="49"/>
      <c r="G10" s="10" t="str">
        <f>IFERROR(__xludf.DUMMYFUNCTION("""COMPUTED_VALUE"""),"South")</f>
        <v>South</v>
      </c>
      <c r="H10" s="10">
        <f>IFERROR(__xludf.DUMMYFUNCTION("""COMPUTED_VALUE"""),46002.0)</f>
        <v>46002</v>
      </c>
      <c r="I10" s="24"/>
      <c r="J10" s="51"/>
      <c r="K10" s="52">
        <f>IFERROR(__xludf.DUMMYFUNCTION("""COMPUTED_VALUE"""),46002.0)</f>
        <v>46002</v>
      </c>
      <c r="L10" s="49" t="str">
        <f>IFERROR(__xludf.DUMMYFUNCTION("""COMPUTED_VALUE"""),"B Supply")</f>
        <v>B Supply</v>
      </c>
      <c r="M10" s="49">
        <f>IFERROR(__xludf.DUMMYFUNCTION("""COMPUTED_VALUE"""),5066147.0)</f>
        <v>5066147</v>
      </c>
      <c r="N10" s="53">
        <f>IFERROR(__xludf.DUMMYFUNCTION("""COMPUTED_VALUE"""),119.99)</f>
        <v>119.99</v>
      </c>
      <c r="O10" s="54">
        <f>IFERROR(__xludf.DUMMYFUNCTION("""COMPUTED_VALUE"""),649439.0)</f>
        <v>649439</v>
      </c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49" t="str">
        <f>IFERROR(__xludf.DUMMYFUNCTION("""COMPUTED_VALUE"""),"20251215-1ITO")</f>
        <v>20251215-1ITO</v>
      </c>
      <c r="B11" s="49" t="str">
        <f>IFERROR(__xludf.DUMMYFUNCTION("""COMPUTED_VALUE"""),"Becky Decker")</f>
        <v>Becky Decker</v>
      </c>
      <c r="C11" s="50"/>
      <c r="D11" s="49">
        <f>IFERROR(__xludf.DUMMYFUNCTION("""COMPUTED_VALUE"""),1.0)</f>
        <v>1</v>
      </c>
      <c r="E11" s="49" t="str">
        <f>IFERROR(__xludf.DUMMYFUNCTION("""COMPUTED_VALUE"""),"Brunswick Danger Zone Solid 15 lb")</f>
        <v>Brunswick Danger Zone Solid 15 lb</v>
      </c>
      <c r="F11" s="49"/>
      <c r="G11" s="10" t="str">
        <f>IFERROR(__xludf.DUMMYFUNCTION("""COMPUTED_VALUE"""),"Valley")</f>
        <v>Valley</v>
      </c>
      <c r="H11" s="10">
        <f>IFERROR(__xludf.DUMMYFUNCTION("""COMPUTED_VALUE"""),46006.0)</f>
        <v>46006</v>
      </c>
      <c r="I11" s="24"/>
      <c r="J11" s="51"/>
      <c r="K11" s="52">
        <f>IFERROR(__xludf.DUMMYFUNCTION("""COMPUTED_VALUE"""),46006.0)</f>
        <v>46006</v>
      </c>
      <c r="L11" s="49" t="str">
        <f>IFERROR(__xludf.DUMMYFUNCTION("""COMPUTED_VALUE"""),"B Supply")</f>
        <v>B Supply</v>
      </c>
      <c r="M11" s="49">
        <f>IFERROR(__xludf.DUMMYFUNCTION("""COMPUTED_VALUE"""),507348.0)</f>
        <v>507348</v>
      </c>
      <c r="N11" s="53">
        <f>IFERROR(__xludf.DUMMYFUNCTION("""COMPUTED_VALUE"""),99.28)</f>
        <v>99.28</v>
      </c>
      <c r="O11" s="54">
        <f>IFERROR(__xludf.DUMMYFUNCTION("""COMPUTED_VALUE"""),650719.0)</f>
        <v>650719</v>
      </c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49" t="str">
        <f>IFERROR(__xludf.DUMMYFUNCTION("""COMPUTED_VALUE"""),"20251215-IHR")</f>
        <v>20251215-IHR</v>
      </c>
      <c r="B12" s="49" t="str">
        <f>IFERROR(__xludf.DUMMYFUNCTION("""COMPUTED_VALUE"""),"James Durland")</f>
        <v>James Durland</v>
      </c>
      <c r="C12" s="55"/>
      <c r="D12" s="49">
        <f>IFERROR(__xludf.DUMMYFUNCTION("""COMPUTED_VALUE"""),10.0)</f>
        <v>10</v>
      </c>
      <c r="E12" s="49" t="str">
        <f>IFERROR(__xludf.DUMMYFUNCTION("""COMPUTED_VALUE"""),"VIse 4 &amp; 6 PO")</f>
        <v>VIse 4 &amp; 6 PO</v>
      </c>
      <c r="F12" s="49"/>
      <c r="G12" s="10"/>
      <c r="H12" s="10">
        <f>IFERROR(__xludf.DUMMYFUNCTION("""COMPUTED_VALUE"""),46006.0)</f>
        <v>46006</v>
      </c>
      <c r="I12" s="24"/>
      <c r="J12" s="51"/>
      <c r="K12" s="52">
        <f>IFERROR(__xludf.DUMMYFUNCTION("""COMPUTED_VALUE"""),46006.0)</f>
        <v>46006</v>
      </c>
      <c r="L12" s="49" t="str">
        <f>IFERROR(__xludf.DUMMYFUNCTION("""COMPUTED_VALUE"""),"B Supply")</f>
        <v>B Supply</v>
      </c>
      <c r="M12" s="49">
        <f>IFERROR(__xludf.DUMMYFUNCTION("""COMPUTED_VALUE"""),507348.0)</f>
        <v>507348</v>
      </c>
      <c r="N12" s="53">
        <f>IFERROR(__xludf.DUMMYFUNCTION("""COMPUTED_VALUE"""),1.07)</f>
        <v>1.07</v>
      </c>
      <c r="O12" s="54">
        <f>IFERROR(__xludf.DUMMYFUNCTION("""COMPUTED_VALUE"""),650719.0)</f>
        <v>650719</v>
      </c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49" t="str">
        <f>IFERROR(__xludf.DUMMYFUNCTION("""COMPUTED_VALUE"""),"20251215-1PH5")</f>
        <v>20251215-1PH5</v>
      </c>
      <c r="B13" s="49" t="str">
        <f>IFERROR(__xludf.DUMMYFUNCTION("""COMPUTED_VALUE"""),"Mike Evans")</f>
        <v>Mike Evans</v>
      </c>
      <c r="C13" s="55" t="str">
        <f>IFERROR(__xludf.DUMMYFUNCTION("""COMPUTED_VALUE"""),"570-413-3944")</f>
        <v>570-413-3944</v>
      </c>
      <c r="D13" s="49">
        <f>IFERROR(__xludf.DUMMYFUNCTION("""COMPUTED_VALUE"""),1.0)</f>
        <v>1</v>
      </c>
      <c r="E13" s="49" t="str">
        <f>IFERROR(__xludf.DUMMYFUNCTION("""COMPUTED_VALUE"""),"Hammer Black Urethane 15 lb")</f>
        <v>Hammer Black Urethane 15 lb</v>
      </c>
      <c r="F13" s="49"/>
      <c r="G13" s="10" t="str">
        <f>IFERROR(__xludf.DUMMYFUNCTION("""COMPUTED_VALUE"""),"South")</f>
        <v>South</v>
      </c>
      <c r="H13" s="10">
        <f>IFERROR(__xludf.DUMMYFUNCTION("""COMPUTED_VALUE"""),46006.0)</f>
        <v>46006</v>
      </c>
      <c r="I13" s="24"/>
      <c r="J13" s="51"/>
      <c r="K13" s="52">
        <f>IFERROR(__xludf.DUMMYFUNCTION("""COMPUTED_VALUE"""),46006.0)</f>
        <v>46006</v>
      </c>
      <c r="L13" s="49" t="str">
        <f>IFERROR(__xludf.DUMMYFUNCTION("""COMPUTED_VALUE"""),"B Supply")</f>
        <v>B Supply</v>
      </c>
      <c r="M13" s="49">
        <f>IFERROR(__xludf.DUMMYFUNCTION("""COMPUTED_VALUE"""),507348.0)</f>
        <v>507348</v>
      </c>
      <c r="N13" s="53">
        <f>IFERROR(__xludf.DUMMYFUNCTION("""COMPUTED_VALUE"""),114.0)</f>
        <v>114</v>
      </c>
      <c r="O13" s="54">
        <f>IFERROR(__xludf.DUMMYFUNCTION("""COMPUTED_VALUE"""),650719.0)</f>
        <v>650719</v>
      </c>
      <c r="P13" s="49"/>
      <c r="Q13" s="49" t="str">
        <f>IFERROR(__xludf.DUMMYFUNCTION("""COMPUTED_VALUE"""),"Y")</f>
        <v>Y</v>
      </c>
      <c r="R13" s="49" t="str">
        <f>IFERROR(__xludf.DUMMYFUNCTION("""COMPUTED_VALUE"""),"Y")</f>
        <v>Y</v>
      </c>
      <c r="S13" s="49"/>
      <c r="T13" s="49"/>
      <c r="U13" s="49"/>
      <c r="V13" s="49"/>
      <c r="W13" s="49"/>
      <c r="X13" s="49"/>
      <c r="Y13" s="49"/>
      <c r="Z13" s="49"/>
    </row>
    <row r="14">
      <c r="A14" s="49" t="str">
        <f>IFERROR(__xludf.DUMMYFUNCTION("""COMPUTED_VALUE"""),"20251215-YIY")</f>
        <v>20251215-YIY</v>
      </c>
      <c r="B14" s="49" t="str">
        <f>IFERROR(__xludf.DUMMYFUNCTION("""COMPUTED_VALUE"""),"Brian Hamilton")</f>
        <v>Brian Hamilton</v>
      </c>
      <c r="C14" s="55"/>
      <c r="D14" s="49">
        <f>IFERROR(__xludf.DUMMYFUNCTION("""COMPUTED_VALUE"""),1.0)</f>
        <v>1</v>
      </c>
      <c r="E14" s="49" t="str">
        <f>IFERROR(__xludf.DUMMYFUNCTION("""COMPUTED_VALUE"""),"Radical Evil Eye 14 lb")</f>
        <v>Radical Evil Eye 14 lb</v>
      </c>
      <c r="F14" s="49"/>
      <c r="G14" s="10" t="str">
        <f>IFERROR(__xludf.DUMMYFUNCTION("""COMPUTED_VALUE"""),"South")</f>
        <v>South</v>
      </c>
      <c r="H14" s="10">
        <f>IFERROR(__xludf.DUMMYFUNCTION("""COMPUTED_VALUE"""),46006.0)</f>
        <v>46006</v>
      </c>
      <c r="I14" s="24"/>
      <c r="J14" s="51"/>
      <c r="K14" s="52">
        <f>IFERROR(__xludf.DUMMYFUNCTION("""COMPUTED_VALUE"""),46006.0)</f>
        <v>46006</v>
      </c>
      <c r="L14" s="49" t="str">
        <f>IFERROR(__xludf.DUMMYFUNCTION("""COMPUTED_VALUE"""),"B Supply")</f>
        <v>B Supply</v>
      </c>
      <c r="M14" s="49">
        <f>IFERROR(__xludf.DUMMYFUNCTION("""COMPUTED_VALUE"""),507348.0)</f>
        <v>507348</v>
      </c>
      <c r="N14" s="53">
        <f>IFERROR(__xludf.DUMMYFUNCTION("""COMPUTED_VALUE"""),156.51)</f>
        <v>156.51</v>
      </c>
      <c r="O14" s="54">
        <f>IFERROR(__xludf.DUMMYFUNCTION("""COMPUTED_VALUE"""),650719.0)</f>
        <v>650719</v>
      </c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49" t="str">
        <f>IFERROR(__xludf.DUMMYFUNCTION("""COMPUTED_VALUE"""),"20251215-1VSK")</f>
        <v>20251215-1VSK</v>
      </c>
      <c r="B15" s="49" t="str">
        <f>IFERROR(__xludf.DUMMYFUNCTION("""COMPUTED_VALUE"""),"Michael Marinelli")</f>
        <v>Michael Marinelli</v>
      </c>
      <c r="C15" s="55"/>
      <c r="D15" s="49">
        <f>IFERROR(__xludf.DUMMYFUNCTION("""COMPUTED_VALUE"""),1.0)</f>
        <v>1</v>
      </c>
      <c r="E15" s="49" t="str">
        <f>IFERROR(__xludf.DUMMYFUNCTION("""COMPUTED_VALUE"""),"Brunswick Danger Zone Solid 14 lb")</f>
        <v>Brunswick Danger Zone Solid 14 lb</v>
      </c>
      <c r="F15" s="49"/>
      <c r="G15" s="10" t="str">
        <f>IFERROR(__xludf.DUMMYFUNCTION("""COMPUTED_VALUE"""),"Valley")</f>
        <v>Valley</v>
      </c>
      <c r="H15" s="10">
        <f>IFERROR(__xludf.DUMMYFUNCTION("""COMPUTED_VALUE"""),46006.0)</f>
        <v>46006</v>
      </c>
      <c r="I15" s="24"/>
      <c r="J15" s="51"/>
      <c r="K15" s="52">
        <f>IFERROR(__xludf.DUMMYFUNCTION("""COMPUTED_VALUE"""),46006.0)</f>
        <v>46006</v>
      </c>
      <c r="L15" s="49" t="str">
        <f>IFERROR(__xludf.DUMMYFUNCTION("""COMPUTED_VALUE"""),"B Supply")</f>
        <v>B Supply</v>
      </c>
      <c r="M15" s="49">
        <f>IFERROR(__xludf.DUMMYFUNCTION("""COMPUTED_VALUE"""),507348.0)</f>
        <v>507348</v>
      </c>
      <c r="N15" s="53">
        <f>IFERROR(__xludf.DUMMYFUNCTION("""COMPUTED_VALUE"""),99.28)</f>
        <v>99.28</v>
      </c>
      <c r="O15" s="54">
        <f>IFERROR(__xludf.DUMMYFUNCTION("""COMPUTED_VALUE"""),650719.0)</f>
        <v>650719</v>
      </c>
      <c r="P15" s="49"/>
      <c r="Q15" s="49" t="str">
        <f>IFERROR(__xludf.DUMMYFUNCTION("""COMPUTED_VALUE"""),"Y")</f>
        <v>Y</v>
      </c>
      <c r="R15" s="49" t="str">
        <f>IFERROR(__xludf.DUMMYFUNCTION("""COMPUTED_VALUE"""),"Y")</f>
        <v>Y</v>
      </c>
      <c r="S15" s="49"/>
      <c r="T15" s="49"/>
      <c r="U15" s="49"/>
      <c r="V15" s="49"/>
      <c r="W15" s="49"/>
      <c r="X15" s="49"/>
      <c r="Y15" s="49"/>
      <c r="Z15" s="49"/>
    </row>
    <row r="16">
      <c r="A16" s="49" t="str">
        <f>IFERROR(__xludf.DUMMYFUNCTION("""COMPUTED_VALUE"""),"20251215-1WVK")</f>
        <v>20251215-1WVK</v>
      </c>
      <c r="B16" s="49" t="str">
        <f>IFERROR(__xludf.DUMMYFUNCTION("""COMPUTED_VALUE"""),"Michael Marinelli")</f>
        <v>Michael Marinelli</v>
      </c>
      <c r="C16" s="55"/>
      <c r="D16" s="49">
        <f>IFERROR(__xludf.DUMMYFUNCTION("""COMPUTED_VALUE"""),1.0)</f>
        <v>1</v>
      </c>
      <c r="E16" s="49" t="str">
        <f>IFERROR(__xludf.DUMMYFUNCTION("""COMPUTED_VALUE"""),"Brunswick Danger Zone Pearl 14 lb ")</f>
        <v>Brunswick Danger Zone Pearl 14 lb </v>
      </c>
      <c r="F16" s="49"/>
      <c r="G16" s="10" t="str">
        <f>IFERROR(__xludf.DUMMYFUNCTION("""COMPUTED_VALUE"""),"South")</f>
        <v>South</v>
      </c>
      <c r="H16" s="10">
        <f>IFERROR(__xludf.DUMMYFUNCTION("""COMPUTED_VALUE"""),46006.0)</f>
        <v>46006</v>
      </c>
      <c r="I16" s="24"/>
      <c r="J16" s="51"/>
      <c r="K16" s="52">
        <f>IFERROR(__xludf.DUMMYFUNCTION("""COMPUTED_VALUE"""),46006.0)</f>
        <v>46006</v>
      </c>
      <c r="L16" s="49" t="str">
        <f>IFERROR(__xludf.DUMMYFUNCTION("""COMPUTED_VALUE"""),"B Supply")</f>
        <v>B Supply</v>
      </c>
      <c r="M16" s="49">
        <f>IFERROR(__xludf.DUMMYFUNCTION("""COMPUTED_VALUE"""),507348.0)</f>
        <v>507348</v>
      </c>
      <c r="N16" s="53">
        <f>IFERROR(__xludf.DUMMYFUNCTION("""COMPUTED_VALUE"""),99.28)</f>
        <v>99.28</v>
      </c>
      <c r="O16" s="54">
        <f>IFERROR(__xludf.DUMMYFUNCTION("""COMPUTED_VALUE"""),650719.0)</f>
        <v>650719</v>
      </c>
      <c r="P16" s="49"/>
      <c r="Q16" s="49" t="str">
        <f>IFERROR(__xludf.DUMMYFUNCTION("""COMPUTED_VALUE"""),"Y")</f>
        <v>Y</v>
      </c>
      <c r="R16" s="49" t="str">
        <f>IFERROR(__xludf.DUMMYFUNCTION("""COMPUTED_VALUE"""),"Y")</f>
        <v>Y</v>
      </c>
      <c r="S16" s="49"/>
      <c r="T16" s="49"/>
      <c r="U16" s="49"/>
      <c r="V16" s="49"/>
      <c r="W16" s="49"/>
      <c r="X16" s="49"/>
      <c r="Y16" s="49"/>
      <c r="Z16" s="49"/>
    </row>
    <row r="17">
      <c r="A17" s="49" t="str">
        <f>IFERROR(__xludf.DUMMYFUNCTION("""COMPUTED_VALUE"""),"20251215-MTN")</f>
        <v>20251215-MTN</v>
      </c>
      <c r="B17" s="49" t="str">
        <f>IFERROR(__xludf.DUMMYFUNCTION("""COMPUTED_VALUE"""),"Matt Lynott")</f>
        <v>Matt Lynott</v>
      </c>
      <c r="C17" s="55"/>
      <c r="D17" s="49">
        <f>IFERROR(__xludf.DUMMYFUNCTION("""COMPUTED_VALUE"""),1.0)</f>
        <v>1</v>
      </c>
      <c r="E17" s="49" t="str">
        <f>IFERROR(__xludf.DUMMYFUNCTION("""COMPUTED_VALUE"""),"Hammer NU 2.0 14 lb")</f>
        <v>Hammer NU 2.0 14 lb</v>
      </c>
      <c r="F17" s="49"/>
      <c r="G17" s="10" t="str">
        <f>IFERROR(__xludf.DUMMYFUNCTION("""COMPUTED_VALUE"""),"Valley")</f>
        <v>Valley</v>
      </c>
      <c r="H17" s="10">
        <f>IFERROR(__xludf.DUMMYFUNCTION("""COMPUTED_VALUE"""),46006.0)</f>
        <v>46006</v>
      </c>
      <c r="I17" s="24"/>
      <c r="J17" s="51"/>
      <c r="K17" s="52">
        <f>IFERROR(__xludf.DUMMYFUNCTION("""COMPUTED_VALUE"""),46006.0)</f>
        <v>46006</v>
      </c>
      <c r="L17" s="49" t="str">
        <f>IFERROR(__xludf.DUMMYFUNCTION("""COMPUTED_VALUE"""),"B Supply")</f>
        <v>B Supply</v>
      </c>
      <c r="M17" s="49">
        <f>IFERROR(__xludf.DUMMYFUNCTION("""COMPUTED_VALUE"""),507348.0)</f>
        <v>507348</v>
      </c>
      <c r="N17" s="53">
        <f>IFERROR(__xludf.DUMMYFUNCTION("""COMPUTED_VALUE"""),114.0)</f>
        <v>114</v>
      </c>
      <c r="O17" s="54">
        <f>IFERROR(__xludf.DUMMYFUNCTION("""COMPUTED_VALUE"""),650719.0)</f>
        <v>650719</v>
      </c>
      <c r="P17" s="49"/>
      <c r="Q17" s="49" t="str">
        <f>IFERROR(__xludf.DUMMYFUNCTION("""COMPUTED_VALUE"""),"Y")</f>
        <v>Y</v>
      </c>
      <c r="R17" s="49" t="str">
        <f>IFERROR(__xludf.DUMMYFUNCTION("""COMPUTED_VALUE"""),"Y")</f>
        <v>Y</v>
      </c>
      <c r="S17" s="49"/>
      <c r="T17" s="49"/>
      <c r="U17" s="49"/>
      <c r="V17" s="49"/>
      <c r="W17" s="49"/>
      <c r="X17" s="49"/>
      <c r="Y17" s="49"/>
      <c r="Z17" s="49"/>
    </row>
    <row r="18">
      <c r="A18" s="49" t="str">
        <f>IFERROR(__xludf.DUMMYFUNCTION("""COMPUTED_VALUE"""),"20251215-19EG")</f>
        <v>20251215-19EG</v>
      </c>
      <c r="B18" s="49" t="str">
        <f>IFERROR(__xludf.DUMMYFUNCTION("""COMPUTED_VALUE"""),"Mike Straut")</f>
        <v>Mike Straut</v>
      </c>
      <c r="C18" s="55"/>
      <c r="D18" s="49">
        <f>IFERROR(__xludf.DUMMYFUNCTION("""COMPUTED_VALUE"""),1.0)</f>
        <v>1</v>
      </c>
      <c r="E18" s="49" t="str">
        <f>IFERROR(__xludf.DUMMYFUNCTION("""COMPUTED_VALUE""")," Hammer Zero Mercy Solid 15 lb")</f>
        <v> Hammer Zero Mercy Solid 15 lb</v>
      </c>
      <c r="F18" s="49"/>
      <c r="G18" s="10" t="str">
        <f>IFERROR(__xludf.DUMMYFUNCTION("""COMPUTED_VALUE"""),"Valley")</f>
        <v>Valley</v>
      </c>
      <c r="H18" s="10">
        <f>IFERROR(__xludf.DUMMYFUNCTION("""COMPUTED_VALUE"""),46006.0)</f>
        <v>46006</v>
      </c>
      <c r="I18" s="24"/>
      <c r="J18" s="51"/>
      <c r="K18" s="52">
        <f>IFERROR(__xludf.DUMMYFUNCTION("""COMPUTED_VALUE"""),46006.0)</f>
        <v>46006</v>
      </c>
      <c r="L18" s="49" t="str">
        <f>IFERROR(__xludf.DUMMYFUNCTION("""COMPUTED_VALUE"""),"B Supply")</f>
        <v>B Supply</v>
      </c>
      <c r="M18" s="49">
        <f>IFERROR(__xludf.DUMMYFUNCTION("""COMPUTED_VALUE"""),507348.0)</f>
        <v>507348</v>
      </c>
      <c r="N18" s="53">
        <f>IFERROR(__xludf.DUMMYFUNCTION("""COMPUTED_VALUE"""),156.51)</f>
        <v>156.51</v>
      </c>
      <c r="O18" s="54">
        <f>IFERROR(__xludf.DUMMYFUNCTION("""COMPUTED_VALUE"""),650719.0)</f>
        <v>650719</v>
      </c>
      <c r="P18" s="49"/>
      <c r="Q18" s="49" t="str">
        <f>IFERROR(__xludf.DUMMYFUNCTION("""COMPUTED_VALUE"""),"Y")</f>
        <v>Y</v>
      </c>
      <c r="R18" s="49" t="str">
        <f>IFERROR(__xludf.DUMMYFUNCTION("""COMPUTED_VALUE"""),"Y")</f>
        <v>Y</v>
      </c>
      <c r="S18" s="49"/>
      <c r="T18" s="49"/>
      <c r="U18" s="49"/>
      <c r="V18" s="49"/>
      <c r="W18" s="49"/>
      <c r="X18" s="49"/>
      <c r="Y18" s="49"/>
      <c r="Z18" s="49"/>
    </row>
    <row r="19">
      <c r="A19" s="49" t="str">
        <f>IFERROR(__xludf.DUMMYFUNCTION("""COMPUTED_VALUE"""),"20251215-RUZ")</f>
        <v>20251215-RUZ</v>
      </c>
      <c r="B19" s="49" t="str">
        <f>IFERROR(__xludf.DUMMYFUNCTION("""COMPUTED_VALUE"""),"Jim")</f>
        <v>Jim</v>
      </c>
      <c r="C19" s="55"/>
      <c r="D19" s="49">
        <f>IFERROR(__xludf.DUMMYFUNCTION("""COMPUTED_VALUE"""),1.0)</f>
        <v>1</v>
      </c>
      <c r="E19" s="49" t="str">
        <f>IFERROR(__xludf.DUMMYFUNCTION("""COMPUTED_VALUE"""),"Hammer Zero Mercy Solid 14 lb")</f>
        <v>Hammer Zero Mercy Solid 14 lb</v>
      </c>
      <c r="F19" s="49"/>
      <c r="G19" s="10" t="str">
        <f>IFERROR(__xludf.DUMMYFUNCTION("""COMPUTED_VALUE"""),"Valley")</f>
        <v>Valley</v>
      </c>
      <c r="H19" s="10">
        <f>IFERROR(__xludf.DUMMYFUNCTION("""COMPUTED_VALUE"""),46006.0)</f>
        <v>46006</v>
      </c>
      <c r="I19" s="24"/>
      <c r="J19" s="51"/>
      <c r="K19" s="52">
        <f>IFERROR(__xludf.DUMMYFUNCTION("""COMPUTED_VALUE"""),46006.0)</f>
        <v>46006</v>
      </c>
      <c r="L19" s="49" t="str">
        <f>IFERROR(__xludf.DUMMYFUNCTION("""COMPUTED_VALUE"""),"B Supply")</f>
        <v>B Supply</v>
      </c>
      <c r="M19" s="49">
        <f>IFERROR(__xludf.DUMMYFUNCTION("""COMPUTED_VALUE"""),507348.0)</f>
        <v>507348</v>
      </c>
      <c r="N19" s="53">
        <f>IFERROR(__xludf.DUMMYFUNCTION("""COMPUTED_VALUE"""),156.51)</f>
        <v>156.51</v>
      </c>
      <c r="O19" s="54">
        <f>IFERROR(__xludf.DUMMYFUNCTION("""COMPUTED_VALUE"""),650719.0)</f>
        <v>650719</v>
      </c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49" t="str">
        <f>IFERROR(__xludf.DUMMYFUNCTION("""COMPUTED_VALUE"""),"20251215-RR9")</f>
        <v>20251215-RR9</v>
      </c>
      <c r="B20" s="49" t="str">
        <f>IFERROR(__xludf.DUMMYFUNCTION("""COMPUTED_VALUE"""),"Jim")</f>
        <v>Jim</v>
      </c>
      <c r="C20" s="55"/>
      <c r="D20" s="49">
        <f>IFERROR(__xludf.DUMMYFUNCTION("""COMPUTED_VALUE"""),1.0)</f>
        <v>1</v>
      </c>
      <c r="E20" s="49" t="str">
        <f>IFERROR(__xludf.DUMMYFUNCTION("""COMPUTED_VALUE"""),"Hammer Zero Mercy Pearl 14 lb")</f>
        <v>Hammer Zero Mercy Pearl 14 lb</v>
      </c>
      <c r="F20" s="49"/>
      <c r="G20" s="10" t="str">
        <f>IFERROR(__xludf.DUMMYFUNCTION("""COMPUTED_VALUE"""),"Valley")</f>
        <v>Valley</v>
      </c>
      <c r="H20" s="10">
        <f>IFERROR(__xludf.DUMMYFUNCTION("""COMPUTED_VALUE"""),46006.0)</f>
        <v>46006</v>
      </c>
      <c r="I20" s="24"/>
      <c r="J20" s="51"/>
      <c r="K20" s="52">
        <f>IFERROR(__xludf.DUMMYFUNCTION("""COMPUTED_VALUE"""),46006.0)</f>
        <v>46006</v>
      </c>
      <c r="L20" s="49" t="str">
        <f>IFERROR(__xludf.DUMMYFUNCTION("""COMPUTED_VALUE"""),"B Supply")</f>
        <v>B Supply</v>
      </c>
      <c r="M20" s="49">
        <f>IFERROR(__xludf.DUMMYFUNCTION("""COMPUTED_VALUE"""),507348.0)</f>
        <v>507348</v>
      </c>
      <c r="N20" s="53">
        <f>IFERROR(__xludf.DUMMYFUNCTION("""COMPUTED_VALUE"""),156.51)</f>
        <v>156.51</v>
      </c>
      <c r="O20" s="54">
        <f>IFERROR(__xludf.DUMMYFUNCTION("""COMPUTED_VALUE"""),650719.0)</f>
        <v>650719</v>
      </c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49" t="str">
        <f>IFERROR(__xludf.DUMMYFUNCTION("""COMPUTED_VALUE"""),"20251216-1F04")</f>
        <v>20251216-1F04</v>
      </c>
      <c r="B21" s="49" t="str">
        <f>IFERROR(__xludf.DUMMYFUNCTION("""COMPUTED_VALUE"""),"Tom Boylan")</f>
        <v>Tom Boylan</v>
      </c>
      <c r="C21" s="55" t="str">
        <f>IFERROR(__xludf.DUMMYFUNCTION("""COMPUTED_VALUE"""),"570-766-2123")</f>
        <v>570-766-2123</v>
      </c>
      <c r="D21" s="49">
        <f>IFERROR(__xludf.DUMMYFUNCTION("""COMPUTED_VALUE"""),1.0)</f>
        <v>1</v>
      </c>
      <c r="E21" s="49" t="str">
        <f>IFERROR(__xludf.DUMMYFUNCTION("""COMPUTED_VALUE"""),"Brunswick Hero size 11")</f>
        <v>Brunswick Hero size 11</v>
      </c>
      <c r="F21" s="49"/>
      <c r="G21" s="10"/>
      <c r="H21" s="10">
        <f>IFERROR(__xludf.DUMMYFUNCTION("""COMPUTED_VALUE"""),46007.0)</f>
        <v>46007</v>
      </c>
      <c r="I21" s="24"/>
      <c r="J21" s="51"/>
      <c r="K21" s="52">
        <f>IFERROR(__xludf.DUMMYFUNCTION("""COMPUTED_VALUE"""),46007.0)</f>
        <v>46007</v>
      </c>
      <c r="L21" s="49" t="str">
        <f>IFERROR(__xludf.DUMMYFUNCTION("""COMPUTED_VALUE"""),"B Supply")</f>
        <v>B Supply</v>
      </c>
      <c r="M21" s="49">
        <f>IFERROR(__xludf.DUMMYFUNCTION("""COMPUTED_VALUE"""),507849.0)</f>
        <v>507849</v>
      </c>
      <c r="N21" s="53">
        <f>IFERROR(__xludf.DUMMYFUNCTION("""COMPUTED_VALUE"""),42.47)</f>
        <v>42.47</v>
      </c>
      <c r="O21" s="54">
        <f>IFERROR(__xludf.DUMMYFUNCTION("""COMPUTED_VALUE"""),651223.0)</f>
        <v>651223</v>
      </c>
      <c r="P21" s="49"/>
      <c r="Q21" s="49" t="str">
        <f>IFERROR(__xludf.DUMMYFUNCTION("""COMPUTED_VALUE"""),"Y")</f>
        <v>Y</v>
      </c>
      <c r="R21" s="49" t="str">
        <f>IFERROR(__xludf.DUMMYFUNCTION("""COMPUTED_VALUE"""),"Y")</f>
        <v>Y</v>
      </c>
      <c r="S21" s="49"/>
      <c r="T21" s="49"/>
      <c r="U21" s="49"/>
      <c r="V21" s="49"/>
      <c r="W21" s="49"/>
      <c r="X21" s="49"/>
      <c r="Y21" s="49"/>
      <c r="Z21" s="49"/>
    </row>
    <row r="22">
      <c r="A22" s="49" t="str">
        <f>IFERROR(__xludf.DUMMYFUNCTION("""COMPUTED_VALUE"""),"20251216-2CCG")</f>
        <v>20251216-2CCG</v>
      </c>
      <c r="B22" s="49" t="str">
        <f>IFERROR(__xludf.DUMMYFUNCTION("""COMPUTED_VALUE"""),"Jim Bedford")</f>
        <v>Jim Bedford</v>
      </c>
      <c r="C22" s="50" t="str">
        <f>IFERROR(__xludf.DUMMYFUNCTION("""COMPUTED_VALUE"""),"570-840-1023")</f>
        <v>570-840-1023</v>
      </c>
      <c r="D22" s="49">
        <f>IFERROR(__xludf.DUMMYFUNCTION("""COMPUTED_VALUE"""),1.0)</f>
        <v>1</v>
      </c>
      <c r="E22" s="49" t="str">
        <f>IFERROR(__xludf.DUMMYFUNCTION("""COMPUTED_VALUE"""),"Brunswick T-zone berry blast 9 lb ")</f>
        <v>Brunswick T-zone berry blast 9 lb </v>
      </c>
      <c r="F22" s="49" t="str">
        <f>IFERROR(__xludf.DUMMYFUNCTION("""COMPUTED_VALUE"""),"adult/youth league")</f>
        <v>adult/youth league</v>
      </c>
      <c r="G22" s="49" t="str">
        <f>IFERROR(__xludf.DUMMYFUNCTION("""COMPUTED_VALUE"""),"Valley")</f>
        <v>Valley</v>
      </c>
      <c r="H22" s="52">
        <f>IFERROR(__xludf.DUMMYFUNCTION("""COMPUTED_VALUE"""),46007.0)</f>
        <v>46007</v>
      </c>
      <c r="I22" s="49"/>
      <c r="J22" s="51"/>
      <c r="K22" s="52">
        <f>IFERROR(__xludf.DUMMYFUNCTION("""COMPUTED_VALUE"""),46007.0)</f>
        <v>46007</v>
      </c>
      <c r="L22" s="49" t="str">
        <f>IFERROR(__xludf.DUMMYFUNCTION("""COMPUTED_VALUE"""),"B Supply")</f>
        <v>B Supply</v>
      </c>
      <c r="M22" s="49">
        <f>IFERROR(__xludf.DUMMYFUNCTION("""COMPUTED_VALUE"""),507849.0)</f>
        <v>507849</v>
      </c>
      <c r="N22" s="53">
        <f>IFERROR(__xludf.DUMMYFUNCTION("""COMPUTED_VALUE"""),50.11)</f>
        <v>50.11</v>
      </c>
      <c r="O22" s="54">
        <f>IFERROR(__xludf.DUMMYFUNCTION("""COMPUTED_VALUE"""),651344.0)</f>
        <v>651344</v>
      </c>
      <c r="P22" s="49"/>
      <c r="Q22" s="49" t="str">
        <f>IFERROR(__xludf.DUMMYFUNCTION("""COMPUTED_VALUE"""),"Y")</f>
        <v>Y</v>
      </c>
      <c r="R22" s="49" t="str">
        <f>IFERROR(__xludf.DUMMYFUNCTION("""COMPUTED_VALUE"""),"Y")</f>
        <v>Y</v>
      </c>
      <c r="S22" s="49"/>
      <c r="T22" s="49"/>
      <c r="U22" s="49"/>
      <c r="V22" s="49"/>
      <c r="W22" s="49"/>
      <c r="X22" s="49"/>
      <c r="Y22" s="49"/>
      <c r="Z22" s="49"/>
    </row>
    <row r="23">
      <c r="A23" s="49" t="str">
        <f>IFERROR(__xludf.DUMMYFUNCTION("""COMPUTED_VALUE"""),"20251216-1JK5")</f>
        <v>20251216-1JK5</v>
      </c>
      <c r="B23" s="49" t="str">
        <f>IFERROR(__xludf.DUMMYFUNCTION("""COMPUTED_VALUE"""),"Eddie Boroski")</f>
        <v>Eddie Boroski</v>
      </c>
      <c r="C23" s="50"/>
      <c r="D23" s="49">
        <f>IFERROR(__xludf.DUMMYFUNCTION("""COMPUTED_VALUE"""),1.0)</f>
        <v>1</v>
      </c>
      <c r="E23" s="49" t="str">
        <f>IFERROR(__xludf.DUMMYFUNCTION("""COMPUTED_VALUE"""),"Hammer Black Widow Tote w/Pouch")</f>
        <v>Hammer Black Widow Tote w/Pouch</v>
      </c>
      <c r="F23" s="49"/>
      <c r="G23" s="49"/>
      <c r="H23" s="52">
        <f>IFERROR(__xludf.DUMMYFUNCTION("""COMPUTED_VALUE"""),46007.0)</f>
        <v>46007</v>
      </c>
      <c r="I23" s="49"/>
      <c r="J23" s="51"/>
      <c r="K23" s="52">
        <f>IFERROR(__xludf.DUMMYFUNCTION("""COMPUTED_VALUE"""),46007.0)</f>
        <v>46007</v>
      </c>
      <c r="L23" s="49" t="str">
        <f>IFERROR(__xludf.DUMMYFUNCTION("""COMPUTED_VALUE"""),"B Supply")</f>
        <v>B Supply</v>
      </c>
      <c r="M23" s="49">
        <f>IFERROR(__xludf.DUMMYFUNCTION("""COMPUTED_VALUE"""),507849.0)</f>
        <v>507849</v>
      </c>
      <c r="N23" s="53">
        <f>IFERROR(__xludf.DUMMYFUNCTION("""COMPUTED_VALUE"""),33.25)</f>
        <v>33.25</v>
      </c>
      <c r="O23" s="54">
        <f>IFERROR(__xludf.DUMMYFUNCTION("""COMPUTED_VALUE"""),651344.0)</f>
        <v>651344</v>
      </c>
      <c r="P23" s="49"/>
      <c r="Q23" s="49" t="str">
        <f>IFERROR(__xludf.DUMMYFUNCTION("""COMPUTED_VALUE"""),"Y")</f>
        <v>Y</v>
      </c>
      <c r="R23" s="49" t="str">
        <f>IFERROR(__xludf.DUMMYFUNCTION("""COMPUTED_VALUE"""),"Y")</f>
        <v>Y</v>
      </c>
      <c r="S23" s="49"/>
      <c r="T23" s="49"/>
      <c r="U23" s="49"/>
      <c r="V23" s="49"/>
      <c r="W23" s="49"/>
      <c r="X23" s="49"/>
      <c r="Y23" s="49"/>
      <c r="Z23" s="49"/>
    </row>
    <row r="24">
      <c r="A24" s="49" t="str">
        <f>IFERROR(__xludf.DUMMYFUNCTION("""COMPUTED_VALUE"""),"20251216-11NH")</f>
        <v>20251216-11NH</v>
      </c>
      <c r="B24" s="49" t="str">
        <f>IFERROR(__xludf.DUMMYFUNCTION("""COMPUTED_VALUE"""),"Curt Sonneburg")</f>
        <v>Curt Sonneburg</v>
      </c>
      <c r="C24" s="50"/>
      <c r="D24" s="49">
        <f>IFERROR(__xludf.DUMMYFUNCTION("""COMPUTED_VALUE"""),1.0)</f>
        <v>1</v>
      </c>
      <c r="E24" s="49" t="str">
        <f>IFERROR(__xludf.DUMMYFUNCTION("""COMPUTED_VALUE"""),"Roto Grip Gremlin 12 lb")</f>
        <v>Roto Grip Gremlin 12 lb</v>
      </c>
      <c r="F24" s="49"/>
      <c r="G24" s="49"/>
      <c r="H24" s="52">
        <f>IFERROR(__xludf.DUMMYFUNCTION("""COMPUTED_VALUE"""),46007.0)</f>
        <v>46007</v>
      </c>
      <c r="I24" s="49"/>
      <c r="J24" s="51"/>
      <c r="K24" s="52">
        <f>IFERROR(__xludf.DUMMYFUNCTION("""COMPUTED_VALUE"""),46007.0)</f>
        <v>46007</v>
      </c>
      <c r="L24" s="49" t="str">
        <f>IFERROR(__xludf.DUMMYFUNCTION("""COMPUTED_VALUE"""),"B Supply")</f>
        <v>B Supply</v>
      </c>
      <c r="M24" s="49">
        <f>IFERROR(__xludf.DUMMYFUNCTION("""COMPUTED_VALUE"""),507849.0)</f>
        <v>507849</v>
      </c>
      <c r="N24" s="53">
        <f>IFERROR(__xludf.DUMMYFUNCTION("""COMPUTED_VALUE"""),130.63)</f>
        <v>130.63</v>
      </c>
      <c r="O24" s="54">
        <f>IFERROR(__xludf.DUMMYFUNCTION("""COMPUTED_VALUE"""),651344.0)</f>
        <v>651344</v>
      </c>
      <c r="P24" s="49"/>
      <c r="Q24" s="49" t="str">
        <f>IFERROR(__xludf.DUMMYFUNCTION("""COMPUTED_VALUE"""),"Y")</f>
        <v>Y</v>
      </c>
      <c r="R24" s="49" t="str">
        <f>IFERROR(__xludf.DUMMYFUNCTION("""COMPUTED_VALUE"""),"Y")</f>
        <v>Y</v>
      </c>
      <c r="S24" s="49"/>
      <c r="T24" s="49"/>
      <c r="U24" s="49"/>
      <c r="V24" s="49"/>
      <c r="W24" s="49"/>
      <c r="X24" s="49"/>
      <c r="Y24" s="49"/>
      <c r="Z24" s="49"/>
    </row>
    <row r="25">
      <c r="A25" s="49" t="str">
        <f>IFERROR(__xludf.DUMMYFUNCTION("""COMPUTED_VALUE"""),"18991230-17LL")</f>
        <v>18991230-17LL</v>
      </c>
      <c r="B25" s="49" t="str">
        <f>IFERROR(__xludf.DUMMYFUNCTION("""COMPUTED_VALUE"""),"Mike Miller")</f>
        <v>Mike Miller</v>
      </c>
      <c r="C25" s="50"/>
      <c r="D25" s="49">
        <f>IFERROR(__xludf.DUMMYFUNCTION("""COMPUTED_VALUE"""),1.0)</f>
        <v>1</v>
      </c>
      <c r="E25" s="49" t="str">
        <f>IFERROR(__xludf.DUMMYFUNCTION("""COMPUTED_VALUE"""),"Motiv Max Thrill Hybrid 15 lb")</f>
        <v>Motiv Max Thrill Hybrid 15 lb</v>
      </c>
      <c r="F25" s="49"/>
      <c r="G25" s="49" t="str">
        <f>IFERROR(__xludf.DUMMYFUNCTION("""COMPUTED_VALUE"""),"South")</f>
        <v>South</v>
      </c>
      <c r="H25" s="52"/>
      <c r="I25" s="49"/>
      <c r="J25" s="51"/>
      <c r="K25" s="52">
        <f>IFERROR(__xludf.DUMMYFUNCTION("""COMPUTED_VALUE"""),46015.0)</f>
        <v>46015</v>
      </c>
      <c r="L25" s="49" t="str">
        <f>IFERROR(__xludf.DUMMYFUNCTION("""COMPUTED_VALUE"""),"B Supply")</f>
        <v>B Supply</v>
      </c>
      <c r="M25" s="49">
        <f>IFERROR(__xludf.DUMMYFUNCTION("""COMPUTED_VALUE"""),509887.0)</f>
        <v>509887</v>
      </c>
      <c r="N25" s="53">
        <f>IFERROR(__xludf.DUMMYFUNCTION("""COMPUTED_VALUE"""),97.38)</f>
        <v>97.38</v>
      </c>
      <c r="O25" s="54">
        <f>IFERROR(__xludf.DUMMYFUNCTION("""COMPUTED_VALUE"""),653752.0)</f>
        <v>653752</v>
      </c>
      <c r="P25" s="49"/>
      <c r="Q25" s="49" t="str">
        <f>IFERROR(__xludf.DUMMYFUNCTION("""COMPUTED_VALUE"""),"Y")</f>
        <v>Y</v>
      </c>
      <c r="R25" s="49" t="str">
        <f>IFERROR(__xludf.DUMMYFUNCTION("""COMPUTED_VALUE"""),"Y")</f>
        <v>Y</v>
      </c>
      <c r="S25" s="49"/>
      <c r="T25" s="49"/>
      <c r="U25" s="49"/>
      <c r="V25" s="49"/>
      <c r="W25" s="49"/>
      <c r="X25" s="49"/>
      <c r="Y25" s="49"/>
      <c r="Z25" s="49"/>
    </row>
    <row r="26">
      <c r="A26" s="49" t="str">
        <f>IFERROR(__xludf.DUMMYFUNCTION("""COMPUTED_VALUE"""),"18991230-SMD")</f>
        <v>18991230-SMD</v>
      </c>
      <c r="B26" s="49" t="str">
        <f>IFERROR(__xludf.DUMMYFUNCTION("""COMPUTED_VALUE"""),"Keith")</f>
        <v>Keith</v>
      </c>
      <c r="C26" s="50"/>
      <c r="D26" s="49">
        <f>IFERROR(__xludf.DUMMYFUNCTION("""COMPUTED_VALUE"""),1.0)</f>
        <v>1</v>
      </c>
      <c r="E26" s="49" t="str">
        <f>IFERROR(__xludf.DUMMYFUNCTION("""COMPUTED_VALUE"""),"Hammer Maximum Effect 14 lb ")</f>
        <v>Hammer Maximum Effect 14 lb </v>
      </c>
      <c r="F26" s="49" t="str">
        <f>IFERROR(__xludf.DUMMYFUNCTION("""COMPUTED_VALUE"""),"to replace the one from Brunswick")</f>
        <v>to replace the one from Brunswick</v>
      </c>
      <c r="G26" s="49"/>
      <c r="H26" s="52"/>
      <c r="I26" s="49"/>
      <c r="J26" s="51"/>
      <c r="K26" s="52">
        <f>IFERROR(__xludf.DUMMYFUNCTION("""COMPUTED_VALUE"""),46015.0)</f>
        <v>46015</v>
      </c>
      <c r="L26" s="49" t="str">
        <f>IFERROR(__xludf.DUMMYFUNCTION("""COMPUTED_VALUE"""),"B Supply")</f>
        <v>B Supply</v>
      </c>
      <c r="M26" s="49">
        <f>IFERROR(__xludf.DUMMYFUNCTION("""COMPUTED_VALUE"""),509887.0)</f>
        <v>509887</v>
      </c>
      <c r="N26" s="53">
        <f>IFERROR(__xludf.DUMMYFUNCTION("""COMPUTED_VALUE"""),156.51)</f>
        <v>156.51</v>
      </c>
      <c r="O26" s="54">
        <f>IFERROR(__xludf.DUMMYFUNCTION("""COMPUTED_VALUE"""),653752.0)</f>
        <v>653752</v>
      </c>
      <c r="P26" s="49"/>
      <c r="Q26" s="49" t="str">
        <f>IFERROR(__xludf.DUMMYFUNCTION("""COMPUTED_VALUE"""),"na")</f>
        <v>na</v>
      </c>
      <c r="R26" s="49"/>
      <c r="S26" s="49"/>
      <c r="T26" s="49"/>
      <c r="U26" s="49"/>
      <c r="V26" s="49"/>
      <c r="W26" s="49"/>
      <c r="X26" s="49"/>
      <c r="Y26" s="49"/>
      <c r="Z26" s="49"/>
    </row>
    <row r="27">
      <c r="A27" s="49" t="str">
        <f>IFERROR(__xludf.DUMMYFUNCTION("""COMPUTED_VALUE"""),"20251221-1K51")</f>
        <v>20251221-1K51</v>
      </c>
      <c r="B27" s="49" t="str">
        <f>IFERROR(__xludf.DUMMYFUNCTION("""COMPUTED_VALUE"""),"Jade Hoakes ")</f>
        <v>Jade Hoakes </v>
      </c>
      <c r="C27" s="50" t="str">
        <f>IFERROR(__xludf.DUMMYFUNCTION("""COMPUTED_VALUE"""),"570-815-1482")</f>
        <v>570-815-1482</v>
      </c>
      <c r="D27" s="49">
        <f>IFERROR(__xludf.DUMMYFUNCTION("""COMPUTED_VALUE"""),1.0)</f>
        <v>1</v>
      </c>
      <c r="E27" s="49" t="str">
        <f>IFERROR(__xludf.DUMMYFUNCTION("""COMPUTED_VALUE"""),"Motiv Apex Jackyl 14 lb")</f>
        <v>Motiv Apex Jackyl 14 lb</v>
      </c>
      <c r="F27" s="49" t="str">
        <f>IFERROR(__xludf.DUMMYFUNCTION("""COMPUTED_VALUE"""),"Motiv 2-pack")</f>
        <v>Motiv 2-pack</v>
      </c>
      <c r="G27" s="49" t="str">
        <f>IFERROR(__xludf.DUMMYFUNCTION("""COMPUTED_VALUE"""),"South")</f>
        <v>South</v>
      </c>
      <c r="H27" s="52">
        <f>IFERROR(__xludf.DUMMYFUNCTION("""COMPUTED_VALUE"""),46012.0)</f>
        <v>46012</v>
      </c>
      <c r="I27" s="49" t="str">
        <f>IFERROR(__xludf.DUMMYFUNCTION("""COMPUTED_VALUE"""),"2025-12-28")</f>
        <v>2025-12-28</v>
      </c>
      <c r="J27" s="51"/>
      <c r="K27" s="52">
        <f>IFERROR(__xludf.DUMMYFUNCTION("""COMPUTED_VALUE"""),46015.0)</f>
        <v>46015</v>
      </c>
      <c r="L27" s="49" t="str">
        <f>IFERROR(__xludf.DUMMYFUNCTION("""COMPUTED_VALUE"""),"B Supply")</f>
        <v>B Supply</v>
      </c>
      <c r="M27" s="49">
        <f>IFERROR(__xludf.DUMMYFUNCTION("""COMPUTED_VALUE"""),509887.0)</f>
        <v>509887</v>
      </c>
      <c r="N27" s="53">
        <f>IFERROR(__xludf.DUMMYFUNCTION("""COMPUTED_VALUE"""),159.5)</f>
        <v>159.5</v>
      </c>
      <c r="O27" s="54">
        <f>IFERROR(__xludf.DUMMYFUNCTION("""COMPUTED_VALUE"""),654965.0)</f>
        <v>654965</v>
      </c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>
      <c r="A28" s="49" t="str">
        <f>IFERROR(__xludf.DUMMYFUNCTION("""COMPUTED_VALUE"""),"18991230-VPF")</f>
        <v>18991230-VPF</v>
      </c>
      <c r="B28" s="49" t="str">
        <f>IFERROR(__xludf.DUMMYFUNCTION("""COMPUTED_VALUE"""),"Mike Straut")</f>
        <v>Mike Straut</v>
      </c>
      <c r="C28" s="50"/>
      <c r="D28" s="49">
        <f>IFERROR(__xludf.DUMMYFUNCTION("""COMPUTED_VALUE"""),1.0)</f>
        <v>1</v>
      </c>
      <c r="E28" s="49" t="str">
        <f>IFERROR(__xludf.DUMMYFUNCTION("""COMPUTED_VALUE"""),"Motiv Apex Jackyl 15 lb")</f>
        <v>Motiv Apex Jackyl 15 lb</v>
      </c>
      <c r="F28" s="49" t="str">
        <f>IFERROR(__xludf.DUMMYFUNCTION("""COMPUTED_VALUE"""),"Motiv 2-pack")</f>
        <v>Motiv 2-pack</v>
      </c>
      <c r="G28" s="49"/>
      <c r="H28" s="52"/>
      <c r="I28" s="49"/>
      <c r="J28" s="51"/>
      <c r="K28" s="52">
        <f>IFERROR(__xludf.DUMMYFUNCTION("""COMPUTED_VALUE"""),46015.0)</f>
        <v>46015</v>
      </c>
      <c r="L28" s="49" t="str">
        <f>IFERROR(__xludf.DUMMYFUNCTION("""COMPUTED_VALUE"""),"B Supply")</f>
        <v>B Supply</v>
      </c>
      <c r="M28" s="49">
        <f>IFERROR(__xludf.DUMMYFUNCTION("""COMPUTED_VALUE"""),509887.0)</f>
        <v>509887</v>
      </c>
      <c r="N28" s="53">
        <f>IFERROR(__xludf.DUMMYFUNCTION("""COMPUTED_VALUE"""),159.5)</f>
        <v>159.5</v>
      </c>
      <c r="O28" s="54">
        <f>IFERROR(__xludf.DUMMYFUNCTION("""COMPUTED_VALUE"""),654965.0)</f>
        <v>654965</v>
      </c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>
      <c r="A29" s="49" t="str">
        <f>IFERROR(__xludf.DUMMYFUNCTION("""COMPUTED_VALUE"""),"20251223-T6F")</f>
        <v>20251223-T6F</v>
      </c>
      <c r="B29" s="49" t="str">
        <f>IFERROR(__xludf.DUMMYFUNCTION("""COMPUTED_VALUE"""),"Preston")</f>
        <v>Preston</v>
      </c>
      <c r="C29" s="50" t="str">
        <f>IFERROR(__xludf.DUMMYFUNCTION("""COMPUTED_VALUE"""),"215-801-0490")</f>
        <v>215-801-0490</v>
      </c>
      <c r="D29" s="49">
        <f>IFERROR(__xludf.DUMMYFUNCTION("""COMPUTED_VALUE"""),1.0)</f>
        <v>1</v>
      </c>
      <c r="E29" s="49" t="str">
        <f>IFERROR(__xludf.DUMMYFUNCTION("""COMPUTED_VALUE"""),"IQ tour - 15lbs")</f>
        <v>IQ tour - 15lbs</v>
      </c>
      <c r="F29" s="49" t="str">
        <f>IFERROR(__xludf.DUMMYFUNCTION("""COMPUTED_VALUE"""),"appt 1/4/26")</f>
        <v>appt 1/4/26</v>
      </c>
      <c r="G29" s="49" t="str">
        <f>IFERROR(__xludf.DUMMYFUNCTION("""COMPUTED_VALUE"""),"Valley ")</f>
        <v>Valley </v>
      </c>
      <c r="H29" s="52">
        <f>IFERROR(__xludf.DUMMYFUNCTION("""COMPUTED_VALUE"""),46014.0)</f>
        <v>46014</v>
      </c>
      <c r="I29" s="49" t="str">
        <f>IFERROR(__xludf.DUMMYFUNCTION("""COMPUTED_VALUE"""),"2025-12-28")</f>
        <v>2025-12-28</v>
      </c>
      <c r="J29" s="51"/>
      <c r="K29" s="52">
        <f>IFERROR(__xludf.DUMMYFUNCTION("""COMPUTED_VALUE"""),46015.0)</f>
        <v>46015</v>
      </c>
      <c r="L29" s="49" t="str">
        <f>IFERROR(__xludf.DUMMYFUNCTION("""COMPUTED_VALUE"""),"B Supply")</f>
        <v>B Supply</v>
      </c>
      <c r="M29" s="49">
        <f>IFERROR(__xludf.DUMMYFUNCTION("""COMPUTED_VALUE"""),509887.0)</f>
        <v>509887</v>
      </c>
      <c r="N29" s="53">
        <f>IFERROR(__xludf.DUMMYFUNCTION("""COMPUTED_VALUE"""),142.83)</f>
        <v>142.83</v>
      </c>
      <c r="O29" s="54">
        <f>IFERROR(__xludf.DUMMYFUNCTION("""COMPUTED_VALUE"""),653840.0)</f>
        <v>653840</v>
      </c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49" t="str">
        <f>IFERROR(__xludf.DUMMYFUNCTION("""COMPUTED_VALUE"""),"20251223-2YDJ")</f>
        <v>20251223-2YDJ</v>
      </c>
      <c r="B30" s="49" t="str">
        <f>IFERROR(__xludf.DUMMYFUNCTION("""COMPUTED_VALUE"""),"Preston")</f>
        <v>Preston</v>
      </c>
      <c r="C30" s="50" t="str">
        <f>IFERROR(__xludf.DUMMYFUNCTION("""COMPUTED_VALUE"""),"215-801-0490")</f>
        <v>215-801-0490</v>
      </c>
      <c r="D30" s="49">
        <f>IFERROR(__xludf.DUMMYFUNCTION("""COMPUTED_VALUE"""),1.0)</f>
        <v>1</v>
      </c>
      <c r="E30" s="49" t="str">
        <f>IFERROR(__xludf.DUMMYFUNCTION("""COMPUTED_VALUE"""),"KR strikeforce Avatiors - Size 8 - Male - Blue")</f>
        <v>KR strikeforce Avatiors - Size 8 - Male - Blue</v>
      </c>
      <c r="F30" s="49"/>
      <c r="G30" s="49" t="str">
        <f>IFERROR(__xludf.DUMMYFUNCTION("""COMPUTED_VALUE"""),"Valley ")</f>
        <v>Valley </v>
      </c>
      <c r="H30" s="52">
        <f>IFERROR(__xludf.DUMMYFUNCTION("""COMPUTED_VALUE"""),46014.0)</f>
        <v>46014</v>
      </c>
      <c r="I30" s="49" t="str">
        <f>IFERROR(__xludf.DUMMYFUNCTION("""COMPUTED_VALUE"""),"2025-12-28")</f>
        <v>2025-12-28</v>
      </c>
      <c r="J30" s="51"/>
      <c r="K30" s="52">
        <f>IFERROR(__xludf.DUMMYFUNCTION("""COMPUTED_VALUE"""),46015.0)</f>
        <v>46015</v>
      </c>
      <c r="L30" s="49" t="str">
        <f>IFERROR(__xludf.DUMMYFUNCTION("""COMPUTED_VALUE"""),"B Supply")</f>
        <v>B Supply</v>
      </c>
      <c r="M30" s="49">
        <f>IFERROR(__xludf.DUMMYFUNCTION("""COMPUTED_VALUE"""),509887.0)</f>
        <v>509887</v>
      </c>
      <c r="N30" s="53">
        <f>IFERROR(__xludf.DUMMYFUNCTION("""COMPUTED_VALUE"""),40.0)</f>
        <v>40</v>
      </c>
      <c r="O30" s="54">
        <f>IFERROR(__xludf.DUMMYFUNCTION("""COMPUTED_VALUE"""),653965.0)</f>
        <v>653965</v>
      </c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49" t="str">
        <f>IFERROR(__xludf.DUMMYFUNCTION("""COMPUTED_VALUE"""),"18991230-1G6C")</f>
        <v>18991230-1G6C</v>
      </c>
      <c r="B31" s="49" t="str">
        <f>IFERROR(__xludf.DUMMYFUNCTION("""COMPUTED_VALUE"""),"Tanya")</f>
        <v>Tanya</v>
      </c>
      <c r="C31" s="50" t="str">
        <f>IFERROR(__xludf.DUMMYFUNCTION("""COMPUTED_VALUE"""),"570-677-0591")</f>
        <v>570-677-0591</v>
      </c>
      <c r="D31" s="49">
        <f>IFERROR(__xludf.DUMMYFUNCTION("""COMPUTED_VALUE"""),1.0)</f>
        <v>1</v>
      </c>
      <c r="E31" s="49" t="str">
        <f>IFERROR(__xludf.DUMMYFUNCTION("""COMPUTED_VALUE"""),"Hammer Raw blue/orange 12 lb")</f>
        <v>Hammer Raw blue/orange 12 lb</v>
      </c>
      <c r="F31" s="49"/>
      <c r="G31" s="49" t="str">
        <f>IFERROR(__xludf.DUMMYFUNCTION("""COMPUTED_VALUE"""),"South")</f>
        <v>South</v>
      </c>
      <c r="H31" s="52"/>
      <c r="I31" s="49"/>
      <c r="J31" s="51"/>
      <c r="K31" s="52">
        <f>IFERROR(__xludf.DUMMYFUNCTION("""COMPUTED_VALUE"""),46015.0)</f>
        <v>46015</v>
      </c>
      <c r="L31" s="49" t="str">
        <f>IFERROR(__xludf.DUMMYFUNCTION("""COMPUTED_VALUE"""),"B Supply")</f>
        <v>B Supply</v>
      </c>
      <c r="M31" s="49">
        <f>IFERROR(__xludf.DUMMYFUNCTION("""COMPUTED_VALUE"""),509887.0)</f>
        <v>509887</v>
      </c>
      <c r="N31" s="53">
        <f>IFERROR(__xludf.DUMMYFUNCTION("""COMPUTED_VALUE"""),77.43)</f>
        <v>77.43</v>
      </c>
      <c r="O31" s="54">
        <f>IFERROR(__xludf.DUMMYFUNCTION("""COMPUTED_VALUE"""),653752.0)</f>
        <v>653752</v>
      </c>
      <c r="P31" s="49"/>
      <c r="Q31" s="49" t="str">
        <f>IFERROR(__xludf.DUMMYFUNCTION("""COMPUTED_VALUE"""),"Y")</f>
        <v>Y</v>
      </c>
      <c r="R31" s="49" t="str">
        <f>IFERROR(__xludf.DUMMYFUNCTION("""COMPUTED_VALUE"""),"Y")</f>
        <v>Y</v>
      </c>
      <c r="S31" s="49"/>
      <c r="T31" s="49"/>
      <c r="U31" s="49"/>
      <c r="V31" s="49"/>
      <c r="W31" s="49"/>
      <c r="X31" s="49"/>
      <c r="Y31" s="49"/>
      <c r="Z31" s="49"/>
    </row>
    <row r="32">
      <c r="A32" s="49" t="str">
        <f>IFERROR(__xludf.DUMMYFUNCTION("""COMPUTED_VALUE"""),"18991230-1ITE")</f>
        <v>18991230-1ITE</v>
      </c>
      <c r="B32" s="49" t="str">
        <f>IFERROR(__xludf.DUMMYFUNCTION("""COMPUTED_VALUE"""),"Chris Tirpak")</f>
        <v>Chris Tirpak</v>
      </c>
      <c r="C32" s="50"/>
      <c r="D32" s="49">
        <f>IFERROR(__xludf.DUMMYFUNCTION("""COMPUTED_VALUE"""),1.0)</f>
        <v>1</v>
      </c>
      <c r="E32" s="49" t="str">
        <f>IFERROR(__xludf.DUMMYFUNCTION("""COMPUTED_VALUE"""),"Brunswick Danger Zone Pearl 15 lb")</f>
        <v>Brunswick Danger Zone Pearl 15 lb</v>
      </c>
      <c r="F32" s="49"/>
      <c r="G32" s="49" t="str">
        <f>IFERROR(__xludf.DUMMYFUNCTION("""COMPUTED_VALUE"""),"South")</f>
        <v>South</v>
      </c>
      <c r="H32" s="52"/>
      <c r="I32" s="49"/>
      <c r="J32" s="51"/>
      <c r="K32" s="52">
        <f>IFERROR(__xludf.DUMMYFUNCTION("""COMPUTED_VALUE"""),46017.0)</f>
        <v>46017</v>
      </c>
      <c r="L32" s="49" t="str">
        <f>IFERROR(__xludf.DUMMYFUNCTION("""COMPUTED_VALUE"""),"Ace ")</f>
        <v>Ace </v>
      </c>
      <c r="M32" s="49">
        <f>IFERROR(__xludf.DUMMYFUNCTION("""COMPUTED_VALUE"""),5.00289617E8)</f>
        <v>500289617</v>
      </c>
      <c r="N32" s="53">
        <f>IFERROR(__xludf.DUMMYFUNCTION("""COMPUTED_VALUE"""),103.91)</f>
        <v>103.91</v>
      </c>
      <c r="O32" s="54">
        <f>IFERROR(__xludf.DUMMYFUNCTION("""COMPUTED_VALUE"""),1569642.0)</f>
        <v>1569642</v>
      </c>
      <c r="P32" s="49"/>
      <c r="Q32" s="49" t="str">
        <f>IFERROR(__xludf.DUMMYFUNCTION("""COMPUTED_VALUE"""),"Y")</f>
        <v>Y</v>
      </c>
      <c r="R32" s="49" t="str">
        <f>IFERROR(__xludf.DUMMYFUNCTION("""COMPUTED_VALUE"""),"Y")</f>
        <v>Y</v>
      </c>
      <c r="S32" s="49"/>
      <c r="T32" s="49"/>
      <c r="U32" s="49"/>
      <c r="V32" s="49"/>
      <c r="W32" s="49"/>
      <c r="X32" s="49"/>
      <c r="Y32" s="49"/>
      <c r="Z32" s="49"/>
    </row>
    <row r="33">
      <c r="A33" s="49" t="str">
        <f>IFERROR(__xludf.DUMMYFUNCTION("""COMPUTED_VALUE"""),"20251221-2G2D")</f>
        <v>20251221-2G2D</v>
      </c>
      <c r="B33" s="49" t="str">
        <f>IFERROR(__xludf.DUMMYFUNCTION("""COMPUTED_VALUE"""),"Austin Goble")</f>
        <v>Austin Goble</v>
      </c>
      <c r="C33" s="50" t="str">
        <f>IFERROR(__xludf.DUMMYFUNCTION("""COMPUTED_VALUE"""),"5702676102")</f>
        <v>5702676102</v>
      </c>
      <c r="D33" s="49">
        <f>IFERROR(__xludf.DUMMYFUNCTION("""COMPUTED_VALUE"""),1.0)</f>
        <v>1</v>
      </c>
      <c r="E33" s="49" t="str">
        <f>IFERROR(__xludf.DUMMYFUNCTION("""COMPUTED_VALUE"""),"Dexter Pro BOA - Size 10.5 - Red/black")</f>
        <v>Dexter Pro BOA - Size 10.5 - Red/black</v>
      </c>
      <c r="F33" s="49"/>
      <c r="G33" s="49" t="str">
        <f>IFERROR(__xludf.DUMMYFUNCTION("""COMPUTED_VALUE"""),"Valley ")</f>
        <v>Valley </v>
      </c>
      <c r="H33" s="52">
        <f>IFERROR(__xludf.DUMMYFUNCTION("""COMPUTED_VALUE"""),46012.0)</f>
        <v>46012</v>
      </c>
      <c r="I33" s="49" t="str">
        <f>IFERROR(__xludf.DUMMYFUNCTION("""COMPUTED_VALUE"""),"2025-12-28")</f>
        <v>2025-12-28</v>
      </c>
      <c r="J33" s="51"/>
      <c r="K33" s="52">
        <f>IFERROR(__xludf.DUMMYFUNCTION("""COMPUTED_VALUE"""),46020.0)</f>
        <v>46020</v>
      </c>
      <c r="L33" s="49" t="str">
        <f>IFERROR(__xludf.DUMMYFUNCTION("""COMPUTED_VALUE"""),"B Supply")</f>
        <v>B Supply</v>
      </c>
      <c r="M33" s="49">
        <f>IFERROR(__xludf.DUMMYFUNCTION("""COMPUTED_VALUE"""),510841.0)</f>
        <v>510841</v>
      </c>
      <c r="N33" s="53">
        <f>IFERROR(__xludf.DUMMYFUNCTION("""COMPUTED_VALUE"""),80.75)</f>
        <v>80.75</v>
      </c>
      <c r="O33" s="54">
        <f>IFERROR(__xludf.DUMMYFUNCTION("""COMPUTED_VALUE"""),669920.0)</f>
        <v>669920</v>
      </c>
      <c r="P33" s="49" t="str">
        <f>IFERROR(__xludf.DUMMYFUNCTION("""COMPUTED_VALUE"""),"Invoiced but not received")</f>
        <v>Invoiced but not received</v>
      </c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>
      <c r="A34" s="49" t="str">
        <f>IFERROR(__xludf.DUMMYFUNCTION("""COMPUTED_VALUE"""),"20251221-2SG2")</f>
        <v>20251221-2SG2</v>
      </c>
      <c r="B34" s="49" t="str">
        <f>IFERROR(__xludf.DUMMYFUNCTION("""COMPUTED_VALUE"""),"Jon Born")</f>
        <v>Jon Born</v>
      </c>
      <c r="C34" s="50" t="str">
        <f>IFERROR(__xludf.DUMMYFUNCTION("""COMPUTED_VALUE"""),"5702804981")</f>
        <v>5702804981</v>
      </c>
      <c r="D34" s="49">
        <f>IFERROR(__xludf.DUMMYFUNCTION("""COMPUTED_VALUE"""),1.0)</f>
        <v>1</v>
      </c>
      <c r="E34" s="49" t="str">
        <f>IFERROR(__xludf.DUMMYFUNCTION("""COMPUTED_VALUE"""),"Dexter pro boas - Size 10 - Male - White/grey")</f>
        <v>Dexter pro boas - Size 10 - Male - White/grey</v>
      </c>
      <c r="F34" s="49"/>
      <c r="G34" s="49" t="str">
        <f>IFERROR(__xludf.DUMMYFUNCTION("""COMPUTED_VALUE"""),"Valley ")</f>
        <v>Valley </v>
      </c>
      <c r="H34" s="52">
        <f>IFERROR(__xludf.DUMMYFUNCTION("""COMPUTED_VALUE"""),46012.0)</f>
        <v>46012</v>
      </c>
      <c r="I34" s="49" t="str">
        <f>IFERROR(__xludf.DUMMYFUNCTION("""COMPUTED_VALUE"""),"2025-12-28")</f>
        <v>2025-12-28</v>
      </c>
      <c r="J34" s="51"/>
      <c r="K34" s="52">
        <f>IFERROR(__xludf.DUMMYFUNCTION("""COMPUTED_VALUE"""),46020.0)</f>
        <v>46020</v>
      </c>
      <c r="L34" s="49" t="str">
        <f>IFERROR(__xludf.DUMMYFUNCTION("""COMPUTED_VALUE"""),"B Supply")</f>
        <v>B Supply</v>
      </c>
      <c r="M34" s="49">
        <f>IFERROR(__xludf.DUMMYFUNCTION("""COMPUTED_VALUE"""),510841.0)</f>
        <v>510841</v>
      </c>
      <c r="N34" s="53">
        <f>IFERROR(__xludf.DUMMYFUNCTION("""COMPUTED_VALUE"""),80.75)</f>
        <v>80.75</v>
      </c>
      <c r="O34" s="54">
        <f>IFERROR(__xludf.DUMMYFUNCTION("""COMPUTED_VALUE"""),669920.0)</f>
        <v>669920</v>
      </c>
      <c r="P34" s="49" t="str">
        <f>IFERROR(__xludf.DUMMYFUNCTION("""COMPUTED_VALUE"""),"Invoiced but not received")</f>
        <v>Invoiced but not received</v>
      </c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>
      <c r="A35" s="49" t="str">
        <f>IFERROR(__xludf.DUMMYFUNCTION("""COMPUTED_VALUE"""),"18991230-2DDP")</f>
        <v>18991230-2DDP</v>
      </c>
      <c r="B35" s="49" t="str">
        <f>IFERROR(__xludf.DUMMYFUNCTION("""COMPUTED_VALUE"""),"Kevin Williams")</f>
        <v>Kevin Williams</v>
      </c>
      <c r="C35" s="50" t="str">
        <f>IFERROR(__xludf.DUMMYFUNCTION("""COMPUTED_VALUE"""),"570-815-7256")</f>
        <v>570-815-7256</v>
      </c>
      <c r="D35" s="49">
        <f>IFERROR(__xludf.DUMMYFUNCTION("""COMPUTED_VALUE"""),1.0)</f>
        <v>1</v>
      </c>
      <c r="E35" s="49" t="str">
        <f>IFERROR(__xludf.DUMMYFUNCTION("""COMPUTED_VALUE"""),"KR Flyer Lite black size 10 &amp; 10.5")</f>
        <v>KR Flyer Lite black size 10 &amp; 10.5</v>
      </c>
      <c r="F35" s="49"/>
      <c r="G35" s="49"/>
      <c r="H35" s="52"/>
      <c r="I35" s="49"/>
      <c r="J35" s="51"/>
      <c r="K35" s="52">
        <f>IFERROR(__xludf.DUMMYFUNCTION("""COMPUTED_VALUE"""),46020.0)</f>
        <v>46020</v>
      </c>
      <c r="L35" s="49" t="str">
        <f>IFERROR(__xludf.DUMMYFUNCTION("""COMPUTED_VALUE"""),"B Supply")</f>
        <v>B Supply</v>
      </c>
      <c r="M35" s="49">
        <f>IFERROR(__xludf.DUMMYFUNCTION("""COMPUTED_VALUE"""),510841.0)</f>
        <v>510841</v>
      </c>
      <c r="N35" s="53">
        <f>IFERROR(__xludf.DUMMYFUNCTION("""COMPUTED_VALUE"""),28.03)</f>
        <v>28.03</v>
      </c>
      <c r="O35" s="54">
        <f>IFERROR(__xludf.DUMMYFUNCTION("""COMPUTED_VALUE"""),654885.0)</f>
        <v>654885</v>
      </c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>
      <c r="A36" s="49" t="str">
        <f>IFERROR(__xludf.DUMMYFUNCTION("""COMPUTED_VALUE"""),"18991230-1TCG")</f>
        <v>18991230-1TCG</v>
      </c>
      <c r="B36" s="49" t="str">
        <f>IFERROR(__xludf.DUMMYFUNCTION("""COMPUTED_VALUE"""),"Kevin Williams")</f>
        <v>Kevin Williams</v>
      </c>
      <c r="C36" s="50" t="str">
        <f>IFERROR(__xludf.DUMMYFUNCTION("""COMPUTED_VALUE"""),"570-815-7256")</f>
        <v>570-815-7256</v>
      </c>
      <c r="D36" s="49">
        <f>IFERROR(__xludf.DUMMYFUNCTION("""COMPUTED_VALUE"""),1.0)</f>
        <v>1</v>
      </c>
      <c r="E36" s="49" t="str">
        <f>IFERROR(__xludf.DUMMYFUNCTION("""COMPUTED_VALUE"""),"KR OPP black size 10 &amp; 10.5")</f>
        <v>KR OPP black size 10 &amp; 10.5</v>
      </c>
      <c r="F36" s="49"/>
      <c r="G36" s="49"/>
      <c r="H36" s="52"/>
      <c r="I36" s="49"/>
      <c r="J36" s="51"/>
      <c r="K36" s="52">
        <f>IFERROR(__xludf.DUMMYFUNCTION("""COMPUTED_VALUE"""),46020.0)</f>
        <v>46020</v>
      </c>
      <c r="L36" s="49" t="str">
        <f>IFERROR(__xludf.DUMMYFUNCTION("""COMPUTED_VALUE"""),"B Supply")</f>
        <v>B Supply</v>
      </c>
      <c r="M36" s="49">
        <f>IFERROR(__xludf.DUMMYFUNCTION("""COMPUTED_VALUE"""),510841.0)</f>
        <v>510841</v>
      </c>
      <c r="N36" s="53">
        <f>IFERROR(__xludf.DUMMYFUNCTION("""COMPUTED_VALUE"""),32.65)</f>
        <v>32.65</v>
      </c>
      <c r="O36" s="54">
        <f>IFERROR(__xludf.DUMMYFUNCTION("""COMPUTED_VALUE"""),654885.0)</f>
        <v>654885</v>
      </c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>
      <c r="A37" s="49" t="str">
        <f>IFERROR(__xludf.DUMMYFUNCTION("""COMPUTED_VALUE"""),"18991230-35TJ")</f>
        <v>18991230-35TJ</v>
      </c>
      <c r="B37" s="49" t="str">
        <f>IFERROR(__xludf.DUMMYFUNCTION("""COMPUTED_VALUE"""),"Kevin Williams")</f>
        <v>Kevin Williams</v>
      </c>
      <c r="C37" s="50" t="str">
        <f>IFERROR(__xludf.DUMMYFUNCTION("""COMPUTED_VALUE"""),"570-815-7256")</f>
        <v>570-815-7256</v>
      </c>
      <c r="D37" s="49">
        <f>IFERROR(__xludf.DUMMYFUNCTION("""COMPUTED_VALUE"""),1.0)</f>
        <v>1</v>
      </c>
      <c r="E37" s="49" t="str">
        <f>IFERROR(__xludf.DUMMYFUNCTION("""COMPUTED_VALUE"""),"KR Flyer Mesh Lite black/royal size 10.5 ")</f>
        <v>KR Flyer Mesh Lite black/royal size 10.5 </v>
      </c>
      <c r="F37" s="49"/>
      <c r="G37" s="49"/>
      <c r="H37" s="52"/>
      <c r="I37" s="49"/>
      <c r="J37" s="51"/>
      <c r="K37" s="52">
        <f>IFERROR(__xludf.DUMMYFUNCTION("""COMPUTED_VALUE"""),46020.0)</f>
        <v>46020</v>
      </c>
      <c r="L37" s="49" t="str">
        <f>IFERROR(__xludf.DUMMYFUNCTION("""COMPUTED_VALUE"""),"B Supply")</f>
        <v>B Supply</v>
      </c>
      <c r="M37" s="49">
        <f>IFERROR(__xludf.DUMMYFUNCTION("""COMPUTED_VALUE"""),510841.0)</f>
        <v>510841</v>
      </c>
      <c r="N37" s="53">
        <f>IFERROR(__xludf.DUMMYFUNCTION("""COMPUTED_VALUE"""),34.68)</f>
        <v>34.68</v>
      </c>
      <c r="O37" s="54">
        <f>IFERROR(__xludf.DUMMYFUNCTION("""COMPUTED_VALUE"""),654885.0)</f>
        <v>654885</v>
      </c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>
      <c r="A38" s="49" t="str">
        <f>IFERROR(__xludf.DUMMYFUNCTION("""COMPUTED_VALUE"""),"18991230-2S3Z")</f>
        <v>18991230-2S3Z</v>
      </c>
      <c r="B38" s="49" t="str">
        <f>IFERROR(__xludf.DUMMYFUNCTION("""COMPUTED_VALUE"""),"Kevin Williams")</f>
        <v>Kevin Williams</v>
      </c>
      <c r="C38" s="50" t="str">
        <f>IFERROR(__xludf.DUMMYFUNCTION("""COMPUTED_VALUE"""),"570-815-7256")</f>
        <v>570-815-7256</v>
      </c>
      <c r="D38" s="49">
        <f>IFERROR(__xludf.DUMMYFUNCTION("""COMPUTED_VALUE"""),1.0)</f>
        <v>1</v>
      </c>
      <c r="E38" s="49" t="str">
        <f>IFERROR(__xludf.DUMMYFUNCTION("""COMPUTED_VALUE"""),"Brunswick Renegade grey size 10 &amp; 10.5")</f>
        <v>Brunswick Renegade grey size 10 &amp; 10.5</v>
      </c>
      <c r="F38" s="49"/>
      <c r="G38" s="49"/>
      <c r="H38" s="52"/>
      <c r="I38" s="49"/>
      <c r="J38" s="51"/>
      <c r="K38" s="52">
        <f>IFERROR(__xludf.DUMMYFUNCTION("""COMPUTED_VALUE"""),46020.0)</f>
        <v>46020</v>
      </c>
      <c r="L38" s="49" t="str">
        <f>IFERROR(__xludf.DUMMYFUNCTION("""COMPUTED_VALUE"""),"B Supply")</f>
        <v>B Supply</v>
      </c>
      <c r="M38" s="49">
        <f>IFERROR(__xludf.DUMMYFUNCTION("""COMPUTED_VALUE"""),510841.0)</f>
        <v>510841</v>
      </c>
      <c r="N38" s="53">
        <f>IFERROR(__xludf.DUMMYFUNCTION("""COMPUTED_VALUE"""),37.43)</f>
        <v>37.43</v>
      </c>
      <c r="O38" s="54">
        <f>IFERROR(__xludf.DUMMYFUNCTION("""COMPUTED_VALUE"""),654885.0)</f>
        <v>654885</v>
      </c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>
      <c r="A39" s="49" t="str">
        <f>IFERROR(__xludf.DUMMYFUNCTION("""COMPUTED_VALUE"""),"18991230-1IFU")</f>
        <v>18991230-1IFU</v>
      </c>
      <c r="B39" s="49" t="str">
        <f>IFERROR(__xludf.DUMMYFUNCTION("""COMPUTED_VALUE"""),"Chris Macavage")</f>
        <v>Chris Macavage</v>
      </c>
      <c r="C39" s="50" t="str">
        <f>IFERROR(__xludf.DUMMYFUNCTION("""COMPUTED_VALUE"""),"570-504-4611")</f>
        <v>570-504-4611</v>
      </c>
      <c r="D39" s="49">
        <f>IFERROR(__xludf.DUMMYFUNCTION("""COMPUTED_VALUE"""),1.0)</f>
        <v>1</v>
      </c>
      <c r="E39" s="49" t="str">
        <f>IFERROR(__xludf.DUMMYFUNCTION("""COMPUTED_VALUE"""),"Hammer Dynasty 15 lb")</f>
        <v>Hammer Dynasty 15 lb</v>
      </c>
      <c r="F39" s="49"/>
      <c r="G39" s="49"/>
      <c r="H39" s="52"/>
      <c r="I39" s="49"/>
      <c r="J39" s="51"/>
      <c r="K39" s="52">
        <f>IFERROR(__xludf.DUMMYFUNCTION("""COMPUTED_VALUE"""),46020.0)</f>
        <v>46020</v>
      </c>
      <c r="L39" s="49" t="str">
        <f>IFERROR(__xludf.DUMMYFUNCTION("""COMPUTED_VALUE"""),"Brunswick")</f>
        <v>Brunswick</v>
      </c>
      <c r="M39" s="49"/>
      <c r="N39" s="53">
        <f>IFERROR(__xludf.DUMMYFUNCTION("""COMPUTED_VALUE"""),95.4)</f>
        <v>95.4</v>
      </c>
      <c r="O39" s="54">
        <f>IFERROR(__xludf.DUMMYFUNCTION("""COMPUTED_VALUE"""),7414840.0)</f>
        <v>7414840</v>
      </c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>
      <c r="A40" s="49" t="str">
        <f>IFERROR(__xludf.DUMMYFUNCTION("""COMPUTED_VALUE"""),"18991230-11J1")</f>
        <v>18991230-11J1</v>
      </c>
      <c r="B40" s="49" t="str">
        <f>IFERROR(__xludf.DUMMYFUNCTION("""COMPUTED_VALUE"""),"Eddie Kozloski")</f>
        <v>Eddie Kozloski</v>
      </c>
      <c r="C40" s="50"/>
      <c r="D40" s="49">
        <f>IFERROR(__xludf.DUMMYFUNCTION("""COMPUTED_VALUE"""),1.0)</f>
        <v>1</v>
      </c>
      <c r="E40" s="49" t="str">
        <f>IFERROR(__xludf.DUMMYFUNCTION("""COMPUTED_VALUE"""),"Motiv Apex Jackyl 15 lb")</f>
        <v>Motiv Apex Jackyl 15 lb</v>
      </c>
      <c r="F40" s="49"/>
      <c r="G40" s="49"/>
      <c r="H40" s="52"/>
      <c r="I40" s="49"/>
      <c r="J40" s="51"/>
      <c r="K40" s="52">
        <f>IFERROR(__xludf.DUMMYFUNCTION("""COMPUTED_VALUE"""),46022.0)</f>
        <v>46022</v>
      </c>
      <c r="L40" s="49" t="str">
        <f>IFERROR(__xludf.DUMMYFUNCTION("""COMPUTED_VALUE"""),"B Supply")</f>
        <v>B Supply</v>
      </c>
      <c r="M40" s="49"/>
      <c r="N40" s="53">
        <f>IFERROR(__xludf.DUMMYFUNCTION("""COMPUTED_VALUE"""),159.5)</f>
        <v>159.5</v>
      </c>
      <c r="O40" s="54">
        <f>IFERROR(__xludf.DUMMYFUNCTION("""COMPUTED_VALUE"""),656792.0)</f>
        <v>656792</v>
      </c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>
      <c r="A41" s="49" t="str">
        <f>IFERROR(__xludf.DUMMYFUNCTION("""COMPUTED_VALUE"""),"---")</f>
        <v>---</v>
      </c>
      <c r="B41" s="49" t="str">
        <f>IFERROR(__xludf.DUMMYFUNCTION("""COMPUTED_VALUE"""),"---")</f>
        <v>---</v>
      </c>
      <c r="C41" s="50" t="str">
        <f>IFERROR(__xludf.DUMMYFUNCTION("""COMPUTED_VALUE"""),"Marie Caporali")</f>
        <v>Marie Caporali</v>
      </c>
      <c r="D41" s="49"/>
      <c r="E41" s="49" t="str">
        <f>IFERROR(__xludf.DUMMYFUNCTION("""COMPUTED_VALUE"""),"Valley")</f>
        <v>Valley</v>
      </c>
      <c r="F41" s="49" t="str">
        <f>IFERROR(__xludf.DUMMYFUNCTION("""COMPUTED_VALUE"""),"Valley")</f>
        <v>Valley</v>
      </c>
      <c r="G41" s="49" t="str">
        <f>IFERROR(__xludf.DUMMYFUNCTION("""COMPUTED_VALUE"""),"Brunswick Strikezone White/Teal size 2")</f>
        <v>Brunswick Strikezone White/Teal size 2</v>
      </c>
      <c r="H41" s="52"/>
      <c r="I41" s="49" t="str">
        <f>IFERROR(__xludf.DUMMYFUNCTION("""COMPUTED_VALUE"""),"CM51250991264")</f>
        <v>CM51250991264</v>
      </c>
      <c r="J41" s="51">
        <f>IFERROR(__xludf.DUMMYFUNCTION("""COMPUTED_VALUE"""),46027.0)</f>
        <v>46027</v>
      </c>
      <c r="K41" s="52"/>
      <c r="L41" s="49" t="str">
        <f>IFERROR(__xludf.DUMMYFUNCTION("""COMPUTED_VALUE"""),"B Supply")</f>
        <v>B Supply</v>
      </c>
      <c r="M41" s="49">
        <f>IFERROR(__xludf.DUMMYFUNCTION("""COMPUTED_VALUE"""),512257.0)</f>
        <v>512257</v>
      </c>
      <c r="N41" s="53">
        <f>IFERROR(__xludf.DUMMYFUNCTION("""COMPUTED_VALUE"""),34.87)</f>
        <v>34.87</v>
      </c>
      <c r="O41" s="54">
        <f>IFERROR(__xludf.DUMMYFUNCTION("""COMPUTED_VALUE"""),656633.0)</f>
        <v>656633</v>
      </c>
      <c r="P41" s="49" t="str">
        <f>IFERROR(__xludf.DUMMYFUNCTION("""COMPUTED_VALUE"""),"Y")</f>
        <v>Y</v>
      </c>
      <c r="Q41" s="49" t="str">
        <f>IFERROR(__xludf.DUMMYFUNCTION("""COMPUTED_VALUE"""),"Y")</f>
        <v>Y</v>
      </c>
      <c r="R41" s="49"/>
      <c r="S41" s="49"/>
      <c r="T41" s="49"/>
      <c r="U41" s="49"/>
      <c r="V41" s="49"/>
      <c r="W41" s="49"/>
      <c r="X41" s="49"/>
      <c r="Y41" s="49"/>
      <c r="Z41" s="49"/>
    </row>
    <row r="42">
      <c r="A42" s="49" t="str">
        <f>IFERROR(__xludf.DUMMYFUNCTION("""COMPUTED_VALUE"""),"---")</f>
        <v>---</v>
      </c>
      <c r="B42" s="49" t="str">
        <f>IFERROR(__xludf.DUMMYFUNCTION("""COMPUTED_VALUE"""),"---")</f>
        <v>---</v>
      </c>
      <c r="C42" s="50" t="str">
        <f>IFERROR(__xludf.DUMMYFUNCTION("""COMPUTED_VALUE"""),"Stock")</f>
        <v>Stock</v>
      </c>
      <c r="D42" s="49"/>
      <c r="E42" s="49"/>
      <c r="F42" s="49"/>
      <c r="G42" s="49" t="str">
        <f>IFERROR(__xludf.DUMMYFUNCTION("""COMPUTED_VALUE"""),"TG blue 39")</f>
        <v>TG blue 39</v>
      </c>
      <c r="H42" s="52"/>
      <c r="I42" s="49"/>
      <c r="J42" s="51">
        <f>IFERROR(__xludf.DUMMYFUNCTION("""COMPUTED_VALUE"""),46027.0)</f>
        <v>46027</v>
      </c>
      <c r="K42" s="52"/>
      <c r="L42" s="49" t="str">
        <f>IFERROR(__xludf.DUMMYFUNCTION("""COMPUTED_VALUE"""),"B Supply")</f>
        <v>B Supply</v>
      </c>
      <c r="M42" s="49">
        <f>IFERROR(__xludf.DUMMYFUNCTION("""COMPUTED_VALUE"""),512257.0)</f>
        <v>512257</v>
      </c>
      <c r="N42" s="53">
        <f>IFERROR(__xludf.DUMMYFUNCTION("""COMPUTED_VALUE"""),1.14)</f>
        <v>1.14</v>
      </c>
      <c r="O42" s="54">
        <f>IFERROR(__xludf.DUMMYFUNCTION("""COMPUTED_VALUE"""),656633.0)</f>
        <v>656633</v>
      </c>
      <c r="P42" s="49" t="str">
        <f>IFERROR(__xludf.DUMMYFUNCTION("""COMPUTED_VALUE"""),"na")</f>
        <v>na</v>
      </c>
      <c r="Q42" s="49" t="str">
        <f>IFERROR(__xludf.DUMMYFUNCTION("""COMPUTED_VALUE"""),"na")</f>
        <v>na</v>
      </c>
      <c r="R42" s="49"/>
      <c r="S42" s="49"/>
      <c r="T42" s="49"/>
      <c r="U42" s="49"/>
      <c r="V42" s="49"/>
      <c r="W42" s="49"/>
      <c r="X42" s="49"/>
      <c r="Y42" s="49"/>
      <c r="Z42" s="49"/>
    </row>
    <row r="43">
      <c r="A43" s="49" t="str">
        <f>IFERROR(__xludf.DUMMYFUNCTION("""COMPUTED_VALUE"""),"---")</f>
        <v>---</v>
      </c>
      <c r="B43" s="49" t="str">
        <f>IFERROR(__xludf.DUMMYFUNCTION("""COMPUTED_VALUE"""),"---")</f>
        <v>---</v>
      </c>
      <c r="C43" s="50" t="str">
        <f>IFERROR(__xludf.DUMMYFUNCTION("""COMPUTED_VALUE"""),"Maura Wisnefski")</f>
        <v>Maura Wisnefski</v>
      </c>
      <c r="D43" s="49"/>
      <c r="E43" s="49" t="str">
        <f>IFERROR(__xludf.DUMMYFUNCTION("""COMPUTED_VALUE"""),"South")</f>
        <v>South</v>
      </c>
      <c r="F43" s="49" t="str">
        <f>IFERROR(__xludf.DUMMYFUNCTION("""COMPUTED_VALUE"""),"South")</f>
        <v>South</v>
      </c>
      <c r="G43" s="49" t="str">
        <f>IFERROR(__xludf.DUMMYFUNCTION("""COMPUTED_VALUE"""),"Brunswick Twist Lavender/Lime 12 lbs.")</f>
        <v>Brunswick Twist Lavender/Lime 12 lbs.</v>
      </c>
      <c r="H43" s="52"/>
      <c r="I43" s="49"/>
      <c r="J43" s="51">
        <f>IFERROR(__xludf.DUMMYFUNCTION("""COMPUTED_VALUE"""),46027.0)</f>
        <v>46027</v>
      </c>
      <c r="K43" s="52"/>
      <c r="L43" s="49" t="str">
        <f>IFERROR(__xludf.DUMMYFUNCTION("""COMPUTED_VALUE"""),"B Supply")</f>
        <v>B Supply</v>
      </c>
      <c r="M43" s="49">
        <f>IFERROR(__xludf.DUMMYFUNCTION("""COMPUTED_VALUE"""),512257.0)</f>
        <v>512257</v>
      </c>
      <c r="N43" s="53">
        <f>IFERROR(__xludf.DUMMYFUNCTION("""COMPUTED_VALUE"""),60.8)</f>
        <v>60.8</v>
      </c>
      <c r="O43" s="54">
        <f>IFERROR(__xludf.DUMMYFUNCTION("""COMPUTED_VALUE"""),656633.0)</f>
        <v>656633</v>
      </c>
      <c r="P43" s="49" t="str">
        <f>IFERROR(__xludf.DUMMYFUNCTION("""COMPUTED_VALUE"""),"Y")</f>
        <v>Y</v>
      </c>
      <c r="Q43" s="49" t="str">
        <f>IFERROR(__xludf.DUMMYFUNCTION("""COMPUTED_VALUE"""),"Y")</f>
        <v>Y</v>
      </c>
      <c r="R43" s="49"/>
      <c r="S43" s="49"/>
      <c r="T43" s="49"/>
      <c r="U43" s="49"/>
      <c r="V43" s="49"/>
      <c r="W43" s="49"/>
      <c r="X43" s="49"/>
      <c r="Y43" s="49"/>
      <c r="Z43" s="49"/>
    </row>
    <row r="44">
      <c r="A44" s="49" t="str">
        <f>IFERROR(__xludf.DUMMYFUNCTION("""COMPUTED_VALUE"""),"---")</f>
        <v>---</v>
      </c>
      <c r="B44" s="49" t="str">
        <f>IFERROR(__xludf.DUMMYFUNCTION("""COMPUTED_VALUE"""),"---")</f>
        <v>---</v>
      </c>
      <c r="C44" s="50" t="str">
        <f>IFERROR(__xludf.DUMMYFUNCTION("""COMPUTED_VALUE"""),"Stock")</f>
        <v>Stock</v>
      </c>
      <c r="D44" s="49"/>
      <c r="E44" s="49"/>
      <c r="F44" s="49"/>
      <c r="G44" s="49" t="str">
        <f>IFERROR(__xludf.DUMMYFUNCTION("""COMPUTED_VALUE"""),"TG ice 39")</f>
        <v>TG ice 39</v>
      </c>
      <c r="H44" s="52"/>
      <c r="I44" s="49"/>
      <c r="J44" s="51">
        <f>IFERROR(__xludf.DUMMYFUNCTION("""COMPUTED_VALUE"""),46027.0)</f>
        <v>46027</v>
      </c>
      <c r="K44" s="52"/>
      <c r="L44" s="49" t="str">
        <f>IFERROR(__xludf.DUMMYFUNCTION("""COMPUTED_VALUE"""),"B Supply")</f>
        <v>B Supply</v>
      </c>
      <c r="M44" s="49">
        <f>IFERROR(__xludf.DUMMYFUNCTION("""COMPUTED_VALUE"""),512257.0)</f>
        <v>512257</v>
      </c>
      <c r="N44" s="53">
        <f>IFERROR(__xludf.DUMMYFUNCTION("""COMPUTED_VALUE"""),1.14)</f>
        <v>1.14</v>
      </c>
      <c r="O44" s="54">
        <f>IFERROR(__xludf.DUMMYFUNCTION("""COMPUTED_VALUE"""),656633.0)</f>
        <v>656633</v>
      </c>
      <c r="P44" s="49" t="str">
        <f>IFERROR(__xludf.DUMMYFUNCTION("""COMPUTED_VALUE"""),"na")</f>
        <v>na</v>
      </c>
      <c r="Q44" s="49" t="str">
        <f>IFERROR(__xludf.DUMMYFUNCTION("""COMPUTED_VALUE"""),"na")</f>
        <v>na</v>
      </c>
      <c r="R44" s="49"/>
      <c r="S44" s="49"/>
      <c r="T44" s="49"/>
      <c r="U44" s="49"/>
      <c r="V44" s="49"/>
      <c r="W44" s="49"/>
      <c r="X44" s="49"/>
      <c r="Y44" s="49"/>
      <c r="Z44" s="49"/>
    </row>
    <row r="45">
      <c r="A45" s="49" t="str">
        <f>IFERROR(__xludf.DUMMYFUNCTION("""COMPUTED_VALUE"""),"---")</f>
        <v>---</v>
      </c>
      <c r="B45" s="49" t="str">
        <f>IFERROR(__xludf.DUMMYFUNCTION("""COMPUTED_VALUE"""),"---")</f>
        <v>---</v>
      </c>
      <c r="C45" s="50" t="str">
        <f>IFERROR(__xludf.DUMMYFUNCTION("""COMPUTED_VALUE"""),"Stock")</f>
        <v>Stock</v>
      </c>
      <c r="D45" s="49"/>
      <c r="E45" s="49" t="str">
        <f>IFERROR(__xludf.DUMMYFUNCTION("""COMPUTED_VALUE"""),"Valley")</f>
        <v>Valley</v>
      </c>
      <c r="F45" s="49" t="str">
        <f>IFERROR(__xludf.DUMMYFUNCTION("""COMPUTED_VALUE"""),"Valley")</f>
        <v>Valley</v>
      </c>
      <c r="G45" s="49" t="str">
        <f>IFERROR(__xludf.DUMMYFUNCTION("""COMPUTED_VALUE"""),"Hammer NU 2.0 15 lb")</f>
        <v>Hammer NU 2.0 15 lb</v>
      </c>
      <c r="H45" s="52"/>
      <c r="I45" s="49"/>
      <c r="J45" s="51">
        <f>IFERROR(__xludf.DUMMYFUNCTION("""COMPUTED_VALUE"""),46027.0)</f>
        <v>46027</v>
      </c>
      <c r="K45" s="52"/>
      <c r="L45" s="49" t="str">
        <f>IFERROR(__xludf.DUMMYFUNCTION("""COMPUTED_VALUE"""),"B Supply")</f>
        <v>B Supply</v>
      </c>
      <c r="M45" s="49">
        <f>IFERROR(__xludf.DUMMYFUNCTION("""COMPUTED_VALUE"""),512257.0)</f>
        <v>512257</v>
      </c>
      <c r="N45" s="53">
        <f>IFERROR(__xludf.DUMMYFUNCTION("""COMPUTED_VALUE"""),114.0)</f>
        <v>114</v>
      </c>
      <c r="O45" s="54">
        <f>IFERROR(__xludf.DUMMYFUNCTION("""COMPUTED_VALUE"""),656633.0)</f>
        <v>656633</v>
      </c>
      <c r="P45" s="49" t="str">
        <f>IFERROR(__xludf.DUMMYFUNCTION("""COMPUTED_VALUE"""),"na")</f>
        <v>na</v>
      </c>
      <c r="Q45" s="49" t="str">
        <f>IFERROR(__xludf.DUMMYFUNCTION("""COMPUTED_VALUE"""),"na")</f>
        <v>na</v>
      </c>
      <c r="R45" s="49"/>
      <c r="S45" s="49"/>
      <c r="T45" s="49"/>
      <c r="U45" s="49"/>
      <c r="V45" s="49"/>
      <c r="W45" s="49"/>
      <c r="X45" s="49"/>
      <c r="Y45" s="49"/>
      <c r="Z45" s="49"/>
    </row>
    <row r="46">
      <c r="A46" s="49" t="str">
        <f>IFERROR(__xludf.DUMMYFUNCTION("""COMPUTED_VALUE"""),"---")</f>
        <v>---</v>
      </c>
      <c r="B46" s="49" t="str">
        <f>IFERROR(__xludf.DUMMYFUNCTION("""COMPUTED_VALUE"""),"---")</f>
        <v>---</v>
      </c>
      <c r="C46" s="50" t="str">
        <f>IFERROR(__xludf.DUMMYFUNCTION("""COMPUTED_VALUE"""),"Angelo Barry")</f>
        <v>Angelo Barry</v>
      </c>
      <c r="D46" s="49"/>
      <c r="E46" s="49" t="str">
        <f>IFERROR(__xludf.DUMMYFUNCTION("""COMPUTED_VALUE"""),"South")</f>
        <v>South</v>
      </c>
      <c r="F46" s="49" t="str">
        <f>IFERROR(__xludf.DUMMYFUNCTION("""COMPUTED_VALUE"""),"South")</f>
        <v>South</v>
      </c>
      <c r="G46" s="49" t="str">
        <f>IFERROR(__xludf.DUMMYFUNCTION("""COMPUTED_VALUE"""),"Danger Zone Solid 15lb")</f>
        <v>Danger Zone Solid 15lb</v>
      </c>
      <c r="H46" s="52"/>
      <c r="I46" s="49"/>
      <c r="J46" s="51">
        <f>IFERROR(__xludf.DUMMYFUNCTION("""COMPUTED_VALUE"""),46041.0)</f>
        <v>46041</v>
      </c>
      <c r="K46" s="52"/>
      <c r="L46" s="49" t="str">
        <f>IFERROR(__xludf.DUMMYFUNCTION("""COMPUTED_VALUE"""),"B Supply")</f>
        <v>B Supply</v>
      </c>
      <c r="M46" s="49">
        <f>IFERROR(__xludf.DUMMYFUNCTION("""COMPUTED_VALUE"""),515661.0)</f>
        <v>515661</v>
      </c>
      <c r="N46" s="53">
        <f>IFERROR(__xludf.DUMMYFUNCTION("""COMPUTED_VALUE"""),99.28)</f>
        <v>99.28</v>
      </c>
      <c r="O46" s="54">
        <f>IFERROR(__xludf.DUMMYFUNCTION("""COMPUTED_VALUE"""),660652.0)</f>
        <v>660652</v>
      </c>
      <c r="P46" s="49" t="str">
        <f>IFERROR(__xludf.DUMMYFUNCTION("""COMPUTED_VALUE"""),"Y")</f>
        <v>Y</v>
      </c>
      <c r="Q46" s="49" t="str">
        <f>IFERROR(__xludf.DUMMYFUNCTION("""COMPUTED_VALUE"""),"Y")</f>
        <v>Y</v>
      </c>
      <c r="R46" s="49"/>
      <c r="S46" s="49"/>
      <c r="T46" s="49"/>
      <c r="U46" s="49"/>
      <c r="V46" s="49"/>
      <c r="W46" s="49"/>
      <c r="X46" s="49"/>
      <c r="Y46" s="49"/>
      <c r="Z46" s="49"/>
    </row>
    <row r="47">
      <c r="A47" s="49" t="str">
        <f>IFERROR(__xludf.DUMMYFUNCTION("""COMPUTED_VALUE"""),"---")</f>
        <v>---</v>
      </c>
      <c r="B47" s="49" t="str">
        <f>IFERROR(__xludf.DUMMYFUNCTION("""COMPUTED_VALUE"""),"---")</f>
        <v>---</v>
      </c>
      <c r="C47" s="50" t="str">
        <f>IFERROR(__xludf.DUMMYFUNCTION("""COMPUTED_VALUE"""),"Kevin Williams")</f>
        <v>Kevin Williams</v>
      </c>
      <c r="D47" s="49"/>
      <c r="E47" s="49" t="str">
        <f>IFERROR(__xludf.DUMMYFUNCTION("""COMPUTED_VALUE"""),"South")</f>
        <v>South</v>
      </c>
      <c r="F47" s="49" t="str">
        <f>IFERROR(__xludf.DUMMYFUNCTION("""COMPUTED_VALUE"""),"South")</f>
        <v>South</v>
      </c>
      <c r="G47" s="49" t="str">
        <f>IFERROR(__xludf.DUMMYFUNCTION("""COMPUTED_VALUE"""),"KR Flyer Mesh Lite black/royal size 10.5 W")</f>
        <v>KR Flyer Mesh Lite black/royal size 10.5 W</v>
      </c>
      <c r="H47" s="52"/>
      <c r="I47" s="49" t="str">
        <f>IFERROR(__xludf.DUMMYFUNCTION("""COMPUTED_VALUE"""),"cancelled with Steve 1/14/26")</f>
        <v>cancelled with Steve 1/14/26</v>
      </c>
      <c r="J47" s="51">
        <f>IFERROR(__xludf.DUMMYFUNCTION("""COMPUTED_VALUE"""),46027.0)</f>
        <v>46027</v>
      </c>
      <c r="K47" s="52"/>
      <c r="L47" s="49" t="str">
        <f>IFERROR(__xludf.DUMMYFUNCTION("""COMPUTED_VALUE"""),"B Supply")</f>
        <v>B Supply</v>
      </c>
      <c r="M47" s="49">
        <f>IFERROR(__xludf.DUMMYFUNCTION("""COMPUTED_VALUE"""),512257.0)</f>
        <v>512257</v>
      </c>
      <c r="N47" s="53">
        <f>IFERROR(__xludf.DUMMYFUNCTION("""COMPUTED_VALUE"""),34.68)</f>
        <v>34.68</v>
      </c>
      <c r="O47" s="54"/>
      <c r="P47" s="49" t="str">
        <f>IFERROR(__xludf.DUMMYFUNCTION("""COMPUTED_VALUE"""),"na")</f>
        <v>na</v>
      </c>
      <c r="Q47" s="49" t="str">
        <f>IFERROR(__xludf.DUMMYFUNCTION("""COMPUTED_VALUE"""),"na")</f>
        <v>na</v>
      </c>
      <c r="R47" s="49"/>
      <c r="S47" s="49"/>
      <c r="T47" s="49"/>
      <c r="U47" s="49"/>
      <c r="V47" s="49"/>
      <c r="W47" s="49"/>
      <c r="X47" s="49"/>
      <c r="Y47" s="49"/>
      <c r="Z47" s="49"/>
    </row>
    <row r="48">
      <c r="A48" s="49" t="str">
        <f>IFERROR(__xludf.DUMMYFUNCTION("""COMPUTED_VALUE"""),"---")</f>
        <v>---</v>
      </c>
      <c r="B48" s="49" t="str">
        <f>IFERROR(__xludf.DUMMYFUNCTION("""COMPUTED_VALUE"""),"---")</f>
        <v>---</v>
      </c>
      <c r="C48" s="50" t="str">
        <f>IFERROR(__xludf.DUMMYFUNCTION("""COMPUTED_VALUE"""),"Kevin Williams")</f>
        <v>Kevin Williams</v>
      </c>
      <c r="D48" s="49"/>
      <c r="E48" s="49" t="str">
        <f>IFERROR(__xludf.DUMMYFUNCTION("""COMPUTED_VALUE"""),"South")</f>
        <v>South</v>
      </c>
      <c r="F48" s="49" t="str">
        <f>IFERROR(__xludf.DUMMYFUNCTION("""COMPUTED_VALUE"""),"South")</f>
        <v>South</v>
      </c>
      <c r="G48" s="49" t="str">
        <f>IFERROR(__xludf.DUMMYFUNCTION("""COMPUTED_VALUE"""),"Brunswick Renegade grey size 10.5")</f>
        <v>Brunswick Renegade grey size 10.5</v>
      </c>
      <c r="H48" s="52"/>
      <c r="I48" s="49"/>
      <c r="J48" s="51">
        <f>IFERROR(__xludf.DUMMYFUNCTION("""COMPUTED_VALUE"""),46027.0)</f>
        <v>46027</v>
      </c>
      <c r="K48" s="52"/>
      <c r="L48" s="49" t="str">
        <f>IFERROR(__xludf.DUMMYFUNCTION("""COMPUTED_VALUE"""),"B Supply")</f>
        <v>B Supply</v>
      </c>
      <c r="M48" s="49">
        <f>IFERROR(__xludf.DUMMYFUNCTION("""COMPUTED_VALUE"""),512257.0)</f>
        <v>512257</v>
      </c>
      <c r="N48" s="53">
        <f>IFERROR(__xludf.DUMMYFUNCTION("""COMPUTED_VALUE"""),37.43)</f>
        <v>37.43</v>
      </c>
      <c r="O48" s="54">
        <f>IFERROR(__xludf.DUMMYFUNCTION("""COMPUTED_VALUE"""),656633.0)</f>
        <v>656633</v>
      </c>
      <c r="P48" s="49" t="str">
        <f>IFERROR(__xludf.DUMMYFUNCTION("""COMPUTED_VALUE"""),"na")</f>
        <v>na</v>
      </c>
      <c r="Q48" s="49" t="str">
        <f>IFERROR(__xludf.DUMMYFUNCTION("""COMPUTED_VALUE"""),"na")</f>
        <v>na</v>
      </c>
      <c r="R48" s="49"/>
      <c r="S48" s="49"/>
      <c r="T48" s="49"/>
      <c r="U48" s="49"/>
      <c r="V48" s="49"/>
      <c r="W48" s="49"/>
      <c r="X48" s="49"/>
      <c r="Y48" s="49"/>
      <c r="Z48" s="49"/>
    </row>
    <row r="49">
      <c r="A49" s="49" t="str">
        <f>IFERROR(__xludf.DUMMYFUNCTION("""COMPUTED_VALUE"""),"---")</f>
        <v>---</v>
      </c>
      <c r="B49" s="49" t="str">
        <f>IFERROR(__xludf.DUMMYFUNCTION("""COMPUTED_VALUE"""),"---")</f>
        <v>---</v>
      </c>
      <c r="C49" s="50" t="str">
        <f>IFERROR(__xludf.DUMMYFUNCTION("""COMPUTED_VALUE"""),"Kevin Williams")</f>
        <v>Kevin Williams</v>
      </c>
      <c r="D49" s="49"/>
      <c r="E49" s="49" t="str">
        <f>IFERROR(__xludf.DUMMYFUNCTION("""COMPUTED_VALUE"""),"South")</f>
        <v>South</v>
      </c>
      <c r="F49" s="49" t="str">
        <f>IFERROR(__xludf.DUMMYFUNCTION("""COMPUTED_VALUE"""),"South")</f>
        <v>South</v>
      </c>
      <c r="G49" s="49" t="str">
        <f>IFERROR(__xludf.DUMMYFUNCTION("""COMPUTED_VALUE"""),"KR OPP Lite black size 10.5")</f>
        <v>KR OPP Lite black size 10.5</v>
      </c>
      <c r="H49" s="52"/>
      <c r="I49" s="49" t="str">
        <f>IFERROR(__xludf.DUMMYFUNCTION("""COMPUTED_VALUE"""),"returned - ordered regular by mistake")</f>
        <v>returned - ordered regular by mistake</v>
      </c>
      <c r="J49" s="51">
        <f>IFERROR(__xludf.DUMMYFUNCTION("""COMPUTED_VALUE"""),46027.0)</f>
        <v>46027</v>
      </c>
      <c r="K49" s="52"/>
      <c r="L49" s="49" t="str">
        <f>IFERROR(__xludf.DUMMYFUNCTION("""COMPUTED_VALUE"""),"B Supply")</f>
        <v>B Supply</v>
      </c>
      <c r="M49" s="49">
        <f>IFERROR(__xludf.DUMMYFUNCTION("""COMPUTED_VALUE"""),512257.0)</f>
        <v>512257</v>
      </c>
      <c r="N49" s="53">
        <f>IFERROR(__xludf.DUMMYFUNCTION("""COMPUTED_VALUE"""),32.65)</f>
        <v>32.65</v>
      </c>
      <c r="O49" s="54">
        <f>IFERROR(__xludf.DUMMYFUNCTION("""COMPUTED_VALUE"""),656633.0)</f>
        <v>656633</v>
      </c>
      <c r="P49" s="49" t="str">
        <f>IFERROR(__xludf.DUMMYFUNCTION("""COMPUTED_VALUE"""),"na")</f>
        <v>na</v>
      </c>
      <c r="Q49" s="49" t="str">
        <f>IFERROR(__xludf.DUMMYFUNCTION("""COMPUTED_VALUE"""),"na")</f>
        <v>na</v>
      </c>
      <c r="R49" s="49"/>
      <c r="S49" s="49"/>
      <c r="T49" s="49"/>
      <c r="U49" s="49"/>
      <c r="V49" s="49"/>
      <c r="W49" s="49"/>
      <c r="X49" s="49"/>
      <c r="Y49" s="49"/>
      <c r="Z49" s="49"/>
    </row>
    <row r="50">
      <c r="A50" s="49" t="str">
        <f>IFERROR(__xludf.DUMMYFUNCTION("""COMPUTED_VALUE"""),"---")</f>
        <v>---</v>
      </c>
      <c r="B50" s="49" t="str">
        <f>IFERROR(__xludf.DUMMYFUNCTION("""COMPUTED_VALUE"""),"---")</f>
        <v>---</v>
      </c>
      <c r="C50" s="50" t="str">
        <f>IFERROR(__xludf.DUMMYFUNCTION("""COMPUTED_VALUE"""),"Kim Smalls")</f>
        <v>Kim Smalls</v>
      </c>
      <c r="D50" s="49"/>
      <c r="E50" s="49" t="str">
        <f>IFERROR(__xludf.DUMMYFUNCTION("""COMPUTED_VALUE"""),"South")</f>
        <v>South</v>
      </c>
      <c r="F50" s="49" t="str">
        <f>IFERROR(__xludf.DUMMYFUNCTION("""COMPUTED_VALUE"""),"South")</f>
        <v>South</v>
      </c>
      <c r="G50" s="49" t="str">
        <f>IFERROR(__xludf.DUMMYFUNCTION("""COMPUTED_VALUE"""),"C300 WD scarlet/gold/black 13lb")</f>
        <v>C300 WD scarlet/gold/black 13lb</v>
      </c>
      <c r="H50" s="52"/>
      <c r="I50" s="49"/>
      <c r="J50" s="51">
        <f>IFERROR(__xludf.DUMMYFUNCTION("""COMPUTED_VALUE"""),46027.0)</f>
        <v>46027</v>
      </c>
      <c r="K50" s="52"/>
      <c r="L50" s="49" t="str">
        <f>IFERROR(__xludf.DUMMYFUNCTION("""COMPUTED_VALUE"""),"B Supply")</f>
        <v>B Supply</v>
      </c>
      <c r="M50" s="49">
        <f>IFERROR(__xludf.DUMMYFUNCTION("""COMPUTED_VALUE"""),512257.0)</f>
        <v>512257</v>
      </c>
      <c r="N50" s="53">
        <f>IFERROR(__xludf.DUMMYFUNCTION("""COMPUTED_VALUE"""),50.11)</f>
        <v>50.11</v>
      </c>
      <c r="O50" s="54">
        <f>IFERROR(__xludf.DUMMYFUNCTION("""COMPUTED_VALUE"""),656633.0)</f>
        <v>656633</v>
      </c>
      <c r="P50" s="49" t="str">
        <f>IFERROR(__xludf.DUMMYFUNCTION("""COMPUTED_VALUE"""),"Y")</f>
        <v>Y</v>
      </c>
      <c r="Q50" s="49" t="str">
        <f>IFERROR(__xludf.DUMMYFUNCTION("""COMPUTED_VALUE"""),"Y")</f>
        <v>Y</v>
      </c>
      <c r="R50" s="49"/>
      <c r="S50" s="49"/>
      <c r="T50" s="49"/>
      <c r="U50" s="49"/>
      <c r="V50" s="49"/>
      <c r="W50" s="49"/>
      <c r="X50" s="49"/>
      <c r="Y50" s="49"/>
      <c r="Z50" s="49"/>
    </row>
    <row r="51">
      <c r="A51" s="49" t="str">
        <f>IFERROR(__xludf.DUMMYFUNCTION("""COMPUTED_VALUE"""),"---")</f>
        <v>---</v>
      </c>
      <c r="B51" s="49" t="str">
        <f>IFERROR(__xludf.DUMMYFUNCTION("""COMPUTED_VALUE"""),"---")</f>
        <v>---</v>
      </c>
      <c r="C51" s="50" t="str">
        <f>IFERROR(__xludf.DUMMYFUNCTION("""COMPUTED_VALUE"""),"Stock")</f>
        <v>Stock</v>
      </c>
      <c r="D51" s="49"/>
      <c r="E51" s="49" t="str">
        <f>IFERROR(__xludf.DUMMYFUNCTION("""COMPUTED_VALUE"""),"Valley")</f>
        <v>Valley</v>
      </c>
      <c r="F51" s="49" t="str">
        <f>IFERROR(__xludf.DUMMYFUNCTION("""COMPUTED_VALUE"""),"Valley")</f>
        <v>Valley</v>
      </c>
      <c r="G51" s="49" t="str">
        <f>IFERROR(__xludf.DUMMYFUNCTION("""COMPUTED_VALUE"""),"Brunswick Danger Zone Pearl 15 lb")</f>
        <v>Brunswick Danger Zone Pearl 15 lb</v>
      </c>
      <c r="H51" s="52"/>
      <c r="I51" s="49"/>
      <c r="J51" s="51">
        <f>IFERROR(__xludf.DUMMYFUNCTION("""COMPUTED_VALUE"""),46027.0)</f>
        <v>46027</v>
      </c>
      <c r="K51" s="52"/>
      <c r="L51" s="49" t="str">
        <f>IFERROR(__xludf.DUMMYFUNCTION("""COMPUTED_VALUE"""),"B Supply")</f>
        <v>B Supply</v>
      </c>
      <c r="M51" s="49">
        <f>IFERROR(__xludf.DUMMYFUNCTION("""COMPUTED_VALUE"""),512257.0)</f>
        <v>512257</v>
      </c>
      <c r="N51" s="53">
        <f>IFERROR(__xludf.DUMMYFUNCTION("""COMPUTED_VALUE"""),99.28)</f>
        <v>99.28</v>
      </c>
      <c r="O51" s="54">
        <f>IFERROR(__xludf.DUMMYFUNCTION("""COMPUTED_VALUE"""),656633.0)</f>
        <v>656633</v>
      </c>
      <c r="P51" s="49" t="str">
        <f>IFERROR(__xludf.DUMMYFUNCTION("""COMPUTED_VALUE"""),"na")</f>
        <v>na</v>
      </c>
      <c r="Q51" s="49" t="str">
        <f>IFERROR(__xludf.DUMMYFUNCTION("""COMPUTED_VALUE"""),"na")</f>
        <v>na</v>
      </c>
      <c r="R51" s="49"/>
      <c r="S51" s="49"/>
      <c r="T51" s="49"/>
      <c r="U51" s="49"/>
      <c r="V51" s="49"/>
      <c r="W51" s="49"/>
      <c r="X51" s="49"/>
      <c r="Y51" s="49"/>
      <c r="Z51" s="49"/>
    </row>
    <row r="52">
      <c r="A52" s="49" t="str">
        <f>IFERROR(__xludf.DUMMYFUNCTION("""COMPUTED_VALUE"""),"xf")</f>
        <v>xf</v>
      </c>
      <c r="B52" s="49" t="str">
        <f>IFERROR(__xludf.DUMMYFUNCTION("""COMPUTED_VALUE"""),"---")</f>
        <v>---</v>
      </c>
      <c r="C52" s="50" t="str">
        <f>IFERROR(__xludf.DUMMYFUNCTION("""COMPUTED_VALUE"""),"Christian Halliday")</f>
        <v>Christian Halliday</v>
      </c>
      <c r="D52" s="49">
        <f>IFERROR(__xludf.DUMMYFUNCTION("""COMPUTED_VALUE"""),5.705783108E9)</f>
        <v>5705783108</v>
      </c>
      <c r="E52" s="49" t="str">
        <f>IFERROR(__xludf.DUMMYFUNCTION("""COMPUTED_VALUE"""),"South")</f>
        <v>South</v>
      </c>
      <c r="F52" s="49" t="str">
        <f>IFERROR(__xludf.DUMMYFUNCTION("""COMPUTED_VALUE"""),"South")</f>
        <v>South</v>
      </c>
      <c r="G52" s="49" t="str">
        <f>IFERROR(__xludf.DUMMYFUNCTION("""COMPUTED_VALUE"""),"Hammer Arctic Vibe 15lb")</f>
        <v>Hammer Arctic Vibe 15lb</v>
      </c>
      <c r="H52" s="52"/>
      <c r="I52" s="49"/>
      <c r="J52" s="51">
        <f>IFERROR(__xludf.DUMMYFUNCTION("""COMPUTED_VALUE"""),46041.0)</f>
        <v>46041</v>
      </c>
      <c r="K52" s="52"/>
      <c r="L52" s="49" t="str">
        <f>IFERROR(__xludf.DUMMYFUNCTION("""COMPUTED_VALUE"""),"B Supply")</f>
        <v>B Supply</v>
      </c>
      <c r="M52" s="49">
        <f>IFERROR(__xludf.DUMMYFUNCTION("""COMPUTED_VALUE"""),515661.0)</f>
        <v>515661</v>
      </c>
      <c r="N52" s="53">
        <f>IFERROR(__xludf.DUMMYFUNCTION("""COMPUTED_VALUE"""),95.62)</f>
        <v>95.62</v>
      </c>
      <c r="O52" s="54">
        <f>IFERROR(__xludf.DUMMYFUNCTION("""COMPUTED_VALUE"""),660652.0)</f>
        <v>660652</v>
      </c>
      <c r="P52" s="49" t="str">
        <f>IFERROR(__xludf.DUMMYFUNCTION("""COMPUTED_VALUE"""),"Y")</f>
        <v>Y</v>
      </c>
      <c r="Q52" s="49" t="str">
        <f>IFERROR(__xludf.DUMMYFUNCTION("""COMPUTED_VALUE"""),"Y")</f>
        <v>Y</v>
      </c>
      <c r="R52" s="49"/>
      <c r="S52" s="49"/>
      <c r="T52" s="49"/>
      <c r="U52" s="49"/>
      <c r="V52" s="49"/>
      <c r="W52" s="49"/>
      <c r="X52" s="49"/>
      <c r="Y52" s="49"/>
      <c r="Z52" s="49"/>
    </row>
    <row r="53">
      <c r="A53" s="49" t="str">
        <f>IFERROR(__xludf.DUMMYFUNCTION("""COMPUTED_VALUE"""),"---")</f>
        <v>---</v>
      </c>
      <c r="B53" s="49" t="str">
        <f>IFERROR(__xludf.DUMMYFUNCTION("""COMPUTED_VALUE"""),"---")</f>
        <v>---</v>
      </c>
      <c r="C53" s="50" t="str">
        <f>IFERROR(__xludf.DUMMYFUNCTION("""COMPUTED_VALUE"""),"Jim Bingham")</f>
        <v>Jim Bingham</v>
      </c>
      <c r="D53" s="49">
        <f>IFERROR(__xludf.DUMMYFUNCTION("""COMPUTED_VALUE"""),5.708928147E9)</f>
        <v>5708928147</v>
      </c>
      <c r="E53" s="49" t="str">
        <f>IFERROR(__xludf.DUMMYFUNCTION("""COMPUTED_VALUE"""),"South")</f>
        <v>South</v>
      </c>
      <c r="F53" s="49" t="str">
        <f>IFERROR(__xludf.DUMMYFUNCTION("""COMPUTED_VALUE"""),"South")</f>
        <v>South</v>
      </c>
      <c r="G53" s="49" t="str">
        <f>IFERROR(__xludf.DUMMYFUNCTION("""COMPUTED_VALUE"""),"Storm Ion Pro Solid 16 lb")</f>
        <v>Storm Ion Pro Solid 16 lb</v>
      </c>
      <c r="H53" s="52"/>
      <c r="I53" s="49"/>
      <c r="J53" s="51">
        <f>IFERROR(__xludf.DUMMYFUNCTION("""COMPUTED_VALUE"""),46027.0)</f>
        <v>46027</v>
      </c>
      <c r="K53" s="52"/>
      <c r="L53" s="49" t="str">
        <f>IFERROR(__xludf.DUMMYFUNCTION("""COMPUTED_VALUE"""),"B Supply")</f>
        <v>B Supply</v>
      </c>
      <c r="M53" s="49">
        <f>IFERROR(__xludf.DUMMYFUNCTION("""COMPUTED_VALUE"""),512428.0)</f>
        <v>512428</v>
      </c>
      <c r="N53" s="53">
        <f>IFERROR(__xludf.DUMMYFUNCTION("""COMPUTED_VALUE"""),159.46)</f>
        <v>159.46</v>
      </c>
      <c r="O53" s="54">
        <f>IFERROR(__xludf.DUMMYFUNCTION("""COMPUTED_VALUE"""),656611.0)</f>
        <v>656611</v>
      </c>
      <c r="P53" s="49" t="str">
        <f>IFERROR(__xludf.DUMMYFUNCTION("""COMPUTED_VALUE"""),"Y")</f>
        <v>Y</v>
      </c>
      <c r="Q53" s="49" t="str">
        <f>IFERROR(__xludf.DUMMYFUNCTION("""COMPUTED_VALUE"""),"Y")</f>
        <v>Y</v>
      </c>
      <c r="R53" s="49"/>
      <c r="S53" s="49"/>
      <c r="T53" s="49"/>
      <c r="U53" s="49"/>
      <c r="V53" s="49"/>
      <c r="W53" s="49"/>
      <c r="X53" s="49"/>
      <c r="Y53" s="49"/>
      <c r="Z53" s="49"/>
    </row>
    <row r="54">
      <c r="A54" s="49" t="str">
        <f>IFERROR(__xludf.DUMMYFUNCTION("""COMPUTED_VALUE"""),"---")</f>
        <v>---</v>
      </c>
      <c r="B54" s="49" t="str">
        <f>IFERROR(__xludf.DUMMYFUNCTION("""COMPUTED_VALUE"""),"---")</f>
        <v>---</v>
      </c>
      <c r="C54" s="50" t="str">
        <f>IFERROR(__xludf.DUMMYFUNCTION("""COMPUTED_VALUE"""),"Christian Halliday")</f>
        <v>Christian Halliday</v>
      </c>
      <c r="D54" s="49">
        <f>IFERROR(__xludf.DUMMYFUNCTION("""COMPUTED_VALUE"""),5.705783108E9)</f>
        <v>5705783108</v>
      </c>
      <c r="E54" s="49" t="str">
        <f>IFERROR(__xludf.DUMMYFUNCTION("""COMPUTED_VALUE"""),"South")</f>
        <v>South</v>
      </c>
      <c r="F54" s="49" t="str">
        <f>IFERROR(__xludf.DUMMYFUNCTION("""COMPUTED_VALUE"""),"South")</f>
        <v>South</v>
      </c>
      <c r="G54" s="49" t="str">
        <f>IFERROR(__xludf.DUMMYFUNCTION("""COMPUTED_VALUE"""),"Dexter women’s pro boa light grey/blue size 9.5")</f>
        <v>Dexter women’s pro boa light grey/blue size 9.5</v>
      </c>
      <c r="H54" s="52"/>
      <c r="I54" s="49" t="str">
        <f>IFERROR(__xludf.DUMMYFUNCTION("""COMPUTED_VALUE"""),"cancelled with Steve 1/14/26")</f>
        <v>cancelled with Steve 1/14/26</v>
      </c>
      <c r="J54" s="51">
        <f>IFERROR(__xludf.DUMMYFUNCTION("""COMPUTED_VALUE"""),46029.0)</f>
        <v>46029</v>
      </c>
      <c r="K54" s="52"/>
      <c r="L54" s="49" t="str">
        <f>IFERROR(__xludf.DUMMYFUNCTION("""COMPUTED_VALUE"""),"B Supply")</f>
        <v>B Supply</v>
      </c>
      <c r="M54" s="49">
        <f>IFERROR(__xludf.DUMMYFUNCTION("""COMPUTED_VALUE"""),512798.0)</f>
        <v>512798</v>
      </c>
      <c r="N54" s="53">
        <f>IFERROR(__xludf.DUMMYFUNCTION("""COMPUTED_VALUE"""),80.75)</f>
        <v>80.75</v>
      </c>
      <c r="O54" s="54"/>
      <c r="P54" s="49" t="str">
        <f>IFERROR(__xludf.DUMMYFUNCTION("""COMPUTED_VALUE"""),"na")</f>
        <v>na</v>
      </c>
      <c r="Q54" s="49" t="str">
        <f>IFERROR(__xludf.DUMMYFUNCTION("""COMPUTED_VALUE"""),"na")</f>
        <v>na</v>
      </c>
      <c r="R54" s="49"/>
      <c r="S54" s="49"/>
      <c r="T54" s="49"/>
      <c r="U54" s="49"/>
      <c r="V54" s="49"/>
      <c r="W54" s="49"/>
      <c r="X54" s="49"/>
      <c r="Y54" s="49"/>
      <c r="Z54" s="49"/>
    </row>
    <row r="55">
      <c r="A55" s="49" t="str">
        <f>IFERROR(__xludf.DUMMYFUNCTION("""COMPUTED_VALUE"""),"---")</f>
        <v>---</v>
      </c>
      <c r="B55" s="49" t="str">
        <f>IFERROR(__xludf.DUMMYFUNCTION("""COMPUTED_VALUE"""),"---")</f>
        <v>---</v>
      </c>
      <c r="C55" s="50" t="str">
        <f>IFERROR(__xludf.DUMMYFUNCTION("""COMPUTED_VALUE"""),"Troy Petrillo")</f>
        <v>Troy Petrillo</v>
      </c>
      <c r="D55" s="49"/>
      <c r="E55" s="49" t="str">
        <f>IFERROR(__xludf.DUMMYFUNCTION("""COMPUTED_VALUE"""),"South")</f>
        <v>South</v>
      </c>
      <c r="F55" s="49" t="str">
        <f>IFERROR(__xludf.DUMMYFUNCTION("""COMPUTED_VALUE"""),"South")</f>
        <v>South</v>
      </c>
      <c r="G55" s="49" t="str">
        <f>IFERROR(__xludf.DUMMYFUNCTION("""COMPUTED_VALUE"""),"Dexter Turbo BOA white size 10.5")</f>
        <v>Dexter Turbo BOA white size 10.5</v>
      </c>
      <c r="H55" s="52"/>
      <c r="I55" s="49"/>
      <c r="J55" s="51">
        <f>IFERROR(__xludf.DUMMYFUNCTION("""COMPUTED_VALUE"""),46029.0)</f>
        <v>46029</v>
      </c>
      <c r="K55" s="52"/>
      <c r="L55" s="49" t="str">
        <f>IFERROR(__xludf.DUMMYFUNCTION("""COMPUTED_VALUE"""),"B Supply")</f>
        <v>B Supply</v>
      </c>
      <c r="M55" s="49">
        <f>IFERROR(__xludf.DUMMYFUNCTION("""COMPUTED_VALUE"""),512798.0)</f>
        <v>512798</v>
      </c>
      <c r="N55" s="53">
        <f>IFERROR(__xludf.DUMMYFUNCTION("""COMPUTED_VALUE"""),70.3)</f>
        <v>70.3</v>
      </c>
      <c r="O55" s="54">
        <f>IFERROR(__xludf.DUMMYFUNCTION("""COMPUTED_VALUE"""),657199.0)</f>
        <v>657199</v>
      </c>
      <c r="P55" s="49" t="str">
        <f>IFERROR(__xludf.DUMMYFUNCTION("""COMPUTED_VALUE"""),"Y")</f>
        <v>Y</v>
      </c>
      <c r="Q55" s="49" t="str">
        <f>IFERROR(__xludf.DUMMYFUNCTION("""COMPUTED_VALUE"""),"Y")</f>
        <v>Y</v>
      </c>
      <c r="R55" s="49"/>
      <c r="S55" s="49"/>
      <c r="T55" s="49"/>
      <c r="U55" s="49"/>
      <c r="V55" s="49"/>
      <c r="W55" s="49"/>
      <c r="X55" s="49"/>
      <c r="Y55" s="49"/>
      <c r="Z55" s="49"/>
    </row>
    <row r="56">
      <c r="A56" s="49" t="str">
        <f>IFERROR(__xludf.DUMMYFUNCTION("""COMPUTED_VALUE"""),"---")</f>
        <v>---</v>
      </c>
      <c r="B56" s="49" t="str">
        <f>IFERROR(__xludf.DUMMYFUNCTION("""COMPUTED_VALUE"""),"---")</f>
        <v>---</v>
      </c>
      <c r="C56" s="50" t="str">
        <f>IFERROR(__xludf.DUMMYFUNCTION("""COMPUTED_VALUE"""),"Joe Melucci")</f>
        <v>Joe Melucci</v>
      </c>
      <c r="D56" s="49"/>
      <c r="E56" s="49" t="str">
        <f>IFERROR(__xludf.DUMMYFUNCTION("""COMPUTED_VALUE"""),"South")</f>
        <v>South</v>
      </c>
      <c r="F56" s="49" t="str">
        <f>IFERROR(__xludf.DUMMYFUNCTION("""COMPUTED_VALUE"""),"South")</f>
        <v>South</v>
      </c>
      <c r="G56" s="49" t="str">
        <f>IFERROR(__xludf.DUMMYFUNCTION("""COMPUTED_VALUE"""),"Storm Next Factor 14 lb")</f>
        <v>Storm Next Factor 14 lb</v>
      </c>
      <c r="H56" s="52"/>
      <c r="I56" s="49"/>
      <c r="J56" s="51">
        <f>IFERROR(__xludf.DUMMYFUNCTION("""COMPUTED_VALUE"""),46029.0)</f>
        <v>46029</v>
      </c>
      <c r="K56" s="52"/>
      <c r="L56" s="49" t="str">
        <f>IFERROR(__xludf.DUMMYFUNCTION("""COMPUTED_VALUE"""),"B Supply")</f>
        <v>B Supply</v>
      </c>
      <c r="M56" s="49">
        <f>IFERROR(__xludf.DUMMYFUNCTION("""COMPUTED_VALUE"""),512798.0)</f>
        <v>512798</v>
      </c>
      <c r="N56" s="53">
        <f>IFERROR(__xludf.DUMMYFUNCTION("""COMPUTED_VALUE"""),159.46)</f>
        <v>159.46</v>
      </c>
      <c r="O56" s="54">
        <f>IFERROR(__xludf.DUMMYFUNCTION("""COMPUTED_VALUE"""),657199.0)</f>
        <v>657199</v>
      </c>
      <c r="P56" s="49" t="str">
        <f>IFERROR(__xludf.DUMMYFUNCTION("""COMPUTED_VALUE"""),"Y")</f>
        <v>Y</v>
      </c>
      <c r="Q56" s="49" t="str">
        <f>IFERROR(__xludf.DUMMYFUNCTION("""COMPUTED_VALUE"""),"Y")</f>
        <v>Y</v>
      </c>
      <c r="R56" s="49"/>
      <c r="S56" s="49"/>
      <c r="T56" s="49"/>
      <c r="U56" s="49"/>
      <c r="V56" s="49"/>
      <c r="W56" s="49"/>
      <c r="X56" s="49"/>
      <c r="Y56" s="49"/>
      <c r="Z56" s="49"/>
    </row>
    <row r="57">
      <c r="A57" s="49" t="str">
        <f>IFERROR(__xludf.DUMMYFUNCTION("""COMPUTED_VALUE"""),"---")</f>
        <v>---</v>
      </c>
      <c r="B57" s="49" t="str">
        <f>IFERROR(__xludf.DUMMYFUNCTION("""COMPUTED_VALUE"""),"---")</f>
        <v>---</v>
      </c>
      <c r="C57" s="50" t="str">
        <f>IFERROR(__xludf.DUMMYFUNCTION("""COMPUTED_VALUE"""),"Adam Jaffe")</f>
        <v>Adam Jaffe</v>
      </c>
      <c r="D57" s="49">
        <f>IFERROR(__xludf.DUMMYFUNCTION("""COMPUTED_VALUE"""),5.70313772E9)</f>
        <v>5703137720</v>
      </c>
      <c r="E57" s="49" t="str">
        <f>IFERROR(__xludf.DUMMYFUNCTION("""COMPUTED_VALUE"""),"South")</f>
        <v>South</v>
      </c>
      <c r="F57" s="49" t="str">
        <f>IFERROR(__xludf.DUMMYFUNCTION("""COMPUTED_VALUE"""),"South")</f>
        <v>South</v>
      </c>
      <c r="G57" s="49" t="str">
        <f>IFERROR(__xludf.DUMMYFUNCTION("""COMPUTED_VALUE"""),"White dot purple/black/silver 14lbs")</f>
        <v>White dot purple/black/silver 14lbs</v>
      </c>
      <c r="H57" s="52"/>
      <c r="I57" s="49"/>
      <c r="J57" s="51">
        <f>IFERROR(__xludf.DUMMYFUNCTION("""COMPUTED_VALUE"""),46029.0)</f>
        <v>46029</v>
      </c>
      <c r="K57" s="52"/>
      <c r="L57" s="49" t="str">
        <f>IFERROR(__xludf.DUMMYFUNCTION("""COMPUTED_VALUE"""),"B Supply")</f>
        <v>B Supply</v>
      </c>
      <c r="M57" s="49">
        <f>IFERROR(__xludf.DUMMYFUNCTION("""COMPUTED_VALUE"""),512798.0)</f>
        <v>512798</v>
      </c>
      <c r="N57" s="53">
        <f>IFERROR(__xludf.DUMMYFUNCTION("""COMPUTED_VALUE"""),50.11)</f>
        <v>50.11</v>
      </c>
      <c r="O57" s="54">
        <f>IFERROR(__xludf.DUMMYFUNCTION("""COMPUTED_VALUE"""),657199.0)</f>
        <v>657199</v>
      </c>
      <c r="P57" s="49" t="str">
        <f>IFERROR(__xludf.DUMMYFUNCTION("""COMPUTED_VALUE"""),"Y")</f>
        <v>Y</v>
      </c>
      <c r="Q57" s="49" t="str">
        <f>IFERROR(__xludf.DUMMYFUNCTION("""COMPUTED_VALUE"""),"Y")</f>
        <v>Y</v>
      </c>
      <c r="R57" s="49"/>
      <c r="S57" s="49"/>
      <c r="T57" s="49"/>
      <c r="U57" s="49"/>
      <c r="V57" s="49"/>
      <c r="W57" s="49"/>
      <c r="X57" s="49"/>
      <c r="Y57" s="49"/>
      <c r="Z57" s="49"/>
    </row>
    <row r="58">
      <c r="A58" s="49" t="str">
        <f>IFERROR(__xludf.DUMMYFUNCTION("""COMPUTED_VALUE"""),"---")</f>
        <v>---</v>
      </c>
      <c r="B58" s="49" t="str">
        <f>IFERROR(__xludf.DUMMYFUNCTION("""COMPUTED_VALUE"""),"---")</f>
        <v>---</v>
      </c>
      <c r="C58" s="50" t="str">
        <f>IFERROR(__xludf.DUMMYFUNCTION("""COMPUTED_VALUE"""),"Greg Matievich")</f>
        <v>Greg Matievich</v>
      </c>
      <c r="D58" s="49"/>
      <c r="E58" s="49" t="str">
        <f>IFERROR(__xludf.DUMMYFUNCTION("""COMPUTED_VALUE"""),"South")</f>
        <v>South</v>
      </c>
      <c r="F58" s="49" t="str">
        <f>IFERROR(__xludf.DUMMYFUNCTION("""COMPUTED_VALUE"""),"South")</f>
        <v>South</v>
      </c>
      <c r="G58" s="49" t="str">
        <f>IFERROR(__xludf.DUMMYFUNCTION("""COMPUTED_VALUE"""),"Hammer NU 2.0 14 lb")</f>
        <v>Hammer NU 2.0 14 lb</v>
      </c>
      <c r="H58" s="52"/>
      <c r="I58" s="49"/>
      <c r="J58" s="51">
        <f>IFERROR(__xludf.DUMMYFUNCTION("""COMPUTED_VALUE"""),46029.0)</f>
        <v>46029</v>
      </c>
      <c r="K58" s="52"/>
      <c r="L58" s="49" t="str">
        <f>IFERROR(__xludf.DUMMYFUNCTION("""COMPUTED_VALUE"""),"B Supply")</f>
        <v>B Supply</v>
      </c>
      <c r="M58" s="49">
        <f>IFERROR(__xludf.DUMMYFUNCTION("""COMPUTED_VALUE"""),512798.0)</f>
        <v>512798</v>
      </c>
      <c r="N58" s="53">
        <f>IFERROR(__xludf.DUMMYFUNCTION("""COMPUTED_VALUE"""),114.0)</f>
        <v>114</v>
      </c>
      <c r="O58" s="54">
        <f>IFERROR(__xludf.DUMMYFUNCTION("""COMPUTED_VALUE"""),657199.0)</f>
        <v>657199</v>
      </c>
      <c r="P58" s="49" t="str">
        <f>IFERROR(__xludf.DUMMYFUNCTION("""COMPUTED_VALUE"""),"Y")</f>
        <v>Y</v>
      </c>
      <c r="Q58" s="49" t="str">
        <f>IFERROR(__xludf.DUMMYFUNCTION("""COMPUTED_VALUE"""),"Y")</f>
        <v>Y</v>
      </c>
      <c r="R58" s="49"/>
      <c r="S58" s="49"/>
      <c r="T58" s="49"/>
      <c r="U58" s="49"/>
      <c r="V58" s="49"/>
      <c r="W58" s="49"/>
      <c r="X58" s="49"/>
      <c r="Y58" s="49"/>
      <c r="Z58" s="49"/>
    </row>
    <row r="59">
      <c r="A59" s="49" t="str">
        <f>IFERROR(__xludf.DUMMYFUNCTION("""COMPUTED_VALUE"""),"---")</f>
        <v>---</v>
      </c>
      <c r="B59" s="49" t="str">
        <f>IFERROR(__xludf.DUMMYFUNCTION("""COMPUTED_VALUE"""),"---")</f>
        <v>---</v>
      </c>
      <c r="C59" s="50" t="str">
        <f>IFERROR(__xludf.DUMMYFUNCTION("""COMPUTED_VALUE"""),"Keith Griffiths")</f>
        <v>Keith Griffiths</v>
      </c>
      <c r="D59" s="49"/>
      <c r="E59" s="49" t="str">
        <f>IFERROR(__xludf.DUMMYFUNCTION("""COMPUTED_VALUE"""),"South")</f>
        <v>South</v>
      </c>
      <c r="F59" s="49" t="str">
        <f>IFERROR(__xludf.DUMMYFUNCTION("""COMPUTED_VALUE"""),"South")</f>
        <v>South</v>
      </c>
      <c r="G59" s="49" t="str">
        <f>IFERROR(__xludf.DUMMYFUNCTION("""COMPUTED_VALUE"""),"Brunswick Danger Zone Pearl 15 lb")</f>
        <v>Brunswick Danger Zone Pearl 15 lb</v>
      </c>
      <c r="H59" s="52"/>
      <c r="I59" s="49"/>
      <c r="J59" s="51">
        <f>IFERROR(__xludf.DUMMYFUNCTION("""COMPUTED_VALUE"""),46029.0)</f>
        <v>46029</v>
      </c>
      <c r="K59" s="52"/>
      <c r="L59" s="49" t="str">
        <f>IFERROR(__xludf.DUMMYFUNCTION("""COMPUTED_VALUE"""),"B Supply")</f>
        <v>B Supply</v>
      </c>
      <c r="M59" s="49">
        <f>IFERROR(__xludf.DUMMYFUNCTION("""COMPUTED_VALUE"""),512798.0)</f>
        <v>512798</v>
      </c>
      <c r="N59" s="53">
        <f>IFERROR(__xludf.DUMMYFUNCTION("""COMPUTED_VALUE"""),99.28)</f>
        <v>99.28</v>
      </c>
      <c r="O59" s="54">
        <f>IFERROR(__xludf.DUMMYFUNCTION("""COMPUTED_VALUE"""),657199.0)</f>
        <v>657199</v>
      </c>
      <c r="P59" s="49" t="str">
        <f>IFERROR(__xludf.DUMMYFUNCTION("""COMPUTED_VALUE"""),"Y")</f>
        <v>Y</v>
      </c>
      <c r="Q59" s="49" t="str">
        <f>IFERROR(__xludf.DUMMYFUNCTION("""COMPUTED_VALUE"""),"Y")</f>
        <v>Y</v>
      </c>
      <c r="R59" s="49"/>
      <c r="S59" s="49"/>
      <c r="T59" s="49"/>
      <c r="U59" s="49"/>
      <c r="V59" s="49"/>
      <c r="W59" s="49"/>
      <c r="X59" s="49"/>
      <c r="Y59" s="49"/>
      <c r="Z59" s="49"/>
    </row>
    <row r="60">
      <c r="A60" s="49" t="str">
        <f>IFERROR(__xludf.DUMMYFUNCTION("""COMPUTED_VALUE"""),"---")</f>
        <v>---</v>
      </c>
      <c r="B60" s="49" t="str">
        <f>IFERROR(__xludf.DUMMYFUNCTION("""COMPUTED_VALUE"""),"---")</f>
        <v>---</v>
      </c>
      <c r="C60" s="50" t="str">
        <f>IFERROR(__xludf.DUMMYFUNCTION("""COMPUTED_VALUE"""),"Stock")</f>
        <v>Stock</v>
      </c>
      <c r="D60" s="49"/>
      <c r="E60" s="49" t="str">
        <f>IFERROR(__xludf.DUMMYFUNCTION("""COMPUTED_VALUE"""),"South")</f>
        <v>South</v>
      </c>
      <c r="F60" s="49" t="str">
        <f>IFERROR(__xludf.DUMMYFUNCTION("""COMPUTED_VALUE"""),"South")</f>
        <v>South</v>
      </c>
      <c r="G60" s="49" t="str">
        <f>IFERROR(__xludf.DUMMYFUNCTION("""COMPUTED_VALUE"""),"Ebonite Turbo X 15 lb")</f>
        <v>Ebonite Turbo X 15 lb</v>
      </c>
      <c r="H60" s="52"/>
      <c r="I60" s="49"/>
      <c r="J60" s="51">
        <f>IFERROR(__xludf.DUMMYFUNCTION("""COMPUTED_VALUE"""),46029.0)</f>
        <v>46029</v>
      </c>
      <c r="K60" s="52"/>
      <c r="L60" s="49" t="str">
        <f>IFERROR(__xludf.DUMMYFUNCTION("""COMPUTED_VALUE"""),"B Supply")</f>
        <v>B Supply</v>
      </c>
      <c r="M60" s="49">
        <f>IFERROR(__xludf.DUMMYFUNCTION("""COMPUTED_VALUE"""),512798.0)</f>
        <v>512798</v>
      </c>
      <c r="N60" s="53">
        <f>IFERROR(__xludf.DUMMYFUNCTION("""COMPUTED_VALUE"""),101.7)</f>
        <v>101.7</v>
      </c>
      <c r="O60" s="54">
        <f>IFERROR(__xludf.DUMMYFUNCTION("""COMPUTED_VALUE"""),657199.0)</f>
        <v>657199</v>
      </c>
      <c r="P60" s="49" t="str">
        <f>IFERROR(__xludf.DUMMYFUNCTION("""COMPUTED_VALUE"""),"na")</f>
        <v>na</v>
      </c>
      <c r="Q60" s="49" t="str">
        <f>IFERROR(__xludf.DUMMYFUNCTION("""COMPUTED_VALUE"""),"na")</f>
        <v>na</v>
      </c>
      <c r="R60" s="49"/>
      <c r="S60" s="49"/>
      <c r="T60" s="49"/>
      <c r="U60" s="49"/>
      <c r="V60" s="49"/>
      <c r="W60" s="49"/>
      <c r="X60" s="49"/>
      <c r="Y60" s="49"/>
      <c r="Z60" s="49"/>
    </row>
    <row r="61">
      <c r="A61" s="49" t="str">
        <f>IFERROR(__xludf.DUMMYFUNCTION("""COMPUTED_VALUE"""),"---")</f>
        <v>---</v>
      </c>
      <c r="B61" s="49" t="str">
        <f>IFERROR(__xludf.DUMMYFUNCTION("""COMPUTED_VALUE"""),"---")</f>
        <v>---</v>
      </c>
      <c r="C61" s="50" t="str">
        <f>IFERROR(__xludf.DUMMYFUNCTION("""COMPUTED_VALUE"""),"Stock")</f>
        <v>Stock</v>
      </c>
      <c r="D61" s="49"/>
      <c r="E61" s="49"/>
      <c r="F61" s="49"/>
      <c r="G61" s="49" t="str">
        <f>IFERROR(__xludf.DUMMYFUNCTION("""COMPUTED_VALUE"""),"Turbo switch-a-roo")</f>
        <v>Turbo switch-a-roo</v>
      </c>
      <c r="H61" s="52"/>
      <c r="I61" s="49"/>
      <c r="J61" s="51">
        <f>IFERROR(__xludf.DUMMYFUNCTION("""COMPUTED_VALUE"""),46030.0)</f>
        <v>46030</v>
      </c>
      <c r="K61" s="52"/>
      <c r="L61" s="49" t="str">
        <f>IFERROR(__xludf.DUMMYFUNCTION("""COMPUTED_VALUE"""),"B Supply")</f>
        <v>B Supply</v>
      </c>
      <c r="M61" s="49">
        <f>IFERROR(__xludf.DUMMYFUNCTION("""COMPUTED_VALUE"""),513136.0)</f>
        <v>513136</v>
      </c>
      <c r="N61" s="53">
        <f>IFERROR(__xludf.DUMMYFUNCTION("""COMPUTED_VALUE"""),7.65)</f>
        <v>7.65</v>
      </c>
      <c r="O61" s="54"/>
      <c r="P61" s="49" t="str">
        <f>IFERROR(__xludf.DUMMYFUNCTION("""COMPUTED_VALUE"""),"na")</f>
        <v>na</v>
      </c>
      <c r="Q61" s="49" t="str">
        <f>IFERROR(__xludf.DUMMYFUNCTION("""COMPUTED_VALUE"""),"na")</f>
        <v>na</v>
      </c>
      <c r="R61" s="49"/>
      <c r="S61" s="49"/>
      <c r="T61" s="49"/>
      <c r="U61" s="49"/>
      <c r="V61" s="49"/>
      <c r="W61" s="49"/>
      <c r="X61" s="49"/>
      <c r="Y61" s="49"/>
      <c r="Z61" s="49"/>
    </row>
    <row r="62">
      <c r="A62" s="49" t="str">
        <f>IFERROR(__xludf.DUMMYFUNCTION("""COMPUTED_VALUE"""),"---")</f>
        <v>---</v>
      </c>
      <c r="B62" s="49" t="str">
        <f>IFERROR(__xludf.DUMMYFUNCTION("""COMPUTED_VALUE"""),"---")</f>
        <v>---</v>
      </c>
      <c r="C62" s="50" t="str">
        <f>IFERROR(__xludf.DUMMYFUNCTION("""COMPUTED_VALUE"""),"Dan Very")</f>
        <v>Dan Very</v>
      </c>
      <c r="D62" s="49">
        <f>IFERROR(__xludf.DUMMYFUNCTION("""COMPUTED_VALUE"""),5.702413814E9)</f>
        <v>5702413814</v>
      </c>
      <c r="E62" s="49" t="str">
        <f>IFERROR(__xludf.DUMMYFUNCTION("""COMPUTED_VALUE"""),"Valley")</f>
        <v>Valley</v>
      </c>
      <c r="F62" s="49" t="str">
        <f>IFERROR(__xludf.DUMMYFUNCTION("""COMPUTED_VALUE"""),"Valley")</f>
        <v>Valley</v>
      </c>
      <c r="G62" s="49" t="str">
        <f>IFERROR(__xludf.DUMMYFUNCTION("""COMPUTED_VALUE"""),"Motiv evoke hysteria 13 lb")</f>
        <v>Motiv evoke hysteria 13 lb</v>
      </c>
      <c r="H62" s="52"/>
      <c r="I62" s="49"/>
      <c r="J62" s="51">
        <f>IFERROR(__xludf.DUMMYFUNCTION("""COMPUTED_VALUE"""),46030.0)</f>
        <v>46030</v>
      </c>
      <c r="K62" s="52"/>
      <c r="L62" s="49" t="str">
        <f>IFERROR(__xludf.DUMMYFUNCTION("""COMPUTED_VALUE"""),"B Supply")</f>
        <v>B Supply</v>
      </c>
      <c r="M62" s="49">
        <f>IFERROR(__xludf.DUMMYFUNCTION("""COMPUTED_VALUE"""),513136.0)</f>
        <v>513136</v>
      </c>
      <c r="N62" s="53">
        <f>IFERROR(__xludf.DUMMYFUNCTION("""COMPUTED_VALUE"""),154.33)</f>
        <v>154.33</v>
      </c>
      <c r="O62" s="54">
        <f>IFERROR(__xludf.DUMMYFUNCTION("""COMPUTED_VALUE"""),657619.0)</f>
        <v>657619</v>
      </c>
      <c r="P62" s="49" t="str">
        <f>IFERROR(__xludf.DUMMYFUNCTION("""COMPUTED_VALUE"""),"Y")</f>
        <v>Y</v>
      </c>
      <c r="Q62" s="49" t="str">
        <f>IFERROR(__xludf.DUMMYFUNCTION("""COMPUTED_VALUE"""),"Y")</f>
        <v>Y</v>
      </c>
      <c r="R62" s="49"/>
      <c r="S62" s="49"/>
      <c r="T62" s="49"/>
      <c r="U62" s="49"/>
      <c r="V62" s="49"/>
      <c r="W62" s="49"/>
      <c r="X62" s="49"/>
      <c r="Y62" s="49"/>
      <c r="Z62" s="49"/>
    </row>
    <row r="63">
      <c r="A63" s="49" t="str">
        <f>IFERROR(__xludf.DUMMYFUNCTION("""COMPUTED_VALUE"""),"---")</f>
        <v>---</v>
      </c>
      <c r="B63" s="49" t="str">
        <f>IFERROR(__xludf.DUMMYFUNCTION("""COMPUTED_VALUE"""),"---")</f>
        <v>---</v>
      </c>
      <c r="C63" s="50" t="str">
        <f>IFERROR(__xludf.DUMMYFUNCTION("""COMPUTED_VALUE"""),"Bobby Johnson")</f>
        <v>Bobby Johnson</v>
      </c>
      <c r="D63" s="49">
        <f>IFERROR(__xludf.DUMMYFUNCTION("""COMPUTED_VALUE"""),5.709035519E9)</f>
        <v>5709035519</v>
      </c>
      <c r="E63" s="49" t="str">
        <f>IFERROR(__xludf.DUMMYFUNCTION("""COMPUTED_VALUE"""),"Valley")</f>
        <v>Valley</v>
      </c>
      <c r="F63" s="49" t="str">
        <f>IFERROR(__xludf.DUMMYFUNCTION("""COMPUTED_VALUE"""),"Valley")</f>
        <v>Valley</v>
      </c>
      <c r="G63" s="49" t="str">
        <f>IFERROR(__xludf.DUMMYFUNCTION("""COMPUTED_VALUE"""),"hammer widow dynasty 15lbs")</f>
        <v>hammer widow dynasty 15lbs</v>
      </c>
      <c r="H63" s="52"/>
      <c r="I63" s="49"/>
      <c r="J63" s="51">
        <f>IFERROR(__xludf.DUMMYFUNCTION("""COMPUTED_VALUE"""),46030.0)</f>
        <v>46030</v>
      </c>
      <c r="K63" s="52"/>
      <c r="L63" s="49" t="str">
        <f>IFERROR(__xludf.DUMMYFUNCTION("""COMPUTED_VALUE"""),"B Supply")</f>
        <v>B Supply</v>
      </c>
      <c r="M63" s="49">
        <f>IFERROR(__xludf.DUMMYFUNCTION("""COMPUTED_VALUE"""),513136.0)</f>
        <v>513136</v>
      </c>
      <c r="N63" s="53">
        <f>IFERROR(__xludf.DUMMYFUNCTION("""COMPUTED_VALUE"""),132.15)</f>
        <v>132.15</v>
      </c>
      <c r="O63" s="54">
        <f>IFERROR(__xludf.DUMMYFUNCTION("""COMPUTED_VALUE"""),657619.0)</f>
        <v>657619</v>
      </c>
      <c r="P63" s="49" t="str">
        <f>IFERROR(__xludf.DUMMYFUNCTION("""COMPUTED_VALUE"""),"Y")</f>
        <v>Y</v>
      </c>
      <c r="Q63" s="49" t="str">
        <f>IFERROR(__xludf.DUMMYFUNCTION("""COMPUTED_VALUE"""),"Y")</f>
        <v>Y</v>
      </c>
      <c r="R63" s="49"/>
      <c r="S63" s="49"/>
      <c r="T63" s="49"/>
      <c r="U63" s="49"/>
      <c r="V63" s="49"/>
      <c r="W63" s="49"/>
      <c r="X63" s="49"/>
      <c r="Y63" s="49"/>
      <c r="Z63" s="49"/>
    </row>
    <row r="64">
      <c r="A64" s="49" t="str">
        <f>IFERROR(__xludf.DUMMYFUNCTION("""COMPUTED_VALUE"""),"---")</f>
        <v>---</v>
      </c>
      <c r="B64" s="49" t="str">
        <f>IFERROR(__xludf.DUMMYFUNCTION("""COMPUTED_VALUE"""),"---")</f>
        <v>---</v>
      </c>
      <c r="C64" s="50" t="str">
        <f>IFERROR(__xludf.DUMMYFUNCTION("""COMPUTED_VALUE"""),"Chris Lutz")</f>
        <v>Chris Lutz</v>
      </c>
      <c r="D64" s="49">
        <f>IFERROR(__xludf.DUMMYFUNCTION("""COMPUTED_VALUE"""),5.704072125E9)</f>
        <v>5704072125</v>
      </c>
      <c r="E64" s="49" t="str">
        <f>IFERROR(__xludf.DUMMYFUNCTION("""COMPUTED_VALUE"""),"Valley")</f>
        <v>Valley</v>
      </c>
      <c r="F64" s="49" t="str">
        <f>IFERROR(__xludf.DUMMYFUNCTION("""COMPUTED_VALUE"""),"Valley")</f>
        <v>Valley</v>
      </c>
      <c r="G64" s="49" t="str">
        <f>IFERROR(__xludf.DUMMYFUNCTION("""COMPUTED_VALUE"""),"Dexter THE 9, #10 slide pad, medium")</f>
        <v>Dexter THE 9, #10 slide pad, medium</v>
      </c>
      <c r="H64" s="52"/>
      <c r="I64" s="49"/>
      <c r="J64" s="51">
        <f>IFERROR(__xludf.DUMMYFUNCTION("""COMPUTED_VALUE"""),46030.0)</f>
        <v>46030</v>
      </c>
      <c r="K64" s="52"/>
      <c r="L64" s="49" t="str">
        <f>IFERROR(__xludf.DUMMYFUNCTION("""COMPUTED_VALUE"""),"B Supply")</f>
        <v>B Supply</v>
      </c>
      <c r="M64" s="49">
        <f>IFERROR(__xludf.DUMMYFUNCTION("""COMPUTED_VALUE"""),513136.0)</f>
        <v>513136</v>
      </c>
      <c r="N64" s="53">
        <f>IFERROR(__xludf.DUMMYFUNCTION("""COMPUTED_VALUE"""),24.07)</f>
        <v>24.07</v>
      </c>
      <c r="O64" s="54">
        <f>IFERROR(__xludf.DUMMYFUNCTION("""COMPUTED_VALUE"""),657619.0)</f>
        <v>657619</v>
      </c>
      <c r="P64" s="49" t="str">
        <f>IFERROR(__xludf.DUMMYFUNCTION("""COMPUTED_VALUE"""),"Y")</f>
        <v>Y</v>
      </c>
      <c r="Q64" s="49" t="str">
        <f>IFERROR(__xludf.DUMMYFUNCTION("""COMPUTED_VALUE"""),"Y")</f>
        <v>Y</v>
      </c>
      <c r="R64" s="49"/>
      <c r="S64" s="49"/>
      <c r="T64" s="49"/>
      <c r="U64" s="49"/>
      <c r="V64" s="49"/>
      <c r="W64" s="49"/>
      <c r="X64" s="49"/>
      <c r="Y64" s="49"/>
      <c r="Z64" s="49"/>
    </row>
    <row r="65">
      <c r="A65" s="49" t="str">
        <f>IFERROR(__xludf.DUMMYFUNCTION("""COMPUTED_VALUE"""),"---")</f>
        <v>---</v>
      </c>
      <c r="B65" s="49" t="str">
        <f>IFERROR(__xludf.DUMMYFUNCTION("""COMPUTED_VALUE"""),"---")</f>
        <v>---</v>
      </c>
      <c r="C65" s="50" t="str">
        <f>IFERROR(__xludf.DUMMYFUNCTION("""COMPUTED_VALUE"""),"Stock")</f>
        <v>Stock</v>
      </c>
      <c r="D65" s="49"/>
      <c r="E65" s="49"/>
      <c r="F65" s="49"/>
      <c r="G65" s="49" t="str">
        <f>IFERROR(__xludf.DUMMYFUNCTION("""COMPUTED_VALUE"""),"Brunswick #6 sole")</f>
        <v>Brunswick #6 sole</v>
      </c>
      <c r="H65" s="52"/>
      <c r="I65" s="49"/>
      <c r="J65" s="51">
        <f>IFERROR(__xludf.DUMMYFUNCTION("""COMPUTED_VALUE"""),46030.0)</f>
        <v>46030</v>
      </c>
      <c r="K65" s="52"/>
      <c r="L65" s="49" t="str">
        <f>IFERROR(__xludf.DUMMYFUNCTION("""COMPUTED_VALUE"""),"B Supply")</f>
        <v>B Supply</v>
      </c>
      <c r="M65" s="49">
        <f>IFERROR(__xludf.DUMMYFUNCTION("""COMPUTED_VALUE"""),513136.0)</f>
        <v>513136</v>
      </c>
      <c r="N65" s="53">
        <f>IFERROR(__xludf.DUMMYFUNCTION("""COMPUTED_VALUE"""),10.4)</f>
        <v>10.4</v>
      </c>
      <c r="O65" s="54">
        <f>IFERROR(__xludf.DUMMYFUNCTION("""COMPUTED_VALUE"""),657619.0)</f>
        <v>657619</v>
      </c>
      <c r="P65" s="49" t="str">
        <f>IFERROR(__xludf.DUMMYFUNCTION("""COMPUTED_VALUE"""),"na")</f>
        <v>na</v>
      </c>
      <c r="Q65" s="49" t="str">
        <f>IFERROR(__xludf.DUMMYFUNCTION("""COMPUTED_VALUE"""),"na")</f>
        <v>na</v>
      </c>
      <c r="R65" s="49"/>
      <c r="S65" s="49"/>
      <c r="T65" s="49"/>
      <c r="U65" s="49"/>
      <c r="V65" s="49"/>
      <c r="W65" s="49"/>
      <c r="X65" s="49"/>
      <c r="Y65" s="49"/>
      <c r="Z65" s="49"/>
    </row>
    <row r="66">
      <c r="A66" s="49" t="str">
        <f>IFERROR(__xludf.DUMMYFUNCTION("""COMPUTED_VALUE"""),"---")</f>
        <v>---</v>
      </c>
      <c r="B66" s="49" t="str">
        <f>IFERROR(__xludf.DUMMYFUNCTION("""COMPUTED_VALUE"""),"---")</f>
        <v>---</v>
      </c>
      <c r="C66" s="50" t="str">
        <f>IFERROR(__xludf.DUMMYFUNCTION("""COMPUTED_VALUE"""),"Paul Ward")</f>
        <v>Paul Ward</v>
      </c>
      <c r="D66" s="49">
        <f>IFERROR(__xludf.DUMMYFUNCTION("""COMPUTED_VALUE"""),5.708409552E9)</f>
        <v>5708409552</v>
      </c>
      <c r="E66" s="49" t="str">
        <f>IFERROR(__xludf.DUMMYFUNCTION("""COMPUTED_VALUE"""),"South")</f>
        <v>South</v>
      </c>
      <c r="F66" s="49" t="str">
        <f>IFERROR(__xludf.DUMMYFUNCTION("""COMPUTED_VALUE"""),"South")</f>
        <v>South</v>
      </c>
      <c r="G66" s="49" t="str">
        <f>IFERROR(__xludf.DUMMYFUNCTION("""COMPUTED_VALUE"""),"Storm Typhoon 14 lb")</f>
        <v>Storm Typhoon 14 lb</v>
      </c>
      <c r="H66" s="52"/>
      <c r="I66" s="49"/>
      <c r="J66" s="51">
        <f>IFERROR(__xludf.DUMMYFUNCTION("""COMPUTED_VALUE"""),46030.0)</f>
        <v>46030</v>
      </c>
      <c r="K66" s="52"/>
      <c r="L66" s="49" t="str">
        <f>IFERROR(__xludf.DUMMYFUNCTION("""COMPUTED_VALUE"""),"B Supply")</f>
        <v>B Supply</v>
      </c>
      <c r="M66" s="49">
        <f>IFERROR(__xludf.DUMMYFUNCTION("""COMPUTED_VALUE"""),513136.0)</f>
        <v>513136</v>
      </c>
      <c r="N66" s="53">
        <f>IFERROR(__xludf.DUMMYFUNCTION("""COMPUTED_VALUE"""),105.36)</f>
        <v>105.36</v>
      </c>
      <c r="O66" s="54">
        <f>IFERROR(__xludf.DUMMYFUNCTION("""COMPUTED_VALUE"""),657619.0)</f>
        <v>657619</v>
      </c>
      <c r="P66" s="49" t="str">
        <f>IFERROR(__xludf.DUMMYFUNCTION("""COMPUTED_VALUE"""),"Y")</f>
        <v>Y</v>
      </c>
      <c r="Q66" s="49" t="str">
        <f>IFERROR(__xludf.DUMMYFUNCTION("""COMPUTED_VALUE"""),"Y")</f>
        <v>Y</v>
      </c>
      <c r="R66" s="49"/>
      <c r="S66" s="49"/>
      <c r="T66" s="49"/>
      <c r="U66" s="49"/>
      <c r="V66" s="49"/>
      <c r="W66" s="49"/>
      <c r="X66" s="49"/>
      <c r="Y66" s="49"/>
      <c r="Z66" s="49"/>
    </row>
    <row r="67">
      <c r="A67" s="49" t="str">
        <f>IFERROR(__xludf.DUMMYFUNCTION("""COMPUTED_VALUE"""),"---")</f>
        <v>---</v>
      </c>
      <c r="B67" s="49" t="str">
        <f>IFERROR(__xludf.DUMMYFUNCTION("""COMPUTED_VALUE"""),"---")</f>
        <v>---</v>
      </c>
      <c r="C67" s="50" t="str">
        <f>IFERROR(__xludf.DUMMYFUNCTION("""COMPUTED_VALUE"""),"Preston")</f>
        <v>Preston</v>
      </c>
      <c r="D67" s="49"/>
      <c r="E67" s="49" t="str">
        <f>IFERROR(__xludf.DUMMYFUNCTION("""COMPUTED_VALUE"""),"Valley")</f>
        <v>Valley</v>
      </c>
      <c r="F67" s="49" t="str">
        <f>IFERROR(__xludf.DUMMYFUNCTION("""COMPUTED_VALUE"""),"Valley")</f>
        <v>Valley</v>
      </c>
      <c r="G67" s="49" t="str">
        <f>IFERROR(__xludf.DUMMYFUNCTION("""COMPUTED_VALUE"""),"Storm IQ Tour 14 lb")</f>
        <v>Storm IQ Tour 14 lb</v>
      </c>
      <c r="H67" s="52"/>
      <c r="I67" s="49"/>
      <c r="J67" s="51">
        <f>IFERROR(__xludf.DUMMYFUNCTION("""COMPUTED_VALUE"""),46030.0)</f>
        <v>46030</v>
      </c>
      <c r="K67" s="52"/>
      <c r="L67" s="49" t="str">
        <f>IFERROR(__xludf.DUMMYFUNCTION("""COMPUTED_VALUE"""),"B Supply")</f>
        <v>B Supply</v>
      </c>
      <c r="M67" s="49">
        <f>IFERROR(__xludf.DUMMYFUNCTION("""COMPUTED_VALUE"""),513136.0)</f>
        <v>513136</v>
      </c>
      <c r="N67" s="53">
        <f>IFERROR(__xludf.DUMMYFUNCTION("""COMPUTED_VALUE"""),144.35)</f>
        <v>144.35</v>
      </c>
      <c r="O67" s="54">
        <f>IFERROR(__xludf.DUMMYFUNCTION("""COMPUTED_VALUE"""),657619.0)</f>
        <v>657619</v>
      </c>
      <c r="P67" s="49" t="str">
        <f>IFERROR(__xludf.DUMMYFUNCTION("""COMPUTED_VALUE"""),"Y")</f>
        <v>Y</v>
      </c>
      <c r="Q67" s="49" t="str">
        <f>IFERROR(__xludf.DUMMYFUNCTION("""COMPUTED_VALUE"""),"Y")</f>
        <v>Y</v>
      </c>
      <c r="R67" s="49"/>
      <c r="S67" s="49"/>
      <c r="T67" s="49"/>
      <c r="U67" s="49"/>
      <c r="V67" s="49"/>
      <c r="W67" s="49"/>
      <c r="X67" s="49"/>
      <c r="Y67" s="49"/>
      <c r="Z67" s="49"/>
    </row>
    <row r="68">
      <c r="A68" s="49" t="str">
        <f>IFERROR(__xludf.DUMMYFUNCTION("""COMPUTED_VALUE"""),"---")</f>
        <v>---</v>
      </c>
      <c r="B68" s="49" t="str">
        <f>IFERROR(__xludf.DUMMYFUNCTION("""COMPUTED_VALUE"""),"---")</f>
        <v>---</v>
      </c>
      <c r="C68" s="50" t="str">
        <f>IFERROR(__xludf.DUMMYFUNCTION("""COMPUTED_VALUE"""),"Christine Auriemma")</f>
        <v>Christine Auriemma</v>
      </c>
      <c r="D68" s="49"/>
      <c r="E68" s="49" t="str">
        <f>IFERROR(__xludf.DUMMYFUNCTION("""COMPUTED_VALUE"""),"South")</f>
        <v>South</v>
      </c>
      <c r="F68" s="49" t="str">
        <f>IFERROR(__xludf.DUMMYFUNCTION("""COMPUTED_VALUE"""),"South")</f>
        <v>South</v>
      </c>
      <c r="G68" s="49" t="str">
        <f>IFERROR(__xludf.DUMMYFUNCTION("""COMPUTED_VALUE"""),"Brunswick Zone single roller black")</f>
        <v>Brunswick Zone single roller black</v>
      </c>
      <c r="H68" s="52"/>
      <c r="I68" s="49"/>
      <c r="J68" s="51">
        <f>IFERROR(__xludf.DUMMYFUNCTION("""COMPUTED_VALUE"""),46030.0)</f>
        <v>46030</v>
      </c>
      <c r="K68" s="52"/>
      <c r="L68" s="49" t="str">
        <f>IFERROR(__xludf.DUMMYFUNCTION("""COMPUTED_VALUE"""),"B Supply")</f>
        <v>B Supply</v>
      </c>
      <c r="M68" s="49">
        <f>IFERROR(__xludf.DUMMYFUNCTION("""COMPUTED_VALUE"""),513136.0)</f>
        <v>513136</v>
      </c>
      <c r="N68" s="53">
        <f>IFERROR(__xludf.DUMMYFUNCTION("""COMPUTED_VALUE"""),63.37)</f>
        <v>63.37</v>
      </c>
      <c r="O68" s="54">
        <f>IFERROR(__xludf.DUMMYFUNCTION("""COMPUTED_VALUE"""),657619.0)</f>
        <v>657619</v>
      </c>
      <c r="P68" s="49" t="str">
        <f>IFERROR(__xludf.DUMMYFUNCTION("""COMPUTED_VALUE"""),"Y")</f>
        <v>Y</v>
      </c>
      <c r="Q68" s="49" t="str">
        <f>IFERROR(__xludf.DUMMYFUNCTION("""COMPUTED_VALUE"""),"Y")</f>
        <v>Y</v>
      </c>
      <c r="R68" s="49"/>
      <c r="S68" s="49"/>
      <c r="T68" s="49"/>
      <c r="U68" s="49"/>
      <c r="V68" s="49"/>
      <c r="W68" s="49"/>
      <c r="X68" s="49"/>
      <c r="Y68" s="49"/>
      <c r="Z68" s="49"/>
    </row>
    <row r="69">
      <c r="A69" s="49" t="str">
        <f>IFERROR(__xludf.DUMMYFUNCTION("""COMPUTED_VALUE"""),"---")</f>
        <v>---</v>
      </c>
      <c r="B69" s="49" t="str">
        <f>IFERROR(__xludf.DUMMYFUNCTION("""COMPUTED_VALUE"""),"---")</f>
        <v>---</v>
      </c>
      <c r="C69" s="50" t="str">
        <f>IFERROR(__xludf.DUMMYFUNCTION("""COMPUTED_VALUE"""),"Cody Wilcox")</f>
        <v>Cody Wilcox</v>
      </c>
      <c r="D69" s="49"/>
      <c r="E69" s="49" t="str">
        <f>IFERROR(__xludf.DUMMYFUNCTION("""COMPUTED_VALUE"""),"Valley")</f>
        <v>Valley</v>
      </c>
      <c r="F69" s="49" t="str">
        <f>IFERROR(__xludf.DUMMYFUNCTION("""COMPUTED_VALUE"""),"Valley")</f>
        <v>Valley</v>
      </c>
      <c r="G69" s="49" t="str">
        <f>IFERROR(__xludf.DUMMYFUNCTION("""COMPUTED_VALUE"""),"Hammer Hammerhead Pearl 15 lb")</f>
        <v>Hammer Hammerhead Pearl 15 lb</v>
      </c>
      <c r="H69" s="52"/>
      <c r="I69" s="49"/>
      <c r="J69" s="51">
        <f>IFERROR(__xludf.DUMMYFUNCTION("""COMPUTED_VALUE"""),46034.0)</f>
        <v>46034</v>
      </c>
      <c r="K69" s="52"/>
      <c r="L69" s="49" t="str">
        <f>IFERROR(__xludf.DUMMYFUNCTION("""COMPUTED_VALUE"""),"B Supply")</f>
        <v>B Supply</v>
      </c>
      <c r="M69" s="49">
        <f>IFERROR(__xludf.DUMMYFUNCTION("""COMPUTED_VALUE"""),514030.0)</f>
        <v>514030</v>
      </c>
      <c r="N69" s="53">
        <f>IFERROR(__xludf.DUMMYFUNCTION("""COMPUTED_VALUE"""),113.91)</f>
        <v>113.91</v>
      </c>
      <c r="O69" s="54">
        <f>IFERROR(__xludf.DUMMYFUNCTION("""COMPUTED_VALUE"""),658530.0)</f>
        <v>658530</v>
      </c>
      <c r="P69" s="49" t="str">
        <f>IFERROR(__xludf.DUMMYFUNCTION("""COMPUTED_VALUE"""),"Y")</f>
        <v>Y</v>
      </c>
      <c r="Q69" s="49" t="str">
        <f>IFERROR(__xludf.DUMMYFUNCTION("""COMPUTED_VALUE"""),"Y")</f>
        <v>Y</v>
      </c>
      <c r="R69" s="49"/>
      <c r="S69" s="49"/>
      <c r="T69" s="49"/>
      <c r="U69" s="49"/>
      <c r="V69" s="49"/>
      <c r="W69" s="49"/>
      <c r="X69" s="49"/>
      <c r="Y69" s="49"/>
      <c r="Z69" s="49"/>
    </row>
    <row r="70">
      <c r="A70" s="49" t="str">
        <f>IFERROR(__xludf.DUMMYFUNCTION("""COMPUTED_VALUE"""),"---")</f>
        <v>---</v>
      </c>
      <c r="B70" s="49" t="str">
        <f>IFERROR(__xludf.DUMMYFUNCTION("""COMPUTED_VALUE"""),"---")</f>
        <v>---</v>
      </c>
      <c r="C70" s="50" t="str">
        <f>IFERROR(__xludf.DUMMYFUNCTION("""COMPUTED_VALUE"""),"Joe Pica")</f>
        <v>Joe Pica</v>
      </c>
      <c r="D70" s="49"/>
      <c r="E70" s="49" t="str">
        <f>IFERROR(__xludf.DUMMYFUNCTION("""COMPUTED_VALUE"""),"Valley")</f>
        <v>Valley</v>
      </c>
      <c r="F70" s="49" t="str">
        <f>IFERROR(__xludf.DUMMYFUNCTION("""COMPUTED_VALUE"""),"Valley")</f>
        <v>Valley</v>
      </c>
      <c r="G70" s="49" t="str">
        <f>IFERROR(__xludf.DUMMYFUNCTION("""COMPUTED_VALUE"""),"Hammer Dynasty 14 lb")</f>
        <v>Hammer Dynasty 14 lb</v>
      </c>
      <c r="H70" s="52"/>
      <c r="I70" s="49"/>
      <c r="J70" s="51">
        <f>IFERROR(__xludf.DUMMYFUNCTION("""COMPUTED_VALUE"""),46034.0)</f>
        <v>46034</v>
      </c>
      <c r="K70" s="52"/>
      <c r="L70" s="49" t="str">
        <f>IFERROR(__xludf.DUMMYFUNCTION("""COMPUTED_VALUE"""),"B Supply")</f>
        <v>B Supply</v>
      </c>
      <c r="M70" s="49">
        <f>IFERROR(__xludf.DUMMYFUNCTION("""COMPUTED_VALUE"""),514030.0)</f>
        <v>514030</v>
      </c>
      <c r="N70" s="53">
        <f>IFERROR(__xludf.DUMMYFUNCTION("""COMPUTED_VALUE"""),132.15)</f>
        <v>132.15</v>
      </c>
      <c r="O70" s="54">
        <f>IFERROR(__xludf.DUMMYFUNCTION("""COMPUTED_VALUE"""),658530.0)</f>
        <v>658530</v>
      </c>
      <c r="P70" s="49" t="str">
        <f>IFERROR(__xludf.DUMMYFUNCTION("""COMPUTED_VALUE"""),"Y")</f>
        <v>Y</v>
      </c>
      <c r="Q70" s="49" t="str">
        <f>IFERROR(__xludf.DUMMYFUNCTION("""COMPUTED_VALUE"""),"Y")</f>
        <v>Y</v>
      </c>
      <c r="R70" s="49"/>
      <c r="S70" s="49"/>
      <c r="T70" s="49"/>
      <c r="U70" s="49"/>
      <c r="V70" s="49"/>
      <c r="W70" s="49"/>
      <c r="X70" s="49"/>
      <c r="Y70" s="49"/>
      <c r="Z70" s="49"/>
    </row>
    <row r="71">
      <c r="A71" s="49" t="str">
        <f>IFERROR(__xludf.DUMMYFUNCTION("""COMPUTED_VALUE"""),"---")</f>
        <v>---</v>
      </c>
      <c r="B71" s="49" t="str">
        <f>IFERROR(__xludf.DUMMYFUNCTION("""COMPUTED_VALUE"""),"---")</f>
        <v>---</v>
      </c>
      <c r="C71" s="50" t="str">
        <f>IFERROR(__xludf.DUMMYFUNCTION("""COMPUTED_VALUE"""),"Michael Marinelli")</f>
        <v>Michael Marinelli</v>
      </c>
      <c r="D71" s="49"/>
      <c r="E71" s="49" t="str">
        <f>IFERROR(__xludf.DUMMYFUNCTION("""COMPUTED_VALUE"""),"Valley")</f>
        <v>Valley</v>
      </c>
      <c r="F71" s="49" t="str">
        <f>IFERROR(__xludf.DUMMYFUNCTION("""COMPUTED_VALUE"""),"Valley")</f>
        <v>Valley</v>
      </c>
      <c r="G71" s="49" t="str">
        <f>IFERROR(__xludf.DUMMYFUNCTION("""COMPUTED_VALUE"""),"Hammer Dynasty 14 lb")</f>
        <v>Hammer Dynasty 14 lb</v>
      </c>
      <c r="H71" s="52"/>
      <c r="I71" s="49"/>
      <c r="J71" s="51">
        <f>IFERROR(__xludf.DUMMYFUNCTION("""COMPUTED_VALUE"""),46034.0)</f>
        <v>46034</v>
      </c>
      <c r="K71" s="52"/>
      <c r="L71" s="49" t="str">
        <f>IFERROR(__xludf.DUMMYFUNCTION("""COMPUTED_VALUE"""),"B Supply")</f>
        <v>B Supply</v>
      </c>
      <c r="M71" s="49">
        <f>IFERROR(__xludf.DUMMYFUNCTION("""COMPUTED_VALUE"""),514030.0)</f>
        <v>514030</v>
      </c>
      <c r="N71" s="53">
        <f>IFERROR(__xludf.DUMMYFUNCTION("""COMPUTED_VALUE"""),132.15)</f>
        <v>132.15</v>
      </c>
      <c r="O71" s="54">
        <f>IFERROR(__xludf.DUMMYFUNCTION("""COMPUTED_VALUE"""),658530.0)</f>
        <v>658530</v>
      </c>
      <c r="P71" s="49" t="str">
        <f>IFERROR(__xludf.DUMMYFUNCTION("""COMPUTED_VALUE"""),"Y")</f>
        <v>Y</v>
      </c>
      <c r="Q71" s="49" t="str">
        <f>IFERROR(__xludf.DUMMYFUNCTION("""COMPUTED_VALUE"""),"Y")</f>
        <v>Y</v>
      </c>
      <c r="R71" s="49"/>
      <c r="S71" s="49"/>
      <c r="T71" s="49"/>
      <c r="U71" s="49"/>
      <c r="V71" s="49"/>
      <c r="W71" s="49"/>
      <c r="X71" s="49"/>
      <c r="Y71" s="49"/>
      <c r="Z71" s="49"/>
    </row>
    <row r="72">
      <c r="A72" s="49" t="str">
        <f>IFERROR(__xludf.DUMMYFUNCTION("""COMPUTED_VALUE"""),"---")</f>
        <v>---</v>
      </c>
      <c r="B72" s="49" t="str">
        <f>IFERROR(__xludf.DUMMYFUNCTION("""COMPUTED_VALUE"""),"---")</f>
        <v>---</v>
      </c>
      <c r="C72" s="50" t="str">
        <f>IFERROR(__xludf.DUMMYFUNCTION("""COMPUTED_VALUE"""),"Stock")</f>
        <v>Stock</v>
      </c>
      <c r="D72" s="49"/>
      <c r="E72" s="49"/>
      <c r="F72" s="49"/>
      <c r="G72" s="49" t="str">
        <f>IFERROR(__xludf.DUMMYFUNCTION("""COMPUTED_VALUE"""),"Hammer NU 2.0 15 lb")</f>
        <v>Hammer NU 2.0 15 lb</v>
      </c>
      <c r="H72" s="52"/>
      <c r="I72" s="49"/>
      <c r="J72" s="51">
        <f>IFERROR(__xludf.DUMMYFUNCTION("""COMPUTED_VALUE"""),46034.0)</f>
        <v>46034</v>
      </c>
      <c r="K72" s="52"/>
      <c r="L72" s="49" t="str">
        <f>IFERROR(__xludf.DUMMYFUNCTION("""COMPUTED_VALUE"""),"B Supply")</f>
        <v>B Supply</v>
      </c>
      <c r="M72" s="49">
        <f>IFERROR(__xludf.DUMMYFUNCTION("""COMPUTED_VALUE"""),514030.0)</f>
        <v>514030</v>
      </c>
      <c r="N72" s="53">
        <f>IFERROR(__xludf.DUMMYFUNCTION("""COMPUTED_VALUE"""),114.0)</f>
        <v>114</v>
      </c>
      <c r="O72" s="54">
        <f>IFERROR(__xludf.DUMMYFUNCTION("""COMPUTED_VALUE"""),658530.0)</f>
        <v>658530</v>
      </c>
      <c r="P72" s="49" t="str">
        <f>IFERROR(__xludf.DUMMYFUNCTION("""COMPUTED_VALUE"""),"na")</f>
        <v>na</v>
      </c>
      <c r="Q72" s="49" t="str">
        <f>IFERROR(__xludf.DUMMYFUNCTION("""COMPUTED_VALUE"""),"na")</f>
        <v>na</v>
      </c>
      <c r="R72" s="49"/>
      <c r="S72" s="49"/>
      <c r="T72" s="49"/>
      <c r="U72" s="49"/>
      <c r="V72" s="49"/>
      <c r="W72" s="49"/>
      <c r="X72" s="49"/>
      <c r="Y72" s="49"/>
      <c r="Z72" s="49"/>
    </row>
    <row r="73">
      <c r="A73" s="49" t="str">
        <f>IFERROR(__xludf.DUMMYFUNCTION("""COMPUTED_VALUE"""),"---")</f>
        <v>---</v>
      </c>
      <c r="B73" s="49" t="str">
        <f>IFERROR(__xludf.DUMMYFUNCTION("""COMPUTED_VALUE"""),"---")</f>
        <v>---</v>
      </c>
      <c r="C73" s="50" t="str">
        <f>IFERROR(__xludf.DUMMYFUNCTION("""COMPUTED_VALUE"""),"John Schwarztrauber")</f>
        <v>John Schwarztrauber</v>
      </c>
      <c r="D73" s="49"/>
      <c r="E73" s="49" t="str">
        <f>IFERROR(__xludf.DUMMYFUNCTION("""COMPUTED_VALUE"""),"South")</f>
        <v>South</v>
      </c>
      <c r="F73" s="49" t="str">
        <f>IFERROR(__xludf.DUMMYFUNCTION("""COMPUTED_VALUE"""),"South")</f>
        <v>South</v>
      </c>
      <c r="G73" s="49" t="str">
        <f>IFERROR(__xludf.DUMMYFUNCTION("""COMPUTED_VALUE"""),"Storm equinox pearl 14lb")</f>
        <v>Storm equinox pearl 14lb</v>
      </c>
      <c r="H73" s="52"/>
      <c r="I73" s="49"/>
      <c r="J73" s="51">
        <f>IFERROR(__xludf.DUMMYFUNCTION("""COMPUTED_VALUE"""),46034.0)</f>
        <v>46034</v>
      </c>
      <c r="K73" s="52"/>
      <c r="L73" s="49" t="str">
        <f>IFERROR(__xludf.DUMMYFUNCTION("""COMPUTED_VALUE"""),"B Supply")</f>
        <v>B Supply</v>
      </c>
      <c r="M73" s="49">
        <f>IFERROR(__xludf.DUMMYFUNCTION("""COMPUTED_VALUE"""),514030.0)</f>
        <v>514030</v>
      </c>
      <c r="N73" s="53">
        <f>IFERROR(__xludf.DUMMYFUNCTION("""COMPUTED_VALUE"""),160.17)</f>
        <v>160.17</v>
      </c>
      <c r="O73" s="54">
        <f>IFERROR(__xludf.DUMMYFUNCTION("""COMPUTED_VALUE"""),658530.0)</f>
        <v>658530</v>
      </c>
      <c r="P73" s="49" t="str">
        <f>IFERROR(__xludf.DUMMYFUNCTION("""COMPUTED_VALUE"""),"Y")</f>
        <v>Y</v>
      </c>
      <c r="Q73" s="49" t="str">
        <f>IFERROR(__xludf.DUMMYFUNCTION("""COMPUTED_VALUE"""),"Y")</f>
        <v>Y</v>
      </c>
      <c r="R73" s="49"/>
      <c r="S73" s="49"/>
      <c r="T73" s="49"/>
      <c r="U73" s="49"/>
      <c r="V73" s="49"/>
      <c r="W73" s="49"/>
      <c r="X73" s="49"/>
      <c r="Y73" s="49"/>
      <c r="Z73" s="49"/>
    </row>
    <row r="74">
      <c r="A74" s="49" t="str">
        <f>IFERROR(__xludf.DUMMYFUNCTION("""COMPUTED_VALUE"""),"---")</f>
        <v>---</v>
      </c>
      <c r="B74" s="49" t="str">
        <f>IFERROR(__xludf.DUMMYFUNCTION("""COMPUTED_VALUE"""),"---")</f>
        <v>---</v>
      </c>
      <c r="C74" s="50" t="str">
        <f>IFERROR(__xludf.DUMMYFUNCTION("""COMPUTED_VALUE"""),"Gino Arcurie")</f>
        <v>Gino Arcurie</v>
      </c>
      <c r="D74" s="49"/>
      <c r="E74" s="49" t="str">
        <f>IFERROR(__xludf.DUMMYFUNCTION("""COMPUTED_VALUE"""),"South")</f>
        <v>South</v>
      </c>
      <c r="F74" s="49" t="str">
        <f>IFERROR(__xludf.DUMMYFUNCTION("""COMPUTED_VALUE"""),"South")</f>
        <v>South</v>
      </c>
      <c r="G74" s="49" t="str">
        <f>IFERROR(__xludf.DUMMYFUNCTION("""COMPUTED_VALUE"""),"Hammer Anger Solid 12 lb")</f>
        <v>Hammer Anger Solid 12 lb</v>
      </c>
      <c r="H74" s="52"/>
      <c r="I74" s="49"/>
      <c r="J74" s="51">
        <f>IFERROR(__xludf.DUMMYFUNCTION("""COMPUTED_VALUE"""),46034.0)</f>
        <v>46034</v>
      </c>
      <c r="K74" s="52"/>
      <c r="L74" s="49" t="str">
        <f>IFERROR(__xludf.DUMMYFUNCTION("""COMPUTED_VALUE"""),"B Supply")</f>
        <v>B Supply</v>
      </c>
      <c r="M74" s="49">
        <f>IFERROR(__xludf.DUMMYFUNCTION("""COMPUTED_VALUE"""),514030.0)</f>
        <v>514030</v>
      </c>
      <c r="N74" s="53">
        <f>IFERROR(__xludf.DUMMYFUNCTION("""COMPUTED_VALUE"""),114.0)</f>
        <v>114</v>
      </c>
      <c r="O74" s="54">
        <f>IFERROR(__xludf.DUMMYFUNCTION("""COMPUTED_VALUE"""),658530.0)</f>
        <v>658530</v>
      </c>
      <c r="P74" s="49" t="str">
        <f>IFERROR(__xludf.DUMMYFUNCTION("""COMPUTED_VALUE"""),"Y")</f>
        <v>Y</v>
      </c>
      <c r="Q74" s="49" t="str">
        <f>IFERROR(__xludf.DUMMYFUNCTION("""COMPUTED_VALUE"""),"Y")</f>
        <v>Y</v>
      </c>
      <c r="R74" s="49"/>
      <c r="S74" s="49"/>
      <c r="T74" s="49"/>
      <c r="U74" s="49"/>
      <c r="V74" s="49"/>
      <c r="W74" s="49"/>
      <c r="X74" s="49"/>
      <c r="Y74" s="49"/>
      <c r="Z74" s="49"/>
    </row>
    <row r="75">
      <c r="A75" s="49" t="str">
        <f>IFERROR(__xludf.DUMMYFUNCTION("""COMPUTED_VALUE"""),"---")</f>
        <v>---</v>
      </c>
      <c r="B75" s="49" t="str">
        <f>IFERROR(__xludf.DUMMYFUNCTION("""COMPUTED_VALUE"""),"---")</f>
        <v>---</v>
      </c>
      <c r="C75" s="50" t="str">
        <f>IFERROR(__xludf.DUMMYFUNCTION("""COMPUTED_VALUE"""),"Stacy Costanzo")</f>
        <v>Stacy Costanzo</v>
      </c>
      <c r="D75" s="49"/>
      <c r="E75" s="49" t="str">
        <f>IFERROR(__xludf.DUMMYFUNCTION("""COMPUTED_VALUE"""),"Valley")</f>
        <v>Valley</v>
      </c>
      <c r="F75" s="49" t="str">
        <f>IFERROR(__xludf.DUMMYFUNCTION("""COMPUTED_VALUE"""),"Valley")</f>
        <v>Valley</v>
      </c>
      <c r="G75" s="49" t="str">
        <f>IFERROR(__xludf.DUMMYFUNCTION("""COMPUTED_VALUE"""),"Hammer Zero Mercy Solid 14 lb")</f>
        <v>Hammer Zero Mercy Solid 14 lb</v>
      </c>
      <c r="H75" s="52"/>
      <c r="I75" s="49"/>
      <c r="J75" s="51">
        <f>IFERROR(__xludf.DUMMYFUNCTION("""COMPUTED_VALUE"""),46034.0)</f>
        <v>46034</v>
      </c>
      <c r="K75" s="52"/>
      <c r="L75" s="49" t="str">
        <f>IFERROR(__xludf.DUMMYFUNCTION("""COMPUTED_VALUE"""),"B Supply")</f>
        <v>B Supply</v>
      </c>
      <c r="M75" s="49">
        <f>IFERROR(__xludf.DUMMYFUNCTION("""COMPUTED_VALUE"""),514030.0)</f>
        <v>514030</v>
      </c>
      <c r="N75" s="53">
        <f>IFERROR(__xludf.DUMMYFUNCTION("""COMPUTED_VALUE"""),156.51)</f>
        <v>156.51</v>
      </c>
      <c r="O75" s="54">
        <f>IFERROR(__xludf.DUMMYFUNCTION("""COMPUTED_VALUE"""),658530.0)</f>
        <v>658530</v>
      </c>
      <c r="P75" s="49" t="str">
        <f>IFERROR(__xludf.DUMMYFUNCTION("""COMPUTED_VALUE"""),"Y")</f>
        <v>Y</v>
      </c>
      <c r="Q75" s="49" t="str">
        <f>IFERROR(__xludf.DUMMYFUNCTION("""COMPUTED_VALUE"""),"Y")</f>
        <v>Y</v>
      </c>
      <c r="R75" s="49"/>
      <c r="S75" s="49"/>
      <c r="T75" s="49"/>
      <c r="U75" s="49"/>
      <c r="V75" s="49"/>
      <c r="W75" s="49"/>
      <c r="X75" s="49"/>
      <c r="Y75" s="49"/>
      <c r="Z75" s="49"/>
    </row>
    <row r="76">
      <c r="A76" s="49" t="str">
        <f>IFERROR(__xludf.DUMMYFUNCTION("""COMPUTED_VALUE"""),"---")</f>
        <v>---</v>
      </c>
      <c r="B76" s="49" t="str">
        <f>IFERROR(__xludf.DUMMYFUNCTION("""COMPUTED_VALUE"""),"---")</f>
        <v>---</v>
      </c>
      <c r="C76" s="50" t="str">
        <f>IFERROR(__xludf.DUMMYFUNCTION("""COMPUTED_VALUE"""),"Stock")</f>
        <v>Stock</v>
      </c>
      <c r="D76" s="49"/>
      <c r="E76" s="49" t="str">
        <f>IFERROR(__xludf.DUMMYFUNCTION("""COMPUTED_VALUE"""),"Valley")</f>
        <v>Valley</v>
      </c>
      <c r="F76" s="49" t="str">
        <f>IFERROR(__xludf.DUMMYFUNCTION("""COMPUTED_VALUE"""),"Valley")</f>
        <v>Valley</v>
      </c>
      <c r="G76" s="49" t="str">
        <f>IFERROR(__xludf.DUMMYFUNCTION("""COMPUTED_VALUE"""),"1 3/8"" thumb slug blue/purple")</f>
        <v>1 3/8" thumb slug blue/purple</v>
      </c>
      <c r="H76" s="52"/>
      <c r="I76" s="49"/>
      <c r="J76" s="51">
        <f>IFERROR(__xludf.DUMMYFUNCTION("""COMPUTED_VALUE"""),46034.0)</f>
        <v>46034</v>
      </c>
      <c r="K76" s="52"/>
      <c r="L76" s="49" t="str">
        <f>IFERROR(__xludf.DUMMYFUNCTION("""COMPUTED_VALUE"""),"B Supply")</f>
        <v>B Supply</v>
      </c>
      <c r="M76" s="49">
        <f>IFERROR(__xludf.DUMMYFUNCTION("""COMPUTED_VALUE"""),514030.0)</f>
        <v>514030</v>
      </c>
      <c r="N76" s="53">
        <f>IFERROR(__xludf.DUMMYFUNCTION("""COMPUTED_VALUE"""),3.33)</f>
        <v>3.33</v>
      </c>
      <c r="O76" s="54">
        <f>IFERROR(__xludf.DUMMYFUNCTION("""COMPUTED_VALUE"""),658530.0)</f>
        <v>658530</v>
      </c>
      <c r="P76" s="49" t="str">
        <f>IFERROR(__xludf.DUMMYFUNCTION("""COMPUTED_VALUE"""),"na")</f>
        <v>na</v>
      </c>
      <c r="Q76" s="49" t="str">
        <f>IFERROR(__xludf.DUMMYFUNCTION("""COMPUTED_VALUE"""),"na")</f>
        <v>na</v>
      </c>
      <c r="R76" s="49"/>
      <c r="S76" s="49"/>
      <c r="T76" s="49"/>
      <c r="U76" s="49"/>
      <c r="V76" s="49"/>
      <c r="W76" s="49"/>
      <c r="X76" s="49"/>
      <c r="Y76" s="49"/>
      <c r="Z76" s="49"/>
    </row>
    <row r="77">
      <c r="A77" s="49" t="str">
        <f>IFERROR(__xludf.DUMMYFUNCTION("""COMPUTED_VALUE"""),"---")</f>
        <v>---</v>
      </c>
      <c r="B77" s="49" t="str">
        <f>IFERROR(__xludf.DUMMYFUNCTION("""COMPUTED_VALUE"""),"---")</f>
        <v>---</v>
      </c>
      <c r="C77" s="50" t="str">
        <f>IFERROR(__xludf.DUMMYFUNCTION("""COMPUTED_VALUE"""),"Pesarchik")</f>
        <v>Pesarchik</v>
      </c>
      <c r="D77" s="49">
        <f>IFERROR(__xludf.DUMMYFUNCTION("""COMPUTED_VALUE"""),5.702675198E9)</f>
        <v>5702675198</v>
      </c>
      <c r="E77" s="49" t="str">
        <f>IFERROR(__xludf.DUMMYFUNCTION("""COMPUTED_VALUE"""),"Valley")</f>
        <v>Valley</v>
      </c>
      <c r="F77" s="49" t="str">
        <f>IFERROR(__xludf.DUMMYFUNCTION("""COMPUTED_VALUE"""),"Valley")</f>
        <v>Valley</v>
      </c>
      <c r="G77" s="49" t="str">
        <f>IFERROR(__xludf.DUMMYFUNCTION("""COMPUTED_VALUE"""),"Dexter S6 blue microfiber sole")</f>
        <v>Dexter S6 blue microfiber sole</v>
      </c>
      <c r="H77" s="52"/>
      <c r="I77" s="49"/>
      <c r="J77" s="51">
        <f>IFERROR(__xludf.DUMMYFUNCTION("""COMPUTED_VALUE"""),46034.0)</f>
        <v>46034</v>
      </c>
      <c r="K77" s="52"/>
      <c r="L77" s="49" t="str">
        <f>IFERROR(__xludf.DUMMYFUNCTION("""COMPUTED_VALUE"""),"B Supply")</f>
        <v>B Supply</v>
      </c>
      <c r="M77" s="49">
        <f>IFERROR(__xludf.DUMMYFUNCTION("""COMPUTED_VALUE"""),514030.0)</f>
        <v>514030</v>
      </c>
      <c r="N77" s="53">
        <f>IFERROR(__xludf.DUMMYFUNCTION("""COMPUTED_VALUE"""),13.3)</f>
        <v>13.3</v>
      </c>
      <c r="O77" s="54">
        <f>IFERROR(__xludf.DUMMYFUNCTION("""COMPUTED_VALUE"""),658530.0)</f>
        <v>658530</v>
      </c>
      <c r="P77" s="49" t="str">
        <f>IFERROR(__xludf.DUMMYFUNCTION("""COMPUTED_VALUE"""),"Y")</f>
        <v>Y</v>
      </c>
      <c r="Q77" s="49" t="str">
        <f>IFERROR(__xludf.DUMMYFUNCTION("""COMPUTED_VALUE"""),"Y")</f>
        <v>Y</v>
      </c>
      <c r="R77" s="49"/>
      <c r="S77" s="49"/>
      <c r="T77" s="49"/>
      <c r="U77" s="49"/>
      <c r="V77" s="49"/>
      <c r="W77" s="49"/>
      <c r="X77" s="49"/>
      <c r="Y77" s="49"/>
      <c r="Z77" s="49"/>
    </row>
    <row r="78">
      <c r="A78" s="49" t="str">
        <f>IFERROR(__xludf.DUMMYFUNCTION("""COMPUTED_VALUE"""),"---")</f>
        <v>---</v>
      </c>
      <c r="B78" s="49" t="str">
        <f>IFERROR(__xludf.DUMMYFUNCTION("""COMPUTED_VALUE"""),"---")</f>
        <v>---</v>
      </c>
      <c r="C78" s="50" t="str">
        <f>IFERROR(__xludf.DUMMYFUNCTION("""COMPUTED_VALUE"""),"Stock")</f>
        <v>Stock</v>
      </c>
      <c r="D78" s="49"/>
      <c r="E78" s="49"/>
      <c r="F78" s="49"/>
      <c r="G78" s="49" t="str">
        <f>IFERROR(__xludf.DUMMYFUNCTION("""COMPUTED_VALUE"""),"Brunswick Punisher Double Roller grey")</f>
        <v>Brunswick Punisher Double Roller grey</v>
      </c>
      <c r="H78" s="52"/>
      <c r="I78" s="49"/>
      <c r="J78" s="51">
        <f>IFERROR(__xludf.DUMMYFUNCTION("""COMPUTED_VALUE"""),46034.0)</f>
        <v>46034</v>
      </c>
      <c r="K78" s="52"/>
      <c r="L78" s="49" t="str">
        <f>IFERROR(__xludf.DUMMYFUNCTION("""COMPUTED_VALUE"""),"B Supply")</f>
        <v>B Supply</v>
      </c>
      <c r="M78" s="49">
        <f>IFERROR(__xludf.DUMMYFUNCTION("""COMPUTED_VALUE"""),514030.0)</f>
        <v>514030</v>
      </c>
      <c r="N78" s="53">
        <f>IFERROR(__xludf.DUMMYFUNCTION("""COMPUTED_VALUE"""),91.2)</f>
        <v>91.2</v>
      </c>
      <c r="O78" s="54">
        <f>IFERROR(__xludf.DUMMYFUNCTION("""COMPUTED_VALUE"""),658530.0)</f>
        <v>658530</v>
      </c>
      <c r="P78" s="49" t="str">
        <f>IFERROR(__xludf.DUMMYFUNCTION("""COMPUTED_VALUE"""),"na")</f>
        <v>na</v>
      </c>
      <c r="Q78" s="49" t="str">
        <f>IFERROR(__xludf.DUMMYFUNCTION("""COMPUTED_VALUE"""),"na")</f>
        <v>na</v>
      </c>
      <c r="R78" s="49"/>
      <c r="S78" s="49"/>
      <c r="T78" s="49"/>
      <c r="U78" s="49"/>
      <c r="V78" s="49"/>
      <c r="W78" s="49"/>
      <c r="X78" s="49"/>
      <c r="Y78" s="49"/>
      <c r="Z78" s="49"/>
    </row>
    <row r="79">
      <c r="A79" s="49" t="str">
        <f>IFERROR(__xludf.DUMMYFUNCTION("""COMPUTED_VALUE"""),"---")</f>
        <v>---</v>
      </c>
      <c r="B79" s="49" t="str">
        <f>IFERROR(__xludf.DUMMYFUNCTION("""COMPUTED_VALUE"""),"---")</f>
        <v>---</v>
      </c>
      <c r="C79" s="50" t="str">
        <f>IFERROR(__xludf.DUMMYFUNCTION("""COMPUTED_VALUE"""),"Mary Jo Ricci")</f>
        <v>Mary Jo Ricci</v>
      </c>
      <c r="D79" s="49"/>
      <c r="E79" s="49" t="str">
        <f>IFERROR(__xludf.DUMMYFUNCTION("""COMPUTED_VALUE"""),"Valley")</f>
        <v>Valley</v>
      </c>
      <c r="F79" s="49" t="str">
        <f>IFERROR(__xludf.DUMMYFUNCTION("""COMPUTED_VALUE"""),"Valley")</f>
        <v>Valley</v>
      </c>
      <c r="G79" s="49" t="str">
        <f>IFERROR(__xludf.DUMMYFUNCTION("""COMPUTED_VALUE"""),"Brunswick Strikezone White/Teal size 4")</f>
        <v>Brunswick Strikezone White/Teal size 4</v>
      </c>
      <c r="H79" s="52"/>
      <c r="I79" s="49"/>
      <c r="J79" s="51">
        <f>IFERROR(__xludf.DUMMYFUNCTION("""COMPUTED_VALUE"""),46037.0)</f>
        <v>46037</v>
      </c>
      <c r="K79" s="52"/>
      <c r="L79" s="49" t="str">
        <f>IFERROR(__xludf.DUMMYFUNCTION("""COMPUTED_VALUE"""),"B Supply")</f>
        <v>B Supply</v>
      </c>
      <c r="M79" s="49">
        <f>IFERROR(__xludf.DUMMYFUNCTION("""COMPUTED_VALUE"""),514758.0)</f>
        <v>514758</v>
      </c>
      <c r="N79" s="53">
        <f>IFERROR(__xludf.DUMMYFUNCTION("""COMPUTED_VALUE"""),34.87)</f>
        <v>34.87</v>
      </c>
      <c r="O79" s="54">
        <f>IFERROR(__xludf.DUMMYFUNCTION("""COMPUTED_VALUE"""),659617.0)</f>
        <v>659617</v>
      </c>
      <c r="P79" s="49" t="str">
        <f>IFERROR(__xludf.DUMMYFUNCTION("""COMPUTED_VALUE"""),"Y")</f>
        <v>Y</v>
      </c>
      <c r="Q79" s="49" t="str">
        <f>IFERROR(__xludf.DUMMYFUNCTION("""COMPUTED_VALUE"""),"Y")</f>
        <v>Y</v>
      </c>
      <c r="R79" s="49"/>
      <c r="S79" s="49"/>
      <c r="T79" s="49"/>
      <c r="U79" s="49"/>
      <c r="V79" s="49"/>
      <c r="W79" s="49"/>
      <c r="X79" s="49"/>
      <c r="Y79" s="49"/>
      <c r="Z79" s="49"/>
    </row>
    <row r="80">
      <c r="A80" s="49" t="str">
        <f>IFERROR(__xludf.DUMMYFUNCTION("""COMPUTED_VALUE"""),"---")</f>
        <v>---</v>
      </c>
      <c r="B80" s="49" t="str">
        <f>IFERROR(__xludf.DUMMYFUNCTION("""COMPUTED_VALUE"""),"---")</f>
        <v>---</v>
      </c>
      <c r="C80" s="50" t="str">
        <f>IFERROR(__xludf.DUMMYFUNCTION("""COMPUTED_VALUE"""),"Tim Smalls")</f>
        <v>Tim Smalls</v>
      </c>
      <c r="D80" s="49"/>
      <c r="E80" s="49" t="str">
        <f>IFERROR(__xludf.DUMMYFUNCTION("""COMPUTED_VALUE"""),"South")</f>
        <v>South</v>
      </c>
      <c r="F80" s="49" t="str">
        <f>IFERROR(__xludf.DUMMYFUNCTION("""COMPUTED_VALUE"""),"South")</f>
        <v>South</v>
      </c>
      <c r="G80" s="49" t="str">
        <f>IFERROR(__xludf.DUMMYFUNCTION("""COMPUTED_VALUE"""),"Hammer Dynasty 15 lb")</f>
        <v>Hammer Dynasty 15 lb</v>
      </c>
      <c r="H80" s="52"/>
      <c r="I80" s="49"/>
      <c r="J80" s="51">
        <f>IFERROR(__xludf.DUMMYFUNCTION("""COMPUTED_VALUE"""),46037.0)</f>
        <v>46037</v>
      </c>
      <c r="K80" s="52"/>
      <c r="L80" s="49" t="str">
        <f>IFERROR(__xludf.DUMMYFUNCTION("""COMPUTED_VALUE"""),"B Supply")</f>
        <v>B Supply</v>
      </c>
      <c r="M80" s="49">
        <f>IFERROR(__xludf.DUMMYFUNCTION("""COMPUTED_VALUE"""),514758.0)</f>
        <v>514758</v>
      </c>
      <c r="N80" s="53">
        <f>IFERROR(__xludf.DUMMYFUNCTION("""COMPUTED_VALUE"""),132.15)</f>
        <v>132.15</v>
      </c>
      <c r="O80" s="54">
        <f>IFERROR(__xludf.DUMMYFUNCTION("""COMPUTED_VALUE"""),659617.0)</f>
        <v>659617</v>
      </c>
      <c r="P80" s="49" t="str">
        <f>IFERROR(__xludf.DUMMYFUNCTION("""COMPUTED_VALUE"""),"Y")</f>
        <v>Y</v>
      </c>
      <c r="Q80" s="49" t="str">
        <f>IFERROR(__xludf.DUMMYFUNCTION("""COMPUTED_VALUE"""),"Y")</f>
        <v>Y</v>
      </c>
      <c r="R80" s="49"/>
      <c r="S80" s="49"/>
      <c r="T80" s="49"/>
      <c r="U80" s="49"/>
      <c r="V80" s="49"/>
      <c r="W80" s="49"/>
      <c r="X80" s="49"/>
      <c r="Y80" s="49"/>
      <c r="Z80" s="49"/>
    </row>
    <row r="81">
      <c r="A81" s="49" t="str">
        <f>IFERROR(__xludf.DUMMYFUNCTION("""COMPUTED_VALUE"""),"---")</f>
        <v>---</v>
      </c>
      <c r="B81" s="49" t="str">
        <f>IFERROR(__xludf.DUMMYFUNCTION("""COMPUTED_VALUE"""),"---")</f>
        <v>---</v>
      </c>
      <c r="C81" s="50" t="str">
        <f>IFERROR(__xludf.DUMMYFUNCTION("""COMPUTED_VALUE"""),"Ryan kollonige")</f>
        <v>Ryan kollonige</v>
      </c>
      <c r="D81" s="49"/>
      <c r="E81" s="49" t="str">
        <f>IFERROR(__xludf.DUMMYFUNCTION("""COMPUTED_VALUE"""),"South")</f>
        <v>South</v>
      </c>
      <c r="F81" s="49" t="str">
        <f>IFERROR(__xludf.DUMMYFUNCTION("""COMPUTED_VALUE"""),"South")</f>
        <v>South</v>
      </c>
      <c r="G81" s="49" t="str">
        <f>IFERROR(__xludf.DUMMYFUNCTION("""COMPUTED_VALUE"""),"Hammer Dynasty 15 lb")</f>
        <v>Hammer Dynasty 15 lb</v>
      </c>
      <c r="H81" s="52"/>
      <c r="I81" s="49"/>
      <c r="J81" s="51">
        <f>IFERROR(__xludf.DUMMYFUNCTION("""COMPUTED_VALUE"""),46037.0)</f>
        <v>46037</v>
      </c>
      <c r="K81" s="52"/>
      <c r="L81" s="49" t="str">
        <f>IFERROR(__xludf.DUMMYFUNCTION("""COMPUTED_VALUE"""),"B Supply")</f>
        <v>B Supply</v>
      </c>
      <c r="M81" s="49">
        <f>IFERROR(__xludf.DUMMYFUNCTION("""COMPUTED_VALUE"""),514758.0)</f>
        <v>514758</v>
      </c>
      <c r="N81" s="53">
        <f>IFERROR(__xludf.DUMMYFUNCTION("""COMPUTED_VALUE"""),132.15)</f>
        <v>132.15</v>
      </c>
      <c r="O81" s="54">
        <f>IFERROR(__xludf.DUMMYFUNCTION("""COMPUTED_VALUE"""),659617.0)</f>
        <v>659617</v>
      </c>
      <c r="P81" s="49" t="str">
        <f>IFERROR(__xludf.DUMMYFUNCTION("""COMPUTED_VALUE"""),"Y")</f>
        <v>Y</v>
      </c>
      <c r="Q81" s="49" t="str">
        <f>IFERROR(__xludf.DUMMYFUNCTION("""COMPUTED_VALUE"""),"Y")</f>
        <v>Y</v>
      </c>
      <c r="R81" s="49"/>
      <c r="S81" s="49"/>
      <c r="T81" s="49"/>
      <c r="U81" s="49"/>
      <c r="V81" s="49"/>
      <c r="W81" s="49"/>
      <c r="X81" s="49"/>
      <c r="Y81" s="49"/>
      <c r="Z81" s="49"/>
    </row>
    <row r="82">
      <c r="A82" s="49" t="str">
        <f>IFERROR(__xludf.DUMMYFUNCTION("""COMPUTED_VALUE"""),"---")</f>
        <v>---</v>
      </c>
      <c r="B82" s="49" t="str">
        <f>IFERROR(__xludf.DUMMYFUNCTION("""COMPUTED_VALUE"""),"---")</f>
        <v>---</v>
      </c>
      <c r="C82" s="50" t="str">
        <f>IFERROR(__xludf.DUMMYFUNCTION("""COMPUTED_VALUE"""),"Stock")</f>
        <v>Stock</v>
      </c>
      <c r="D82" s="49"/>
      <c r="E82" s="49" t="str">
        <f>IFERROR(__xludf.DUMMYFUNCTION("""COMPUTED_VALUE"""),"Valley")</f>
        <v>Valley</v>
      </c>
      <c r="F82" s="49" t="str">
        <f>IFERROR(__xludf.DUMMYFUNCTION("""COMPUTED_VALUE"""),"Valley")</f>
        <v>Valley</v>
      </c>
      <c r="G82" s="49" t="str">
        <f>IFERROR(__xludf.DUMMYFUNCTION("""COMPUTED_VALUE"""),"Brunswick Prism blue size 9.5")</f>
        <v>Brunswick Prism blue size 9.5</v>
      </c>
      <c r="H82" s="52"/>
      <c r="I82" s="49"/>
      <c r="J82" s="51">
        <f>IFERROR(__xludf.DUMMYFUNCTION("""COMPUTED_VALUE"""),46037.0)</f>
        <v>46037</v>
      </c>
      <c r="K82" s="52"/>
      <c r="L82" s="49" t="str">
        <f>IFERROR(__xludf.DUMMYFUNCTION("""COMPUTED_VALUE"""),"B Supply")</f>
        <v>B Supply</v>
      </c>
      <c r="M82" s="49">
        <f>IFERROR(__xludf.DUMMYFUNCTION("""COMPUTED_VALUE"""),514758.0)</f>
        <v>514758</v>
      </c>
      <c r="N82" s="53">
        <f>IFERROR(__xludf.DUMMYFUNCTION("""COMPUTED_VALUE"""),42.47)</f>
        <v>42.47</v>
      </c>
      <c r="O82" s="54">
        <f>IFERROR(__xludf.DUMMYFUNCTION("""COMPUTED_VALUE"""),659617.0)</f>
        <v>659617</v>
      </c>
      <c r="P82" s="49" t="str">
        <f>IFERROR(__xludf.DUMMYFUNCTION("""COMPUTED_VALUE"""),"na")</f>
        <v>na</v>
      </c>
      <c r="Q82" s="49" t="str">
        <f>IFERROR(__xludf.DUMMYFUNCTION("""COMPUTED_VALUE"""),"na")</f>
        <v>na</v>
      </c>
      <c r="R82" s="49"/>
      <c r="S82" s="49"/>
      <c r="T82" s="49"/>
      <c r="U82" s="49"/>
      <c r="V82" s="49"/>
      <c r="W82" s="49"/>
      <c r="X82" s="49"/>
      <c r="Y82" s="49"/>
      <c r="Z82" s="49"/>
    </row>
    <row r="83">
      <c r="A83" s="49" t="str">
        <f>IFERROR(__xludf.DUMMYFUNCTION("""COMPUTED_VALUE"""),"---")</f>
        <v>---</v>
      </c>
      <c r="B83" s="49" t="str">
        <f>IFERROR(__xludf.DUMMYFUNCTION("""COMPUTED_VALUE"""),"---")</f>
        <v>---</v>
      </c>
      <c r="C83" s="50" t="str">
        <f>IFERROR(__xludf.DUMMYFUNCTION("""COMPUTED_VALUE"""),"Stock")</f>
        <v>Stock</v>
      </c>
      <c r="D83" s="49"/>
      <c r="E83" s="49" t="str">
        <f>IFERROR(__xludf.DUMMYFUNCTION("""COMPUTED_VALUE"""),"Valley")</f>
        <v>Valley</v>
      </c>
      <c r="F83" s="49" t="str">
        <f>IFERROR(__xludf.DUMMYFUNCTION("""COMPUTED_VALUE"""),"Valley")</f>
        <v>Valley</v>
      </c>
      <c r="G83" s="49" t="str">
        <f>IFERROR(__xludf.DUMMYFUNCTION("""COMPUTED_VALUE"""),"Brunswick Prism black size 11")</f>
        <v>Brunswick Prism black size 11</v>
      </c>
      <c r="H83" s="52"/>
      <c r="I83" s="49"/>
      <c r="J83" s="51">
        <f>IFERROR(__xludf.DUMMYFUNCTION("""COMPUTED_VALUE"""),46037.0)</f>
        <v>46037</v>
      </c>
      <c r="K83" s="52"/>
      <c r="L83" s="49" t="str">
        <f>IFERROR(__xludf.DUMMYFUNCTION("""COMPUTED_VALUE"""),"B Supply")</f>
        <v>B Supply</v>
      </c>
      <c r="M83" s="49">
        <f>IFERROR(__xludf.DUMMYFUNCTION("""COMPUTED_VALUE"""),514758.0)</f>
        <v>514758</v>
      </c>
      <c r="N83" s="53">
        <f>IFERROR(__xludf.DUMMYFUNCTION("""COMPUTED_VALUE"""),42.47)</f>
        <v>42.47</v>
      </c>
      <c r="O83" s="54">
        <f>IFERROR(__xludf.DUMMYFUNCTION("""COMPUTED_VALUE"""),659617.0)</f>
        <v>659617</v>
      </c>
      <c r="P83" s="49" t="str">
        <f>IFERROR(__xludf.DUMMYFUNCTION("""COMPUTED_VALUE"""),"na")</f>
        <v>na</v>
      </c>
      <c r="Q83" s="49" t="str">
        <f>IFERROR(__xludf.DUMMYFUNCTION("""COMPUTED_VALUE"""),"na")</f>
        <v>na</v>
      </c>
      <c r="R83" s="49"/>
      <c r="S83" s="49"/>
      <c r="T83" s="49"/>
      <c r="U83" s="49"/>
      <c r="V83" s="49"/>
      <c r="W83" s="49"/>
      <c r="X83" s="49"/>
      <c r="Y83" s="49"/>
      <c r="Z83" s="49"/>
    </row>
    <row r="84">
      <c r="A84" s="49" t="str">
        <f>IFERROR(__xludf.DUMMYFUNCTION("""COMPUTED_VALUE"""),"---")</f>
        <v>---</v>
      </c>
      <c r="B84" s="49" t="str">
        <f>IFERROR(__xludf.DUMMYFUNCTION("""COMPUTED_VALUE"""),"---")</f>
        <v>---</v>
      </c>
      <c r="C84" s="50" t="str">
        <f>IFERROR(__xludf.DUMMYFUNCTION("""COMPUTED_VALUE"""),"Stock")</f>
        <v>Stock</v>
      </c>
      <c r="D84" s="49"/>
      <c r="E84" s="49"/>
      <c r="F84" s="49"/>
      <c r="G84" s="49" t="str">
        <f>IFERROR(__xludf.DUMMYFUNCTION("""COMPUTED_VALUE"""),"Jopo outer sleeve")</f>
        <v>Jopo outer sleeve</v>
      </c>
      <c r="H84" s="52"/>
      <c r="I84" s="49"/>
      <c r="J84" s="51">
        <f>IFERROR(__xludf.DUMMYFUNCTION("""COMPUTED_VALUE"""),46037.0)</f>
        <v>46037</v>
      </c>
      <c r="K84" s="52"/>
      <c r="L84" s="49" t="str">
        <f>IFERROR(__xludf.DUMMYFUNCTION("""COMPUTED_VALUE"""),"B Supply")</f>
        <v>B Supply</v>
      </c>
      <c r="M84" s="49">
        <f>IFERROR(__xludf.DUMMYFUNCTION("""COMPUTED_VALUE"""),514758.0)</f>
        <v>514758</v>
      </c>
      <c r="N84" s="53">
        <f>IFERROR(__xludf.DUMMYFUNCTION("""COMPUTED_VALUE"""),8.12)</f>
        <v>8.12</v>
      </c>
      <c r="O84" s="54">
        <f>IFERROR(__xludf.DUMMYFUNCTION("""COMPUTED_VALUE"""),659617.0)</f>
        <v>659617</v>
      </c>
      <c r="P84" s="49" t="str">
        <f>IFERROR(__xludf.DUMMYFUNCTION("""COMPUTED_VALUE"""),"na")</f>
        <v>na</v>
      </c>
      <c r="Q84" s="49" t="str">
        <f>IFERROR(__xludf.DUMMYFUNCTION("""COMPUTED_VALUE"""),"na")</f>
        <v>na</v>
      </c>
      <c r="R84" s="49"/>
      <c r="S84" s="49"/>
      <c r="T84" s="49"/>
      <c r="U84" s="49"/>
      <c r="V84" s="49"/>
      <c r="W84" s="49"/>
      <c r="X84" s="49"/>
      <c r="Y84" s="49"/>
      <c r="Z84" s="49"/>
    </row>
    <row r="85">
      <c r="A85" s="49" t="str">
        <f>IFERROR(__xludf.DUMMYFUNCTION("""COMPUTED_VALUE"""),"---")</f>
        <v>---</v>
      </c>
      <c r="B85" s="49" t="str">
        <f>IFERROR(__xludf.DUMMYFUNCTION("""COMPUTED_VALUE"""),"---")</f>
        <v>---</v>
      </c>
      <c r="C85" s="50" t="str">
        <f>IFERROR(__xludf.DUMMYFUNCTION("""COMPUTED_VALUE"""),"Stock")</f>
        <v>Stock</v>
      </c>
      <c r="D85" s="49"/>
      <c r="E85" s="49"/>
      <c r="F85" s="49"/>
      <c r="G85" s="49" t="str">
        <f>IFERROR(__xludf.DUMMYFUNCTION("""COMPUTED_VALUE"""),"TG red 5")</f>
        <v>TG red 5</v>
      </c>
      <c r="H85" s="52"/>
      <c r="I85" s="49"/>
      <c r="J85" s="51">
        <f>IFERROR(__xludf.DUMMYFUNCTION("""COMPUTED_VALUE"""),46037.0)</f>
        <v>46037</v>
      </c>
      <c r="K85" s="52"/>
      <c r="L85" s="49" t="str">
        <f>IFERROR(__xludf.DUMMYFUNCTION("""COMPUTED_VALUE"""),"B Supply")</f>
        <v>B Supply</v>
      </c>
      <c r="M85" s="49">
        <f>IFERROR(__xludf.DUMMYFUNCTION("""COMPUTED_VALUE"""),514758.0)</f>
        <v>514758</v>
      </c>
      <c r="N85" s="53">
        <f>IFERROR(__xludf.DUMMYFUNCTION("""COMPUTED_VALUE"""),1.14)</f>
        <v>1.14</v>
      </c>
      <c r="O85" s="54">
        <f>IFERROR(__xludf.DUMMYFUNCTION("""COMPUTED_VALUE"""),659617.0)</f>
        <v>659617</v>
      </c>
      <c r="P85" s="49" t="str">
        <f>IFERROR(__xludf.DUMMYFUNCTION("""COMPUTED_VALUE"""),"na")</f>
        <v>na</v>
      </c>
      <c r="Q85" s="49" t="str">
        <f>IFERROR(__xludf.DUMMYFUNCTION("""COMPUTED_VALUE"""),"na")</f>
        <v>na</v>
      </c>
      <c r="R85" s="49"/>
      <c r="S85" s="49"/>
      <c r="T85" s="49"/>
      <c r="U85" s="49"/>
      <c r="V85" s="49"/>
      <c r="W85" s="49"/>
      <c r="X85" s="49"/>
      <c r="Y85" s="49"/>
      <c r="Z85" s="49"/>
    </row>
    <row r="86">
      <c r="A86" s="49" t="str">
        <f>IFERROR(__xludf.DUMMYFUNCTION("""COMPUTED_VALUE"""),"---")</f>
        <v>---</v>
      </c>
      <c r="B86" s="49" t="str">
        <f>IFERROR(__xludf.DUMMYFUNCTION("""COMPUTED_VALUE"""),"---")</f>
        <v>---</v>
      </c>
      <c r="C86" s="50" t="str">
        <f>IFERROR(__xludf.DUMMYFUNCTION("""COMPUTED_VALUE"""),"Stock")</f>
        <v>Stock</v>
      </c>
      <c r="D86" s="49"/>
      <c r="E86" s="49"/>
      <c r="F86" s="49"/>
      <c r="G86" s="49" t="str">
        <f>IFERROR(__xludf.DUMMYFUNCTION("""COMPUTED_VALUE"""),"TG red 11")</f>
        <v>TG red 11</v>
      </c>
      <c r="H86" s="52"/>
      <c r="I86" s="49"/>
      <c r="J86" s="51">
        <f>IFERROR(__xludf.DUMMYFUNCTION("""COMPUTED_VALUE"""),46037.0)</f>
        <v>46037</v>
      </c>
      <c r="K86" s="52"/>
      <c r="L86" s="49" t="str">
        <f>IFERROR(__xludf.DUMMYFUNCTION("""COMPUTED_VALUE"""),"B Supply")</f>
        <v>B Supply</v>
      </c>
      <c r="M86" s="49">
        <f>IFERROR(__xludf.DUMMYFUNCTION("""COMPUTED_VALUE"""),514758.0)</f>
        <v>514758</v>
      </c>
      <c r="N86" s="53">
        <f>IFERROR(__xludf.DUMMYFUNCTION("""COMPUTED_VALUE"""),1.14)</f>
        <v>1.14</v>
      </c>
      <c r="O86" s="54">
        <f>IFERROR(__xludf.DUMMYFUNCTION("""COMPUTED_VALUE"""),659617.0)</f>
        <v>659617</v>
      </c>
      <c r="P86" s="49" t="str">
        <f>IFERROR(__xludf.DUMMYFUNCTION("""COMPUTED_VALUE"""),"na")</f>
        <v>na</v>
      </c>
      <c r="Q86" s="49" t="str">
        <f>IFERROR(__xludf.DUMMYFUNCTION("""COMPUTED_VALUE"""),"na")</f>
        <v>na</v>
      </c>
      <c r="R86" s="49"/>
      <c r="S86" s="49"/>
      <c r="T86" s="49"/>
      <c r="U86" s="49"/>
      <c r="V86" s="49"/>
      <c r="W86" s="49"/>
      <c r="X86" s="49"/>
      <c r="Y86" s="49"/>
      <c r="Z86" s="49"/>
    </row>
    <row r="87">
      <c r="A87" s="49" t="str">
        <f>IFERROR(__xludf.DUMMYFUNCTION("""COMPUTED_VALUE"""),"---")</f>
        <v>---</v>
      </c>
      <c r="B87" s="49" t="str">
        <f>IFERROR(__xludf.DUMMYFUNCTION("""COMPUTED_VALUE"""),"---")</f>
        <v>---</v>
      </c>
      <c r="C87" s="50" t="str">
        <f>IFERROR(__xludf.DUMMYFUNCTION("""COMPUTED_VALUE"""),"Stock")</f>
        <v>Stock</v>
      </c>
      <c r="D87" s="49"/>
      <c r="E87" s="49"/>
      <c r="F87" s="49"/>
      <c r="G87" s="49" t="str">
        <f>IFERROR(__xludf.DUMMYFUNCTION("""COMPUTED_VALUE"""),"TG red 21")</f>
        <v>TG red 21</v>
      </c>
      <c r="H87" s="52"/>
      <c r="I87" s="49"/>
      <c r="J87" s="51">
        <f>IFERROR(__xludf.DUMMYFUNCTION("""COMPUTED_VALUE"""),46037.0)</f>
        <v>46037</v>
      </c>
      <c r="K87" s="52"/>
      <c r="L87" s="49" t="str">
        <f>IFERROR(__xludf.DUMMYFUNCTION("""COMPUTED_VALUE"""),"B Supply")</f>
        <v>B Supply</v>
      </c>
      <c r="M87" s="49">
        <f>IFERROR(__xludf.DUMMYFUNCTION("""COMPUTED_VALUE"""),514758.0)</f>
        <v>514758</v>
      </c>
      <c r="N87" s="53">
        <f>IFERROR(__xludf.DUMMYFUNCTION("""COMPUTED_VALUE"""),1.14)</f>
        <v>1.14</v>
      </c>
      <c r="O87" s="54">
        <f>IFERROR(__xludf.DUMMYFUNCTION("""COMPUTED_VALUE"""),659617.0)</f>
        <v>659617</v>
      </c>
      <c r="P87" s="49" t="str">
        <f>IFERROR(__xludf.DUMMYFUNCTION("""COMPUTED_VALUE"""),"na")</f>
        <v>na</v>
      </c>
      <c r="Q87" s="49" t="str">
        <f>IFERROR(__xludf.DUMMYFUNCTION("""COMPUTED_VALUE"""),"na")</f>
        <v>na</v>
      </c>
      <c r="R87" s="49"/>
      <c r="S87" s="49"/>
      <c r="T87" s="49"/>
      <c r="U87" s="49"/>
      <c r="V87" s="49"/>
      <c r="W87" s="49"/>
      <c r="X87" s="49"/>
      <c r="Y87" s="49"/>
      <c r="Z87" s="49"/>
    </row>
    <row r="88">
      <c r="A88" s="49" t="str">
        <f>IFERROR(__xludf.DUMMYFUNCTION("""COMPUTED_VALUE"""),"---")</f>
        <v>---</v>
      </c>
      <c r="B88" s="49" t="str">
        <f>IFERROR(__xludf.DUMMYFUNCTION("""COMPUTED_VALUE"""),"---")</f>
        <v>---</v>
      </c>
      <c r="C88" s="50" t="str">
        <f>IFERROR(__xludf.DUMMYFUNCTION("""COMPUTED_VALUE"""),"Stock")</f>
        <v>Stock</v>
      </c>
      <c r="D88" s="49"/>
      <c r="E88" s="49"/>
      <c r="F88" s="49"/>
      <c r="G88" s="49" t="str">
        <f>IFERROR(__xludf.DUMMYFUNCTION("""COMPUTED_VALUE"""),"TG red 43")</f>
        <v>TG red 43</v>
      </c>
      <c r="H88" s="52"/>
      <c r="I88" s="49"/>
      <c r="J88" s="51">
        <f>IFERROR(__xludf.DUMMYFUNCTION("""COMPUTED_VALUE"""),46037.0)</f>
        <v>46037</v>
      </c>
      <c r="K88" s="52"/>
      <c r="L88" s="49" t="str">
        <f>IFERROR(__xludf.DUMMYFUNCTION("""COMPUTED_VALUE"""),"B Supply")</f>
        <v>B Supply</v>
      </c>
      <c r="M88" s="49">
        <f>IFERROR(__xludf.DUMMYFUNCTION("""COMPUTED_VALUE"""),514758.0)</f>
        <v>514758</v>
      </c>
      <c r="N88" s="53">
        <f>IFERROR(__xludf.DUMMYFUNCTION("""COMPUTED_VALUE"""),1.14)</f>
        <v>1.14</v>
      </c>
      <c r="O88" s="54">
        <f>IFERROR(__xludf.DUMMYFUNCTION("""COMPUTED_VALUE"""),659617.0)</f>
        <v>659617</v>
      </c>
      <c r="P88" s="49" t="str">
        <f>IFERROR(__xludf.DUMMYFUNCTION("""COMPUTED_VALUE"""),"na")</f>
        <v>na</v>
      </c>
      <c r="Q88" s="49" t="str">
        <f>IFERROR(__xludf.DUMMYFUNCTION("""COMPUTED_VALUE"""),"na")</f>
        <v>na</v>
      </c>
      <c r="R88" s="49"/>
      <c r="S88" s="49"/>
      <c r="T88" s="49"/>
      <c r="U88" s="49"/>
      <c r="V88" s="49"/>
      <c r="W88" s="49"/>
      <c r="X88" s="49"/>
      <c r="Y88" s="49"/>
      <c r="Z88" s="49"/>
    </row>
    <row r="89">
      <c r="A89" s="49" t="str">
        <f>IFERROR(__xludf.DUMMYFUNCTION("""COMPUTED_VALUE"""),"---")</f>
        <v>---</v>
      </c>
      <c r="B89" s="49" t="str">
        <f>IFERROR(__xludf.DUMMYFUNCTION("""COMPUTED_VALUE"""),"---")</f>
        <v>---</v>
      </c>
      <c r="C89" s="50" t="str">
        <f>IFERROR(__xludf.DUMMYFUNCTION("""COMPUTED_VALUE"""),"Stock")</f>
        <v>Stock</v>
      </c>
      <c r="D89" s="49"/>
      <c r="E89" s="49"/>
      <c r="F89" s="49"/>
      <c r="G89" s="49" t="str">
        <f>IFERROR(__xludf.DUMMYFUNCTION("""COMPUTED_VALUE"""),"TG yellow 45")</f>
        <v>TG yellow 45</v>
      </c>
      <c r="H89" s="52"/>
      <c r="I89" s="49"/>
      <c r="J89" s="51">
        <f>IFERROR(__xludf.DUMMYFUNCTION("""COMPUTED_VALUE"""),46037.0)</f>
        <v>46037</v>
      </c>
      <c r="K89" s="52"/>
      <c r="L89" s="49" t="str">
        <f>IFERROR(__xludf.DUMMYFUNCTION("""COMPUTED_VALUE"""),"B Supply")</f>
        <v>B Supply</v>
      </c>
      <c r="M89" s="49">
        <f>IFERROR(__xludf.DUMMYFUNCTION("""COMPUTED_VALUE"""),514758.0)</f>
        <v>514758</v>
      </c>
      <c r="N89" s="53">
        <f>IFERROR(__xludf.DUMMYFUNCTION("""COMPUTED_VALUE"""),1.14)</f>
        <v>1.14</v>
      </c>
      <c r="O89" s="54">
        <f>IFERROR(__xludf.DUMMYFUNCTION("""COMPUTED_VALUE"""),659617.0)</f>
        <v>659617</v>
      </c>
      <c r="P89" s="49" t="str">
        <f>IFERROR(__xludf.DUMMYFUNCTION("""COMPUTED_VALUE"""),"na")</f>
        <v>na</v>
      </c>
      <c r="Q89" s="49" t="str">
        <f>IFERROR(__xludf.DUMMYFUNCTION("""COMPUTED_VALUE"""),"na")</f>
        <v>na</v>
      </c>
      <c r="R89" s="49"/>
      <c r="S89" s="49"/>
      <c r="T89" s="49"/>
      <c r="U89" s="49"/>
      <c r="V89" s="49"/>
      <c r="W89" s="49"/>
      <c r="X89" s="49"/>
      <c r="Y89" s="49"/>
      <c r="Z89" s="49"/>
    </row>
    <row r="90">
      <c r="A90" s="49" t="str">
        <f>IFERROR(__xludf.DUMMYFUNCTION("""COMPUTED_VALUE"""),"---")</f>
        <v>---</v>
      </c>
      <c r="B90" s="49" t="str">
        <f>IFERROR(__xludf.DUMMYFUNCTION("""COMPUTED_VALUE"""),"---")</f>
        <v>---</v>
      </c>
      <c r="C90" s="50" t="str">
        <f>IFERROR(__xludf.DUMMYFUNCTION("""COMPUTED_VALUE"""),"Stock")</f>
        <v>Stock</v>
      </c>
      <c r="D90" s="49"/>
      <c r="E90" s="49"/>
      <c r="F90" s="49"/>
      <c r="G90" s="49" t="str">
        <f>IFERROR(__xludf.DUMMYFUNCTION("""COMPUTED_VALUE"""),"TG purple 23")</f>
        <v>TG purple 23</v>
      </c>
      <c r="H90" s="52"/>
      <c r="I90" s="49"/>
      <c r="J90" s="51">
        <f>IFERROR(__xludf.DUMMYFUNCTION("""COMPUTED_VALUE"""),46037.0)</f>
        <v>46037</v>
      </c>
      <c r="K90" s="52"/>
      <c r="L90" s="49" t="str">
        <f>IFERROR(__xludf.DUMMYFUNCTION("""COMPUTED_VALUE"""),"B Supply")</f>
        <v>B Supply</v>
      </c>
      <c r="M90" s="49">
        <f>IFERROR(__xludf.DUMMYFUNCTION("""COMPUTED_VALUE"""),514758.0)</f>
        <v>514758</v>
      </c>
      <c r="N90" s="53">
        <f>IFERROR(__xludf.DUMMYFUNCTION("""COMPUTED_VALUE"""),1.14)</f>
        <v>1.14</v>
      </c>
      <c r="O90" s="54">
        <f>IFERROR(__xludf.DUMMYFUNCTION("""COMPUTED_VALUE"""),659617.0)</f>
        <v>659617</v>
      </c>
      <c r="P90" s="49" t="str">
        <f>IFERROR(__xludf.DUMMYFUNCTION("""COMPUTED_VALUE"""),"na")</f>
        <v>na</v>
      </c>
      <c r="Q90" s="49" t="str">
        <f>IFERROR(__xludf.DUMMYFUNCTION("""COMPUTED_VALUE"""),"na")</f>
        <v>na</v>
      </c>
      <c r="R90" s="49"/>
      <c r="S90" s="49"/>
      <c r="T90" s="49"/>
      <c r="U90" s="49"/>
      <c r="V90" s="49"/>
      <c r="W90" s="49"/>
      <c r="X90" s="49"/>
      <c r="Y90" s="49"/>
      <c r="Z90" s="49"/>
    </row>
    <row r="91">
      <c r="A91" s="49" t="str">
        <f>IFERROR(__xludf.DUMMYFUNCTION("""COMPUTED_VALUE"""),"---")</f>
        <v>---</v>
      </c>
      <c r="B91" s="49" t="str">
        <f>IFERROR(__xludf.DUMMYFUNCTION("""COMPUTED_VALUE"""),"---")</f>
        <v>---</v>
      </c>
      <c r="C91" s="50" t="str">
        <f>IFERROR(__xludf.DUMMYFUNCTION("""COMPUTED_VALUE"""),"Stock")</f>
        <v>Stock</v>
      </c>
      <c r="D91" s="49"/>
      <c r="E91" s="49"/>
      <c r="F91" s="49"/>
      <c r="G91" s="49" t="str">
        <f>IFERROR(__xludf.DUMMYFUNCTION("""COMPUTED_VALUE"""),"TG blue 21")</f>
        <v>TG blue 21</v>
      </c>
      <c r="H91" s="52"/>
      <c r="I91" s="49"/>
      <c r="J91" s="51">
        <f>IFERROR(__xludf.DUMMYFUNCTION("""COMPUTED_VALUE"""),46037.0)</f>
        <v>46037</v>
      </c>
      <c r="K91" s="52"/>
      <c r="L91" s="49" t="str">
        <f>IFERROR(__xludf.DUMMYFUNCTION("""COMPUTED_VALUE"""),"B Supply")</f>
        <v>B Supply</v>
      </c>
      <c r="M91" s="49">
        <f>IFERROR(__xludf.DUMMYFUNCTION("""COMPUTED_VALUE"""),514758.0)</f>
        <v>514758</v>
      </c>
      <c r="N91" s="53">
        <f>IFERROR(__xludf.DUMMYFUNCTION("""COMPUTED_VALUE"""),1.14)</f>
        <v>1.14</v>
      </c>
      <c r="O91" s="54">
        <f>IFERROR(__xludf.DUMMYFUNCTION("""COMPUTED_VALUE"""),659617.0)</f>
        <v>659617</v>
      </c>
      <c r="P91" s="49" t="str">
        <f>IFERROR(__xludf.DUMMYFUNCTION("""COMPUTED_VALUE"""),"na")</f>
        <v>na</v>
      </c>
      <c r="Q91" s="49" t="str">
        <f>IFERROR(__xludf.DUMMYFUNCTION("""COMPUTED_VALUE"""),"na")</f>
        <v>na</v>
      </c>
      <c r="R91" s="49"/>
      <c r="S91" s="49"/>
      <c r="T91" s="49"/>
      <c r="U91" s="49"/>
      <c r="V91" s="49"/>
      <c r="W91" s="49"/>
      <c r="X91" s="49"/>
      <c r="Y91" s="49"/>
      <c r="Z91" s="49"/>
    </row>
    <row r="92">
      <c r="A92" s="49" t="str">
        <f>IFERROR(__xludf.DUMMYFUNCTION("""COMPUTED_VALUE"""),"---")</f>
        <v>---</v>
      </c>
      <c r="B92" s="49" t="str">
        <f>IFERROR(__xludf.DUMMYFUNCTION("""COMPUTED_VALUE"""),"---")</f>
        <v>---</v>
      </c>
      <c r="C92" s="50" t="str">
        <f>IFERROR(__xludf.DUMMYFUNCTION("""COMPUTED_VALUE"""),"Stock")</f>
        <v>Stock</v>
      </c>
      <c r="D92" s="49"/>
      <c r="E92" s="49"/>
      <c r="F92" s="49"/>
      <c r="G92" s="49" t="str">
        <f>IFERROR(__xludf.DUMMYFUNCTION("""COMPUTED_VALUE"""),"TG blue 45")</f>
        <v>TG blue 45</v>
      </c>
      <c r="H92" s="52"/>
      <c r="I92" s="49"/>
      <c r="J92" s="51">
        <f>IFERROR(__xludf.DUMMYFUNCTION("""COMPUTED_VALUE"""),46037.0)</f>
        <v>46037</v>
      </c>
      <c r="K92" s="52"/>
      <c r="L92" s="49" t="str">
        <f>IFERROR(__xludf.DUMMYFUNCTION("""COMPUTED_VALUE"""),"B Supply")</f>
        <v>B Supply</v>
      </c>
      <c r="M92" s="49">
        <f>IFERROR(__xludf.DUMMYFUNCTION("""COMPUTED_VALUE"""),514758.0)</f>
        <v>514758</v>
      </c>
      <c r="N92" s="53">
        <f>IFERROR(__xludf.DUMMYFUNCTION("""COMPUTED_VALUE"""),1.14)</f>
        <v>1.14</v>
      </c>
      <c r="O92" s="54">
        <f>IFERROR(__xludf.DUMMYFUNCTION("""COMPUTED_VALUE"""),659617.0)</f>
        <v>659617</v>
      </c>
      <c r="P92" s="49" t="str">
        <f>IFERROR(__xludf.DUMMYFUNCTION("""COMPUTED_VALUE"""),"na")</f>
        <v>na</v>
      </c>
      <c r="Q92" s="49" t="str">
        <f>IFERROR(__xludf.DUMMYFUNCTION("""COMPUTED_VALUE"""),"na")</f>
        <v>na</v>
      </c>
      <c r="R92" s="49"/>
      <c r="S92" s="49"/>
      <c r="T92" s="49"/>
      <c r="U92" s="49"/>
      <c r="V92" s="49"/>
      <c r="W92" s="49"/>
      <c r="X92" s="49"/>
      <c r="Y92" s="49"/>
      <c r="Z92" s="49"/>
    </row>
    <row r="93">
      <c r="A93" s="49" t="str">
        <f>IFERROR(__xludf.DUMMYFUNCTION("""COMPUTED_VALUE"""),"---")</f>
        <v>---</v>
      </c>
      <c r="B93" s="49" t="str">
        <f>IFERROR(__xludf.DUMMYFUNCTION("""COMPUTED_VALUE"""),"---")</f>
        <v>---</v>
      </c>
      <c r="C93" s="50" t="str">
        <f>IFERROR(__xludf.DUMMYFUNCTION("""COMPUTED_VALUE"""),"Stock")</f>
        <v>Stock</v>
      </c>
      <c r="D93" s="49"/>
      <c r="E93" s="49"/>
      <c r="F93" s="49"/>
      <c r="G93" s="49" t="str">
        <f>IFERROR(__xludf.DUMMYFUNCTION("""COMPUTED_VALUE"""),"TG blue 49")</f>
        <v>TG blue 49</v>
      </c>
      <c r="H93" s="52"/>
      <c r="I93" s="49"/>
      <c r="J93" s="51">
        <f>IFERROR(__xludf.DUMMYFUNCTION("""COMPUTED_VALUE"""),46037.0)</f>
        <v>46037</v>
      </c>
      <c r="K93" s="52"/>
      <c r="L93" s="49" t="str">
        <f>IFERROR(__xludf.DUMMYFUNCTION("""COMPUTED_VALUE"""),"B Supply")</f>
        <v>B Supply</v>
      </c>
      <c r="M93" s="49">
        <f>IFERROR(__xludf.DUMMYFUNCTION("""COMPUTED_VALUE"""),514758.0)</f>
        <v>514758</v>
      </c>
      <c r="N93" s="53">
        <f>IFERROR(__xludf.DUMMYFUNCTION("""COMPUTED_VALUE"""),1.14)</f>
        <v>1.14</v>
      </c>
      <c r="O93" s="54">
        <f>IFERROR(__xludf.DUMMYFUNCTION("""COMPUTED_VALUE"""),659617.0)</f>
        <v>659617</v>
      </c>
      <c r="P93" s="49" t="str">
        <f>IFERROR(__xludf.DUMMYFUNCTION("""COMPUTED_VALUE"""),"na")</f>
        <v>na</v>
      </c>
      <c r="Q93" s="49" t="str">
        <f>IFERROR(__xludf.DUMMYFUNCTION("""COMPUTED_VALUE"""),"na")</f>
        <v>na</v>
      </c>
      <c r="R93" s="49"/>
      <c r="S93" s="49"/>
      <c r="T93" s="49"/>
      <c r="U93" s="49"/>
      <c r="V93" s="49"/>
      <c r="W93" s="49"/>
      <c r="X93" s="49"/>
      <c r="Y93" s="49"/>
      <c r="Z93" s="49"/>
    </row>
    <row r="94">
      <c r="A94" s="49" t="str">
        <f>IFERROR(__xludf.DUMMYFUNCTION("""COMPUTED_VALUE"""),"---")</f>
        <v>---</v>
      </c>
      <c r="B94" s="49" t="str">
        <f>IFERROR(__xludf.DUMMYFUNCTION("""COMPUTED_VALUE"""),"---")</f>
        <v>---</v>
      </c>
      <c r="C94" s="50" t="str">
        <f>IFERROR(__xludf.DUMMYFUNCTION("""COMPUTED_VALUE"""),"Stock")</f>
        <v>Stock</v>
      </c>
      <c r="D94" s="49"/>
      <c r="E94" s="49"/>
      <c r="F94" s="49"/>
      <c r="G94" s="49" t="str">
        <f>IFERROR(__xludf.DUMMYFUNCTION("""COMPUTED_VALUE"""),"TG ice 11")</f>
        <v>TG ice 11</v>
      </c>
      <c r="H94" s="52"/>
      <c r="I94" s="49"/>
      <c r="J94" s="51">
        <f>IFERROR(__xludf.DUMMYFUNCTION("""COMPUTED_VALUE"""),46037.0)</f>
        <v>46037</v>
      </c>
      <c r="K94" s="52"/>
      <c r="L94" s="49" t="str">
        <f>IFERROR(__xludf.DUMMYFUNCTION("""COMPUTED_VALUE"""),"B Supply")</f>
        <v>B Supply</v>
      </c>
      <c r="M94" s="49">
        <f>IFERROR(__xludf.DUMMYFUNCTION("""COMPUTED_VALUE"""),514758.0)</f>
        <v>514758</v>
      </c>
      <c r="N94" s="53">
        <f>IFERROR(__xludf.DUMMYFUNCTION("""COMPUTED_VALUE"""),1.14)</f>
        <v>1.14</v>
      </c>
      <c r="O94" s="54">
        <f>IFERROR(__xludf.DUMMYFUNCTION("""COMPUTED_VALUE"""),659617.0)</f>
        <v>659617</v>
      </c>
      <c r="P94" s="49" t="str">
        <f>IFERROR(__xludf.DUMMYFUNCTION("""COMPUTED_VALUE"""),"na")</f>
        <v>na</v>
      </c>
      <c r="Q94" s="49" t="str">
        <f>IFERROR(__xludf.DUMMYFUNCTION("""COMPUTED_VALUE"""),"na")</f>
        <v>na</v>
      </c>
      <c r="R94" s="49"/>
      <c r="S94" s="49"/>
      <c r="T94" s="49"/>
      <c r="U94" s="49"/>
      <c r="V94" s="49"/>
      <c r="W94" s="49"/>
      <c r="X94" s="49"/>
      <c r="Y94" s="49"/>
      <c r="Z94" s="49"/>
    </row>
    <row r="95">
      <c r="A95" s="49" t="str">
        <f>IFERROR(__xludf.DUMMYFUNCTION("""COMPUTED_VALUE"""),"---")</f>
        <v>---</v>
      </c>
      <c r="B95" s="49" t="str">
        <f>IFERROR(__xludf.DUMMYFUNCTION("""COMPUTED_VALUE"""),"---")</f>
        <v>---</v>
      </c>
      <c r="C95" s="50" t="str">
        <f>IFERROR(__xludf.DUMMYFUNCTION("""COMPUTED_VALUE"""),"Stock")</f>
        <v>Stock</v>
      </c>
      <c r="D95" s="49"/>
      <c r="E95" s="49"/>
      <c r="F95" s="49"/>
      <c r="G95" s="49" t="str">
        <f>IFERROR(__xludf.DUMMYFUNCTION("""COMPUTED_VALUE"""),"TG ice 39")</f>
        <v>TG ice 39</v>
      </c>
      <c r="H95" s="52"/>
      <c r="I95" s="49"/>
      <c r="J95" s="51">
        <f>IFERROR(__xludf.DUMMYFUNCTION("""COMPUTED_VALUE"""),46037.0)</f>
        <v>46037</v>
      </c>
      <c r="K95" s="52"/>
      <c r="L95" s="49" t="str">
        <f>IFERROR(__xludf.DUMMYFUNCTION("""COMPUTED_VALUE"""),"B Supply")</f>
        <v>B Supply</v>
      </c>
      <c r="M95" s="49">
        <f>IFERROR(__xludf.DUMMYFUNCTION("""COMPUTED_VALUE"""),514758.0)</f>
        <v>514758</v>
      </c>
      <c r="N95" s="53">
        <f>IFERROR(__xludf.DUMMYFUNCTION("""COMPUTED_VALUE"""),1.14)</f>
        <v>1.14</v>
      </c>
      <c r="O95" s="54">
        <f>IFERROR(__xludf.DUMMYFUNCTION("""COMPUTED_VALUE"""),659617.0)</f>
        <v>659617</v>
      </c>
      <c r="P95" s="49" t="str">
        <f>IFERROR(__xludf.DUMMYFUNCTION("""COMPUTED_VALUE"""),"na")</f>
        <v>na</v>
      </c>
      <c r="Q95" s="49" t="str">
        <f>IFERROR(__xludf.DUMMYFUNCTION("""COMPUTED_VALUE"""),"na")</f>
        <v>na</v>
      </c>
      <c r="R95" s="49"/>
      <c r="S95" s="49"/>
      <c r="T95" s="49"/>
      <c r="U95" s="49"/>
      <c r="V95" s="49"/>
      <c r="W95" s="49"/>
      <c r="X95" s="49"/>
      <c r="Y95" s="49"/>
      <c r="Z95" s="49"/>
    </row>
    <row r="96">
      <c r="A96" s="49" t="str">
        <f>IFERROR(__xludf.DUMMYFUNCTION("""COMPUTED_VALUE"""),"---")</f>
        <v>---</v>
      </c>
      <c r="B96" s="49" t="str">
        <f>IFERROR(__xludf.DUMMYFUNCTION("""COMPUTED_VALUE"""),"---")</f>
        <v>---</v>
      </c>
      <c r="C96" s="50" t="str">
        <f>IFERROR(__xludf.DUMMYFUNCTION("""COMPUTED_VALUE"""),"Stock")</f>
        <v>Stock</v>
      </c>
      <c r="D96" s="49"/>
      <c r="E96" s="49"/>
      <c r="F96" s="49"/>
      <c r="G96" s="49" t="str">
        <f>IFERROR(__xludf.DUMMYFUNCTION("""COMPUTED_VALUE"""),"TG orange 23")</f>
        <v>TG orange 23</v>
      </c>
      <c r="H96" s="52"/>
      <c r="I96" s="49"/>
      <c r="J96" s="51">
        <f>IFERROR(__xludf.DUMMYFUNCTION("""COMPUTED_VALUE"""),46037.0)</f>
        <v>46037</v>
      </c>
      <c r="K96" s="52"/>
      <c r="L96" s="49" t="str">
        <f>IFERROR(__xludf.DUMMYFUNCTION("""COMPUTED_VALUE"""),"B Supply")</f>
        <v>B Supply</v>
      </c>
      <c r="M96" s="49">
        <f>IFERROR(__xludf.DUMMYFUNCTION("""COMPUTED_VALUE"""),514758.0)</f>
        <v>514758</v>
      </c>
      <c r="N96" s="53">
        <f>IFERROR(__xludf.DUMMYFUNCTION("""COMPUTED_VALUE"""),1.14)</f>
        <v>1.14</v>
      </c>
      <c r="O96" s="54">
        <f>IFERROR(__xludf.DUMMYFUNCTION("""COMPUTED_VALUE"""),659617.0)</f>
        <v>659617</v>
      </c>
      <c r="P96" s="49" t="str">
        <f>IFERROR(__xludf.DUMMYFUNCTION("""COMPUTED_VALUE"""),"na")</f>
        <v>na</v>
      </c>
      <c r="Q96" s="49" t="str">
        <f>IFERROR(__xludf.DUMMYFUNCTION("""COMPUTED_VALUE"""),"na")</f>
        <v>na</v>
      </c>
      <c r="R96" s="49"/>
      <c r="S96" s="49"/>
      <c r="T96" s="49"/>
      <c r="U96" s="49"/>
      <c r="V96" s="49"/>
      <c r="W96" s="49"/>
      <c r="X96" s="49"/>
      <c r="Y96" s="49"/>
      <c r="Z96" s="49"/>
    </row>
    <row r="97">
      <c r="A97" s="49" t="str">
        <f>IFERROR(__xludf.DUMMYFUNCTION("""COMPUTED_VALUE"""),"---")</f>
        <v>---</v>
      </c>
      <c r="B97" s="49" t="str">
        <f>IFERROR(__xludf.DUMMYFUNCTION("""COMPUTED_VALUE"""),"---")</f>
        <v>---</v>
      </c>
      <c r="C97" s="50" t="str">
        <f>IFERROR(__xludf.DUMMYFUNCTION("""COMPUTED_VALUE"""),"Stock")</f>
        <v>Stock</v>
      </c>
      <c r="D97" s="49"/>
      <c r="E97" s="49"/>
      <c r="F97" s="49"/>
      <c r="G97" s="49" t="str">
        <f>IFERROR(__xludf.DUMMYFUNCTION("""COMPUTED_VALUE"""),"TG pink 21")</f>
        <v>TG pink 21</v>
      </c>
      <c r="H97" s="52"/>
      <c r="I97" s="49"/>
      <c r="J97" s="51">
        <f>IFERROR(__xludf.DUMMYFUNCTION("""COMPUTED_VALUE"""),46037.0)</f>
        <v>46037</v>
      </c>
      <c r="K97" s="52"/>
      <c r="L97" s="49" t="str">
        <f>IFERROR(__xludf.DUMMYFUNCTION("""COMPUTED_VALUE"""),"B Supply")</f>
        <v>B Supply</v>
      </c>
      <c r="M97" s="49">
        <f>IFERROR(__xludf.DUMMYFUNCTION("""COMPUTED_VALUE"""),514758.0)</f>
        <v>514758</v>
      </c>
      <c r="N97" s="53">
        <f>IFERROR(__xludf.DUMMYFUNCTION("""COMPUTED_VALUE"""),1.14)</f>
        <v>1.14</v>
      </c>
      <c r="O97" s="54">
        <f>IFERROR(__xludf.DUMMYFUNCTION("""COMPUTED_VALUE"""),659617.0)</f>
        <v>659617</v>
      </c>
      <c r="P97" s="49" t="str">
        <f>IFERROR(__xludf.DUMMYFUNCTION("""COMPUTED_VALUE"""),"na")</f>
        <v>na</v>
      </c>
      <c r="Q97" s="49" t="str">
        <f>IFERROR(__xludf.DUMMYFUNCTION("""COMPUTED_VALUE"""),"na")</f>
        <v>na</v>
      </c>
      <c r="R97" s="49"/>
      <c r="S97" s="49"/>
      <c r="T97" s="49"/>
      <c r="U97" s="49"/>
      <c r="V97" s="49"/>
      <c r="W97" s="49"/>
      <c r="X97" s="49"/>
      <c r="Y97" s="49"/>
      <c r="Z97" s="49"/>
    </row>
    <row r="98">
      <c r="A98" s="49" t="str">
        <f>IFERROR(__xludf.DUMMYFUNCTION("""COMPUTED_VALUE"""),"---")</f>
        <v>---</v>
      </c>
      <c r="B98" s="49" t="str">
        <f>IFERROR(__xludf.DUMMYFUNCTION("""COMPUTED_VALUE"""),"---")</f>
        <v>---</v>
      </c>
      <c r="C98" s="50" t="str">
        <f>IFERROR(__xludf.DUMMYFUNCTION("""COMPUTED_VALUE"""),"Stock")</f>
        <v>Stock</v>
      </c>
      <c r="D98" s="49"/>
      <c r="E98" s="49"/>
      <c r="F98" s="49"/>
      <c r="G98" s="49" t="str">
        <f>IFERROR(__xludf.DUMMYFUNCTION("""COMPUTED_VALUE"""),"TG pink 39")</f>
        <v>TG pink 39</v>
      </c>
      <c r="H98" s="52"/>
      <c r="I98" s="49"/>
      <c r="J98" s="51">
        <f>IFERROR(__xludf.DUMMYFUNCTION("""COMPUTED_VALUE"""),46037.0)</f>
        <v>46037</v>
      </c>
      <c r="K98" s="52"/>
      <c r="L98" s="49" t="str">
        <f>IFERROR(__xludf.DUMMYFUNCTION("""COMPUTED_VALUE"""),"B Supply")</f>
        <v>B Supply</v>
      </c>
      <c r="M98" s="49">
        <f>IFERROR(__xludf.DUMMYFUNCTION("""COMPUTED_VALUE"""),514758.0)</f>
        <v>514758</v>
      </c>
      <c r="N98" s="53">
        <f>IFERROR(__xludf.DUMMYFUNCTION("""COMPUTED_VALUE"""),1.14)</f>
        <v>1.14</v>
      </c>
      <c r="O98" s="54">
        <f>IFERROR(__xludf.DUMMYFUNCTION("""COMPUTED_VALUE"""),659617.0)</f>
        <v>659617</v>
      </c>
      <c r="P98" s="49" t="str">
        <f>IFERROR(__xludf.DUMMYFUNCTION("""COMPUTED_VALUE"""),"na")</f>
        <v>na</v>
      </c>
      <c r="Q98" s="49" t="str">
        <f>IFERROR(__xludf.DUMMYFUNCTION("""COMPUTED_VALUE"""),"na")</f>
        <v>na</v>
      </c>
      <c r="R98" s="49"/>
      <c r="S98" s="49"/>
      <c r="T98" s="49"/>
      <c r="U98" s="49"/>
      <c r="V98" s="49"/>
      <c r="W98" s="49"/>
      <c r="X98" s="49"/>
      <c r="Y98" s="49"/>
      <c r="Z98" s="49"/>
    </row>
    <row r="99">
      <c r="A99" s="49" t="str">
        <f>IFERROR(__xludf.DUMMYFUNCTION("""COMPUTED_VALUE"""),"---")</f>
        <v>---</v>
      </c>
      <c r="B99" s="49" t="str">
        <f>IFERROR(__xludf.DUMMYFUNCTION("""COMPUTED_VALUE"""),"---")</f>
        <v>---</v>
      </c>
      <c r="C99" s="50" t="str">
        <f>IFERROR(__xludf.DUMMYFUNCTION("""COMPUTED_VALUE"""),"Stock")</f>
        <v>Stock</v>
      </c>
      <c r="D99" s="49"/>
      <c r="E99" s="49"/>
      <c r="F99" s="49"/>
      <c r="G99" s="49" t="str">
        <f>IFERROR(__xludf.DUMMYFUNCTION("""COMPUTED_VALUE"""),"TG white 3")</f>
        <v>TG white 3</v>
      </c>
      <c r="H99" s="52"/>
      <c r="I99" s="49"/>
      <c r="J99" s="51">
        <f>IFERROR(__xludf.DUMMYFUNCTION("""COMPUTED_VALUE"""),46037.0)</f>
        <v>46037</v>
      </c>
      <c r="K99" s="52"/>
      <c r="L99" s="49" t="str">
        <f>IFERROR(__xludf.DUMMYFUNCTION("""COMPUTED_VALUE"""),"B Supply")</f>
        <v>B Supply</v>
      </c>
      <c r="M99" s="49">
        <f>IFERROR(__xludf.DUMMYFUNCTION("""COMPUTED_VALUE"""),514758.0)</f>
        <v>514758</v>
      </c>
      <c r="N99" s="53">
        <f>IFERROR(__xludf.DUMMYFUNCTION("""COMPUTED_VALUE"""),1.14)</f>
        <v>1.14</v>
      </c>
      <c r="O99" s="54">
        <f>IFERROR(__xludf.DUMMYFUNCTION("""COMPUTED_VALUE"""),659617.0)</f>
        <v>659617</v>
      </c>
      <c r="P99" s="49" t="str">
        <f>IFERROR(__xludf.DUMMYFUNCTION("""COMPUTED_VALUE"""),"na")</f>
        <v>na</v>
      </c>
      <c r="Q99" s="49" t="str">
        <f>IFERROR(__xludf.DUMMYFUNCTION("""COMPUTED_VALUE"""),"na")</f>
        <v>na</v>
      </c>
      <c r="R99" s="49"/>
      <c r="S99" s="49"/>
      <c r="T99" s="49"/>
      <c r="U99" s="49"/>
      <c r="V99" s="49"/>
      <c r="W99" s="49"/>
      <c r="X99" s="49"/>
      <c r="Y99" s="49"/>
      <c r="Z99" s="49"/>
    </row>
    <row r="100">
      <c r="A100" s="49" t="str">
        <f>IFERROR(__xludf.DUMMYFUNCTION("""COMPUTED_VALUE"""),"---")</f>
        <v>---</v>
      </c>
      <c r="B100" s="49" t="str">
        <f>IFERROR(__xludf.DUMMYFUNCTION("""COMPUTED_VALUE"""),"---")</f>
        <v>---</v>
      </c>
      <c r="C100" s="50" t="str">
        <f>IFERROR(__xludf.DUMMYFUNCTION("""COMPUTED_VALUE"""),"Stock")</f>
        <v>Stock</v>
      </c>
      <c r="D100" s="49"/>
      <c r="E100" s="49"/>
      <c r="F100" s="49"/>
      <c r="G100" s="49" t="str">
        <f>IFERROR(__xludf.DUMMYFUNCTION("""COMPUTED_VALUE"""),"TG black 25")</f>
        <v>TG black 25</v>
      </c>
      <c r="H100" s="52"/>
      <c r="I100" s="49"/>
      <c r="J100" s="51">
        <f>IFERROR(__xludf.DUMMYFUNCTION("""COMPUTED_VALUE"""),46037.0)</f>
        <v>46037</v>
      </c>
      <c r="K100" s="52"/>
      <c r="L100" s="49" t="str">
        <f>IFERROR(__xludf.DUMMYFUNCTION("""COMPUTED_VALUE"""),"B Supply")</f>
        <v>B Supply</v>
      </c>
      <c r="M100" s="49">
        <f>IFERROR(__xludf.DUMMYFUNCTION("""COMPUTED_VALUE"""),514758.0)</f>
        <v>514758</v>
      </c>
      <c r="N100" s="53">
        <f>IFERROR(__xludf.DUMMYFUNCTION("""COMPUTED_VALUE"""),1.14)</f>
        <v>1.14</v>
      </c>
      <c r="O100" s="54">
        <f>IFERROR(__xludf.DUMMYFUNCTION("""COMPUTED_VALUE"""),659617.0)</f>
        <v>659617</v>
      </c>
      <c r="P100" s="49" t="str">
        <f>IFERROR(__xludf.DUMMYFUNCTION("""COMPUTED_VALUE"""),"na")</f>
        <v>na</v>
      </c>
      <c r="Q100" s="49" t="str">
        <f>IFERROR(__xludf.DUMMYFUNCTION("""COMPUTED_VALUE"""),"na")</f>
        <v>na</v>
      </c>
      <c r="R100" s="49"/>
      <c r="S100" s="49"/>
      <c r="T100" s="49"/>
      <c r="U100" s="49"/>
      <c r="V100" s="49"/>
      <c r="W100" s="49"/>
      <c r="X100" s="49"/>
      <c r="Y100" s="49"/>
      <c r="Z100" s="49"/>
    </row>
    <row r="101">
      <c r="A101" s="49" t="str">
        <f>IFERROR(__xludf.DUMMYFUNCTION("""COMPUTED_VALUE"""),"---")</f>
        <v>---</v>
      </c>
      <c r="B101" s="49" t="str">
        <f>IFERROR(__xludf.DUMMYFUNCTION("""COMPUTED_VALUE"""),"---")</f>
        <v>---</v>
      </c>
      <c r="C101" s="50" t="str">
        <f>IFERROR(__xludf.DUMMYFUNCTION("""COMPUTED_VALUE"""),"Stock")</f>
        <v>Stock</v>
      </c>
      <c r="D101" s="49"/>
      <c r="E101" s="49"/>
      <c r="F101" s="49"/>
      <c r="G101" s="49" t="str">
        <f>IFERROR(__xludf.DUMMYFUNCTION("""COMPUTED_VALUE"""),"TG black 29")</f>
        <v>TG black 29</v>
      </c>
      <c r="H101" s="52"/>
      <c r="I101" s="49"/>
      <c r="J101" s="51">
        <f>IFERROR(__xludf.DUMMYFUNCTION("""COMPUTED_VALUE"""),46037.0)</f>
        <v>46037</v>
      </c>
      <c r="K101" s="52"/>
      <c r="L101" s="49" t="str">
        <f>IFERROR(__xludf.DUMMYFUNCTION("""COMPUTED_VALUE"""),"B Supply")</f>
        <v>B Supply</v>
      </c>
      <c r="M101" s="49">
        <f>IFERROR(__xludf.DUMMYFUNCTION("""COMPUTED_VALUE"""),514758.0)</f>
        <v>514758</v>
      </c>
      <c r="N101" s="53">
        <f>IFERROR(__xludf.DUMMYFUNCTION("""COMPUTED_VALUE"""),1.14)</f>
        <v>1.14</v>
      </c>
      <c r="O101" s="54">
        <f>IFERROR(__xludf.DUMMYFUNCTION("""COMPUTED_VALUE"""),659617.0)</f>
        <v>659617</v>
      </c>
      <c r="P101" s="49" t="str">
        <f>IFERROR(__xludf.DUMMYFUNCTION("""COMPUTED_VALUE"""),"na")</f>
        <v>na</v>
      </c>
      <c r="Q101" s="49" t="str">
        <f>IFERROR(__xludf.DUMMYFUNCTION("""COMPUTED_VALUE"""),"na")</f>
        <v>na</v>
      </c>
      <c r="R101" s="49"/>
      <c r="S101" s="49"/>
      <c r="T101" s="49"/>
      <c r="U101" s="49"/>
      <c r="V101" s="49"/>
      <c r="W101" s="49"/>
      <c r="X101" s="49"/>
      <c r="Y101" s="49"/>
      <c r="Z101" s="49"/>
    </row>
    <row r="102">
      <c r="A102" s="49" t="str">
        <f>IFERROR(__xludf.DUMMYFUNCTION("""COMPUTED_VALUE"""),"---")</f>
        <v>---</v>
      </c>
      <c r="B102" s="49" t="str">
        <f>IFERROR(__xludf.DUMMYFUNCTION("""COMPUTED_VALUE"""),"---")</f>
        <v>---</v>
      </c>
      <c r="C102" s="50" t="str">
        <f>IFERROR(__xludf.DUMMYFUNCTION("""COMPUTED_VALUE"""),"Stock")</f>
        <v>Stock</v>
      </c>
      <c r="D102" s="49"/>
      <c r="E102" s="49"/>
      <c r="F102" s="49"/>
      <c r="G102" s="49" t="str">
        <f>IFERROR(__xludf.DUMMYFUNCTION("""COMPUTED_VALUE"""),"TG black 39")</f>
        <v>TG black 39</v>
      </c>
      <c r="H102" s="52"/>
      <c r="I102" s="49"/>
      <c r="J102" s="51">
        <f>IFERROR(__xludf.DUMMYFUNCTION("""COMPUTED_VALUE"""),46037.0)</f>
        <v>46037</v>
      </c>
      <c r="K102" s="52"/>
      <c r="L102" s="49" t="str">
        <f>IFERROR(__xludf.DUMMYFUNCTION("""COMPUTED_VALUE"""),"B Supply")</f>
        <v>B Supply</v>
      </c>
      <c r="M102" s="49">
        <f>IFERROR(__xludf.DUMMYFUNCTION("""COMPUTED_VALUE"""),514758.0)</f>
        <v>514758</v>
      </c>
      <c r="N102" s="53">
        <f>IFERROR(__xludf.DUMMYFUNCTION("""COMPUTED_VALUE"""),1.14)</f>
        <v>1.14</v>
      </c>
      <c r="O102" s="54">
        <f>IFERROR(__xludf.DUMMYFUNCTION("""COMPUTED_VALUE"""),659617.0)</f>
        <v>659617</v>
      </c>
      <c r="P102" s="49" t="str">
        <f>IFERROR(__xludf.DUMMYFUNCTION("""COMPUTED_VALUE"""),"na")</f>
        <v>na</v>
      </c>
      <c r="Q102" s="49" t="str">
        <f>IFERROR(__xludf.DUMMYFUNCTION("""COMPUTED_VALUE"""),"na")</f>
        <v>na</v>
      </c>
      <c r="R102" s="49"/>
      <c r="S102" s="49"/>
      <c r="T102" s="49"/>
      <c r="U102" s="49"/>
      <c r="V102" s="49"/>
      <c r="W102" s="49"/>
      <c r="X102" s="49"/>
      <c r="Y102" s="49"/>
      <c r="Z102" s="49"/>
    </row>
    <row r="103">
      <c r="A103" s="49" t="str">
        <f>IFERROR(__xludf.DUMMYFUNCTION("""COMPUTED_VALUE"""),"---")</f>
        <v>---</v>
      </c>
      <c r="B103" s="49" t="str">
        <f>IFERROR(__xludf.DUMMYFUNCTION("""COMPUTED_VALUE"""),"---")</f>
        <v>---</v>
      </c>
      <c r="C103" s="50" t="str">
        <f>IFERROR(__xludf.DUMMYFUNCTION("""COMPUTED_VALUE"""),"Stock")</f>
        <v>Stock</v>
      </c>
      <c r="D103" s="49"/>
      <c r="E103" s="49"/>
      <c r="F103" s="49"/>
      <c r="G103" s="49" t="str">
        <f>IFERROR(__xludf.DUMMYFUNCTION("""COMPUTED_VALUE"""),"TG black 41")</f>
        <v>TG black 41</v>
      </c>
      <c r="H103" s="52"/>
      <c r="I103" s="49"/>
      <c r="J103" s="51">
        <f>IFERROR(__xludf.DUMMYFUNCTION("""COMPUTED_VALUE"""),46037.0)</f>
        <v>46037</v>
      </c>
      <c r="K103" s="52"/>
      <c r="L103" s="49" t="str">
        <f>IFERROR(__xludf.DUMMYFUNCTION("""COMPUTED_VALUE"""),"B Supply")</f>
        <v>B Supply</v>
      </c>
      <c r="M103" s="49">
        <f>IFERROR(__xludf.DUMMYFUNCTION("""COMPUTED_VALUE"""),514758.0)</f>
        <v>514758</v>
      </c>
      <c r="N103" s="53">
        <f>IFERROR(__xludf.DUMMYFUNCTION("""COMPUTED_VALUE"""),1.14)</f>
        <v>1.14</v>
      </c>
      <c r="O103" s="54">
        <f>IFERROR(__xludf.DUMMYFUNCTION("""COMPUTED_VALUE"""),659617.0)</f>
        <v>659617</v>
      </c>
      <c r="P103" s="49" t="str">
        <f>IFERROR(__xludf.DUMMYFUNCTION("""COMPUTED_VALUE"""),"na")</f>
        <v>na</v>
      </c>
      <c r="Q103" s="49" t="str">
        <f>IFERROR(__xludf.DUMMYFUNCTION("""COMPUTED_VALUE"""),"na")</f>
        <v>na</v>
      </c>
      <c r="R103" s="49"/>
      <c r="S103" s="49"/>
      <c r="T103" s="49"/>
      <c r="U103" s="49"/>
      <c r="V103" s="49"/>
      <c r="W103" s="49"/>
      <c r="X103" s="49"/>
      <c r="Y103" s="49"/>
      <c r="Z103" s="49"/>
    </row>
    <row r="104">
      <c r="A104" s="49" t="str">
        <f>IFERROR(__xludf.DUMMYFUNCTION("""COMPUTED_VALUE"""),"---")</f>
        <v>---</v>
      </c>
      <c r="B104" s="49" t="str">
        <f>IFERROR(__xludf.DUMMYFUNCTION("""COMPUTED_VALUE"""),"---")</f>
        <v>---</v>
      </c>
      <c r="C104" s="50" t="str">
        <f>IFERROR(__xludf.DUMMYFUNCTION("""COMPUTED_VALUE"""),"Stock")</f>
        <v>Stock</v>
      </c>
      <c r="D104" s="49"/>
      <c r="E104" s="49"/>
      <c r="F104" s="49"/>
      <c r="G104" s="49" t="str">
        <f>IFERROR(__xludf.DUMMYFUNCTION("""COMPUTED_VALUE"""),"1 1/4"" slug red/green")</f>
        <v>1 1/4" slug red/green</v>
      </c>
      <c r="H104" s="52"/>
      <c r="I104" s="49"/>
      <c r="J104" s="51">
        <f>IFERROR(__xludf.DUMMYFUNCTION("""COMPUTED_VALUE"""),46037.0)</f>
        <v>46037</v>
      </c>
      <c r="K104" s="52"/>
      <c r="L104" s="49" t="str">
        <f>IFERROR(__xludf.DUMMYFUNCTION("""COMPUTED_VALUE"""),"B Supply")</f>
        <v>B Supply</v>
      </c>
      <c r="M104" s="49">
        <f>IFERROR(__xludf.DUMMYFUNCTION("""COMPUTED_VALUE"""),514758.0)</f>
        <v>514758</v>
      </c>
      <c r="N104" s="53">
        <f>IFERROR(__xludf.DUMMYFUNCTION("""COMPUTED_VALUE"""),3.33)</f>
        <v>3.33</v>
      </c>
      <c r="O104" s="54">
        <f>IFERROR(__xludf.DUMMYFUNCTION("""COMPUTED_VALUE"""),659617.0)</f>
        <v>659617</v>
      </c>
      <c r="P104" s="49" t="str">
        <f>IFERROR(__xludf.DUMMYFUNCTION("""COMPUTED_VALUE"""),"na")</f>
        <v>na</v>
      </c>
      <c r="Q104" s="49" t="str">
        <f>IFERROR(__xludf.DUMMYFUNCTION("""COMPUTED_VALUE"""),"na")</f>
        <v>na</v>
      </c>
      <c r="R104" s="49"/>
      <c r="S104" s="49"/>
      <c r="T104" s="49"/>
      <c r="U104" s="49"/>
      <c r="V104" s="49"/>
      <c r="W104" s="49"/>
      <c r="X104" s="49"/>
      <c r="Y104" s="49"/>
      <c r="Z104" s="49"/>
    </row>
    <row r="105">
      <c r="A105" s="49" t="str">
        <f>IFERROR(__xludf.DUMMYFUNCTION("""COMPUTED_VALUE"""),"---")</f>
        <v>---</v>
      </c>
      <c r="B105" s="49" t="str">
        <f>IFERROR(__xludf.DUMMYFUNCTION("""COMPUTED_VALUE"""),"---")</f>
        <v>---</v>
      </c>
      <c r="C105" s="50" t="str">
        <f>IFERROR(__xludf.DUMMYFUNCTION("""COMPUTED_VALUE"""),"Melvin Thomas")</f>
        <v>Melvin Thomas</v>
      </c>
      <c r="D105" s="49">
        <f>IFERROR(__xludf.DUMMYFUNCTION("""COMPUTED_VALUE"""),9.179397114E9)</f>
        <v>9179397114</v>
      </c>
      <c r="E105" s="49" t="str">
        <f>IFERROR(__xludf.DUMMYFUNCTION("""COMPUTED_VALUE"""),"South")</f>
        <v>South</v>
      </c>
      <c r="F105" s="49" t="str">
        <f>IFERROR(__xludf.DUMMYFUNCTION("""COMPUTED_VALUE"""),"South")</f>
        <v>South</v>
      </c>
      <c r="G105" s="49" t="str">
        <f>IFERROR(__xludf.DUMMYFUNCTION("""COMPUTED_VALUE"""),"Hammer Tour V1 13 lb")</f>
        <v>Hammer Tour V1 13 lb</v>
      </c>
      <c r="H105" s="52"/>
      <c r="I105" s="49"/>
      <c r="J105" s="51">
        <f>IFERROR(__xludf.DUMMYFUNCTION("""COMPUTED_VALUE"""),46037.0)</f>
        <v>46037</v>
      </c>
      <c r="K105" s="52"/>
      <c r="L105" s="49" t="str">
        <f>IFERROR(__xludf.DUMMYFUNCTION("""COMPUTED_VALUE"""),"B Supply")</f>
        <v>B Supply</v>
      </c>
      <c r="M105" s="49">
        <f>IFERROR(__xludf.DUMMYFUNCTION("""COMPUTED_VALUE"""),514758.0)</f>
        <v>514758</v>
      </c>
      <c r="N105" s="53">
        <f>IFERROR(__xludf.DUMMYFUNCTION("""COMPUTED_VALUE"""),132.15)</f>
        <v>132.15</v>
      </c>
      <c r="O105" s="54">
        <f>IFERROR(__xludf.DUMMYFUNCTION("""COMPUTED_VALUE"""),659617.0)</f>
        <v>659617</v>
      </c>
      <c r="P105" s="49" t="str">
        <f>IFERROR(__xludf.DUMMYFUNCTION("""COMPUTED_VALUE"""),"Y")</f>
        <v>Y</v>
      </c>
      <c r="Q105" s="49" t="str">
        <f>IFERROR(__xludf.DUMMYFUNCTION("""COMPUTED_VALUE"""),"Y")</f>
        <v>Y</v>
      </c>
      <c r="R105" s="49"/>
      <c r="S105" s="49"/>
      <c r="T105" s="49"/>
      <c r="U105" s="49"/>
      <c r="V105" s="49"/>
      <c r="W105" s="49"/>
      <c r="X105" s="49"/>
      <c r="Y105" s="49"/>
      <c r="Z105" s="49"/>
    </row>
    <row r="106">
      <c r="A106" s="49" t="str">
        <f>IFERROR(__xludf.DUMMYFUNCTION("""COMPUTED_VALUE"""),"---")</f>
        <v>---</v>
      </c>
      <c r="B106" s="49" t="str">
        <f>IFERROR(__xludf.DUMMYFUNCTION("""COMPUTED_VALUE"""),"---")</f>
        <v>---</v>
      </c>
      <c r="C106" s="50" t="str">
        <f>IFERROR(__xludf.DUMMYFUNCTION("""COMPUTED_VALUE"""),"Stock")</f>
        <v>Stock</v>
      </c>
      <c r="D106" s="49"/>
      <c r="E106" s="49"/>
      <c r="F106" s="49"/>
      <c r="G106" s="49" t="str">
        <f>IFERROR(__xludf.DUMMYFUNCTION("""COMPUTED_VALUE"""),"Football shoe covers")</f>
        <v>Football shoe covers</v>
      </c>
      <c r="H106" s="52"/>
      <c r="I106" s="49"/>
      <c r="J106" s="51">
        <f>IFERROR(__xludf.DUMMYFUNCTION("""COMPUTED_VALUE"""),46037.0)</f>
        <v>46037</v>
      </c>
      <c r="K106" s="52"/>
      <c r="L106" s="49" t="str">
        <f>IFERROR(__xludf.DUMMYFUNCTION("""COMPUTED_VALUE"""),"B Supply")</f>
        <v>B Supply</v>
      </c>
      <c r="M106" s="49">
        <f>IFERROR(__xludf.DUMMYFUNCTION("""COMPUTED_VALUE"""),514758.0)</f>
        <v>514758</v>
      </c>
      <c r="N106" s="53">
        <f>IFERROR(__xludf.DUMMYFUNCTION("""COMPUTED_VALUE"""),1.9)</f>
        <v>1.9</v>
      </c>
      <c r="O106" s="54">
        <f>IFERROR(__xludf.DUMMYFUNCTION("""COMPUTED_VALUE"""),659617.0)</f>
        <v>659617</v>
      </c>
      <c r="P106" s="49" t="str">
        <f>IFERROR(__xludf.DUMMYFUNCTION("""COMPUTED_VALUE"""),"na")</f>
        <v>na</v>
      </c>
      <c r="Q106" s="49" t="str">
        <f>IFERROR(__xludf.DUMMYFUNCTION("""COMPUTED_VALUE"""),"na")</f>
        <v>na</v>
      </c>
      <c r="R106" s="49"/>
      <c r="S106" s="49"/>
      <c r="T106" s="49"/>
      <c r="U106" s="49"/>
      <c r="V106" s="49"/>
      <c r="W106" s="49"/>
      <c r="X106" s="49"/>
      <c r="Y106" s="49"/>
      <c r="Z106" s="49"/>
    </row>
    <row r="107">
      <c r="A107" s="49" t="str">
        <f>IFERROR(__xludf.DUMMYFUNCTION("""COMPUTED_VALUE"""),"---")</f>
        <v>---</v>
      </c>
      <c r="B107" s="49" t="str">
        <f>IFERROR(__xludf.DUMMYFUNCTION("""COMPUTED_VALUE"""),"---")</f>
        <v>---</v>
      </c>
      <c r="C107" s="50" t="str">
        <f>IFERROR(__xludf.DUMMYFUNCTION("""COMPUTED_VALUE"""),"Stock")</f>
        <v>Stock</v>
      </c>
      <c r="D107" s="49"/>
      <c r="E107" s="49"/>
      <c r="F107" s="49"/>
      <c r="G107" s="49" t="str">
        <f>IFERROR(__xludf.DUMMYFUNCTION("""COMPUTED_VALUE"""),"Brunswick shoe shield S")</f>
        <v>Brunswick shoe shield S</v>
      </c>
      <c r="H107" s="52"/>
      <c r="I107" s="49"/>
      <c r="J107" s="51">
        <f>IFERROR(__xludf.DUMMYFUNCTION("""COMPUTED_VALUE"""),46037.0)</f>
        <v>46037</v>
      </c>
      <c r="K107" s="52"/>
      <c r="L107" s="49" t="str">
        <f>IFERROR(__xludf.DUMMYFUNCTION("""COMPUTED_VALUE"""),"B Supply")</f>
        <v>B Supply</v>
      </c>
      <c r="M107" s="49">
        <f>IFERROR(__xludf.DUMMYFUNCTION("""COMPUTED_VALUE"""),514758.0)</f>
        <v>514758</v>
      </c>
      <c r="N107" s="53">
        <f>IFERROR(__xludf.DUMMYFUNCTION("""COMPUTED_VALUE"""),8.17)</f>
        <v>8.17</v>
      </c>
      <c r="O107" s="54">
        <f>IFERROR(__xludf.DUMMYFUNCTION("""COMPUTED_VALUE"""),659617.0)</f>
        <v>659617</v>
      </c>
      <c r="P107" s="49" t="str">
        <f>IFERROR(__xludf.DUMMYFUNCTION("""COMPUTED_VALUE"""),"na")</f>
        <v>na</v>
      </c>
      <c r="Q107" s="49" t="str">
        <f>IFERROR(__xludf.DUMMYFUNCTION("""COMPUTED_VALUE"""),"na")</f>
        <v>na</v>
      </c>
      <c r="R107" s="49"/>
      <c r="S107" s="49"/>
      <c r="T107" s="49"/>
      <c r="U107" s="49"/>
      <c r="V107" s="49"/>
      <c r="W107" s="49"/>
      <c r="X107" s="49"/>
      <c r="Y107" s="49"/>
      <c r="Z107" s="49"/>
    </row>
    <row r="108">
      <c r="A108" s="49" t="str">
        <f>IFERROR(__xludf.DUMMYFUNCTION("""COMPUTED_VALUE"""),"---")</f>
        <v>---</v>
      </c>
      <c r="B108" s="49" t="str">
        <f>IFERROR(__xludf.DUMMYFUNCTION("""COMPUTED_VALUE"""),"---")</f>
        <v>---</v>
      </c>
      <c r="C108" s="50" t="str">
        <f>IFERROR(__xludf.DUMMYFUNCTION("""COMPUTED_VALUE"""),"Stock")</f>
        <v>Stock</v>
      </c>
      <c r="D108" s="49"/>
      <c r="E108" s="49"/>
      <c r="F108" s="49"/>
      <c r="G108" s="49" t="str">
        <f>IFERROR(__xludf.DUMMYFUNCTION("""COMPUTED_VALUE"""),"Turbo Rev Wrap M")</f>
        <v>Turbo Rev Wrap M</v>
      </c>
      <c r="H108" s="52"/>
      <c r="I108" s="49"/>
      <c r="J108" s="51">
        <f>IFERROR(__xludf.DUMMYFUNCTION("""COMPUTED_VALUE"""),46037.0)</f>
        <v>46037</v>
      </c>
      <c r="K108" s="52"/>
      <c r="L108" s="49" t="str">
        <f>IFERROR(__xludf.DUMMYFUNCTION("""COMPUTED_VALUE"""),"B Supply")</f>
        <v>B Supply</v>
      </c>
      <c r="M108" s="49">
        <f>IFERROR(__xludf.DUMMYFUNCTION("""COMPUTED_VALUE"""),514758.0)</f>
        <v>514758</v>
      </c>
      <c r="N108" s="53">
        <f>IFERROR(__xludf.DUMMYFUNCTION("""COMPUTED_VALUE"""),9.12)</f>
        <v>9.12</v>
      </c>
      <c r="O108" s="54">
        <f>IFERROR(__xludf.DUMMYFUNCTION("""COMPUTED_VALUE"""),659617.0)</f>
        <v>659617</v>
      </c>
      <c r="P108" s="49" t="str">
        <f>IFERROR(__xludf.DUMMYFUNCTION("""COMPUTED_VALUE"""),"na")</f>
        <v>na</v>
      </c>
      <c r="Q108" s="49" t="str">
        <f>IFERROR(__xludf.DUMMYFUNCTION("""COMPUTED_VALUE"""),"na")</f>
        <v>na</v>
      </c>
      <c r="R108" s="49"/>
      <c r="S108" s="49"/>
      <c r="T108" s="49"/>
      <c r="U108" s="49"/>
      <c r="V108" s="49"/>
      <c r="W108" s="49"/>
      <c r="X108" s="49"/>
      <c r="Y108" s="49"/>
      <c r="Z108" s="49"/>
    </row>
    <row r="109">
      <c r="A109" s="49" t="str">
        <f>IFERROR(__xludf.DUMMYFUNCTION("""COMPUTED_VALUE"""),"---")</f>
        <v>---</v>
      </c>
      <c r="B109" s="49" t="str">
        <f>IFERROR(__xludf.DUMMYFUNCTION("""COMPUTED_VALUE"""),"---")</f>
        <v>---</v>
      </c>
      <c r="C109" s="50" t="str">
        <f>IFERROR(__xludf.DUMMYFUNCTION("""COMPUTED_VALUE"""),"Stock")</f>
        <v>Stock</v>
      </c>
      <c r="D109" s="49"/>
      <c r="E109" s="49"/>
      <c r="F109" s="49"/>
      <c r="G109" s="49" t="str">
        <f>IFERROR(__xludf.DUMMYFUNCTION("""COMPUTED_VALUE"""),"Motiv Venom Shock 15 lb")</f>
        <v>Motiv Venom Shock 15 lb</v>
      </c>
      <c r="H109" s="52"/>
      <c r="I109" s="49"/>
      <c r="J109" s="51">
        <f>IFERROR(__xludf.DUMMYFUNCTION("""COMPUTED_VALUE"""),46037.0)</f>
        <v>46037</v>
      </c>
      <c r="K109" s="52"/>
      <c r="L109" s="49" t="str">
        <f>IFERROR(__xludf.DUMMYFUNCTION("""COMPUTED_VALUE"""),"B Supply")</f>
        <v>B Supply</v>
      </c>
      <c r="M109" s="49">
        <f>IFERROR(__xludf.DUMMYFUNCTION("""COMPUTED_VALUE"""),514758.0)</f>
        <v>514758</v>
      </c>
      <c r="N109" s="53">
        <f>IFERROR(__xludf.DUMMYFUNCTION("""COMPUTED_VALUE"""),131.43)</f>
        <v>131.43</v>
      </c>
      <c r="O109" s="54">
        <f>IFERROR(__xludf.DUMMYFUNCTION("""COMPUTED_VALUE"""),659617.0)</f>
        <v>659617</v>
      </c>
      <c r="P109" s="49" t="str">
        <f>IFERROR(__xludf.DUMMYFUNCTION("""COMPUTED_VALUE"""),"na")</f>
        <v>na</v>
      </c>
      <c r="Q109" s="49" t="str">
        <f>IFERROR(__xludf.DUMMYFUNCTION("""COMPUTED_VALUE"""),"na")</f>
        <v>na</v>
      </c>
      <c r="R109" s="49"/>
      <c r="S109" s="49"/>
      <c r="T109" s="49"/>
      <c r="U109" s="49"/>
      <c r="V109" s="49"/>
      <c r="W109" s="49"/>
      <c r="X109" s="49"/>
      <c r="Y109" s="49"/>
      <c r="Z109" s="49"/>
    </row>
    <row r="110">
      <c r="A110" s="49" t="str">
        <f>IFERROR(__xludf.DUMMYFUNCTION("""COMPUTED_VALUE"""),"---")</f>
        <v>---</v>
      </c>
      <c r="B110" s="49" t="str">
        <f>IFERROR(__xludf.DUMMYFUNCTION("""COMPUTED_VALUE"""),"---")</f>
        <v>---</v>
      </c>
      <c r="C110" s="50" t="str">
        <f>IFERROR(__xludf.DUMMYFUNCTION("""COMPUTED_VALUE"""),"Ben Brady")</f>
        <v>Ben Brady</v>
      </c>
      <c r="D110" s="49"/>
      <c r="E110" s="49" t="str">
        <f>IFERROR(__xludf.DUMMYFUNCTION("""COMPUTED_VALUE"""),"South")</f>
        <v>South</v>
      </c>
      <c r="F110" s="49" t="str">
        <f>IFERROR(__xludf.DUMMYFUNCTION("""COMPUTED_VALUE"""),"South")</f>
        <v>South</v>
      </c>
      <c r="G110" s="49" t="str">
        <f>IFERROR(__xludf.DUMMYFUNCTION("""COMPUTED_VALUE"""),"Ball: Track Therom Original 15lb 3-4"" pin")</f>
        <v>Ball: Track Therom Original 15lb 3-4" pin</v>
      </c>
      <c r="H110" s="52"/>
      <c r="I110" s="49"/>
      <c r="J110" s="51">
        <f>IFERROR(__xludf.DUMMYFUNCTION("""COMPUTED_VALUE"""),46041.0)</f>
        <v>46041</v>
      </c>
      <c r="K110" s="52"/>
      <c r="L110" s="49" t="str">
        <f>IFERROR(__xludf.DUMMYFUNCTION("""COMPUTED_VALUE"""),"B Supply")</f>
        <v>B Supply</v>
      </c>
      <c r="M110" s="49">
        <f>IFERROR(__xludf.DUMMYFUNCTION("""COMPUTED_VALUE"""),515661.0)</f>
        <v>515661</v>
      </c>
      <c r="N110" s="53">
        <f>IFERROR(__xludf.DUMMYFUNCTION("""COMPUTED_VALUE"""),132.15)</f>
        <v>132.15</v>
      </c>
      <c r="O110" s="54">
        <f>IFERROR(__xludf.DUMMYFUNCTION("""COMPUTED_VALUE"""),660652.0)</f>
        <v>660652</v>
      </c>
      <c r="P110" s="49" t="str">
        <f>IFERROR(__xludf.DUMMYFUNCTION("""COMPUTED_VALUE"""),"Y")</f>
        <v>Y</v>
      </c>
      <c r="Q110" s="49" t="str">
        <f>IFERROR(__xludf.DUMMYFUNCTION("""COMPUTED_VALUE"""),"Y")</f>
        <v>Y</v>
      </c>
      <c r="R110" s="49"/>
      <c r="S110" s="49"/>
      <c r="T110" s="49"/>
      <c r="U110" s="49"/>
      <c r="V110" s="49"/>
      <c r="W110" s="49"/>
      <c r="X110" s="49"/>
      <c r="Y110" s="49"/>
      <c r="Z110" s="49"/>
    </row>
    <row r="111">
      <c r="A111" s="49" t="str">
        <f>IFERROR(__xludf.DUMMYFUNCTION("""COMPUTED_VALUE"""),"---")</f>
        <v>---</v>
      </c>
      <c r="B111" s="49" t="str">
        <f>IFERROR(__xludf.DUMMYFUNCTION("""COMPUTED_VALUE"""),"---")</f>
        <v>---</v>
      </c>
      <c r="C111" s="50" t="str">
        <f>IFERROR(__xludf.DUMMYFUNCTION("""COMPUTED_VALUE"""),"Michael Dinning")</f>
        <v>Michael Dinning</v>
      </c>
      <c r="D111" s="49">
        <f>IFERROR(__xludf.DUMMYFUNCTION("""COMPUTED_VALUE"""),5.707024266E9)</f>
        <v>5707024266</v>
      </c>
      <c r="E111" s="49" t="str">
        <f>IFERROR(__xludf.DUMMYFUNCTION("""COMPUTED_VALUE"""),"Valley")</f>
        <v>Valley</v>
      </c>
      <c r="F111" s="49" t="str">
        <f>IFERROR(__xludf.DUMMYFUNCTION("""COMPUTED_VALUE"""),"Valley")</f>
        <v>Valley</v>
      </c>
      <c r="G111" s="49" t="str">
        <f>IFERROR(__xludf.DUMMYFUNCTION("""COMPUTED_VALUE"""),"Storm Phaze 2 pearl")</f>
        <v>Storm Phaze 2 pearl</v>
      </c>
      <c r="H111" s="52"/>
      <c r="I111" s="49"/>
      <c r="J111" s="51">
        <f>IFERROR(__xludf.DUMMYFUNCTION("""COMPUTED_VALUE"""),46041.0)</f>
        <v>46041</v>
      </c>
      <c r="K111" s="52"/>
      <c r="L111" s="49" t="str">
        <f>IFERROR(__xludf.DUMMYFUNCTION("""COMPUTED_VALUE"""),"B Supply")</f>
        <v>B Supply</v>
      </c>
      <c r="M111" s="49">
        <f>IFERROR(__xludf.DUMMYFUNCTION("""COMPUTED_VALUE"""),515661.0)</f>
        <v>515661</v>
      </c>
      <c r="N111" s="53">
        <f>IFERROR(__xludf.DUMMYFUNCTION("""COMPUTED_VALUE"""),144.35)</f>
        <v>144.35</v>
      </c>
      <c r="O111" s="54">
        <f>IFERROR(__xludf.DUMMYFUNCTION("""COMPUTED_VALUE"""),660652.0)</f>
        <v>660652</v>
      </c>
      <c r="P111" s="49" t="str">
        <f>IFERROR(__xludf.DUMMYFUNCTION("""COMPUTED_VALUE"""),"Y")</f>
        <v>Y</v>
      </c>
      <c r="Q111" s="49" t="str">
        <f>IFERROR(__xludf.DUMMYFUNCTION("""COMPUTED_VALUE"""),"Y")</f>
        <v>Y</v>
      </c>
      <c r="R111" s="49"/>
      <c r="S111" s="49"/>
      <c r="T111" s="49"/>
      <c r="U111" s="49"/>
      <c r="V111" s="49"/>
      <c r="W111" s="49"/>
      <c r="X111" s="49"/>
      <c r="Y111" s="49"/>
      <c r="Z111" s="49"/>
    </row>
    <row r="112">
      <c r="A112" s="49" t="str">
        <f>IFERROR(__xludf.DUMMYFUNCTION("""COMPUTED_VALUE"""),"---")</f>
        <v>---</v>
      </c>
      <c r="B112" s="49" t="str">
        <f>IFERROR(__xludf.DUMMYFUNCTION("""COMPUTED_VALUE"""),"---")</f>
        <v>---</v>
      </c>
      <c r="C112" s="50" t="str">
        <f>IFERROR(__xludf.DUMMYFUNCTION("""COMPUTED_VALUE"""),"Stock")</f>
        <v>Stock</v>
      </c>
      <c r="D112" s="49"/>
      <c r="E112" s="49" t="str">
        <f>IFERROR(__xludf.DUMMYFUNCTION("""COMPUTED_VALUE"""),"South")</f>
        <v>South</v>
      </c>
      <c r="F112" s="49" t="str">
        <f>IFERROR(__xludf.DUMMYFUNCTION("""COMPUTED_VALUE"""),"South")</f>
        <v>South</v>
      </c>
      <c r="G112" s="49" t="str">
        <f>IFERROR(__xludf.DUMMYFUNCTION("""COMPUTED_VALUE"""),"Brunswick Danger Zone Solid 15 lb")</f>
        <v>Brunswick Danger Zone Solid 15 lb</v>
      </c>
      <c r="H112" s="52"/>
      <c r="I112" s="49"/>
      <c r="J112" s="51">
        <f>IFERROR(__xludf.DUMMYFUNCTION("""COMPUTED_VALUE"""),46041.0)</f>
        <v>46041</v>
      </c>
      <c r="K112" s="52"/>
      <c r="L112" s="49" t="str">
        <f>IFERROR(__xludf.DUMMYFUNCTION("""COMPUTED_VALUE"""),"B Supply")</f>
        <v>B Supply</v>
      </c>
      <c r="M112" s="49">
        <f>IFERROR(__xludf.DUMMYFUNCTION("""COMPUTED_VALUE"""),515661.0)</f>
        <v>515661</v>
      </c>
      <c r="N112" s="53">
        <f>IFERROR(__xludf.DUMMYFUNCTION("""COMPUTED_VALUE"""),99.28)</f>
        <v>99.28</v>
      </c>
      <c r="O112" s="54">
        <f>IFERROR(__xludf.DUMMYFUNCTION("""COMPUTED_VALUE"""),660652.0)</f>
        <v>660652</v>
      </c>
      <c r="P112" s="49" t="str">
        <f>IFERROR(__xludf.DUMMYFUNCTION("""COMPUTED_VALUE"""),"na")</f>
        <v>na</v>
      </c>
      <c r="Q112" s="49" t="str">
        <f>IFERROR(__xludf.DUMMYFUNCTION("""COMPUTED_VALUE"""),"na")</f>
        <v>na</v>
      </c>
      <c r="R112" s="49"/>
      <c r="S112" s="49"/>
      <c r="T112" s="49"/>
      <c r="U112" s="49"/>
      <c r="V112" s="49"/>
      <c r="W112" s="49"/>
      <c r="X112" s="49"/>
      <c r="Y112" s="49"/>
      <c r="Z112" s="49"/>
    </row>
    <row r="113">
      <c r="A113" s="49" t="str">
        <f>IFERROR(__xludf.DUMMYFUNCTION("""COMPUTED_VALUE"""),"---")</f>
        <v>---</v>
      </c>
      <c r="B113" s="49" t="str">
        <f>IFERROR(__xludf.DUMMYFUNCTION("""COMPUTED_VALUE"""),"---")</f>
        <v>---</v>
      </c>
      <c r="C113" s="50" t="str">
        <f>IFERROR(__xludf.DUMMYFUNCTION("""COMPUTED_VALUE"""),"Ryan Thomas")</f>
        <v>Ryan Thomas</v>
      </c>
      <c r="D113" s="49">
        <f>IFERROR(__xludf.DUMMYFUNCTION("""COMPUTED_VALUE"""),5.705910825E9)</f>
        <v>5705910825</v>
      </c>
      <c r="E113" s="49" t="str">
        <f>IFERROR(__xludf.DUMMYFUNCTION("""COMPUTED_VALUE"""),"Valley")</f>
        <v>Valley</v>
      </c>
      <c r="F113" s="49" t="str">
        <f>IFERROR(__xludf.DUMMYFUNCTION("""COMPUTED_VALUE"""),"Valley")</f>
        <v>Valley</v>
      </c>
      <c r="G113" s="49" t="str">
        <f>IFERROR(__xludf.DUMMYFUNCTION("""COMPUTED_VALUE"""),"Arctic Vibe - 13lbs")</f>
        <v>Arctic Vibe - 13lbs</v>
      </c>
      <c r="H113" s="52"/>
      <c r="I113" s="49"/>
      <c r="J113" s="51">
        <f>IFERROR(__xludf.DUMMYFUNCTION("""COMPUTED_VALUE"""),46041.0)</f>
        <v>46041</v>
      </c>
      <c r="K113" s="52"/>
      <c r="L113" s="49" t="str">
        <f>IFERROR(__xludf.DUMMYFUNCTION("""COMPUTED_VALUE"""),"B Supply")</f>
        <v>B Supply</v>
      </c>
      <c r="M113" s="49">
        <f>IFERROR(__xludf.DUMMYFUNCTION("""COMPUTED_VALUE"""),515661.0)</f>
        <v>515661</v>
      </c>
      <c r="N113" s="53">
        <f>IFERROR(__xludf.DUMMYFUNCTION("""COMPUTED_VALUE"""),95.62)</f>
        <v>95.62</v>
      </c>
      <c r="O113" s="54">
        <f>IFERROR(__xludf.DUMMYFUNCTION("""COMPUTED_VALUE"""),660652.0)</f>
        <v>660652</v>
      </c>
      <c r="P113" s="49" t="str">
        <f>IFERROR(__xludf.DUMMYFUNCTION("""COMPUTED_VALUE"""),"Y")</f>
        <v>Y</v>
      </c>
      <c r="Q113" s="49" t="str">
        <f>IFERROR(__xludf.DUMMYFUNCTION("""COMPUTED_VALUE"""),"Y")</f>
        <v>Y</v>
      </c>
      <c r="R113" s="49"/>
      <c r="S113" s="49"/>
      <c r="T113" s="49"/>
      <c r="U113" s="49"/>
      <c r="V113" s="49"/>
      <c r="W113" s="49"/>
      <c r="X113" s="49"/>
      <c r="Y113" s="49"/>
      <c r="Z113" s="49"/>
    </row>
    <row r="114">
      <c r="A114" s="49" t="str">
        <f>IFERROR(__xludf.DUMMYFUNCTION("""COMPUTED_VALUE"""),"---")</f>
        <v>---</v>
      </c>
      <c r="B114" s="49" t="str">
        <f>IFERROR(__xludf.DUMMYFUNCTION("""COMPUTED_VALUE"""),"---")</f>
        <v>---</v>
      </c>
      <c r="C114" s="50" t="str">
        <f>IFERROR(__xludf.DUMMYFUNCTION("""COMPUTED_VALUE"""),"Stock")</f>
        <v>Stock</v>
      </c>
      <c r="D114" s="49"/>
      <c r="E114" s="49"/>
      <c r="F114" s="49"/>
      <c r="G114" s="49" t="str">
        <f>IFERROR(__xludf.DUMMYFUNCTION("""COMPUTED_VALUE"""),"C300 Boss Triple Roller")</f>
        <v>C300 Boss Triple Roller</v>
      </c>
      <c r="H114" s="52"/>
      <c r="I114" s="49"/>
      <c r="J114" s="51">
        <f>IFERROR(__xludf.DUMMYFUNCTION("""COMPUTED_VALUE"""),46041.0)</f>
        <v>46041</v>
      </c>
      <c r="K114" s="52"/>
      <c r="L114" s="49" t="str">
        <f>IFERROR(__xludf.DUMMYFUNCTION("""COMPUTED_VALUE"""),"B Supply")</f>
        <v>B Supply</v>
      </c>
      <c r="M114" s="49">
        <f>IFERROR(__xludf.DUMMYFUNCTION("""COMPUTED_VALUE"""),515661.0)</f>
        <v>515661</v>
      </c>
      <c r="N114" s="53">
        <f>IFERROR(__xludf.DUMMYFUNCTION("""COMPUTED_VALUE"""),85.45)</f>
        <v>85.45</v>
      </c>
      <c r="O114" s="54">
        <f>IFERROR(__xludf.DUMMYFUNCTION("""COMPUTED_VALUE"""),660652.0)</f>
        <v>660652</v>
      </c>
      <c r="P114" s="49" t="str">
        <f>IFERROR(__xludf.DUMMYFUNCTION("""COMPUTED_VALUE"""),"na")</f>
        <v>na</v>
      </c>
      <c r="Q114" s="49" t="str">
        <f>IFERROR(__xludf.DUMMYFUNCTION("""COMPUTED_VALUE"""),"na")</f>
        <v>na</v>
      </c>
      <c r="R114" s="49"/>
      <c r="S114" s="49"/>
      <c r="T114" s="49"/>
      <c r="U114" s="49"/>
      <c r="V114" s="49"/>
      <c r="W114" s="49"/>
      <c r="X114" s="49"/>
      <c r="Y114" s="49"/>
      <c r="Z114" s="49"/>
    </row>
    <row r="115">
      <c r="A115" s="49" t="str">
        <f>IFERROR(__xludf.DUMMYFUNCTION("""COMPUTED_VALUE"""),"---")</f>
        <v>---</v>
      </c>
      <c r="B115" s="49" t="str">
        <f>IFERROR(__xludf.DUMMYFUNCTION("""COMPUTED_VALUE"""),"---")</f>
        <v>---</v>
      </c>
      <c r="C115" s="50" t="str">
        <f>IFERROR(__xludf.DUMMYFUNCTION("""COMPUTED_VALUE"""),"Mckinley Floyd")</f>
        <v>Mckinley Floyd</v>
      </c>
      <c r="D115" s="49"/>
      <c r="E115" s="49" t="str">
        <f>IFERROR(__xludf.DUMMYFUNCTION("""COMPUTED_VALUE"""),"South")</f>
        <v>South</v>
      </c>
      <c r="F115" s="49" t="str">
        <f>IFERROR(__xludf.DUMMYFUNCTION("""COMPUTED_VALUE"""),"South")</f>
        <v>South</v>
      </c>
      <c r="G115" s="49" t="str">
        <f>IFERROR(__xludf.DUMMYFUNCTION("""COMPUTED_VALUE"""),"Storm Ice - 10lbs")</f>
        <v>Storm Ice - 10lbs</v>
      </c>
      <c r="H115" s="52"/>
      <c r="I115" s="49"/>
      <c r="J115" s="51">
        <f>IFERROR(__xludf.DUMMYFUNCTION("""COMPUTED_VALUE"""),46041.0)</f>
        <v>46041</v>
      </c>
      <c r="K115" s="52"/>
      <c r="L115" s="49" t="str">
        <f>IFERROR(__xludf.DUMMYFUNCTION("""COMPUTED_VALUE"""),"B Supply")</f>
        <v>B Supply</v>
      </c>
      <c r="M115" s="49">
        <f>IFERROR(__xludf.DUMMYFUNCTION("""COMPUTED_VALUE"""),515661.0)</f>
        <v>515661</v>
      </c>
      <c r="N115" s="53">
        <f>IFERROR(__xludf.DUMMYFUNCTION("""COMPUTED_VALUE"""),60.9)</f>
        <v>60.9</v>
      </c>
      <c r="O115" s="54">
        <f>IFERROR(__xludf.DUMMYFUNCTION("""COMPUTED_VALUE"""),660652.0)</f>
        <v>660652</v>
      </c>
      <c r="P115" s="49" t="str">
        <f>IFERROR(__xludf.DUMMYFUNCTION("""COMPUTED_VALUE"""),"Y")</f>
        <v>Y</v>
      </c>
      <c r="Q115" s="49" t="str">
        <f>IFERROR(__xludf.DUMMYFUNCTION("""COMPUTED_VALUE"""),"Y")</f>
        <v>Y</v>
      </c>
      <c r="R115" s="49"/>
      <c r="S115" s="49"/>
      <c r="T115" s="49"/>
      <c r="U115" s="49"/>
      <c r="V115" s="49"/>
      <c r="W115" s="49"/>
      <c r="X115" s="49"/>
      <c r="Y115" s="49"/>
      <c r="Z115" s="49"/>
    </row>
    <row r="116">
      <c r="A116" s="49" t="str">
        <f>IFERROR(__xludf.DUMMYFUNCTION("""COMPUTED_VALUE"""),"---")</f>
        <v>---</v>
      </c>
      <c r="B116" s="49" t="str">
        <f>IFERROR(__xludf.DUMMYFUNCTION("""COMPUTED_VALUE"""),"---")</f>
        <v>---</v>
      </c>
      <c r="C116" s="50" t="str">
        <f>IFERROR(__xludf.DUMMYFUNCTION("""COMPUTED_VALUE"""),"Cheo Samad")</f>
        <v>Cheo Samad</v>
      </c>
      <c r="D116" s="49"/>
      <c r="E116" s="49" t="str">
        <f>IFERROR(__xludf.DUMMYFUNCTION("""COMPUTED_VALUE"""),"South")</f>
        <v>South</v>
      </c>
      <c r="F116" s="49" t="str">
        <f>IFERROR(__xludf.DUMMYFUNCTION("""COMPUTED_VALUE"""),"South")</f>
        <v>South</v>
      </c>
      <c r="G116" s="49" t="str">
        <f>IFERROR(__xludf.DUMMYFUNCTION("""COMPUTED_VALUE"""),"Arctic Vibe - 13lbs")</f>
        <v>Arctic Vibe - 13lbs</v>
      </c>
      <c r="H116" s="52"/>
      <c r="I116" s="49"/>
      <c r="J116" s="51">
        <f>IFERROR(__xludf.DUMMYFUNCTION("""COMPUTED_VALUE"""),46041.0)</f>
        <v>46041</v>
      </c>
      <c r="K116" s="52"/>
      <c r="L116" s="49" t="str">
        <f>IFERROR(__xludf.DUMMYFUNCTION("""COMPUTED_VALUE"""),"B Supply")</f>
        <v>B Supply</v>
      </c>
      <c r="M116" s="49">
        <f>IFERROR(__xludf.DUMMYFUNCTION("""COMPUTED_VALUE"""),515661.0)</f>
        <v>515661</v>
      </c>
      <c r="N116" s="53">
        <f>IFERROR(__xludf.DUMMYFUNCTION("""COMPUTED_VALUE"""),95.62)</f>
        <v>95.62</v>
      </c>
      <c r="O116" s="54">
        <f>IFERROR(__xludf.DUMMYFUNCTION("""COMPUTED_VALUE"""),660652.0)</f>
        <v>660652</v>
      </c>
      <c r="P116" s="49" t="str">
        <f>IFERROR(__xludf.DUMMYFUNCTION("""COMPUTED_VALUE"""),"Y")</f>
        <v>Y</v>
      </c>
      <c r="Q116" s="49" t="str">
        <f>IFERROR(__xludf.DUMMYFUNCTION("""COMPUTED_VALUE"""),"Y")</f>
        <v>Y</v>
      </c>
      <c r="R116" s="49"/>
      <c r="S116" s="49"/>
      <c r="T116" s="49"/>
      <c r="U116" s="49"/>
      <c r="V116" s="49"/>
      <c r="W116" s="49"/>
      <c r="X116" s="49"/>
      <c r="Y116" s="49"/>
      <c r="Z116" s="49"/>
    </row>
    <row r="117">
      <c r="A117" s="49" t="str">
        <f>IFERROR(__xludf.DUMMYFUNCTION("""COMPUTED_VALUE"""),"---")</f>
        <v>---</v>
      </c>
      <c r="B117" s="49" t="str">
        <f>IFERROR(__xludf.DUMMYFUNCTION("""COMPUTED_VALUE"""),"---")</f>
        <v>---</v>
      </c>
      <c r="C117" s="50" t="str">
        <f>IFERROR(__xludf.DUMMYFUNCTION("""COMPUTED_VALUE"""),"Stock")</f>
        <v>Stock</v>
      </c>
      <c r="D117" s="49"/>
      <c r="E117" s="49" t="str">
        <f>IFERROR(__xludf.DUMMYFUNCTION("""COMPUTED_VALUE"""),"South")</f>
        <v>South</v>
      </c>
      <c r="F117" s="49" t="str">
        <f>IFERROR(__xludf.DUMMYFUNCTION("""COMPUTED_VALUE"""),"South")</f>
        <v>South</v>
      </c>
      <c r="G117" s="49" t="str">
        <f>IFERROR(__xludf.DUMMYFUNCTION("""COMPUTED_VALUE"""),"Hammer Arctic Vibe 15 lb")</f>
        <v>Hammer Arctic Vibe 15 lb</v>
      </c>
      <c r="H117" s="52"/>
      <c r="I117" s="49"/>
      <c r="J117" s="51">
        <f>IFERROR(__xludf.DUMMYFUNCTION("""COMPUTED_VALUE"""),46041.0)</f>
        <v>46041</v>
      </c>
      <c r="K117" s="52"/>
      <c r="L117" s="49" t="str">
        <f>IFERROR(__xludf.DUMMYFUNCTION("""COMPUTED_VALUE"""),"B Supply")</f>
        <v>B Supply</v>
      </c>
      <c r="M117" s="49">
        <f>IFERROR(__xludf.DUMMYFUNCTION("""COMPUTED_VALUE"""),515661.0)</f>
        <v>515661</v>
      </c>
      <c r="N117" s="53">
        <f>IFERROR(__xludf.DUMMYFUNCTION("""COMPUTED_VALUE"""),95.62)</f>
        <v>95.62</v>
      </c>
      <c r="O117" s="54">
        <f>IFERROR(__xludf.DUMMYFUNCTION("""COMPUTED_VALUE"""),660652.0)</f>
        <v>660652</v>
      </c>
      <c r="P117" s="49" t="str">
        <f>IFERROR(__xludf.DUMMYFUNCTION("""COMPUTED_VALUE"""),"na")</f>
        <v>na</v>
      </c>
      <c r="Q117" s="49" t="str">
        <f>IFERROR(__xludf.DUMMYFUNCTION("""COMPUTED_VALUE"""),"na")</f>
        <v>na</v>
      </c>
      <c r="R117" s="49"/>
      <c r="S117" s="49"/>
      <c r="T117" s="49"/>
      <c r="U117" s="49"/>
      <c r="V117" s="49"/>
      <c r="W117" s="49"/>
      <c r="X117" s="49"/>
      <c r="Y117" s="49"/>
      <c r="Z117" s="49"/>
    </row>
    <row r="118">
      <c r="A118" s="49" t="str">
        <f>IFERROR(__xludf.DUMMYFUNCTION("""COMPUTED_VALUE"""),"---")</f>
        <v>---</v>
      </c>
      <c r="B118" s="49" t="str">
        <f>IFERROR(__xludf.DUMMYFUNCTION("""COMPUTED_VALUE"""),"---")</f>
        <v>---</v>
      </c>
      <c r="C118" s="50" t="str">
        <f>IFERROR(__xludf.DUMMYFUNCTION("""COMPUTED_VALUE"""),"Dev Telford")</f>
        <v>Dev Telford</v>
      </c>
      <c r="D118" s="49"/>
      <c r="E118" s="49" t="str">
        <f>IFERROR(__xludf.DUMMYFUNCTION("""COMPUTED_VALUE"""),"Valley")</f>
        <v>Valley</v>
      </c>
      <c r="F118" s="49" t="str">
        <f>IFERROR(__xludf.DUMMYFUNCTION("""COMPUTED_VALUE"""),"Valley")</f>
        <v>Valley</v>
      </c>
      <c r="G118" s="49" t="str">
        <f>IFERROR(__xludf.DUMMYFUNCTION("""COMPUTED_VALUE"""),"Hammer Hammerhead Pearl 15 lb")</f>
        <v>Hammer Hammerhead Pearl 15 lb</v>
      </c>
      <c r="H118" s="52"/>
      <c r="I118" s="49"/>
      <c r="J118" s="51">
        <f>IFERROR(__xludf.DUMMYFUNCTION("""COMPUTED_VALUE"""),46041.0)</f>
        <v>46041</v>
      </c>
      <c r="K118" s="52"/>
      <c r="L118" s="49" t="str">
        <f>IFERROR(__xludf.DUMMYFUNCTION("""COMPUTED_VALUE"""),"B Supply")</f>
        <v>B Supply</v>
      </c>
      <c r="M118" s="49">
        <f>IFERROR(__xludf.DUMMYFUNCTION("""COMPUTED_VALUE"""),515661.0)</f>
        <v>515661</v>
      </c>
      <c r="N118" s="53">
        <f>IFERROR(__xludf.DUMMYFUNCTION("""COMPUTED_VALUE"""),113.91)</f>
        <v>113.91</v>
      </c>
      <c r="O118" s="54">
        <f>IFERROR(__xludf.DUMMYFUNCTION("""COMPUTED_VALUE"""),660652.0)</f>
        <v>660652</v>
      </c>
      <c r="P118" s="49" t="str">
        <f>IFERROR(__xludf.DUMMYFUNCTION("""COMPUTED_VALUE"""),"Y")</f>
        <v>Y</v>
      </c>
      <c r="Q118" s="49" t="str">
        <f>IFERROR(__xludf.DUMMYFUNCTION("""COMPUTED_VALUE"""),"Y")</f>
        <v>Y</v>
      </c>
      <c r="R118" s="49"/>
      <c r="S118" s="49"/>
      <c r="T118" s="49"/>
      <c r="U118" s="49"/>
      <c r="V118" s="49"/>
      <c r="W118" s="49"/>
      <c r="X118" s="49"/>
      <c r="Y118" s="49"/>
      <c r="Z118" s="49"/>
    </row>
    <row r="119">
      <c r="A119" s="49" t="str">
        <f>IFERROR(__xludf.DUMMYFUNCTION("""COMPUTED_VALUE"""),"---")</f>
        <v>---</v>
      </c>
      <c r="B119" s="49" t="str">
        <f>IFERROR(__xludf.DUMMYFUNCTION("""COMPUTED_VALUE"""),"---")</f>
        <v>---</v>
      </c>
      <c r="C119" s="50" t="str">
        <f>IFERROR(__xludf.DUMMYFUNCTION("""COMPUTED_VALUE"""),"Dev Telford")</f>
        <v>Dev Telford</v>
      </c>
      <c r="D119" s="49"/>
      <c r="E119" s="49" t="str">
        <f>IFERROR(__xludf.DUMMYFUNCTION("""COMPUTED_VALUE"""),"Valley")</f>
        <v>Valley</v>
      </c>
      <c r="F119" s="49" t="str">
        <f>IFERROR(__xludf.DUMMYFUNCTION("""COMPUTED_VALUE"""),"Valley")</f>
        <v>Valley</v>
      </c>
      <c r="G119" s="49" t="str">
        <f>IFERROR(__xludf.DUMMYFUNCTION("""COMPUTED_VALUE"""),"Hammer Axe Purple Smoke 15 lb")</f>
        <v>Hammer Axe Purple Smoke 15 lb</v>
      </c>
      <c r="H119" s="52"/>
      <c r="I119" s="49"/>
      <c r="J119" s="51">
        <f>IFERROR(__xludf.DUMMYFUNCTION("""COMPUTED_VALUE"""),46041.0)</f>
        <v>46041</v>
      </c>
      <c r="K119" s="52"/>
      <c r="L119" s="49" t="str">
        <f>IFERROR(__xludf.DUMMYFUNCTION("""COMPUTED_VALUE"""),"B Supply")</f>
        <v>B Supply</v>
      </c>
      <c r="M119" s="49">
        <f>IFERROR(__xludf.DUMMYFUNCTION("""COMPUTED_VALUE"""),515661.0)</f>
        <v>515661</v>
      </c>
      <c r="N119" s="53">
        <f>IFERROR(__xludf.DUMMYFUNCTION("""COMPUTED_VALUE"""),62.75)</f>
        <v>62.75</v>
      </c>
      <c r="O119" s="54">
        <f>IFERROR(__xludf.DUMMYFUNCTION("""COMPUTED_VALUE"""),660652.0)</f>
        <v>660652</v>
      </c>
      <c r="P119" s="49" t="str">
        <f>IFERROR(__xludf.DUMMYFUNCTION("""COMPUTED_VALUE"""),"Y")</f>
        <v>Y</v>
      </c>
      <c r="Q119" s="49" t="str">
        <f>IFERROR(__xludf.DUMMYFUNCTION("""COMPUTED_VALUE"""),"Y")</f>
        <v>Y</v>
      </c>
      <c r="R119" s="49"/>
      <c r="S119" s="49"/>
      <c r="T119" s="49"/>
      <c r="U119" s="49"/>
      <c r="V119" s="49"/>
      <c r="W119" s="49"/>
      <c r="X119" s="49"/>
      <c r="Y119" s="49"/>
      <c r="Z119" s="49"/>
    </row>
    <row r="120">
      <c r="A120" s="49" t="str">
        <f>IFERROR(__xludf.DUMMYFUNCTION("""COMPUTED_VALUE"""),"---")</f>
        <v>---</v>
      </c>
      <c r="B120" s="49" t="str">
        <f>IFERROR(__xludf.DUMMYFUNCTION("""COMPUTED_VALUE"""),"---")</f>
        <v>---</v>
      </c>
      <c r="C120" s="50" t="str">
        <f>IFERROR(__xludf.DUMMYFUNCTION("""COMPUTED_VALUE"""),"Stock")</f>
        <v>Stock</v>
      </c>
      <c r="D120" s="49"/>
      <c r="E120" s="49" t="str">
        <f>IFERROR(__xludf.DUMMYFUNCTION("""COMPUTED_VALUE"""),"Valley")</f>
        <v>Valley</v>
      </c>
      <c r="F120" s="49" t="str">
        <f>IFERROR(__xludf.DUMMYFUNCTION("""COMPUTED_VALUE"""),"Valley")</f>
        <v>Valley</v>
      </c>
      <c r="G120" s="49" t="str">
        <f>IFERROR(__xludf.DUMMYFUNCTION("""COMPUTED_VALUE"""),"Storm Phaze II 15 lb")</f>
        <v>Storm Phaze II 15 lb</v>
      </c>
      <c r="H120" s="52"/>
      <c r="I120" s="49"/>
      <c r="J120" s="51">
        <f>IFERROR(__xludf.DUMMYFUNCTION("""COMPUTED_VALUE"""),46041.0)</f>
        <v>46041</v>
      </c>
      <c r="K120" s="52"/>
      <c r="L120" s="49" t="str">
        <f>IFERROR(__xludf.DUMMYFUNCTION("""COMPUTED_VALUE"""),"B Supply")</f>
        <v>B Supply</v>
      </c>
      <c r="M120" s="49">
        <f>IFERROR(__xludf.DUMMYFUNCTION("""COMPUTED_VALUE"""),515661.0)</f>
        <v>515661</v>
      </c>
      <c r="N120" s="53">
        <f>IFERROR(__xludf.DUMMYFUNCTION("""COMPUTED_VALUE"""),144.35)</f>
        <v>144.35</v>
      </c>
      <c r="O120" s="54">
        <f>IFERROR(__xludf.DUMMYFUNCTION("""COMPUTED_VALUE"""),660652.0)</f>
        <v>660652</v>
      </c>
      <c r="P120" s="49" t="str">
        <f>IFERROR(__xludf.DUMMYFUNCTION("""COMPUTED_VALUE"""),"na")</f>
        <v>na</v>
      </c>
      <c r="Q120" s="49" t="str">
        <f>IFERROR(__xludf.DUMMYFUNCTION("""COMPUTED_VALUE"""),"na")</f>
        <v>na</v>
      </c>
      <c r="R120" s="49"/>
      <c r="S120" s="49"/>
      <c r="T120" s="49"/>
      <c r="U120" s="49"/>
      <c r="V120" s="49"/>
      <c r="W120" s="49"/>
      <c r="X120" s="49"/>
      <c r="Y120" s="49"/>
      <c r="Z120" s="49"/>
    </row>
    <row r="121">
      <c r="A121" s="49" t="str">
        <f>IFERROR(__xludf.DUMMYFUNCTION("""COMPUTED_VALUE"""),"---")</f>
        <v>---</v>
      </c>
      <c r="B121" s="49" t="str">
        <f>IFERROR(__xludf.DUMMYFUNCTION("""COMPUTED_VALUE"""),"---")</f>
        <v>---</v>
      </c>
      <c r="C121" s="50" t="str">
        <f>IFERROR(__xludf.DUMMYFUNCTION("""COMPUTED_VALUE"""),"Mary Jo Ricci")</f>
        <v>Mary Jo Ricci</v>
      </c>
      <c r="D121" s="49"/>
      <c r="E121" s="49" t="str">
        <f>IFERROR(__xludf.DUMMYFUNCTION("""COMPUTED_VALUE"""),"Valley")</f>
        <v>Valley</v>
      </c>
      <c r="F121" s="49" t="str">
        <f>IFERROR(__xludf.DUMMYFUNCTION("""COMPUTED_VALUE"""),"Valley")</f>
        <v>Valley</v>
      </c>
      <c r="G121" s="49" t="str">
        <f>IFERROR(__xludf.DUMMYFUNCTION("""COMPUTED_VALUE"""),"Brunswick Strikezone White/Teal size 3")</f>
        <v>Brunswick Strikezone White/Teal size 3</v>
      </c>
      <c r="H121" s="52"/>
      <c r="I121" s="49"/>
      <c r="J121" s="51">
        <f>IFERROR(__xludf.DUMMYFUNCTION("""COMPUTED_VALUE"""),46043.0)</f>
        <v>46043</v>
      </c>
      <c r="K121" s="52"/>
      <c r="L121" s="49" t="str">
        <f>IFERROR(__xludf.DUMMYFUNCTION("""COMPUTED_VALUE"""),"B Supply")</f>
        <v>B Supply</v>
      </c>
      <c r="M121" s="49">
        <f>IFERROR(__xludf.DUMMYFUNCTION("""COMPUTED_VALUE"""),516244.0)</f>
        <v>516244</v>
      </c>
      <c r="N121" s="53">
        <f>IFERROR(__xludf.DUMMYFUNCTION("""COMPUTED_VALUE"""),34.87)</f>
        <v>34.87</v>
      </c>
      <c r="O121" s="54">
        <f>IFERROR(__xludf.DUMMYFUNCTION("""COMPUTED_VALUE"""),661398.0)</f>
        <v>661398</v>
      </c>
      <c r="P121" s="49" t="str">
        <f>IFERROR(__xludf.DUMMYFUNCTION("""COMPUTED_VALUE"""),"na")</f>
        <v>na</v>
      </c>
      <c r="Q121" s="49" t="str">
        <f>IFERROR(__xludf.DUMMYFUNCTION("""COMPUTED_VALUE"""),"na")</f>
        <v>na</v>
      </c>
      <c r="R121" s="49"/>
      <c r="S121" s="49"/>
      <c r="T121" s="49"/>
      <c r="U121" s="49"/>
      <c r="V121" s="49"/>
      <c r="W121" s="49"/>
      <c r="X121" s="49"/>
      <c r="Y121" s="49"/>
      <c r="Z121" s="49"/>
    </row>
    <row r="122">
      <c r="A122" s="49" t="str">
        <f>IFERROR(__xludf.DUMMYFUNCTION("""COMPUTED_VALUE"""),"---")</f>
        <v>---</v>
      </c>
      <c r="B122" s="49" t="str">
        <f>IFERROR(__xludf.DUMMYFUNCTION("""COMPUTED_VALUE"""),"---")</f>
        <v>---</v>
      </c>
      <c r="C122" s="50" t="str">
        <f>IFERROR(__xludf.DUMMYFUNCTION("""COMPUTED_VALUE"""),"Justin Schiavone")</f>
        <v>Justin Schiavone</v>
      </c>
      <c r="D122" s="49"/>
      <c r="E122" s="49" t="str">
        <f>IFERROR(__xludf.DUMMYFUNCTION("""COMPUTED_VALUE"""),"Valley")</f>
        <v>Valley</v>
      </c>
      <c r="F122" s="49" t="str">
        <f>IFERROR(__xludf.DUMMYFUNCTION("""COMPUTED_VALUE"""),"Valley")</f>
        <v>Valley</v>
      </c>
      <c r="G122" s="49" t="str">
        <f>IFERROR(__xludf.DUMMYFUNCTION("""COMPUTED_VALUE"""),"Brunswick Danger Zone Solid - 14 lb")</f>
        <v>Brunswick Danger Zone Solid - 14 lb</v>
      </c>
      <c r="H122" s="52"/>
      <c r="I122" s="49"/>
      <c r="J122" s="51">
        <f>IFERROR(__xludf.DUMMYFUNCTION("""COMPUTED_VALUE"""),46043.0)</f>
        <v>46043</v>
      </c>
      <c r="K122" s="52"/>
      <c r="L122" s="49" t="str">
        <f>IFERROR(__xludf.DUMMYFUNCTION("""COMPUTED_VALUE"""),"B Supply")</f>
        <v>B Supply</v>
      </c>
      <c r="M122" s="49">
        <f>IFERROR(__xludf.DUMMYFUNCTION("""COMPUTED_VALUE"""),516244.0)</f>
        <v>516244</v>
      </c>
      <c r="N122" s="53">
        <f>IFERROR(__xludf.DUMMYFUNCTION("""COMPUTED_VALUE"""),99.28)</f>
        <v>99.28</v>
      </c>
      <c r="O122" s="54">
        <f>IFERROR(__xludf.DUMMYFUNCTION("""COMPUTED_VALUE"""),661398.0)</f>
        <v>661398</v>
      </c>
      <c r="P122" s="49" t="str">
        <f>IFERROR(__xludf.DUMMYFUNCTION("""COMPUTED_VALUE"""),"Y")</f>
        <v>Y</v>
      </c>
      <c r="Q122" s="49" t="str">
        <f>IFERROR(__xludf.DUMMYFUNCTION("""COMPUTED_VALUE"""),"Y")</f>
        <v>Y</v>
      </c>
      <c r="R122" s="49"/>
      <c r="S122" s="49"/>
      <c r="T122" s="49"/>
      <c r="U122" s="49"/>
      <c r="V122" s="49"/>
      <c r="W122" s="49"/>
      <c r="X122" s="49"/>
      <c r="Y122" s="49"/>
      <c r="Z122" s="49"/>
    </row>
    <row r="123">
      <c r="A123" s="49" t="str">
        <f>IFERROR(__xludf.DUMMYFUNCTION("""COMPUTED_VALUE"""),"---")</f>
        <v>---</v>
      </c>
      <c r="B123" s="49" t="str">
        <f>IFERROR(__xludf.DUMMYFUNCTION("""COMPUTED_VALUE"""),"---")</f>
        <v>---</v>
      </c>
      <c r="C123" s="50" t="str">
        <f>IFERROR(__xludf.DUMMYFUNCTION("""COMPUTED_VALUE"""),"Stock")</f>
        <v>Stock</v>
      </c>
      <c r="D123" s="49"/>
      <c r="E123" s="49" t="str">
        <f>IFERROR(__xludf.DUMMYFUNCTION("""COMPUTED_VALUE"""),"Valley")</f>
        <v>Valley</v>
      </c>
      <c r="F123" s="49" t="str">
        <f>IFERROR(__xludf.DUMMYFUNCTION("""COMPUTED_VALUE"""),"Valley")</f>
        <v>Valley</v>
      </c>
      <c r="G123" s="49" t="str">
        <f>IFERROR(__xludf.DUMMYFUNCTION("""COMPUTED_VALUE"""),"Brunswick Danger Zone Solid 15 lb")</f>
        <v>Brunswick Danger Zone Solid 15 lb</v>
      </c>
      <c r="H123" s="52"/>
      <c r="I123" s="49"/>
      <c r="J123" s="51">
        <f>IFERROR(__xludf.DUMMYFUNCTION("""COMPUTED_VALUE"""),46043.0)</f>
        <v>46043</v>
      </c>
      <c r="K123" s="52"/>
      <c r="L123" s="49" t="str">
        <f>IFERROR(__xludf.DUMMYFUNCTION("""COMPUTED_VALUE"""),"B Supply")</f>
        <v>B Supply</v>
      </c>
      <c r="M123" s="49">
        <f>IFERROR(__xludf.DUMMYFUNCTION("""COMPUTED_VALUE"""),516244.0)</f>
        <v>516244</v>
      </c>
      <c r="N123" s="53">
        <f>IFERROR(__xludf.DUMMYFUNCTION("""COMPUTED_VALUE"""),99.28)</f>
        <v>99.28</v>
      </c>
      <c r="O123" s="54">
        <f>IFERROR(__xludf.DUMMYFUNCTION("""COMPUTED_VALUE"""),661398.0)</f>
        <v>661398</v>
      </c>
      <c r="P123" s="49" t="str">
        <f>IFERROR(__xludf.DUMMYFUNCTION("""COMPUTED_VALUE"""),"na")</f>
        <v>na</v>
      </c>
      <c r="Q123" s="49" t="str">
        <f>IFERROR(__xludf.DUMMYFUNCTION("""COMPUTED_VALUE"""),"na")</f>
        <v>na</v>
      </c>
      <c r="R123" s="49"/>
      <c r="S123" s="49"/>
      <c r="T123" s="49"/>
      <c r="U123" s="49"/>
      <c r="V123" s="49"/>
      <c r="W123" s="49"/>
      <c r="X123" s="49"/>
      <c r="Y123" s="49"/>
      <c r="Z123" s="49"/>
    </row>
    <row r="124">
      <c r="A124" s="49" t="str">
        <f>IFERROR(__xludf.DUMMYFUNCTION("""COMPUTED_VALUE"""),"---")</f>
        <v>---</v>
      </c>
      <c r="B124" s="49" t="str">
        <f>IFERROR(__xludf.DUMMYFUNCTION("""COMPUTED_VALUE"""),"---")</f>
        <v>---</v>
      </c>
      <c r="C124" s="50" t="str">
        <f>IFERROR(__xludf.DUMMYFUNCTION("""COMPUTED_VALUE"""),"Derek Benson")</f>
        <v>Derek Benson</v>
      </c>
      <c r="D124" s="49"/>
      <c r="E124" s="49" t="str">
        <f>IFERROR(__xludf.DUMMYFUNCTION("""COMPUTED_VALUE"""),"Valley")</f>
        <v>Valley</v>
      </c>
      <c r="F124" s="49" t="str">
        <f>IFERROR(__xludf.DUMMYFUNCTION("""COMPUTED_VALUE"""),"Valley")</f>
        <v>Valley</v>
      </c>
      <c r="G124" s="49" t="str">
        <f>IFERROR(__xludf.DUMMYFUNCTION("""COMPUTED_VALUE"""),"Brunswick Crown Victory 15 lb")</f>
        <v>Brunswick Crown Victory 15 lb</v>
      </c>
      <c r="H124" s="52"/>
      <c r="I124" s="49"/>
      <c r="J124" s="51">
        <f>IFERROR(__xludf.DUMMYFUNCTION("""COMPUTED_VALUE"""),46043.0)</f>
        <v>46043</v>
      </c>
      <c r="K124" s="52"/>
      <c r="L124" s="49" t="str">
        <f>IFERROR(__xludf.DUMMYFUNCTION("""COMPUTED_VALUE"""),"B Supply")</f>
        <v>B Supply</v>
      </c>
      <c r="M124" s="49">
        <f>IFERROR(__xludf.DUMMYFUNCTION("""COMPUTED_VALUE"""),516244.0)</f>
        <v>516244</v>
      </c>
      <c r="N124" s="53">
        <f>IFERROR(__xludf.DUMMYFUNCTION("""COMPUTED_VALUE"""),113.91)</f>
        <v>113.91</v>
      </c>
      <c r="O124" s="54">
        <f>IFERROR(__xludf.DUMMYFUNCTION("""COMPUTED_VALUE"""),661398.0)</f>
        <v>661398</v>
      </c>
      <c r="P124" s="49" t="str">
        <f>IFERROR(__xludf.DUMMYFUNCTION("""COMPUTED_VALUE"""),"Y")</f>
        <v>Y</v>
      </c>
      <c r="Q124" s="49" t="str">
        <f>IFERROR(__xludf.DUMMYFUNCTION("""COMPUTED_VALUE"""),"Y")</f>
        <v>Y</v>
      </c>
      <c r="R124" s="49"/>
      <c r="S124" s="49"/>
      <c r="T124" s="49"/>
      <c r="U124" s="49"/>
      <c r="V124" s="49"/>
      <c r="W124" s="49"/>
      <c r="X124" s="49"/>
      <c r="Y124" s="49"/>
      <c r="Z124" s="49"/>
    </row>
    <row r="125">
      <c r="A125" s="49" t="str">
        <f>IFERROR(__xludf.DUMMYFUNCTION("""COMPUTED_VALUE"""),"---")</f>
        <v>---</v>
      </c>
      <c r="B125" s="49" t="str">
        <f>IFERROR(__xludf.DUMMYFUNCTION("""COMPUTED_VALUE"""),"---")</f>
        <v>---</v>
      </c>
      <c r="C125" s="50" t="str">
        <f>IFERROR(__xludf.DUMMYFUNCTION("""COMPUTED_VALUE"""),"Kyle defina")</f>
        <v>Kyle defina</v>
      </c>
      <c r="D125" s="49">
        <f>IFERROR(__xludf.DUMMYFUNCTION("""COMPUTED_VALUE"""),5.704365033E9)</f>
        <v>5704365033</v>
      </c>
      <c r="E125" s="49" t="str">
        <f>IFERROR(__xludf.DUMMYFUNCTION("""COMPUTED_VALUE"""),"South")</f>
        <v>South</v>
      </c>
      <c r="F125" s="49" t="str">
        <f>IFERROR(__xludf.DUMMYFUNCTION("""COMPUTED_VALUE"""),"South")</f>
        <v>South</v>
      </c>
      <c r="G125" s="49" t="str">
        <f>IFERROR(__xludf.DUMMYFUNCTION("""COMPUTED_VALUE"""),"Dexter kam camo size 13")</f>
        <v>Dexter kam camo size 13</v>
      </c>
      <c r="H125" s="52"/>
      <c r="I125" s="49"/>
      <c r="J125" s="51">
        <f>IFERROR(__xludf.DUMMYFUNCTION("""COMPUTED_VALUE"""),46043.0)</f>
        <v>46043</v>
      </c>
      <c r="K125" s="52"/>
      <c r="L125" s="49" t="str">
        <f>IFERROR(__xludf.DUMMYFUNCTION("""COMPUTED_VALUE"""),"B Supply")</f>
        <v>B Supply</v>
      </c>
      <c r="M125" s="49">
        <f>IFERROR(__xludf.DUMMYFUNCTION("""COMPUTED_VALUE"""),516244.0)</f>
        <v>516244</v>
      </c>
      <c r="N125" s="53">
        <f>IFERROR(__xludf.DUMMYFUNCTION("""COMPUTED_VALUE"""),49.4)</f>
        <v>49.4</v>
      </c>
      <c r="O125" s="54">
        <f>IFERROR(__xludf.DUMMYFUNCTION("""COMPUTED_VALUE"""),661398.0)</f>
        <v>661398</v>
      </c>
      <c r="P125" s="49" t="str">
        <f>IFERROR(__xludf.DUMMYFUNCTION("""COMPUTED_VALUE"""),"Y")</f>
        <v>Y</v>
      </c>
      <c r="Q125" s="49" t="str">
        <f>IFERROR(__xludf.DUMMYFUNCTION("""COMPUTED_VALUE"""),"Y")</f>
        <v>Y</v>
      </c>
      <c r="R125" s="49"/>
      <c r="S125" s="49"/>
      <c r="T125" s="49"/>
      <c r="U125" s="49"/>
      <c r="V125" s="49"/>
      <c r="W125" s="49"/>
      <c r="X125" s="49"/>
      <c r="Y125" s="49"/>
      <c r="Z125" s="49"/>
    </row>
    <row r="126">
      <c r="A126" s="49" t="str">
        <f>IFERROR(__xludf.DUMMYFUNCTION("""COMPUTED_VALUE"""),"---")</f>
        <v>---</v>
      </c>
      <c r="B126" s="49" t="str">
        <f>IFERROR(__xludf.DUMMYFUNCTION("""COMPUTED_VALUE"""),"---")</f>
        <v>---</v>
      </c>
      <c r="C126" s="50" t="str">
        <f>IFERROR(__xludf.DUMMYFUNCTION("""COMPUTED_VALUE"""),"Gary Ladomirak")</f>
        <v>Gary Ladomirak</v>
      </c>
      <c r="D126" s="49"/>
      <c r="E126" s="49" t="str">
        <f>IFERROR(__xludf.DUMMYFUNCTION("""COMPUTED_VALUE"""),"South")</f>
        <v>South</v>
      </c>
      <c r="F126" s="49" t="str">
        <f>IFERROR(__xludf.DUMMYFUNCTION("""COMPUTED_VALUE"""),"South")</f>
        <v>South</v>
      </c>
      <c r="G126" s="49" t="str">
        <f>IFERROR(__xludf.DUMMYFUNCTION("""COMPUTED_VALUE"""),"Storm Ion Pro Solid 15 lb")</f>
        <v>Storm Ion Pro Solid 15 lb</v>
      </c>
      <c r="H126" s="52"/>
      <c r="I126" s="49"/>
      <c r="J126" s="51">
        <f>IFERROR(__xludf.DUMMYFUNCTION("""COMPUTED_VALUE"""),46043.0)</f>
        <v>46043</v>
      </c>
      <c r="K126" s="52"/>
      <c r="L126" s="49" t="str">
        <f>IFERROR(__xludf.DUMMYFUNCTION("""COMPUTED_VALUE"""),"B Supply")</f>
        <v>B Supply</v>
      </c>
      <c r="M126" s="49">
        <f>IFERROR(__xludf.DUMMYFUNCTION("""COMPUTED_VALUE"""),516244.0)</f>
        <v>516244</v>
      </c>
      <c r="N126" s="53">
        <f>IFERROR(__xludf.DUMMYFUNCTION("""COMPUTED_VALUE"""),160.17)</f>
        <v>160.17</v>
      </c>
      <c r="O126" s="54">
        <f>IFERROR(__xludf.DUMMYFUNCTION("""COMPUTED_VALUE"""),661398.0)</f>
        <v>661398</v>
      </c>
      <c r="P126" s="49" t="str">
        <f>IFERROR(__xludf.DUMMYFUNCTION("""COMPUTED_VALUE"""),"Y")</f>
        <v>Y</v>
      </c>
      <c r="Q126" s="49" t="str">
        <f>IFERROR(__xludf.DUMMYFUNCTION("""COMPUTED_VALUE"""),"Y")</f>
        <v>Y</v>
      </c>
      <c r="R126" s="49"/>
      <c r="S126" s="49"/>
      <c r="T126" s="49"/>
      <c r="U126" s="49"/>
      <c r="V126" s="49"/>
      <c r="W126" s="49"/>
      <c r="X126" s="49"/>
      <c r="Y126" s="49"/>
      <c r="Z126" s="49"/>
    </row>
    <row r="127">
      <c r="A127" s="49" t="str">
        <f>IFERROR(__xludf.DUMMYFUNCTION("""COMPUTED_VALUE"""),"---")</f>
        <v>---</v>
      </c>
      <c r="B127" s="49" t="str">
        <f>IFERROR(__xludf.DUMMYFUNCTION("""COMPUTED_VALUE"""),"---")</f>
        <v>---</v>
      </c>
      <c r="C127" s="50" t="str">
        <f>IFERROR(__xludf.DUMMYFUNCTION("""COMPUTED_VALUE"""),"Cheo Samad")</f>
        <v>Cheo Samad</v>
      </c>
      <c r="D127" s="49"/>
      <c r="E127" s="49" t="str">
        <f>IFERROR(__xludf.DUMMYFUNCTION("""COMPUTED_VALUE"""),"South")</f>
        <v>South</v>
      </c>
      <c r="F127" s="49" t="str">
        <f>IFERROR(__xludf.DUMMYFUNCTION("""COMPUTED_VALUE"""),"South")</f>
        <v>South</v>
      </c>
      <c r="G127" s="49" t="str">
        <f>IFERROR(__xludf.DUMMYFUNCTION("""COMPUTED_VALUE"""),"Hammer Arctic Vibe 14lb")</f>
        <v>Hammer Arctic Vibe 14lb</v>
      </c>
      <c r="H127" s="52"/>
      <c r="I127" s="49"/>
      <c r="J127" s="51">
        <f>IFERROR(__xludf.DUMMYFUNCTION("""COMPUTED_VALUE"""),46043.0)</f>
        <v>46043</v>
      </c>
      <c r="K127" s="52"/>
      <c r="L127" s="49" t="str">
        <f>IFERROR(__xludf.DUMMYFUNCTION("""COMPUTED_VALUE"""),"B Supply")</f>
        <v>B Supply</v>
      </c>
      <c r="M127" s="49">
        <f>IFERROR(__xludf.DUMMYFUNCTION("""COMPUTED_VALUE"""),516244.0)</f>
        <v>516244</v>
      </c>
      <c r="N127" s="53">
        <f>IFERROR(__xludf.DUMMYFUNCTION("""COMPUTED_VALUE"""),95.62)</f>
        <v>95.62</v>
      </c>
      <c r="O127" s="54">
        <f>IFERROR(__xludf.DUMMYFUNCTION("""COMPUTED_VALUE"""),661398.0)</f>
        <v>661398</v>
      </c>
      <c r="P127" s="49" t="str">
        <f>IFERROR(__xludf.DUMMYFUNCTION("""COMPUTED_VALUE"""),"Y")</f>
        <v>Y</v>
      </c>
      <c r="Q127" s="49" t="str">
        <f>IFERROR(__xludf.DUMMYFUNCTION("""COMPUTED_VALUE"""),"Y")</f>
        <v>Y</v>
      </c>
      <c r="R127" s="49"/>
      <c r="S127" s="49"/>
      <c r="T127" s="49"/>
      <c r="U127" s="49"/>
      <c r="V127" s="49"/>
      <c r="W127" s="49"/>
      <c r="X127" s="49"/>
      <c r="Y127" s="49"/>
      <c r="Z127" s="49"/>
    </row>
    <row r="128">
      <c r="A128" s="49" t="str">
        <f>IFERROR(__xludf.DUMMYFUNCTION("""COMPUTED_VALUE"""),"---")</f>
        <v>---</v>
      </c>
      <c r="B128" s="49" t="str">
        <f>IFERROR(__xludf.DUMMYFUNCTION("""COMPUTED_VALUE"""),"---")</f>
        <v>---</v>
      </c>
      <c r="C128" s="50" t="str">
        <f>IFERROR(__xludf.DUMMYFUNCTION("""COMPUTED_VALUE"""),"Chris Brink")</f>
        <v>Chris Brink</v>
      </c>
      <c r="D128" s="49"/>
      <c r="E128" s="49" t="str">
        <f>IFERROR(__xludf.DUMMYFUNCTION("""COMPUTED_VALUE"""),"South")</f>
        <v>South</v>
      </c>
      <c r="F128" s="49" t="str">
        <f>IFERROR(__xludf.DUMMYFUNCTION("""COMPUTED_VALUE"""),"South")</f>
        <v>South</v>
      </c>
      <c r="G128" s="49" t="str">
        <f>IFERROR(__xludf.DUMMYFUNCTION("""COMPUTED_VALUE"""),"Hammer Arctic Vibe 12 lb")</f>
        <v>Hammer Arctic Vibe 12 lb</v>
      </c>
      <c r="H128" s="52"/>
      <c r="I128" s="49"/>
      <c r="J128" s="51">
        <f>IFERROR(__xludf.DUMMYFUNCTION("""COMPUTED_VALUE"""),46043.0)</f>
        <v>46043</v>
      </c>
      <c r="K128" s="52"/>
      <c r="L128" s="49" t="str">
        <f>IFERROR(__xludf.DUMMYFUNCTION("""COMPUTED_VALUE"""),"B Supply")</f>
        <v>B Supply</v>
      </c>
      <c r="M128" s="49">
        <f>IFERROR(__xludf.DUMMYFUNCTION("""COMPUTED_VALUE"""),516244.0)</f>
        <v>516244</v>
      </c>
      <c r="N128" s="53">
        <f>IFERROR(__xludf.DUMMYFUNCTION("""COMPUTED_VALUE"""),95.62)</f>
        <v>95.62</v>
      </c>
      <c r="O128" s="54">
        <f>IFERROR(__xludf.DUMMYFUNCTION("""COMPUTED_VALUE"""),661398.0)</f>
        <v>661398</v>
      </c>
      <c r="P128" s="49" t="str">
        <f>IFERROR(__xludf.DUMMYFUNCTION("""COMPUTED_VALUE"""),"Y")</f>
        <v>Y</v>
      </c>
      <c r="Q128" s="49" t="str">
        <f>IFERROR(__xludf.DUMMYFUNCTION("""COMPUTED_VALUE"""),"Y")</f>
        <v>Y</v>
      </c>
      <c r="R128" s="49"/>
      <c r="S128" s="49"/>
      <c r="T128" s="49"/>
      <c r="U128" s="49"/>
      <c r="V128" s="49"/>
      <c r="W128" s="49"/>
      <c r="X128" s="49"/>
      <c r="Y128" s="49"/>
      <c r="Z128" s="49"/>
    </row>
    <row r="129">
      <c r="A129" s="49" t="str">
        <f>IFERROR(__xludf.DUMMYFUNCTION("""COMPUTED_VALUE"""),"---")</f>
        <v>---</v>
      </c>
      <c r="B129" s="49" t="str">
        <f>IFERROR(__xludf.DUMMYFUNCTION("""COMPUTED_VALUE"""),"---")</f>
        <v>---</v>
      </c>
      <c r="C129" s="50" t="str">
        <f>IFERROR(__xludf.DUMMYFUNCTION("""COMPUTED_VALUE"""),"Stock")</f>
        <v>Stock</v>
      </c>
      <c r="D129" s="49"/>
      <c r="E129" s="49" t="str">
        <f>IFERROR(__xludf.DUMMYFUNCTION("""COMPUTED_VALUE"""),"South")</f>
        <v>South</v>
      </c>
      <c r="F129" s="49" t="str">
        <f>IFERROR(__xludf.DUMMYFUNCTION("""COMPUTED_VALUE"""),"South")</f>
        <v>South</v>
      </c>
      <c r="G129" s="49" t="str">
        <f>IFERROR(__xludf.DUMMYFUNCTION("""COMPUTED_VALUE"""),"Hammer Zero Mercy Peal 15 lb")</f>
        <v>Hammer Zero Mercy Peal 15 lb</v>
      </c>
      <c r="H129" s="52"/>
      <c r="I129" s="49"/>
      <c r="J129" s="51">
        <f>IFERROR(__xludf.DUMMYFUNCTION("""COMPUTED_VALUE"""),46043.0)</f>
        <v>46043</v>
      </c>
      <c r="K129" s="52"/>
      <c r="L129" s="49" t="str">
        <f>IFERROR(__xludf.DUMMYFUNCTION("""COMPUTED_VALUE"""),"B Supply")</f>
        <v>B Supply</v>
      </c>
      <c r="M129" s="49">
        <f>IFERROR(__xludf.DUMMYFUNCTION("""COMPUTED_VALUE"""),516244.0)</f>
        <v>516244</v>
      </c>
      <c r="N129" s="53">
        <f>IFERROR(__xludf.DUMMYFUNCTION("""COMPUTED_VALUE"""),156.51)</f>
        <v>156.51</v>
      </c>
      <c r="O129" s="54">
        <f>IFERROR(__xludf.DUMMYFUNCTION("""COMPUTED_VALUE"""),661398.0)</f>
        <v>661398</v>
      </c>
      <c r="P129" s="49" t="str">
        <f>IFERROR(__xludf.DUMMYFUNCTION("""COMPUTED_VALUE"""),"na")</f>
        <v>na</v>
      </c>
      <c r="Q129" s="49" t="str">
        <f>IFERROR(__xludf.DUMMYFUNCTION("""COMPUTED_VALUE"""),"na")</f>
        <v>na</v>
      </c>
      <c r="R129" s="49"/>
      <c r="S129" s="49"/>
      <c r="T129" s="49"/>
      <c r="U129" s="49"/>
      <c r="V129" s="49"/>
      <c r="W129" s="49"/>
      <c r="X129" s="49"/>
      <c r="Y129" s="49"/>
      <c r="Z129" s="49"/>
    </row>
    <row r="130">
      <c r="A130" s="49" t="str">
        <f>IFERROR(__xludf.DUMMYFUNCTION("""COMPUTED_VALUE"""),"---")</f>
        <v>---</v>
      </c>
      <c r="B130" s="49" t="str">
        <f>IFERROR(__xludf.DUMMYFUNCTION("""COMPUTED_VALUE"""),"---")</f>
        <v>---</v>
      </c>
      <c r="C130" s="50" t="str">
        <f>IFERROR(__xludf.DUMMYFUNCTION("""COMPUTED_VALUE"""),"Kim Smalls")</f>
        <v>Kim Smalls</v>
      </c>
      <c r="D130" s="49"/>
      <c r="E130" s="49" t="str">
        <f>IFERROR(__xludf.DUMMYFUNCTION("""COMPUTED_VALUE"""),"South")</f>
        <v>South</v>
      </c>
      <c r="F130" s="49" t="str">
        <f>IFERROR(__xludf.DUMMYFUNCTION("""COMPUTED_VALUE"""),"South")</f>
        <v>South</v>
      </c>
      <c r="G130" s="49" t="str">
        <f>IFERROR(__xludf.DUMMYFUNCTION("""COMPUTED_VALUE"""),"Hammerhead Pearl 13 lb")</f>
        <v>Hammerhead Pearl 13 lb</v>
      </c>
      <c r="H130" s="52"/>
      <c r="I130" s="49"/>
      <c r="J130" s="51">
        <f>IFERROR(__xludf.DUMMYFUNCTION("""COMPUTED_VALUE"""),46043.0)</f>
        <v>46043</v>
      </c>
      <c r="K130" s="52"/>
      <c r="L130" s="49" t="str">
        <f>IFERROR(__xludf.DUMMYFUNCTION("""COMPUTED_VALUE"""),"B Supply")</f>
        <v>B Supply</v>
      </c>
      <c r="M130" s="49">
        <f>IFERROR(__xludf.DUMMYFUNCTION("""COMPUTED_VALUE"""),516244.0)</f>
        <v>516244</v>
      </c>
      <c r="N130" s="53">
        <f>IFERROR(__xludf.DUMMYFUNCTION("""COMPUTED_VALUE"""),113.91)</f>
        <v>113.91</v>
      </c>
      <c r="O130" s="54">
        <f>IFERROR(__xludf.DUMMYFUNCTION("""COMPUTED_VALUE"""),661398.0)</f>
        <v>661398</v>
      </c>
      <c r="P130" s="49" t="str">
        <f>IFERROR(__xludf.DUMMYFUNCTION("""COMPUTED_VALUE"""),"Y")</f>
        <v>Y</v>
      </c>
      <c r="Q130" s="49" t="str">
        <f>IFERROR(__xludf.DUMMYFUNCTION("""COMPUTED_VALUE"""),"Y")</f>
        <v>Y</v>
      </c>
      <c r="R130" s="49"/>
      <c r="S130" s="49"/>
      <c r="T130" s="49"/>
      <c r="U130" s="49"/>
      <c r="V130" s="49"/>
      <c r="W130" s="49"/>
      <c r="X130" s="49"/>
      <c r="Y130" s="49"/>
      <c r="Z130" s="49"/>
    </row>
    <row r="131">
      <c r="A131" s="49" t="str">
        <f>IFERROR(__xludf.DUMMYFUNCTION("""COMPUTED_VALUE"""),"---")</f>
        <v>---</v>
      </c>
      <c r="B131" s="49" t="str">
        <f>IFERROR(__xludf.DUMMYFUNCTION("""COMPUTED_VALUE"""),"---")</f>
        <v>---</v>
      </c>
      <c r="C131" s="50" t="str">
        <f>IFERROR(__xludf.DUMMYFUNCTION("""COMPUTED_VALUE"""),"Stock")</f>
        <v>Stock</v>
      </c>
      <c r="D131" s="49"/>
      <c r="E131" s="49"/>
      <c r="F131" s="49"/>
      <c r="G131" s="49" t="str">
        <f>IFERROR(__xludf.DUMMYFUNCTION("""COMPUTED_VALUE"""),"Brunswick Big B Ball Cleaner")</f>
        <v>Brunswick Big B Ball Cleaner</v>
      </c>
      <c r="H131" s="52"/>
      <c r="I131" s="49"/>
      <c r="J131" s="51">
        <f>IFERROR(__xludf.DUMMYFUNCTION("""COMPUTED_VALUE"""),46043.0)</f>
        <v>46043</v>
      </c>
      <c r="K131" s="52"/>
      <c r="L131" s="49" t="str">
        <f>IFERROR(__xludf.DUMMYFUNCTION("""COMPUTED_VALUE"""),"B Supply")</f>
        <v>B Supply</v>
      </c>
      <c r="M131" s="49">
        <f>IFERROR(__xludf.DUMMYFUNCTION("""COMPUTED_VALUE"""),516244.0)</f>
        <v>516244</v>
      </c>
      <c r="N131" s="53">
        <f>IFERROR(__xludf.DUMMYFUNCTION("""COMPUTED_VALUE"""),5.23)</f>
        <v>5.23</v>
      </c>
      <c r="O131" s="54">
        <f>IFERROR(__xludf.DUMMYFUNCTION("""COMPUTED_VALUE"""),661398.0)</f>
        <v>661398</v>
      </c>
      <c r="P131" s="49" t="str">
        <f>IFERROR(__xludf.DUMMYFUNCTION("""COMPUTED_VALUE"""),"na")</f>
        <v>na</v>
      </c>
      <c r="Q131" s="49" t="str">
        <f>IFERROR(__xludf.DUMMYFUNCTION("""COMPUTED_VALUE"""),"na")</f>
        <v>na</v>
      </c>
      <c r="R131" s="49"/>
      <c r="S131" s="49"/>
      <c r="T131" s="49"/>
      <c r="U131" s="49"/>
      <c r="V131" s="49"/>
      <c r="W131" s="49"/>
      <c r="X131" s="49"/>
      <c r="Y131" s="49"/>
      <c r="Z131" s="49"/>
    </row>
    <row r="132">
      <c r="A132" s="49" t="str">
        <f>IFERROR(__xludf.DUMMYFUNCTION("""COMPUTED_VALUE"""),"---")</f>
        <v>---</v>
      </c>
      <c r="B132" s="49" t="str">
        <f>IFERROR(__xludf.DUMMYFUNCTION("""COMPUTED_VALUE"""),"---")</f>
        <v>---</v>
      </c>
      <c r="C132" s="50" t="str">
        <f>IFERROR(__xludf.DUMMYFUNCTION("""COMPUTED_VALUE"""),"Stock")</f>
        <v>Stock</v>
      </c>
      <c r="D132" s="49"/>
      <c r="E132" s="49"/>
      <c r="F132" s="49"/>
      <c r="G132" s="49" t="str">
        <f>IFERROR(__xludf.DUMMYFUNCTION("""COMPUTED_VALUE"""),"Dexter S 8 sole")</f>
        <v>Dexter S 8 sole</v>
      </c>
      <c r="H132" s="52"/>
      <c r="I132" s="49"/>
      <c r="J132" s="51">
        <f>IFERROR(__xludf.DUMMYFUNCTION("""COMPUTED_VALUE"""),46043.0)</f>
        <v>46043</v>
      </c>
      <c r="K132" s="52"/>
      <c r="L132" s="49" t="str">
        <f>IFERROR(__xludf.DUMMYFUNCTION("""COMPUTED_VALUE"""),"B Supply")</f>
        <v>B Supply</v>
      </c>
      <c r="M132" s="49">
        <f>IFERROR(__xludf.DUMMYFUNCTION("""COMPUTED_VALUE"""),516244.0)</f>
        <v>516244</v>
      </c>
      <c r="N132" s="53">
        <f>IFERROR(__xludf.DUMMYFUNCTION("""COMPUTED_VALUE"""),13.3)</f>
        <v>13.3</v>
      </c>
      <c r="O132" s="54">
        <f>IFERROR(__xludf.DUMMYFUNCTION("""COMPUTED_VALUE"""),661398.0)</f>
        <v>661398</v>
      </c>
      <c r="P132" s="49" t="str">
        <f>IFERROR(__xludf.DUMMYFUNCTION("""COMPUTED_VALUE"""),"na")</f>
        <v>na</v>
      </c>
      <c r="Q132" s="49" t="str">
        <f>IFERROR(__xludf.DUMMYFUNCTION("""COMPUTED_VALUE"""),"na")</f>
        <v>na</v>
      </c>
      <c r="R132" s="49"/>
      <c r="S132" s="49"/>
      <c r="T132" s="49"/>
      <c r="U132" s="49"/>
      <c r="V132" s="49"/>
      <c r="W132" s="49"/>
      <c r="X132" s="49"/>
      <c r="Y132" s="49"/>
      <c r="Z132" s="49"/>
    </row>
    <row r="133">
      <c r="A133" s="49" t="str">
        <f>IFERROR(__xludf.DUMMYFUNCTION("""COMPUTED_VALUE"""),"---")</f>
        <v>---</v>
      </c>
      <c r="B133" s="49" t="str">
        <f>IFERROR(__xludf.DUMMYFUNCTION("""COMPUTED_VALUE"""),"---")</f>
        <v>---</v>
      </c>
      <c r="C133" s="50" t="str">
        <f>IFERROR(__xludf.DUMMYFUNCTION("""COMPUTED_VALUE"""),"Stock")</f>
        <v>Stock</v>
      </c>
      <c r="D133" s="49"/>
      <c r="E133" s="49"/>
      <c r="F133" s="49"/>
      <c r="G133" s="49" t="str">
        <f>IFERROR(__xludf.DUMMYFUNCTION("""COMPUTED_VALUE"""),"Hammer Premium Towels")</f>
        <v>Hammer Premium Towels</v>
      </c>
      <c r="H133" s="52"/>
      <c r="I133" s="49"/>
      <c r="J133" s="51">
        <f>IFERROR(__xludf.DUMMYFUNCTION("""COMPUTED_VALUE"""),46043.0)</f>
        <v>46043</v>
      </c>
      <c r="K133" s="52"/>
      <c r="L133" s="49" t="str">
        <f>IFERROR(__xludf.DUMMYFUNCTION("""COMPUTED_VALUE"""),"B Supply")</f>
        <v>B Supply</v>
      </c>
      <c r="M133" s="49">
        <f>IFERROR(__xludf.DUMMYFUNCTION("""COMPUTED_VALUE"""),516244.0)</f>
        <v>516244</v>
      </c>
      <c r="N133" s="53">
        <f>IFERROR(__xludf.DUMMYFUNCTION("""COMPUTED_VALUE"""),6.03)</f>
        <v>6.03</v>
      </c>
      <c r="O133" s="54">
        <f>IFERROR(__xludf.DUMMYFUNCTION("""COMPUTED_VALUE"""),661398.0)</f>
        <v>661398</v>
      </c>
      <c r="P133" s="49" t="str">
        <f>IFERROR(__xludf.DUMMYFUNCTION("""COMPUTED_VALUE"""),"na")</f>
        <v>na</v>
      </c>
      <c r="Q133" s="49" t="str">
        <f>IFERROR(__xludf.DUMMYFUNCTION("""COMPUTED_VALUE"""),"na")</f>
        <v>na</v>
      </c>
      <c r="R133" s="49"/>
      <c r="S133" s="49"/>
      <c r="T133" s="49"/>
      <c r="U133" s="49"/>
      <c r="V133" s="49"/>
      <c r="W133" s="49"/>
      <c r="X133" s="49"/>
      <c r="Y133" s="49"/>
      <c r="Z133" s="49"/>
    </row>
    <row r="134">
      <c r="A134" s="49" t="str">
        <f>IFERROR(__xludf.DUMMYFUNCTION("""COMPUTED_VALUE"""),"---")</f>
        <v>---</v>
      </c>
      <c r="B134" s="49" t="str">
        <f>IFERROR(__xludf.DUMMYFUNCTION("""COMPUTED_VALUE"""),"---")</f>
        <v>---</v>
      </c>
      <c r="C134" s="50" t="str">
        <f>IFERROR(__xludf.DUMMYFUNCTION("""COMPUTED_VALUE"""),"Michael Marinelli")</f>
        <v>Michael Marinelli</v>
      </c>
      <c r="D134" s="49"/>
      <c r="E134" s="49" t="str">
        <f>IFERROR(__xludf.DUMMYFUNCTION("""COMPUTED_VALUE"""),"Valley")</f>
        <v>Valley</v>
      </c>
      <c r="F134" s="49" t="str">
        <f>IFERROR(__xludf.DUMMYFUNCTION("""COMPUTED_VALUE"""),"Valley")</f>
        <v>Valley</v>
      </c>
      <c r="G134" s="49" t="str">
        <f>IFERROR(__xludf.DUMMYFUNCTION("""COMPUTED_VALUE"""),"Brunswick Danger Zone Solid 14 lb")</f>
        <v>Brunswick Danger Zone Solid 14 lb</v>
      </c>
      <c r="H134" s="52"/>
      <c r="I134" s="49"/>
      <c r="J134" s="51">
        <f>IFERROR(__xludf.DUMMYFUNCTION("""COMPUTED_VALUE"""),46043.0)</f>
        <v>46043</v>
      </c>
      <c r="K134" s="52"/>
      <c r="L134" s="49" t="str">
        <f>IFERROR(__xludf.DUMMYFUNCTION("""COMPUTED_VALUE"""),"B Supply")</f>
        <v>B Supply</v>
      </c>
      <c r="M134" s="49">
        <f>IFERROR(__xludf.DUMMYFUNCTION("""COMPUTED_VALUE"""),516244.0)</f>
        <v>516244</v>
      </c>
      <c r="N134" s="53">
        <f>IFERROR(__xludf.DUMMYFUNCTION("""COMPUTED_VALUE"""),99.28)</f>
        <v>99.28</v>
      </c>
      <c r="O134" s="54">
        <f>IFERROR(__xludf.DUMMYFUNCTION("""COMPUTED_VALUE"""),661398.0)</f>
        <v>661398</v>
      </c>
      <c r="P134" s="49" t="str">
        <f>IFERROR(__xludf.DUMMYFUNCTION("""COMPUTED_VALUE"""),"Y")</f>
        <v>Y</v>
      </c>
      <c r="Q134" s="49" t="str">
        <f>IFERROR(__xludf.DUMMYFUNCTION("""COMPUTED_VALUE"""),"Y")</f>
        <v>Y</v>
      </c>
      <c r="R134" s="49"/>
      <c r="S134" s="49"/>
      <c r="T134" s="49"/>
      <c r="U134" s="49"/>
      <c r="V134" s="49"/>
      <c r="W134" s="49"/>
      <c r="X134" s="49"/>
      <c r="Y134" s="49"/>
      <c r="Z134" s="49"/>
    </row>
    <row r="135">
      <c r="A135" s="49" t="str">
        <f>IFERROR(__xludf.DUMMYFUNCTION("""COMPUTED_VALUE"""),"---")</f>
        <v>---</v>
      </c>
      <c r="B135" s="49" t="str">
        <f>IFERROR(__xludf.DUMMYFUNCTION("""COMPUTED_VALUE"""),"---")</f>
        <v>---</v>
      </c>
      <c r="C135" s="50" t="str">
        <f>IFERROR(__xludf.DUMMYFUNCTION("""COMPUTED_VALUE"""),"Stock")</f>
        <v>Stock</v>
      </c>
      <c r="D135" s="49"/>
      <c r="E135" s="49" t="str">
        <f>IFERROR(__xludf.DUMMYFUNCTION("""COMPUTED_VALUE"""),"South")</f>
        <v>South</v>
      </c>
      <c r="F135" s="49" t="str">
        <f>IFERROR(__xludf.DUMMYFUNCTION("""COMPUTED_VALUE"""),"South")</f>
        <v>South</v>
      </c>
      <c r="G135" s="49" t="str">
        <f>IFERROR(__xludf.DUMMYFUNCTION("""COMPUTED_VALUE"""),"Brunswick Crown 78 U")</f>
        <v>Brunswick Crown 78 U</v>
      </c>
      <c r="H135" s="52"/>
      <c r="I135" s="49"/>
      <c r="J135" s="51">
        <f>IFERROR(__xludf.DUMMYFUNCTION("""COMPUTED_VALUE"""),46043.0)</f>
        <v>46043</v>
      </c>
      <c r="K135" s="52"/>
      <c r="L135" s="49" t="str">
        <f>IFERROR(__xludf.DUMMYFUNCTION("""COMPUTED_VALUE"""),"B Supply")</f>
        <v>B Supply</v>
      </c>
      <c r="M135" s="49">
        <f>IFERROR(__xludf.DUMMYFUNCTION("""COMPUTED_VALUE"""),516244.0)</f>
        <v>516244</v>
      </c>
      <c r="N135" s="53">
        <f>IFERROR(__xludf.DUMMYFUNCTION("""COMPUTED_VALUE"""),113.91)</f>
        <v>113.91</v>
      </c>
      <c r="O135" s="54">
        <f>IFERROR(__xludf.DUMMYFUNCTION("""COMPUTED_VALUE"""),661398.0)</f>
        <v>661398</v>
      </c>
      <c r="P135" s="49" t="str">
        <f>IFERROR(__xludf.DUMMYFUNCTION("""COMPUTED_VALUE"""),"na")</f>
        <v>na</v>
      </c>
      <c r="Q135" s="49" t="str">
        <f>IFERROR(__xludf.DUMMYFUNCTION("""COMPUTED_VALUE"""),"na")</f>
        <v>na</v>
      </c>
      <c r="R135" s="49"/>
      <c r="S135" s="49"/>
      <c r="T135" s="49"/>
      <c r="U135" s="49"/>
      <c r="V135" s="49"/>
      <c r="W135" s="49"/>
      <c r="X135" s="49"/>
      <c r="Y135" s="49"/>
      <c r="Z135" s="49"/>
    </row>
    <row r="136">
      <c r="A136" s="49" t="str">
        <f>IFERROR(__xludf.DUMMYFUNCTION("""COMPUTED_VALUE"""),"---")</f>
        <v>---</v>
      </c>
      <c r="B136" s="49" t="str">
        <f>IFERROR(__xludf.DUMMYFUNCTION("""COMPUTED_VALUE"""),"---")</f>
        <v>---</v>
      </c>
      <c r="C136" s="50" t="str">
        <f>IFERROR(__xludf.DUMMYFUNCTION("""COMPUTED_VALUE"""),"James Durland")</f>
        <v>James Durland</v>
      </c>
      <c r="D136" s="49"/>
      <c r="E136" s="49"/>
      <c r="F136" s="49"/>
      <c r="G136" s="49" t="str">
        <f>IFERROR(__xludf.DUMMYFUNCTION("""COMPUTED_VALUE"""),"Vise 3/4 P/O")</f>
        <v>Vise 3/4 P/O</v>
      </c>
      <c r="H136" s="52"/>
      <c r="I136" s="49"/>
      <c r="J136" s="51">
        <f>IFERROR(__xludf.DUMMYFUNCTION("""COMPUTED_VALUE"""),46043.0)</f>
        <v>46043</v>
      </c>
      <c r="K136" s="52"/>
      <c r="L136" s="49" t="str">
        <f>IFERROR(__xludf.DUMMYFUNCTION("""COMPUTED_VALUE"""),"B Supply")</f>
        <v>B Supply</v>
      </c>
      <c r="M136" s="49">
        <f>IFERROR(__xludf.DUMMYFUNCTION("""COMPUTED_VALUE"""),516244.0)</f>
        <v>516244</v>
      </c>
      <c r="N136" s="53">
        <f>IFERROR(__xludf.DUMMYFUNCTION("""COMPUTED_VALUE"""),1.07)</f>
        <v>1.07</v>
      </c>
      <c r="O136" s="54">
        <f>IFERROR(__xludf.DUMMYFUNCTION("""COMPUTED_VALUE"""),661398.0)</f>
        <v>661398</v>
      </c>
      <c r="P136" s="49" t="str">
        <f>IFERROR(__xludf.DUMMYFUNCTION("""COMPUTED_VALUE"""),"Y")</f>
        <v>Y</v>
      </c>
      <c r="Q136" s="49" t="str">
        <f>IFERROR(__xludf.DUMMYFUNCTION("""COMPUTED_VALUE"""),"Y")</f>
        <v>Y</v>
      </c>
      <c r="R136" s="49"/>
      <c r="S136" s="49"/>
      <c r="T136" s="49"/>
      <c r="U136" s="49"/>
      <c r="V136" s="49"/>
      <c r="W136" s="49"/>
      <c r="X136" s="49"/>
      <c r="Y136" s="49"/>
      <c r="Z136" s="49"/>
    </row>
    <row r="137">
      <c r="A137" s="49" t="str">
        <f>IFERROR(__xludf.DUMMYFUNCTION("""COMPUTED_VALUE"""),"---")</f>
        <v>---</v>
      </c>
      <c r="B137" s="49" t="str">
        <f>IFERROR(__xludf.DUMMYFUNCTION("""COMPUTED_VALUE"""),"---")</f>
        <v>---</v>
      </c>
      <c r="C137" s="50" t="str">
        <f>IFERROR(__xludf.DUMMYFUNCTION("""COMPUTED_VALUE"""),"James Durland")</f>
        <v>James Durland</v>
      </c>
      <c r="D137" s="49"/>
      <c r="E137" s="49"/>
      <c r="F137" s="49"/>
      <c r="G137" s="49" t="str">
        <f>IFERROR(__xludf.DUMMYFUNCTION("""COMPUTED_VALUE"""),"Vise 11/16 P/O")</f>
        <v>Vise 11/16 P/O</v>
      </c>
      <c r="H137" s="52"/>
      <c r="I137" s="49"/>
      <c r="J137" s="51">
        <f>IFERROR(__xludf.DUMMYFUNCTION("""COMPUTED_VALUE"""),46043.0)</f>
        <v>46043</v>
      </c>
      <c r="K137" s="52"/>
      <c r="L137" s="49" t="str">
        <f>IFERROR(__xludf.DUMMYFUNCTION("""COMPUTED_VALUE"""),"B Supply")</f>
        <v>B Supply</v>
      </c>
      <c r="M137" s="49">
        <f>IFERROR(__xludf.DUMMYFUNCTION("""COMPUTED_VALUE"""),516244.0)</f>
        <v>516244</v>
      </c>
      <c r="N137" s="53">
        <f>IFERROR(__xludf.DUMMYFUNCTION("""COMPUTED_VALUE"""),1.07)</f>
        <v>1.07</v>
      </c>
      <c r="O137" s="54">
        <f>IFERROR(__xludf.DUMMYFUNCTION("""COMPUTED_VALUE"""),661398.0)</f>
        <v>661398</v>
      </c>
      <c r="P137" s="49" t="str">
        <f>IFERROR(__xludf.DUMMYFUNCTION("""COMPUTED_VALUE"""),"Y")</f>
        <v>Y</v>
      </c>
      <c r="Q137" s="49" t="str">
        <f>IFERROR(__xludf.DUMMYFUNCTION("""COMPUTED_VALUE"""),"Y")</f>
        <v>Y</v>
      </c>
      <c r="R137" s="49"/>
      <c r="S137" s="49"/>
      <c r="T137" s="49"/>
      <c r="U137" s="49"/>
      <c r="V137" s="49"/>
      <c r="W137" s="49"/>
      <c r="X137" s="49"/>
      <c r="Y137" s="49"/>
      <c r="Z137" s="49"/>
    </row>
    <row r="138">
      <c r="A138" s="49" t="str">
        <f>IFERROR(__xludf.DUMMYFUNCTION("""COMPUTED_VALUE"""),"---")</f>
        <v>---</v>
      </c>
      <c r="B138" s="49" t="str">
        <f>IFERROR(__xludf.DUMMYFUNCTION("""COMPUTED_VALUE"""),"---")</f>
        <v>---</v>
      </c>
      <c r="C138" s="50" t="str">
        <f>IFERROR(__xludf.DUMMYFUNCTION("""COMPUTED_VALUE"""),"Stock")</f>
        <v>Stock</v>
      </c>
      <c r="D138" s="49"/>
      <c r="E138" s="49"/>
      <c r="F138" s="49"/>
      <c r="G138" s="49" t="str">
        <f>IFERROR(__xludf.DUMMYFUNCTION("""COMPUTED_VALUE"""),"Turbo blank inner")</f>
        <v>Turbo blank inner</v>
      </c>
      <c r="H138" s="52"/>
      <c r="I138" s="49"/>
      <c r="J138" s="51">
        <f>IFERROR(__xludf.DUMMYFUNCTION("""COMPUTED_VALUE"""),46046.0)</f>
        <v>46046</v>
      </c>
      <c r="K138" s="52"/>
      <c r="L138" s="49" t="str">
        <f>IFERROR(__xludf.DUMMYFUNCTION("""COMPUTED_VALUE"""),"Ace")</f>
        <v>Ace</v>
      </c>
      <c r="M138" s="49">
        <f>IFERROR(__xludf.DUMMYFUNCTION("""COMPUTED_VALUE"""),5.00300605E8)</f>
        <v>500300605</v>
      </c>
      <c r="N138" s="53">
        <f>IFERROR(__xludf.DUMMYFUNCTION("""COMPUTED_VALUE"""),7.6)</f>
        <v>7.6</v>
      </c>
      <c r="O138" s="54">
        <f>IFERROR(__xludf.DUMMYFUNCTION("""COMPUTED_VALUE"""),8.00051426E8)</f>
        <v>800051426</v>
      </c>
      <c r="P138" s="49" t="str">
        <f>IFERROR(__xludf.DUMMYFUNCTION("""COMPUTED_VALUE"""),"na")</f>
        <v>na</v>
      </c>
      <c r="Q138" s="49" t="str">
        <f>IFERROR(__xludf.DUMMYFUNCTION("""COMPUTED_VALUE"""),"na")</f>
        <v>na</v>
      </c>
      <c r="R138" s="49"/>
      <c r="S138" s="49"/>
      <c r="T138" s="49"/>
      <c r="U138" s="49"/>
      <c r="V138" s="49"/>
      <c r="W138" s="49"/>
      <c r="X138" s="49"/>
      <c r="Y138" s="49"/>
      <c r="Z138" s="49"/>
    </row>
    <row r="139">
      <c r="A139" s="49" t="str">
        <f>IFERROR(__xludf.DUMMYFUNCTION("""COMPUTED_VALUE"""),"---")</f>
        <v>---</v>
      </c>
      <c r="B139" s="49" t="str">
        <f>IFERROR(__xludf.DUMMYFUNCTION("""COMPUTED_VALUE"""),"---")</f>
        <v>---</v>
      </c>
      <c r="C139" s="50" t="str">
        <f>IFERROR(__xludf.DUMMYFUNCTION("""COMPUTED_VALUE"""),"Stock")</f>
        <v>Stock</v>
      </c>
      <c r="D139" s="49"/>
      <c r="E139" s="49"/>
      <c r="F139" s="49"/>
      <c r="G139" s="49" t="str">
        <f>IFERROR(__xludf.DUMMYFUNCTION("""COMPUTED_VALUE"""),"JoPo blank inner")</f>
        <v>JoPo blank inner</v>
      </c>
      <c r="H139" s="52"/>
      <c r="I139" s="49"/>
      <c r="J139" s="51">
        <f>IFERROR(__xludf.DUMMYFUNCTION("""COMPUTED_VALUE"""),46046.0)</f>
        <v>46046</v>
      </c>
      <c r="K139" s="52"/>
      <c r="L139" s="49" t="str">
        <f>IFERROR(__xludf.DUMMYFUNCTION("""COMPUTED_VALUE"""),"Ace")</f>
        <v>Ace</v>
      </c>
      <c r="M139" s="49">
        <f>IFERROR(__xludf.DUMMYFUNCTION("""COMPUTED_VALUE"""),5.00300605E8)</f>
        <v>500300605</v>
      </c>
      <c r="N139" s="53">
        <f>IFERROR(__xludf.DUMMYFUNCTION("""COMPUTED_VALUE"""),9.06)</f>
        <v>9.06</v>
      </c>
      <c r="O139" s="54">
        <f>IFERROR(__xludf.DUMMYFUNCTION("""COMPUTED_VALUE"""),8.00051426E8)</f>
        <v>800051426</v>
      </c>
      <c r="P139" s="49" t="str">
        <f>IFERROR(__xludf.DUMMYFUNCTION("""COMPUTED_VALUE"""),"na")</f>
        <v>na</v>
      </c>
      <c r="Q139" s="49" t="str">
        <f>IFERROR(__xludf.DUMMYFUNCTION("""COMPUTED_VALUE"""),"na")</f>
        <v>na</v>
      </c>
      <c r="R139" s="49"/>
      <c r="S139" s="49"/>
      <c r="T139" s="49"/>
      <c r="U139" s="49"/>
      <c r="V139" s="49"/>
      <c r="W139" s="49"/>
      <c r="X139" s="49"/>
      <c r="Y139" s="49"/>
      <c r="Z139" s="49"/>
    </row>
    <row r="140">
      <c r="A140" s="49" t="str">
        <f>IFERROR(__xludf.DUMMYFUNCTION("""COMPUTED_VALUE"""),"---")</f>
        <v>---</v>
      </c>
      <c r="B140" s="49" t="str">
        <f>IFERROR(__xludf.DUMMYFUNCTION("""COMPUTED_VALUE"""),"---")</f>
        <v>---</v>
      </c>
      <c r="C140" s="50" t="str">
        <f>IFERROR(__xludf.DUMMYFUNCTION("""COMPUTED_VALUE"""),"Ryan Richmond")</f>
        <v>Ryan Richmond</v>
      </c>
      <c r="D140" s="49"/>
      <c r="E140" s="49" t="str">
        <f>IFERROR(__xludf.DUMMYFUNCTION("""COMPUTED_VALUE"""),"South")</f>
        <v>South</v>
      </c>
      <c r="F140" s="49" t="str">
        <f>IFERROR(__xludf.DUMMYFUNCTION("""COMPUTED_VALUE"""),"South")</f>
        <v>South</v>
      </c>
      <c r="G140" s="49" t="str">
        <f>IFERROR(__xludf.DUMMYFUNCTION("""COMPUTED_VALUE"""),"Storm Phaze II Pearl 14 lb")</f>
        <v>Storm Phaze II Pearl 14 lb</v>
      </c>
      <c r="H140" s="52"/>
      <c r="I140" s="49"/>
      <c r="J140" s="51">
        <f>IFERROR(__xludf.DUMMYFUNCTION("""COMPUTED_VALUE"""),46046.0)</f>
        <v>46046</v>
      </c>
      <c r="K140" s="52"/>
      <c r="L140" s="49" t="str">
        <f>IFERROR(__xludf.DUMMYFUNCTION("""COMPUTED_VALUE"""),"Ace")</f>
        <v>Ace</v>
      </c>
      <c r="M140" s="49">
        <f>IFERROR(__xludf.DUMMYFUNCTION("""COMPUTED_VALUE"""),5.00300605E8)</f>
        <v>500300605</v>
      </c>
      <c r="N140" s="53">
        <f>IFERROR(__xludf.DUMMYFUNCTION("""COMPUTED_VALUE"""),146.12)</f>
        <v>146.12</v>
      </c>
      <c r="O140" s="54">
        <f>IFERROR(__xludf.DUMMYFUNCTION("""COMPUTED_VALUE"""),8.00051426E8)</f>
        <v>800051426</v>
      </c>
      <c r="P140" s="49" t="str">
        <f>IFERROR(__xludf.DUMMYFUNCTION("""COMPUTED_VALUE"""),"Y")</f>
        <v>Y</v>
      </c>
      <c r="Q140" s="49" t="str">
        <f>IFERROR(__xludf.DUMMYFUNCTION("""COMPUTED_VALUE"""),"Y")</f>
        <v>Y</v>
      </c>
      <c r="R140" s="49"/>
      <c r="S140" s="49"/>
      <c r="T140" s="49"/>
      <c r="U140" s="49"/>
      <c r="V140" s="49"/>
      <c r="W140" s="49"/>
      <c r="X140" s="49"/>
      <c r="Y140" s="49"/>
      <c r="Z140" s="49"/>
    </row>
    <row r="141">
      <c r="A141" s="49" t="str">
        <f>IFERROR(__xludf.DUMMYFUNCTION("""COMPUTED_VALUE"""),"---")</f>
        <v>---</v>
      </c>
      <c r="B141" s="49" t="str">
        <f>IFERROR(__xludf.DUMMYFUNCTION("""COMPUTED_VALUE"""),"---")</f>
        <v>---</v>
      </c>
      <c r="C141" s="50" t="str">
        <f>IFERROR(__xludf.DUMMYFUNCTION("""COMPUTED_VALUE"""),"Adriana Rodriguez")</f>
        <v>Adriana Rodriguez</v>
      </c>
      <c r="D141" s="49"/>
      <c r="E141" s="49" t="str">
        <f>IFERROR(__xludf.DUMMYFUNCTION("""COMPUTED_VALUE"""),"South")</f>
        <v>South</v>
      </c>
      <c r="F141" s="49" t="str">
        <f>IFERROR(__xludf.DUMMYFUNCTION("""COMPUTED_VALUE"""),"South")</f>
        <v>South</v>
      </c>
      <c r="G141" s="49" t="str">
        <f>IFERROR(__xludf.DUMMYFUNCTION("""COMPUTED_VALUE"""),"RST Hyperdrive Pearl 12 lb")</f>
        <v>RST Hyperdrive Pearl 12 lb</v>
      </c>
      <c r="H141" s="52"/>
      <c r="I141" s="49"/>
      <c r="J141" s="51">
        <f>IFERROR(__xludf.DUMMYFUNCTION("""COMPUTED_VALUE"""),46046.0)</f>
        <v>46046</v>
      </c>
      <c r="K141" s="52"/>
      <c r="L141" s="49" t="str">
        <f>IFERROR(__xludf.DUMMYFUNCTION("""COMPUTED_VALUE"""),"Ace")</f>
        <v>Ace</v>
      </c>
      <c r="M141" s="49">
        <f>IFERROR(__xludf.DUMMYFUNCTION("""COMPUTED_VALUE"""),5.00300605E8)</f>
        <v>500300605</v>
      </c>
      <c r="N141" s="53">
        <f>IFERROR(__xludf.DUMMYFUNCTION("""COMPUTED_VALUE"""),156.28)</f>
        <v>156.28</v>
      </c>
      <c r="O141" s="54">
        <f>IFERROR(__xludf.DUMMYFUNCTION("""COMPUTED_VALUE"""),8.00051426E8)</f>
        <v>800051426</v>
      </c>
      <c r="P141" s="49" t="str">
        <f>IFERROR(__xludf.DUMMYFUNCTION("""COMPUTED_VALUE"""),"Y")</f>
        <v>Y</v>
      </c>
      <c r="Q141" s="49" t="str">
        <f>IFERROR(__xludf.DUMMYFUNCTION("""COMPUTED_VALUE"""),"Y")</f>
        <v>Y</v>
      </c>
      <c r="R141" s="49"/>
      <c r="S141" s="49"/>
      <c r="T141" s="49"/>
      <c r="U141" s="49"/>
      <c r="V141" s="49"/>
      <c r="W141" s="49"/>
      <c r="X141" s="49"/>
      <c r="Y141" s="49"/>
      <c r="Z141" s="49"/>
    </row>
    <row r="142">
      <c r="A142" s="49" t="str">
        <f>IFERROR(__xludf.DUMMYFUNCTION("""COMPUTED_VALUE"""),"---")</f>
        <v>---</v>
      </c>
      <c r="B142" s="49" t="str">
        <f>IFERROR(__xludf.DUMMYFUNCTION("""COMPUTED_VALUE"""),"---")</f>
        <v>---</v>
      </c>
      <c r="C142" s="50" t="str">
        <f>IFERROR(__xludf.DUMMYFUNCTION("""COMPUTED_VALUE"""),"John Keyes")</f>
        <v>John Keyes</v>
      </c>
      <c r="D142" s="49"/>
      <c r="E142" s="49" t="str">
        <f>IFERROR(__xludf.DUMMYFUNCTION("""COMPUTED_VALUE"""),"Valley")</f>
        <v>Valley</v>
      </c>
      <c r="F142" s="49" t="str">
        <f>IFERROR(__xludf.DUMMYFUNCTION("""COMPUTED_VALUE"""),"Valley")</f>
        <v>Valley</v>
      </c>
      <c r="G142" s="49" t="str">
        <f>IFERROR(__xludf.DUMMYFUNCTION("""COMPUTED_VALUE"""),"Hammer Black Widow Tour V1 13 lb")</f>
        <v>Hammer Black Widow Tour V1 13 lb</v>
      </c>
      <c r="H142" s="52"/>
      <c r="I142" s="49"/>
      <c r="J142" s="51">
        <f>IFERROR(__xludf.DUMMYFUNCTION("""COMPUTED_VALUE"""),46046.0)</f>
        <v>46046</v>
      </c>
      <c r="K142" s="52"/>
      <c r="L142" s="49" t="str">
        <f>IFERROR(__xludf.DUMMYFUNCTION("""COMPUTED_VALUE"""),"B Supply")</f>
        <v>B Supply</v>
      </c>
      <c r="M142" s="49">
        <f>IFERROR(__xludf.DUMMYFUNCTION("""COMPUTED_VALUE"""),516847.0)</f>
        <v>516847</v>
      </c>
      <c r="N142" s="53">
        <f>IFERROR(__xludf.DUMMYFUNCTION("""COMPUTED_VALUE"""),132.15)</f>
        <v>132.15</v>
      </c>
      <c r="O142" s="54">
        <f>IFERROR(__xludf.DUMMYFUNCTION("""COMPUTED_VALUE"""),662138.0)</f>
        <v>662138</v>
      </c>
      <c r="P142" s="49" t="str">
        <f>IFERROR(__xludf.DUMMYFUNCTION("""COMPUTED_VALUE"""),"Y")</f>
        <v>Y</v>
      </c>
      <c r="Q142" s="49" t="str">
        <f>IFERROR(__xludf.DUMMYFUNCTION("""COMPUTED_VALUE"""),"Y")</f>
        <v>Y</v>
      </c>
      <c r="R142" s="49"/>
      <c r="S142" s="49"/>
      <c r="T142" s="49"/>
      <c r="U142" s="49"/>
      <c r="V142" s="49"/>
      <c r="W142" s="49"/>
      <c r="X142" s="49"/>
      <c r="Y142" s="49"/>
      <c r="Z142" s="49"/>
    </row>
    <row r="143">
      <c r="A143" s="49" t="str">
        <f>IFERROR(__xludf.DUMMYFUNCTION("""COMPUTED_VALUE"""),"---")</f>
        <v>---</v>
      </c>
      <c r="B143" s="49" t="str">
        <f>IFERROR(__xludf.DUMMYFUNCTION("""COMPUTED_VALUE"""),"---")</f>
        <v>---</v>
      </c>
      <c r="C143" s="50" t="str">
        <f>IFERROR(__xludf.DUMMYFUNCTION("""COMPUTED_VALUE"""),"Richard Sakosky")</f>
        <v>Richard Sakosky</v>
      </c>
      <c r="D143" s="49"/>
      <c r="E143" s="49" t="str">
        <f>IFERROR(__xludf.DUMMYFUNCTION("""COMPUTED_VALUE"""),"South")</f>
        <v>South</v>
      </c>
      <c r="F143" s="49" t="str">
        <f>IFERROR(__xludf.DUMMYFUNCTION("""COMPUTED_VALUE"""),"South")</f>
        <v>South</v>
      </c>
      <c r="G143" s="49" t="str">
        <f>IFERROR(__xludf.DUMMYFUNCTION("""COMPUTED_VALUE"""),"Ball: black widow tour V1 - 14 lbs")</f>
        <v>Ball: black widow tour V1 - 14 lbs</v>
      </c>
      <c r="H143" s="52"/>
      <c r="I143" s="49"/>
      <c r="J143" s="51">
        <f>IFERROR(__xludf.DUMMYFUNCTION("""COMPUTED_VALUE"""),46046.0)</f>
        <v>46046</v>
      </c>
      <c r="K143" s="52"/>
      <c r="L143" s="49" t="str">
        <f>IFERROR(__xludf.DUMMYFUNCTION("""COMPUTED_VALUE"""),"B Supply")</f>
        <v>B Supply</v>
      </c>
      <c r="M143" s="49">
        <f>IFERROR(__xludf.DUMMYFUNCTION("""COMPUTED_VALUE"""),516847.0)</f>
        <v>516847</v>
      </c>
      <c r="N143" s="53">
        <f>IFERROR(__xludf.DUMMYFUNCTION("""COMPUTED_VALUE"""),132.15)</f>
        <v>132.15</v>
      </c>
      <c r="O143" s="54">
        <f>IFERROR(__xludf.DUMMYFUNCTION("""COMPUTED_VALUE"""),662138.0)</f>
        <v>662138</v>
      </c>
      <c r="P143" s="49" t="str">
        <f>IFERROR(__xludf.DUMMYFUNCTION("""COMPUTED_VALUE"""),"Y")</f>
        <v>Y</v>
      </c>
      <c r="Q143" s="49" t="str">
        <f>IFERROR(__xludf.DUMMYFUNCTION("""COMPUTED_VALUE"""),"Y")</f>
        <v>Y</v>
      </c>
      <c r="R143" s="49"/>
      <c r="S143" s="49"/>
      <c r="T143" s="49"/>
      <c r="U143" s="49"/>
      <c r="V143" s="49"/>
      <c r="W143" s="49"/>
      <c r="X143" s="49"/>
      <c r="Y143" s="49"/>
      <c r="Z143" s="49"/>
    </row>
    <row r="144">
      <c r="A144" s="49" t="str">
        <f>IFERROR(__xludf.DUMMYFUNCTION("""COMPUTED_VALUE"""),"---")</f>
        <v>---</v>
      </c>
      <c r="B144" s="49" t="str">
        <f>IFERROR(__xludf.DUMMYFUNCTION("""COMPUTED_VALUE"""),"---")</f>
        <v>---</v>
      </c>
      <c r="C144" s="50" t="str">
        <f>IFERROR(__xludf.DUMMYFUNCTION("""COMPUTED_VALUE"""),"Richard Sakosky")</f>
        <v>Richard Sakosky</v>
      </c>
      <c r="D144" s="49"/>
      <c r="E144" s="49" t="str">
        <f>IFERROR(__xludf.DUMMYFUNCTION("""COMPUTED_VALUE"""),"South")</f>
        <v>South</v>
      </c>
      <c r="F144" s="49" t="str">
        <f>IFERROR(__xludf.DUMMYFUNCTION("""COMPUTED_VALUE"""),"South")</f>
        <v>South</v>
      </c>
      <c r="G144" s="49" t="str">
        <f>IFERROR(__xludf.DUMMYFUNCTION("""COMPUTED_VALUE"""),"Ball: Hammer NU 2.0 grey 14 lbs")</f>
        <v>Ball: Hammer NU 2.0 grey 14 lbs</v>
      </c>
      <c r="H144" s="52"/>
      <c r="I144" s="49"/>
      <c r="J144" s="51">
        <f>IFERROR(__xludf.DUMMYFUNCTION("""COMPUTED_VALUE"""),46046.0)</f>
        <v>46046</v>
      </c>
      <c r="K144" s="52"/>
      <c r="L144" s="49" t="str">
        <f>IFERROR(__xludf.DUMMYFUNCTION("""COMPUTED_VALUE"""),"B Supply")</f>
        <v>B Supply</v>
      </c>
      <c r="M144" s="49">
        <f>IFERROR(__xludf.DUMMYFUNCTION("""COMPUTED_VALUE"""),516847.0)</f>
        <v>516847</v>
      </c>
      <c r="N144" s="53">
        <f>IFERROR(__xludf.DUMMYFUNCTION("""COMPUTED_VALUE"""),114.0)</f>
        <v>114</v>
      </c>
      <c r="O144" s="54">
        <f>IFERROR(__xludf.DUMMYFUNCTION("""COMPUTED_VALUE"""),662138.0)</f>
        <v>662138</v>
      </c>
      <c r="P144" s="49" t="str">
        <f>IFERROR(__xludf.DUMMYFUNCTION("""COMPUTED_VALUE"""),"Y")</f>
        <v>Y</v>
      </c>
      <c r="Q144" s="49" t="str">
        <f>IFERROR(__xludf.DUMMYFUNCTION("""COMPUTED_VALUE"""),"Y")</f>
        <v>Y</v>
      </c>
      <c r="R144" s="49"/>
      <c r="S144" s="49"/>
      <c r="T144" s="49"/>
      <c r="U144" s="49"/>
      <c r="V144" s="49"/>
      <c r="W144" s="49"/>
      <c r="X144" s="49"/>
      <c r="Y144" s="49"/>
      <c r="Z144" s="49"/>
    </row>
    <row r="145">
      <c r="A145" s="49" t="str">
        <f>IFERROR(__xludf.DUMMYFUNCTION("""COMPUTED_VALUE"""),"---")</f>
        <v>---</v>
      </c>
      <c r="B145" s="49" t="str">
        <f>IFERROR(__xludf.DUMMYFUNCTION("""COMPUTED_VALUE"""),"---")</f>
        <v>---</v>
      </c>
      <c r="C145" s="50" t="str">
        <f>IFERROR(__xludf.DUMMYFUNCTION("""COMPUTED_VALUE"""),"Timmy Bilski")</f>
        <v>Timmy Bilski</v>
      </c>
      <c r="D145" s="49"/>
      <c r="E145" s="49" t="str">
        <f>IFERROR(__xludf.DUMMYFUNCTION("""COMPUTED_VALUE"""),"Valley")</f>
        <v>Valley</v>
      </c>
      <c r="F145" s="49" t="str">
        <f>IFERROR(__xludf.DUMMYFUNCTION("""COMPUTED_VALUE"""),"Valley")</f>
        <v>Valley</v>
      </c>
      <c r="G145" s="49" t="str">
        <f>IFERROR(__xludf.DUMMYFUNCTION("""COMPUTED_VALUE"""),"Brunswick Danger Zone 15 lb")</f>
        <v>Brunswick Danger Zone 15 lb</v>
      </c>
      <c r="H145" s="52"/>
      <c r="I145" s="49"/>
      <c r="J145" s="51">
        <f>IFERROR(__xludf.DUMMYFUNCTION("""COMPUTED_VALUE"""),46046.0)</f>
        <v>46046</v>
      </c>
      <c r="K145" s="52"/>
      <c r="L145" s="49" t="str">
        <f>IFERROR(__xludf.DUMMYFUNCTION("""COMPUTED_VALUE"""),"B Supply")</f>
        <v>B Supply</v>
      </c>
      <c r="M145" s="49">
        <f>IFERROR(__xludf.DUMMYFUNCTION("""COMPUTED_VALUE"""),516847.0)</f>
        <v>516847</v>
      </c>
      <c r="N145" s="53">
        <f>IFERROR(__xludf.DUMMYFUNCTION("""COMPUTED_VALUE"""),99.28)</f>
        <v>99.28</v>
      </c>
      <c r="O145" s="54">
        <f>IFERROR(__xludf.DUMMYFUNCTION("""COMPUTED_VALUE"""),662138.0)</f>
        <v>662138</v>
      </c>
      <c r="P145" s="49" t="str">
        <f>IFERROR(__xludf.DUMMYFUNCTION("""COMPUTED_VALUE"""),"Y")</f>
        <v>Y</v>
      </c>
      <c r="Q145" s="49" t="str">
        <f>IFERROR(__xludf.DUMMYFUNCTION("""COMPUTED_VALUE"""),"Y")</f>
        <v>Y</v>
      </c>
      <c r="R145" s="49"/>
      <c r="S145" s="49"/>
      <c r="T145" s="49"/>
      <c r="U145" s="49"/>
      <c r="V145" s="49"/>
      <c r="W145" s="49"/>
      <c r="X145" s="49"/>
      <c r="Y145" s="49"/>
      <c r="Z145" s="49"/>
    </row>
    <row r="146">
      <c r="A146" s="49" t="str">
        <f>IFERROR(__xludf.DUMMYFUNCTION("""COMPUTED_VALUE"""),"---")</f>
        <v>---</v>
      </c>
      <c r="B146" s="49" t="str">
        <f>IFERROR(__xludf.DUMMYFUNCTION("""COMPUTED_VALUE"""),"---")</f>
        <v>---</v>
      </c>
      <c r="C146" s="50" t="str">
        <f>IFERROR(__xludf.DUMMYFUNCTION("""COMPUTED_VALUE"""),"Michael Marinelli")</f>
        <v>Michael Marinelli</v>
      </c>
      <c r="D146" s="49"/>
      <c r="E146" s="49" t="str">
        <f>IFERROR(__xludf.DUMMYFUNCTION("""COMPUTED_VALUE"""),"Valley")</f>
        <v>Valley</v>
      </c>
      <c r="F146" s="49" t="str">
        <f>IFERROR(__xludf.DUMMYFUNCTION("""COMPUTED_VALUE"""),"Valley")</f>
        <v>Valley</v>
      </c>
      <c r="G146" s="49" t="str">
        <f>IFERROR(__xludf.DUMMYFUNCTION("""COMPUTED_VALUE"""),"C300 Ricochet Return 14 lb")</f>
        <v>C300 Ricochet Return 14 lb</v>
      </c>
      <c r="H146" s="52"/>
      <c r="I146" s="49"/>
      <c r="J146" s="51">
        <f>IFERROR(__xludf.DUMMYFUNCTION("""COMPUTED_VALUE"""),46046.0)</f>
        <v>46046</v>
      </c>
      <c r="K146" s="52"/>
      <c r="L146" s="49" t="str">
        <f>IFERROR(__xludf.DUMMYFUNCTION("""COMPUTED_VALUE"""),"B Supply")</f>
        <v>B Supply</v>
      </c>
      <c r="M146" s="49">
        <f>IFERROR(__xludf.DUMMYFUNCTION("""COMPUTED_VALUE"""),516847.0)</f>
        <v>516847</v>
      </c>
      <c r="N146" s="53">
        <f>IFERROR(__xludf.DUMMYFUNCTION("""COMPUTED_VALUE"""),150.58)</f>
        <v>150.58</v>
      </c>
      <c r="O146" s="54">
        <f>IFERROR(__xludf.DUMMYFUNCTION("""COMPUTED_VALUE"""),662138.0)</f>
        <v>662138</v>
      </c>
      <c r="P146" s="49" t="str">
        <f>IFERROR(__xludf.DUMMYFUNCTION("""COMPUTED_VALUE"""),"Y")</f>
        <v>Y</v>
      </c>
      <c r="Q146" s="49" t="str">
        <f>IFERROR(__xludf.DUMMYFUNCTION("""COMPUTED_VALUE"""),"Y")</f>
        <v>Y</v>
      </c>
      <c r="R146" s="49"/>
      <c r="S146" s="49"/>
      <c r="T146" s="49"/>
      <c r="U146" s="49"/>
      <c r="V146" s="49"/>
      <c r="W146" s="49"/>
      <c r="X146" s="49"/>
      <c r="Y146" s="49"/>
      <c r="Z146" s="49"/>
    </row>
    <row r="147">
      <c r="A147" s="49" t="str">
        <f>IFERROR(__xludf.DUMMYFUNCTION("""COMPUTED_VALUE"""),"---")</f>
        <v>---</v>
      </c>
      <c r="B147" s="49" t="str">
        <f>IFERROR(__xludf.DUMMYFUNCTION("""COMPUTED_VALUE"""),"---")</f>
        <v>---</v>
      </c>
      <c r="C147" s="50" t="str">
        <f>IFERROR(__xludf.DUMMYFUNCTION("""COMPUTED_VALUE"""),"Andrew Flores")</f>
        <v>Andrew Flores</v>
      </c>
      <c r="D147" s="49"/>
      <c r="E147" s="49" t="str">
        <f>IFERROR(__xludf.DUMMYFUNCTION("""COMPUTED_VALUE"""),"Valley")</f>
        <v>Valley</v>
      </c>
      <c r="F147" s="49" t="str">
        <f>IFERROR(__xludf.DUMMYFUNCTION("""COMPUTED_VALUE"""),"Valley")</f>
        <v>Valley</v>
      </c>
      <c r="G147" s="49" t="str">
        <f>IFERROR(__xludf.DUMMYFUNCTION("""COMPUTED_VALUE"""),"Rhino Carbon Lime Silver 13lb")</f>
        <v>Rhino Carbon Lime Silver 13lb</v>
      </c>
      <c r="H147" s="52"/>
      <c r="I147" s="49"/>
      <c r="J147" s="51">
        <f>IFERROR(__xludf.DUMMYFUNCTION("""COMPUTED_VALUE"""),46048.0)</f>
        <v>46048</v>
      </c>
      <c r="K147" s="52"/>
      <c r="L147" s="49" t="str">
        <f>IFERROR(__xludf.DUMMYFUNCTION("""COMPUTED_VALUE"""),"B Supply")</f>
        <v>B Supply</v>
      </c>
      <c r="M147" s="49">
        <f>IFERROR(__xludf.DUMMYFUNCTION("""COMPUTED_VALUE"""),517165.0)</f>
        <v>517165</v>
      </c>
      <c r="N147" s="53">
        <f>IFERROR(__xludf.DUMMYFUNCTION("""COMPUTED_VALUE"""),70.16)</f>
        <v>70.16</v>
      </c>
      <c r="O147" s="54">
        <f>IFERROR(__xludf.DUMMYFUNCTION("""COMPUTED_VALUE"""),662350.0)</f>
        <v>662350</v>
      </c>
      <c r="P147" s="49" t="str">
        <f>IFERROR(__xludf.DUMMYFUNCTION("""COMPUTED_VALUE"""),"Y")</f>
        <v>Y</v>
      </c>
      <c r="Q147" s="49" t="str">
        <f>IFERROR(__xludf.DUMMYFUNCTION("""COMPUTED_VALUE"""),"Y")</f>
        <v>Y</v>
      </c>
      <c r="R147" s="49"/>
      <c r="S147" s="49"/>
      <c r="T147" s="49"/>
      <c r="U147" s="49"/>
      <c r="V147" s="49"/>
      <c r="W147" s="49"/>
      <c r="X147" s="49"/>
      <c r="Y147" s="49"/>
      <c r="Z147" s="49"/>
    </row>
    <row r="148">
      <c r="A148" s="49" t="str">
        <f>IFERROR(__xludf.DUMMYFUNCTION("""COMPUTED_VALUE"""),"---")</f>
        <v>---</v>
      </c>
      <c r="B148" s="49" t="str">
        <f>IFERROR(__xludf.DUMMYFUNCTION("""COMPUTED_VALUE"""),"---")</f>
        <v>---</v>
      </c>
      <c r="C148" s="50" t="str">
        <f>IFERROR(__xludf.DUMMYFUNCTION("""COMPUTED_VALUE"""),"Stock")</f>
        <v>Stock</v>
      </c>
      <c r="D148" s="49"/>
      <c r="E148" s="49" t="str">
        <f>IFERROR(__xludf.DUMMYFUNCTION("""COMPUTED_VALUE"""),"South")</f>
        <v>South</v>
      </c>
      <c r="F148" s="49" t="str">
        <f>IFERROR(__xludf.DUMMYFUNCTION("""COMPUTED_VALUE"""),"South")</f>
        <v>South</v>
      </c>
      <c r="G148" s="49" t="str">
        <f>IFERROR(__xludf.DUMMYFUNCTION("""COMPUTED_VALUE"""),"Hammer Black Widow Dynasty 3.0 15 lb")</f>
        <v>Hammer Black Widow Dynasty 3.0 15 lb</v>
      </c>
      <c r="H148" s="52"/>
      <c r="I148" s="49"/>
      <c r="J148" s="51">
        <f>IFERROR(__xludf.DUMMYFUNCTION("""COMPUTED_VALUE"""),46048.0)</f>
        <v>46048</v>
      </c>
      <c r="K148" s="52"/>
      <c r="L148" s="49" t="str">
        <f>IFERROR(__xludf.DUMMYFUNCTION("""COMPUTED_VALUE"""),"B Supply")</f>
        <v>B Supply</v>
      </c>
      <c r="M148" s="49">
        <f>IFERROR(__xludf.DUMMYFUNCTION("""COMPUTED_VALUE"""),517227.0)</f>
        <v>517227</v>
      </c>
      <c r="N148" s="53">
        <f>IFERROR(__xludf.DUMMYFUNCTION("""COMPUTED_VALUE"""),132.15)</f>
        <v>132.15</v>
      </c>
      <c r="O148" s="54">
        <f>IFERROR(__xludf.DUMMYFUNCTION("""COMPUTED_VALUE"""),662481.0)</f>
        <v>662481</v>
      </c>
      <c r="P148" s="49" t="str">
        <f>IFERROR(__xludf.DUMMYFUNCTION("""COMPUTED_VALUE"""),"na")</f>
        <v>na</v>
      </c>
      <c r="Q148" s="49" t="str">
        <f>IFERROR(__xludf.DUMMYFUNCTION("""COMPUTED_VALUE"""),"na")</f>
        <v>na</v>
      </c>
      <c r="R148" s="49"/>
      <c r="S148" s="49"/>
      <c r="T148" s="49"/>
      <c r="U148" s="49"/>
      <c r="V148" s="49"/>
      <c r="W148" s="49"/>
      <c r="X148" s="49"/>
      <c r="Y148" s="49"/>
      <c r="Z148" s="49"/>
    </row>
    <row r="149">
      <c r="A149" s="49" t="str">
        <f>IFERROR(__xludf.DUMMYFUNCTION("""COMPUTED_VALUE"""),"---")</f>
        <v>---</v>
      </c>
      <c r="B149" s="49" t="str">
        <f>IFERROR(__xludf.DUMMYFUNCTION("""COMPUTED_VALUE"""),"---")</f>
        <v>---</v>
      </c>
      <c r="C149" s="50" t="str">
        <f>IFERROR(__xludf.DUMMYFUNCTION("""COMPUTED_VALUE"""),"Kyle Defina")</f>
        <v>Kyle Defina</v>
      </c>
      <c r="D149" s="49">
        <f>IFERROR(__xludf.DUMMYFUNCTION("""COMPUTED_VALUE"""),5.704365033E9)</f>
        <v>5704365033</v>
      </c>
      <c r="E149" s="49" t="str">
        <f>IFERROR(__xludf.DUMMYFUNCTION("""COMPUTED_VALUE"""),"South")</f>
        <v>South</v>
      </c>
      <c r="F149" s="49" t="str">
        <f>IFERROR(__xludf.DUMMYFUNCTION("""COMPUTED_VALUE"""),"South")</f>
        <v>South</v>
      </c>
      <c r="G149" s="49" t="str">
        <f>IFERROR(__xludf.DUMMYFUNCTION("""COMPUTED_VALUE"""),"Dexter pro boa lavender size 8")</f>
        <v>Dexter pro boa lavender size 8</v>
      </c>
      <c r="H149" s="52"/>
      <c r="I149" s="49"/>
      <c r="J149" s="51">
        <f>IFERROR(__xludf.DUMMYFUNCTION("""COMPUTED_VALUE"""),46048.0)</f>
        <v>46048</v>
      </c>
      <c r="K149" s="52"/>
      <c r="L149" s="49" t="str">
        <f>IFERROR(__xludf.DUMMYFUNCTION("""COMPUTED_VALUE"""),"Ace")</f>
        <v>Ace</v>
      </c>
      <c r="M149" s="49">
        <f>IFERROR(__xludf.DUMMYFUNCTION("""COMPUTED_VALUE"""),5.00300824E8)</f>
        <v>500300824</v>
      </c>
      <c r="N149" s="53">
        <f>IFERROR(__xludf.DUMMYFUNCTION("""COMPUTED_VALUE"""),84.35)</f>
        <v>84.35</v>
      </c>
      <c r="O149" s="54">
        <f>IFERROR(__xludf.DUMMYFUNCTION("""COMPUTED_VALUE"""),8.00051423E8)</f>
        <v>800051423</v>
      </c>
      <c r="P149" s="49" t="str">
        <f>IFERROR(__xludf.DUMMYFUNCTION("""COMPUTED_VALUE"""),"Y")</f>
        <v>Y</v>
      </c>
      <c r="Q149" s="49" t="str">
        <f>IFERROR(__xludf.DUMMYFUNCTION("""COMPUTED_VALUE"""),"Y")</f>
        <v>Y</v>
      </c>
      <c r="R149" s="49"/>
      <c r="S149" s="49"/>
      <c r="T149" s="49"/>
      <c r="U149" s="49"/>
      <c r="V149" s="49"/>
      <c r="W149" s="49"/>
      <c r="X149" s="49"/>
      <c r="Y149" s="49"/>
      <c r="Z149" s="49"/>
    </row>
    <row r="150">
      <c r="A150" s="49" t="str">
        <f>IFERROR(__xludf.DUMMYFUNCTION("""COMPUTED_VALUE"""),"---")</f>
        <v>---</v>
      </c>
      <c r="B150" s="49" t="str">
        <f>IFERROR(__xludf.DUMMYFUNCTION("""COMPUTED_VALUE"""),"---")</f>
        <v>---</v>
      </c>
      <c r="C150" s="50" t="str">
        <f>IFERROR(__xludf.DUMMYFUNCTION("""COMPUTED_VALUE"""),"Carleen Ramirez")</f>
        <v>Carleen Ramirez</v>
      </c>
      <c r="D150" s="49">
        <f>IFERROR(__xludf.DUMMYFUNCTION("""COMPUTED_VALUE"""),5.70589901E9)</f>
        <v>5705899010</v>
      </c>
      <c r="E150" s="49" t="str">
        <f>IFERROR(__xludf.DUMMYFUNCTION("""COMPUTED_VALUE"""),"South")</f>
        <v>South</v>
      </c>
      <c r="F150" s="49" t="str">
        <f>IFERROR(__xludf.DUMMYFUNCTION("""COMPUTED_VALUE"""),"South")</f>
        <v>South</v>
      </c>
      <c r="G150" s="49" t="str">
        <f>IFERROR(__xludf.DUMMYFUNCTION("""COMPUTED_VALUE"""),"Brunswick t-zone deep space 8 lb")</f>
        <v>Brunswick t-zone deep space 8 lb</v>
      </c>
      <c r="H150" s="52"/>
      <c r="I150" s="49"/>
      <c r="J150" s="51">
        <f>IFERROR(__xludf.DUMMYFUNCTION("""COMPUTED_VALUE"""),46048.0)</f>
        <v>46048</v>
      </c>
      <c r="K150" s="52"/>
      <c r="L150" s="49" t="str">
        <f>IFERROR(__xludf.DUMMYFUNCTION("""COMPUTED_VALUE"""),"Ace")</f>
        <v>Ace</v>
      </c>
      <c r="M150" s="49">
        <f>IFERROR(__xludf.DUMMYFUNCTION("""COMPUTED_VALUE"""),5.00300824E8)</f>
        <v>500300824</v>
      </c>
      <c r="N150" s="53">
        <f>IFERROR(__xludf.DUMMYFUNCTION("""COMPUTED_VALUE"""),49.36)</f>
        <v>49.36</v>
      </c>
      <c r="O150" s="54">
        <f>IFERROR(__xludf.DUMMYFUNCTION("""COMPUTED_VALUE"""),8.00051423E8)</f>
        <v>800051423</v>
      </c>
      <c r="P150" s="49" t="str">
        <f>IFERROR(__xludf.DUMMYFUNCTION("""COMPUTED_VALUE"""),"Y")</f>
        <v>Y</v>
      </c>
      <c r="Q150" s="49" t="str">
        <f>IFERROR(__xludf.DUMMYFUNCTION("""COMPUTED_VALUE"""),"Y")</f>
        <v>Y</v>
      </c>
      <c r="R150" s="49"/>
      <c r="S150" s="49"/>
      <c r="T150" s="49"/>
      <c r="U150" s="49"/>
      <c r="V150" s="49"/>
      <c r="W150" s="49"/>
      <c r="X150" s="49"/>
      <c r="Y150" s="49"/>
      <c r="Z150" s="49"/>
    </row>
    <row r="151">
      <c r="A151" s="49" t="str">
        <f>IFERROR(__xludf.DUMMYFUNCTION("""COMPUTED_VALUE"""),"---")</f>
        <v>---</v>
      </c>
      <c r="B151" s="49" t="str">
        <f>IFERROR(__xludf.DUMMYFUNCTION("""COMPUTED_VALUE"""),"---")</f>
        <v>---</v>
      </c>
      <c r="C151" s="50" t="str">
        <f>IFERROR(__xludf.DUMMYFUNCTION("""COMPUTED_VALUE"""),"Jordan Edwards")</f>
        <v>Jordan Edwards</v>
      </c>
      <c r="D151" s="49"/>
      <c r="E151" s="49" t="str">
        <f>IFERROR(__xludf.DUMMYFUNCTION("""COMPUTED_VALUE"""),"South")</f>
        <v>South</v>
      </c>
      <c r="F151" s="49" t="str">
        <f>IFERROR(__xludf.DUMMYFUNCTION("""COMPUTED_VALUE"""),"South")</f>
        <v>South</v>
      </c>
      <c r="G151" s="49" t="str">
        <f>IFERROR(__xludf.DUMMYFUNCTION("""COMPUTED_VALUE"""),"Track Theorem Solid 16 lb")</f>
        <v>Track Theorem Solid 16 lb</v>
      </c>
      <c r="H151" s="52"/>
      <c r="I151" s="49"/>
      <c r="J151" s="51">
        <f>IFERROR(__xludf.DUMMYFUNCTION("""COMPUTED_VALUE"""),46048.0)</f>
        <v>46048</v>
      </c>
      <c r="K151" s="52"/>
      <c r="L151" s="49" t="str">
        <f>IFERROR(__xludf.DUMMYFUNCTION("""COMPUTED_VALUE"""),"Ace")</f>
        <v>Ace</v>
      </c>
      <c r="M151" s="49">
        <f>IFERROR(__xludf.DUMMYFUNCTION("""COMPUTED_VALUE"""),5.00300824E8)</f>
        <v>500300824</v>
      </c>
      <c r="N151" s="53">
        <f>IFERROR(__xludf.DUMMYFUNCTION("""COMPUTED_VALUE"""),133.41)</f>
        <v>133.41</v>
      </c>
      <c r="O151" s="54">
        <f>IFERROR(__xludf.DUMMYFUNCTION("""COMPUTED_VALUE"""),8.00051423E8)</f>
        <v>800051423</v>
      </c>
      <c r="P151" s="49" t="str">
        <f>IFERROR(__xludf.DUMMYFUNCTION("""COMPUTED_VALUE"""),"Y")</f>
        <v>Y</v>
      </c>
      <c r="Q151" s="49" t="str">
        <f>IFERROR(__xludf.DUMMYFUNCTION("""COMPUTED_VALUE"""),"Y")</f>
        <v>Y</v>
      </c>
      <c r="R151" s="49"/>
      <c r="S151" s="49"/>
      <c r="T151" s="49"/>
      <c r="U151" s="49"/>
      <c r="V151" s="49"/>
      <c r="W151" s="49"/>
      <c r="X151" s="49"/>
      <c r="Y151" s="49"/>
      <c r="Z151" s="49"/>
    </row>
    <row r="152">
      <c r="A152" s="49" t="str">
        <f>IFERROR(__xludf.DUMMYFUNCTION("""COMPUTED_VALUE"""),"---")</f>
        <v>---</v>
      </c>
      <c r="B152" s="49" t="str">
        <f>IFERROR(__xludf.DUMMYFUNCTION("""COMPUTED_VALUE"""),"---")</f>
        <v>---</v>
      </c>
      <c r="C152" s="50" t="str">
        <f>IFERROR(__xludf.DUMMYFUNCTION("""COMPUTED_VALUE"""),"Stock")</f>
        <v>Stock</v>
      </c>
      <c r="D152" s="49"/>
      <c r="E152" s="49"/>
      <c r="F152" s="49"/>
      <c r="G152" s="49" t="str">
        <f>IFERROR(__xludf.DUMMYFUNCTION("""COMPUTED_VALUE"""),"T45 quick plug")</f>
        <v>T45 quick plug</v>
      </c>
      <c r="H152" s="52"/>
      <c r="I152" s="49"/>
      <c r="J152" s="51">
        <f>IFERROR(__xludf.DUMMYFUNCTION("""COMPUTED_VALUE"""),46048.0)</f>
        <v>46048</v>
      </c>
      <c r="K152" s="52"/>
      <c r="L152" s="49" t="str">
        <f>IFERROR(__xludf.DUMMYFUNCTION("""COMPUTED_VALUE"""),"Ace")</f>
        <v>Ace</v>
      </c>
      <c r="M152" s="49">
        <f>IFERROR(__xludf.DUMMYFUNCTION("""COMPUTED_VALUE"""),5.00300824E8)</f>
        <v>500300824</v>
      </c>
      <c r="N152" s="53">
        <f>IFERROR(__xludf.DUMMYFUNCTION("""COMPUTED_VALUE"""),89.95)</f>
        <v>89.95</v>
      </c>
      <c r="O152" s="54">
        <f>IFERROR(__xludf.DUMMYFUNCTION("""COMPUTED_VALUE"""),8.00051423E8)</f>
        <v>800051423</v>
      </c>
      <c r="P152" s="49" t="str">
        <f>IFERROR(__xludf.DUMMYFUNCTION("""COMPUTED_VALUE"""),"na")</f>
        <v>na</v>
      </c>
      <c r="Q152" s="49" t="str">
        <f>IFERROR(__xludf.DUMMYFUNCTION("""COMPUTED_VALUE"""),"na")</f>
        <v>na</v>
      </c>
      <c r="R152" s="49"/>
      <c r="S152" s="49"/>
      <c r="T152" s="49"/>
      <c r="U152" s="49"/>
      <c r="V152" s="49"/>
      <c r="W152" s="49"/>
      <c r="X152" s="49"/>
      <c r="Y152" s="49"/>
      <c r="Z152" s="49"/>
    </row>
    <row r="153">
      <c r="A153" s="49" t="str">
        <f>IFERROR(__xludf.DUMMYFUNCTION("""COMPUTED_VALUE"""),"---")</f>
        <v>---</v>
      </c>
      <c r="B153" s="49" t="str">
        <f>IFERROR(__xludf.DUMMYFUNCTION("""COMPUTED_VALUE"""),"---")</f>
        <v>---</v>
      </c>
      <c r="C153" s="50" t="str">
        <f>IFERROR(__xludf.DUMMYFUNCTION("""COMPUTED_VALUE"""),"Stock")</f>
        <v>Stock</v>
      </c>
      <c r="D153" s="49"/>
      <c r="E153" s="49" t="str">
        <f>IFERROR(__xludf.DUMMYFUNCTION("""COMPUTED_VALUE"""),"South")</f>
        <v>South</v>
      </c>
      <c r="F153" s="49" t="str">
        <f>IFERROR(__xludf.DUMMYFUNCTION("""COMPUTED_VALUE"""),"South")</f>
        <v>South</v>
      </c>
      <c r="G153" s="49" t="str">
        <f>IFERROR(__xludf.DUMMYFUNCTION("""COMPUTED_VALUE"""),"Hammer Zero Mercy Pearl 15 lb")</f>
        <v>Hammer Zero Mercy Pearl 15 lb</v>
      </c>
      <c r="H153" s="52"/>
      <c r="I153" s="49"/>
      <c r="J153" s="51">
        <f>IFERROR(__xludf.DUMMYFUNCTION("""COMPUTED_VALUE"""),46048.0)</f>
        <v>46048</v>
      </c>
      <c r="K153" s="52"/>
      <c r="L153" s="49" t="str">
        <f>IFERROR(__xludf.DUMMYFUNCTION("""COMPUTED_VALUE"""),"Ace")</f>
        <v>Ace</v>
      </c>
      <c r="M153" s="49">
        <f>IFERROR(__xludf.DUMMYFUNCTION("""COMPUTED_VALUE"""),5.00300824E8)</f>
        <v>500300824</v>
      </c>
      <c r="N153" s="53">
        <f>IFERROR(__xludf.DUMMYFUNCTION("""COMPUTED_VALUE"""),158.82)</f>
        <v>158.82</v>
      </c>
      <c r="O153" s="54">
        <f>IFERROR(__xludf.DUMMYFUNCTION("""COMPUTED_VALUE"""),8.00051423E8)</f>
        <v>800051423</v>
      </c>
      <c r="P153" s="49" t="str">
        <f>IFERROR(__xludf.DUMMYFUNCTION("""COMPUTED_VALUE"""),"na")</f>
        <v>na</v>
      </c>
      <c r="Q153" s="49" t="str">
        <f>IFERROR(__xludf.DUMMYFUNCTION("""COMPUTED_VALUE"""),"na")</f>
        <v>na</v>
      </c>
      <c r="R153" s="49"/>
      <c r="S153" s="49"/>
      <c r="T153" s="49"/>
      <c r="U153" s="49"/>
      <c r="V153" s="49"/>
      <c r="W153" s="49"/>
      <c r="X153" s="49"/>
      <c r="Y153" s="49"/>
      <c r="Z153" s="49"/>
    </row>
    <row r="154">
      <c r="A154" s="49" t="str">
        <f>IFERROR(__xludf.DUMMYFUNCTION("""COMPUTED_VALUE"""),"---")</f>
        <v>---</v>
      </c>
      <c r="B154" s="49" t="str">
        <f>IFERROR(__xludf.DUMMYFUNCTION("""COMPUTED_VALUE"""),"---")</f>
        <v>---</v>
      </c>
      <c r="C154" s="50" t="str">
        <f>IFERROR(__xludf.DUMMYFUNCTION("""COMPUTED_VALUE"""),"Leann Martin")</f>
        <v>Leann Martin</v>
      </c>
      <c r="D154" s="49"/>
      <c r="E154" s="49" t="str">
        <f>IFERROR(__xludf.DUMMYFUNCTION("""COMPUTED_VALUE"""),"Valley")</f>
        <v>Valley</v>
      </c>
      <c r="F154" s="49" t="str">
        <f>IFERROR(__xludf.DUMMYFUNCTION("""COMPUTED_VALUE"""),"Valley")</f>
        <v>Valley</v>
      </c>
      <c r="G154" s="49" t="str">
        <f>IFERROR(__xludf.DUMMYFUNCTION("""COMPUTED_VALUE"""),"Zero Mercy Solid - 13lbs")</f>
        <v>Zero Mercy Solid - 13lbs</v>
      </c>
      <c r="H154" s="52"/>
      <c r="I154" s="49"/>
      <c r="J154" s="51">
        <f>IFERROR(__xludf.DUMMYFUNCTION("""COMPUTED_VALUE"""),46048.0)</f>
        <v>46048</v>
      </c>
      <c r="K154" s="52"/>
      <c r="L154" s="49" t="str">
        <f>IFERROR(__xludf.DUMMYFUNCTION("""COMPUTED_VALUE"""),"Ace")</f>
        <v>Ace</v>
      </c>
      <c r="M154" s="49">
        <f>IFERROR(__xludf.DUMMYFUNCTION("""COMPUTED_VALUE"""),5.00300824E8)</f>
        <v>500300824</v>
      </c>
      <c r="N154" s="53">
        <f>IFERROR(__xludf.DUMMYFUNCTION("""COMPUTED_VALUE"""),158.82)</f>
        <v>158.82</v>
      </c>
      <c r="O154" s="54">
        <f>IFERROR(__xludf.DUMMYFUNCTION("""COMPUTED_VALUE"""),8.00051423E8)</f>
        <v>800051423</v>
      </c>
      <c r="P154" s="49" t="str">
        <f>IFERROR(__xludf.DUMMYFUNCTION("""COMPUTED_VALUE"""),"Y")</f>
        <v>Y</v>
      </c>
      <c r="Q154" s="49" t="str">
        <f>IFERROR(__xludf.DUMMYFUNCTION("""COMPUTED_VALUE"""),"Y")</f>
        <v>Y</v>
      </c>
      <c r="R154" s="49"/>
      <c r="S154" s="49"/>
      <c r="T154" s="49"/>
      <c r="U154" s="49"/>
      <c r="V154" s="49"/>
      <c r="W154" s="49"/>
      <c r="X154" s="49"/>
      <c r="Y154" s="49"/>
      <c r="Z154" s="49"/>
    </row>
    <row r="155">
      <c r="A155" s="49" t="str">
        <f>IFERROR(__xludf.DUMMYFUNCTION("""COMPUTED_VALUE"""),"---")</f>
        <v>---</v>
      </c>
      <c r="B155" s="49" t="str">
        <f>IFERROR(__xludf.DUMMYFUNCTION("""COMPUTED_VALUE"""),"---")</f>
        <v>---</v>
      </c>
      <c r="C155" s="50" t="str">
        <f>IFERROR(__xludf.DUMMYFUNCTION("""COMPUTED_VALUE"""),"Stock")</f>
        <v>Stock</v>
      </c>
      <c r="D155" s="49"/>
      <c r="E155" s="49" t="str">
        <f>IFERROR(__xludf.DUMMYFUNCTION("""COMPUTED_VALUE"""),"South")</f>
        <v>South</v>
      </c>
      <c r="F155" s="49" t="str">
        <f>IFERROR(__xludf.DUMMYFUNCTION("""COMPUTED_VALUE"""),"South")</f>
        <v>South</v>
      </c>
      <c r="G155" s="49" t="str">
        <f>IFERROR(__xludf.DUMMYFUNCTION("""COMPUTED_VALUE"""),"Hammer Black Widow Dynasty 3.0 15 lb (2)")</f>
        <v>Hammer Black Widow Dynasty 3.0 15 lb (2)</v>
      </c>
      <c r="H155" s="52"/>
      <c r="I155" s="49"/>
      <c r="J155" s="51">
        <f>IFERROR(__xludf.DUMMYFUNCTION("""COMPUTED_VALUE"""),46052.0)</f>
        <v>46052</v>
      </c>
      <c r="K155" s="52"/>
      <c r="L155" s="49" t="str">
        <f>IFERROR(__xludf.DUMMYFUNCTION("""COMPUTED_VALUE"""),"B Supply")</f>
        <v>B Supply</v>
      </c>
      <c r="M155" s="49">
        <f>IFERROR(__xludf.DUMMYFUNCTION("""COMPUTED_VALUE"""),518174.0)</f>
        <v>518174</v>
      </c>
      <c r="N155" s="53">
        <f>IFERROR(__xludf.DUMMYFUNCTION("""COMPUTED_VALUE"""),132.15)</f>
        <v>132.15</v>
      </c>
      <c r="O155" s="54">
        <f>IFERROR(__xludf.DUMMYFUNCTION("""COMPUTED_VALUE"""),664405.0)</f>
        <v>664405</v>
      </c>
      <c r="P155" s="49" t="str">
        <f>IFERROR(__xludf.DUMMYFUNCTION("""COMPUTED_VALUE"""),"na")</f>
        <v>na</v>
      </c>
      <c r="Q155" s="49" t="str">
        <f>IFERROR(__xludf.DUMMYFUNCTION("""COMPUTED_VALUE"""),"na")</f>
        <v>na</v>
      </c>
      <c r="R155" s="49"/>
      <c r="S155" s="49"/>
      <c r="T155" s="49"/>
      <c r="U155" s="49"/>
      <c r="V155" s="49"/>
      <c r="W155" s="49"/>
      <c r="X155" s="49"/>
      <c r="Y155" s="49"/>
      <c r="Z155" s="49"/>
    </row>
    <row r="156">
      <c r="A156" s="49" t="str">
        <f>IFERROR(__xludf.DUMMYFUNCTION("""COMPUTED_VALUE"""),"---")</f>
        <v>---</v>
      </c>
      <c r="B156" s="49" t="str">
        <f>IFERROR(__xludf.DUMMYFUNCTION("""COMPUTED_VALUE"""),"---")</f>
        <v>---</v>
      </c>
      <c r="C156" s="50" t="str">
        <f>IFERROR(__xludf.DUMMYFUNCTION("""COMPUTED_VALUE"""),"Stock")</f>
        <v>Stock</v>
      </c>
      <c r="D156" s="49"/>
      <c r="E156" s="49" t="str">
        <f>IFERROR(__xludf.DUMMYFUNCTION("""COMPUTED_VALUE"""),"South")</f>
        <v>South</v>
      </c>
      <c r="F156" s="49" t="str">
        <f>IFERROR(__xludf.DUMMYFUNCTION("""COMPUTED_VALUE"""),"South")</f>
        <v>South</v>
      </c>
      <c r="G156" s="49" t="str">
        <f>IFERROR(__xludf.DUMMYFUNCTION("""COMPUTED_VALUE"""),"Hammer Tour V1 15 lb (2)")</f>
        <v>Hammer Tour V1 15 lb (2)</v>
      </c>
      <c r="H156" s="52"/>
      <c r="I156" s="49"/>
      <c r="J156" s="51">
        <f>IFERROR(__xludf.DUMMYFUNCTION("""COMPUTED_VALUE"""),46052.0)</f>
        <v>46052</v>
      </c>
      <c r="K156" s="52"/>
      <c r="L156" s="49" t="str">
        <f>IFERROR(__xludf.DUMMYFUNCTION("""COMPUTED_VALUE"""),"B Supply")</f>
        <v>B Supply</v>
      </c>
      <c r="M156" s="49">
        <f>IFERROR(__xludf.DUMMYFUNCTION("""COMPUTED_VALUE"""),518174.0)</f>
        <v>518174</v>
      </c>
      <c r="N156" s="53">
        <f>IFERROR(__xludf.DUMMYFUNCTION("""COMPUTED_VALUE"""),132.15)</f>
        <v>132.15</v>
      </c>
      <c r="O156" s="54">
        <f>IFERROR(__xludf.DUMMYFUNCTION("""COMPUTED_VALUE"""),664405.0)</f>
        <v>664405</v>
      </c>
      <c r="P156" s="49" t="str">
        <f>IFERROR(__xludf.DUMMYFUNCTION("""COMPUTED_VALUE"""),"na")</f>
        <v>na</v>
      </c>
      <c r="Q156" s="49" t="str">
        <f>IFERROR(__xludf.DUMMYFUNCTION("""COMPUTED_VALUE"""),"na")</f>
        <v>na</v>
      </c>
      <c r="R156" s="49"/>
      <c r="S156" s="49"/>
      <c r="T156" s="49"/>
      <c r="U156" s="49"/>
      <c r="V156" s="49"/>
      <c r="W156" s="49"/>
      <c r="X156" s="49"/>
      <c r="Y156" s="49"/>
      <c r="Z156" s="49"/>
    </row>
    <row r="157">
      <c r="A157" s="49" t="str">
        <f>IFERROR(__xludf.DUMMYFUNCTION("""COMPUTED_VALUE"""),"---")</f>
        <v>---</v>
      </c>
      <c r="B157" s="49" t="str">
        <f>IFERROR(__xludf.DUMMYFUNCTION("""COMPUTED_VALUE"""),"---")</f>
        <v>---</v>
      </c>
      <c r="C157" s="50" t="str">
        <f>IFERROR(__xludf.DUMMYFUNCTION("""COMPUTED_VALUE"""),"Stock")</f>
        <v>Stock</v>
      </c>
      <c r="D157" s="49"/>
      <c r="E157" s="49"/>
      <c r="F157" s="49"/>
      <c r="G157" s="49" t="str">
        <f>IFERROR(__xludf.DUMMYFUNCTION("""COMPUTED_VALUE"""),"Hammer Tough single tote blue (2)")</f>
        <v>Hammer Tough single tote blue (2)</v>
      </c>
      <c r="H157" s="52"/>
      <c r="I157" s="49"/>
      <c r="J157" s="51">
        <f>IFERROR(__xludf.DUMMYFUNCTION("""COMPUTED_VALUE"""),46052.0)</f>
        <v>46052</v>
      </c>
      <c r="K157" s="52"/>
      <c r="L157" s="49" t="str">
        <f>IFERROR(__xludf.DUMMYFUNCTION("""COMPUTED_VALUE"""),"B Supply")</f>
        <v>B Supply</v>
      </c>
      <c r="M157" s="49">
        <f>IFERROR(__xludf.DUMMYFUNCTION("""COMPUTED_VALUE"""),518174.0)</f>
        <v>518174</v>
      </c>
      <c r="N157" s="53">
        <f>IFERROR(__xludf.DUMMYFUNCTION("""COMPUTED_VALUE"""),0.0)</f>
        <v>0</v>
      </c>
      <c r="O157" s="54">
        <f>IFERROR(__xludf.DUMMYFUNCTION("""COMPUTED_VALUE"""),664405.0)</f>
        <v>664405</v>
      </c>
      <c r="P157" s="49" t="str">
        <f>IFERROR(__xludf.DUMMYFUNCTION("""COMPUTED_VALUE"""),"na")</f>
        <v>na</v>
      </c>
      <c r="Q157" s="49" t="str">
        <f>IFERROR(__xludf.DUMMYFUNCTION("""COMPUTED_VALUE"""),"na")</f>
        <v>na</v>
      </c>
      <c r="R157" s="49"/>
      <c r="S157" s="49"/>
      <c r="T157" s="49"/>
      <c r="U157" s="49"/>
      <c r="V157" s="49"/>
      <c r="W157" s="49"/>
      <c r="X157" s="49"/>
      <c r="Y157" s="49"/>
      <c r="Z157" s="49"/>
    </row>
    <row r="158">
      <c r="A158" s="49" t="str">
        <f>IFERROR(__xludf.DUMMYFUNCTION("""COMPUTED_VALUE"""),"---")</f>
        <v>---</v>
      </c>
      <c r="B158" s="49" t="str">
        <f>IFERROR(__xludf.DUMMYFUNCTION("""COMPUTED_VALUE"""),"---")</f>
        <v>---</v>
      </c>
      <c r="C158" s="50" t="str">
        <f>IFERROR(__xludf.DUMMYFUNCTION("""COMPUTED_VALUE"""),"Stock")</f>
        <v>Stock</v>
      </c>
      <c r="D158" s="49"/>
      <c r="E158" s="49"/>
      <c r="F158" s="49"/>
      <c r="G158" s="49" t="str">
        <f>IFERROR(__xludf.DUMMYFUNCTION("""COMPUTED_VALUE"""),"Hammer Tough single tote purple (2)")</f>
        <v>Hammer Tough single tote purple (2)</v>
      </c>
      <c r="H158" s="52"/>
      <c r="I158" s="49"/>
      <c r="J158" s="51">
        <f>IFERROR(__xludf.DUMMYFUNCTION("""COMPUTED_VALUE"""),46052.0)</f>
        <v>46052</v>
      </c>
      <c r="K158" s="52"/>
      <c r="L158" s="49" t="str">
        <f>IFERROR(__xludf.DUMMYFUNCTION("""COMPUTED_VALUE"""),"B Supply")</f>
        <v>B Supply</v>
      </c>
      <c r="M158" s="49">
        <f>IFERROR(__xludf.DUMMYFUNCTION("""COMPUTED_VALUE"""),518174.0)</f>
        <v>518174</v>
      </c>
      <c r="N158" s="53">
        <f>IFERROR(__xludf.DUMMYFUNCTION("""COMPUTED_VALUE"""),0.0)</f>
        <v>0</v>
      </c>
      <c r="O158" s="54">
        <f>IFERROR(__xludf.DUMMYFUNCTION("""COMPUTED_VALUE"""),664405.0)</f>
        <v>664405</v>
      </c>
      <c r="P158" s="49" t="str">
        <f>IFERROR(__xludf.DUMMYFUNCTION("""COMPUTED_VALUE"""),"na")</f>
        <v>na</v>
      </c>
      <c r="Q158" s="49" t="str">
        <f>IFERROR(__xludf.DUMMYFUNCTION("""COMPUTED_VALUE"""),"na")</f>
        <v>na</v>
      </c>
      <c r="R158" s="49"/>
      <c r="S158" s="49"/>
      <c r="T158" s="49"/>
      <c r="U158" s="49"/>
      <c r="V158" s="49"/>
      <c r="W158" s="49"/>
      <c r="X158" s="49"/>
      <c r="Y158" s="49"/>
      <c r="Z158" s="49"/>
    </row>
    <row r="159">
      <c r="A159" s="49" t="str">
        <f>IFERROR(__xludf.DUMMYFUNCTION("""COMPUTED_VALUE"""),"---")</f>
        <v>---</v>
      </c>
      <c r="B159" s="49" t="str">
        <f>IFERROR(__xludf.DUMMYFUNCTION("""COMPUTED_VALUE"""),"---")</f>
        <v>---</v>
      </c>
      <c r="C159" s="50" t="str">
        <f>IFERROR(__xludf.DUMMYFUNCTION("""COMPUTED_VALUE"""),"Stock")</f>
        <v>Stock</v>
      </c>
      <c r="D159" s="49"/>
      <c r="E159" s="49" t="str">
        <f>IFERROR(__xludf.DUMMYFUNCTION("""COMPUTED_VALUE"""),"Valley")</f>
        <v>Valley</v>
      </c>
      <c r="F159" s="49" t="str">
        <f>IFERROR(__xludf.DUMMYFUNCTION("""COMPUTED_VALUE"""),"Valley")</f>
        <v>Valley</v>
      </c>
      <c r="G159" s="49" t="str">
        <f>IFERROR(__xludf.DUMMYFUNCTION("""COMPUTED_VALUE"""),"Hammer Black Widow Dynasty 3.0 15 lb")</f>
        <v>Hammer Black Widow Dynasty 3.0 15 lb</v>
      </c>
      <c r="H159" s="52"/>
      <c r="I159" s="49"/>
      <c r="J159" s="51">
        <f>IFERROR(__xludf.DUMMYFUNCTION("""COMPUTED_VALUE"""),46055.0)</f>
        <v>46055</v>
      </c>
      <c r="K159" s="52"/>
      <c r="L159" s="49" t="str">
        <f>IFERROR(__xludf.DUMMYFUNCTION("""COMPUTED_VALUE"""),"B Supply")</f>
        <v>B Supply</v>
      </c>
      <c r="M159" s="49">
        <f>IFERROR(__xludf.DUMMYFUNCTION("""COMPUTED_VALUE"""),518174.0)</f>
        <v>518174</v>
      </c>
      <c r="N159" s="53">
        <f>IFERROR(__xludf.DUMMYFUNCTION("""COMPUTED_VALUE"""),132.15)</f>
        <v>132.15</v>
      </c>
      <c r="O159" s="54">
        <f>IFERROR(__xludf.DUMMYFUNCTION("""COMPUTED_VALUE"""),664405.0)</f>
        <v>664405</v>
      </c>
      <c r="P159" s="49" t="str">
        <f>IFERROR(__xludf.DUMMYFUNCTION("""COMPUTED_VALUE"""),"na")</f>
        <v>na</v>
      </c>
      <c r="Q159" s="49" t="str">
        <f>IFERROR(__xludf.DUMMYFUNCTION("""COMPUTED_VALUE"""),"na")</f>
        <v>na</v>
      </c>
      <c r="R159" s="49"/>
      <c r="S159" s="49"/>
      <c r="T159" s="49"/>
      <c r="U159" s="49"/>
      <c r="V159" s="49"/>
      <c r="W159" s="49"/>
      <c r="X159" s="49"/>
      <c r="Y159" s="49"/>
      <c r="Z159" s="49"/>
    </row>
    <row r="160">
      <c r="A160" s="49" t="str">
        <f>IFERROR(__xludf.DUMMYFUNCTION("""COMPUTED_VALUE"""),"---")</f>
        <v>---</v>
      </c>
      <c r="B160" s="49" t="str">
        <f>IFERROR(__xludf.DUMMYFUNCTION("""COMPUTED_VALUE"""),"---")</f>
        <v>---</v>
      </c>
      <c r="C160" s="50" t="str">
        <f>IFERROR(__xludf.DUMMYFUNCTION("""COMPUTED_VALUE"""),"Stock")</f>
        <v>Stock</v>
      </c>
      <c r="D160" s="49"/>
      <c r="E160" s="49" t="str">
        <f>IFERROR(__xludf.DUMMYFUNCTION("""COMPUTED_VALUE"""),"Valley")</f>
        <v>Valley</v>
      </c>
      <c r="F160" s="49" t="str">
        <f>IFERROR(__xludf.DUMMYFUNCTION("""COMPUTED_VALUE"""),"Valley")</f>
        <v>Valley</v>
      </c>
      <c r="G160" s="49" t="str">
        <f>IFERROR(__xludf.DUMMYFUNCTION("""COMPUTED_VALUE"""),"Hammer Tour V1 15 lb")</f>
        <v>Hammer Tour V1 15 lb</v>
      </c>
      <c r="H160" s="52"/>
      <c r="I160" s="49"/>
      <c r="J160" s="51">
        <f>IFERROR(__xludf.DUMMYFUNCTION("""COMPUTED_VALUE"""),46055.0)</f>
        <v>46055</v>
      </c>
      <c r="K160" s="52"/>
      <c r="L160" s="49" t="str">
        <f>IFERROR(__xludf.DUMMYFUNCTION("""COMPUTED_VALUE"""),"B Supply")</f>
        <v>B Supply</v>
      </c>
      <c r="M160" s="49">
        <f>IFERROR(__xludf.DUMMYFUNCTION("""COMPUTED_VALUE"""),518174.0)</f>
        <v>518174</v>
      </c>
      <c r="N160" s="53">
        <f>IFERROR(__xludf.DUMMYFUNCTION("""COMPUTED_VALUE"""),132.15)</f>
        <v>132.15</v>
      </c>
      <c r="O160" s="54">
        <f>IFERROR(__xludf.DUMMYFUNCTION("""COMPUTED_VALUE"""),664405.0)</f>
        <v>664405</v>
      </c>
      <c r="P160" s="49" t="str">
        <f>IFERROR(__xludf.DUMMYFUNCTION("""COMPUTED_VALUE"""),"na")</f>
        <v>na</v>
      </c>
      <c r="Q160" s="49" t="str">
        <f>IFERROR(__xludf.DUMMYFUNCTION("""COMPUTED_VALUE"""),"na")</f>
        <v>na</v>
      </c>
      <c r="R160" s="49"/>
      <c r="S160" s="49"/>
      <c r="T160" s="49"/>
      <c r="U160" s="49"/>
      <c r="V160" s="49"/>
      <c r="W160" s="49"/>
      <c r="X160" s="49"/>
      <c r="Y160" s="49"/>
      <c r="Z160" s="49"/>
    </row>
    <row r="161">
      <c r="A161" s="49" t="str">
        <f>IFERROR(__xludf.DUMMYFUNCTION("""COMPUTED_VALUE"""),"---")</f>
        <v>---</v>
      </c>
      <c r="B161" s="49" t="str">
        <f>IFERROR(__xludf.DUMMYFUNCTION("""COMPUTED_VALUE"""),"---")</f>
        <v>---</v>
      </c>
      <c r="C161" s="50" t="str">
        <f>IFERROR(__xludf.DUMMYFUNCTION("""COMPUTED_VALUE"""),"Stock")</f>
        <v>Stock</v>
      </c>
      <c r="D161" s="49"/>
      <c r="E161" s="49"/>
      <c r="F161" s="49"/>
      <c r="G161" s="49" t="str">
        <f>IFERROR(__xludf.DUMMYFUNCTION("""COMPUTED_VALUE"""),"Hammer single tote")</f>
        <v>Hammer single tote</v>
      </c>
      <c r="H161" s="52"/>
      <c r="I161" s="49"/>
      <c r="J161" s="51">
        <f>IFERROR(__xludf.DUMMYFUNCTION("""COMPUTED_VALUE"""),46055.0)</f>
        <v>46055</v>
      </c>
      <c r="K161" s="52"/>
      <c r="L161" s="49" t="str">
        <f>IFERROR(__xludf.DUMMYFUNCTION("""COMPUTED_VALUE"""),"B Supply")</f>
        <v>B Supply</v>
      </c>
      <c r="M161" s="49">
        <f>IFERROR(__xludf.DUMMYFUNCTION("""COMPUTED_VALUE"""),518174.0)</f>
        <v>518174</v>
      </c>
      <c r="N161" s="53">
        <f>IFERROR(__xludf.DUMMYFUNCTION("""COMPUTED_VALUE"""),0.0)</f>
        <v>0</v>
      </c>
      <c r="O161" s="54">
        <f>IFERROR(__xludf.DUMMYFUNCTION("""COMPUTED_VALUE"""),664405.0)</f>
        <v>664405</v>
      </c>
      <c r="P161" s="49" t="str">
        <f>IFERROR(__xludf.DUMMYFUNCTION("""COMPUTED_VALUE"""),"na")</f>
        <v>na</v>
      </c>
      <c r="Q161" s="49" t="str">
        <f>IFERROR(__xludf.DUMMYFUNCTION("""COMPUTED_VALUE"""),"na")</f>
        <v>na</v>
      </c>
      <c r="R161" s="49"/>
      <c r="S161" s="49"/>
      <c r="T161" s="49"/>
      <c r="U161" s="49"/>
      <c r="V161" s="49"/>
      <c r="W161" s="49"/>
      <c r="X161" s="49"/>
      <c r="Y161" s="49"/>
      <c r="Z161" s="49"/>
    </row>
    <row r="162">
      <c r="A162" s="49" t="str">
        <f>IFERROR(__xludf.DUMMYFUNCTION("""COMPUTED_VALUE"""),"---")</f>
        <v>---</v>
      </c>
      <c r="B162" s="49" t="str">
        <f>IFERROR(__xludf.DUMMYFUNCTION("""COMPUTED_VALUE"""),"---")</f>
        <v>---</v>
      </c>
      <c r="C162" s="50" t="str">
        <f>IFERROR(__xludf.DUMMYFUNCTION("""COMPUTED_VALUE"""),"Stock")</f>
        <v>Stock</v>
      </c>
      <c r="D162" s="49"/>
      <c r="E162" s="49"/>
      <c r="F162" s="49"/>
      <c r="G162" s="49" t="str">
        <f>IFERROR(__xludf.DUMMYFUNCTION("""COMPUTED_VALUE"""),"Hammer single tote")</f>
        <v>Hammer single tote</v>
      </c>
      <c r="H162" s="52"/>
      <c r="I162" s="49"/>
      <c r="J162" s="51">
        <f>IFERROR(__xludf.DUMMYFUNCTION("""COMPUTED_VALUE"""),46055.0)</f>
        <v>46055</v>
      </c>
      <c r="K162" s="52"/>
      <c r="L162" s="49" t="str">
        <f>IFERROR(__xludf.DUMMYFUNCTION("""COMPUTED_VALUE"""),"B Supply")</f>
        <v>B Supply</v>
      </c>
      <c r="M162" s="49">
        <f>IFERROR(__xludf.DUMMYFUNCTION("""COMPUTED_VALUE"""),518174.0)</f>
        <v>518174</v>
      </c>
      <c r="N162" s="53">
        <f>IFERROR(__xludf.DUMMYFUNCTION("""COMPUTED_VALUE"""),0.0)</f>
        <v>0</v>
      </c>
      <c r="O162" s="54">
        <f>IFERROR(__xludf.DUMMYFUNCTION("""COMPUTED_VALUE"""),664405.0)</f>
        <v>664405</v>
      </c>
      <c r="P162" s="49" t="str">
        <f>IFERROR(__xludf.DUMMYFUNCTION("""COMPUTED_VALUE"""),"na")</f>
        <v>na</v>
      </c>
      <c r="Q162" s="49" t="str">
        <f>IFERROR(__xludf.DUMMYFUNCTION("""COMPUTED_VALUE"""),"na")</f>
        <v>na</v>
      </c>
      <c r="R162" s="49"/>
      <c r="S162" s="49"/>
      <c r="T162" s="49"/>
      <c r="U162" s="49"/>
      <c r="V162" s="49"/>
      <c r="W162" s="49"/>
      <c r="X162" s="49"/>
      <c r="Y162" s="49"/>
      <c r="Z162" s="49"/>
    </row>
    <row r="163">
      <c r="A163" s="49" t="str">
        <f>IFERROR(__xludf.DUMMYFUNCTION("""COMPUTED_VALUE"""),"---")</f>
        <v>---</v>
      </c>
      <c r="B163" s="49" t="str">
        <f>IFERROR(__xludf.DUMMYFUNCTION("""COMPUTED_VALUE"""),"---")</f>
        <v>---</v>
      </c>
      <c r="C163" s="50" t="str">
        <f>IFERROR(__xludf.DUMMYFUNCTION("""COMPUTED_VALUE"""),"Stock")</f>
        <v>Stock</v>
      </c>
      <c r="D163" s="49"/>
      <c r="E163" s="49"/>
      <c r="F163" s="49"/>
      <c r="G163" s="49" t="str">
        <f>IFERROR(__xludf.DUMMYFUNCTION("""COMPUTED_VALUE"""),"Jopo inner sleeves")</f>
        <v>Jopo inner sleeves</v>
      </c>
      <c r="H163" s="52"/>
      <c r="I163" s="49"/>
      <c r="J163" s="51">
        <f>IFERROR(__xludf.DUMMYFUNCTION("""COMPUTED_VALUE"""),46055.0)</f>
        <v>46055</v>
      </c>
      <c r="K163" s="52"/>
      <c r="L163" s="49" t="str">
        <f>IFERROR(__xludf.DUMMYFUNCTION("""COMPUTED_VALUE"""),"Ace")</f>
        <v>Ace</v>
      </c>
      <c r="M163" s="49">
        <f>IFERROR(__xludf.DUMMYFUNCTION("""COMPUTED_VALUE"""),5.00303439E8)</f>
        <v>500303439</v>
      </c>
      <c r="N163" s="53">
        <f>IFERROR(__xludf.DUMMYFUNCTION("""COMPUTED_VALUE"""),9.06)</f>
        <v>9.06</v>
      </c>
      <c r="O163" s="54">
        <f>IFERROR(__xludf.DUMMYFUNCTION("""COMPUTED_VALUE"""),8.0005177E8)</f>
        <v>800051770</v>
      </c>
      <c r="P163" s="49" t="str">
        <f>IFERROR(__xludf.DUMMYFUNCTION("""COMPUTED_VALUE"""),"na")</f>
        <v>na</v>
      </c>
      <c r="Q163" s="49" t="str">
        <f>IFERROR(__xludf.DUMMYFUNCTION("""COMPUTED_VALUE"""),"na")</f>
        <v>na</v>
      </c>
      <c r="R163" s="49"/>
      <c r="S163" s="49"/>
      <c r="T163" s="49"/>
      <c r="U163" s="49"/>
      <c r="V163" s="49"/>
      <c r="W163" s="49"/>
      <c r="X163" s="49"/>
      <c r="Y163" s="49"/>
      <c r="Z163" s="49"/>
    </row>
    <row r="164">
      <c r="A164" s="49" t="str">
        <f>IFERROR(__xludf.DUMMYFUNCTION("""COMPUTED_VALUE"""),"---")</f>
        <v>---</v>
      </c>
      <c r="B164" s="49" t="str">
        <f>IFERROR(__xludf.DUMMYFUNCTION("""COMPUTED_VALUE"""),"---")</f>
        <v>---</v>
      </c>
      <c r="C164" s="50" t="str">
        <f>IFERROR(__xludf.DUMMYFUNCTION("""COMPUTED_VALUE"""),"Stock")</f>
        <v>Stock</v>
      </c>
      <c r="D164" s="49"/>
      <c r="E164" s="49"/>
      <c r="F164" s="49"/>
      <c r="G164" s="49" t="str">
        <f>IFERROR(__xludf.DUMMYFUNCTION("""COMPUTED_VALUE"""),"Jopo outer sleeves")</f>
        <v>Jopo outer sleeves</v>
      </c>
      <c r="H164" s="52"/>
      <c r="I164" s="49"/>
      <c r="J164" s="51">
        <f>IFERROR(__xludf.DUMMYFUNCTION("""COMPUTED_VALUE"""),46055.0)</f>
        <v>46055</v>
      </c>
      <c r="K164" s="52"/>
      <c r="L164" s="49" t="str">
        <f>IFERROR(__xludf.DUMMYFUNCTION("""COMPUTED_VALUE"""),"Ace")</f>
        <v>Ace</v>
      </c>
      <c r="M164" s="49">
        <f>IFERROR(__xludf.DUMMYFUNCTION("""COMPUTED_VALUE"""),5.00303439E8)</f>
        <v>500303439</v>
      </c>
      <c r="N164" s="53">
        <f>IFERROR(__xludf.DUMMYFUNCTION("""COMPUTED_VALUE"""),8.04)</f>
        <v>8.04</v>
      </c>
      <c r="O164" s="54">
        <f>IFERROR(__xludf.DUMMYFUNCTION("""COMPUTED_VALUE"""),8.0005177E8)</f>
        <v>800051770</v>
      </c>
      <c r="P164" s="49" t="str">
        <f>IFERROR(__xludf.DUMMYFUNCTION("""COMPUTED_VALUE"""),"na")</f>
        <v>na</v>
      </c>
      <c r="Q164" s="49" t="str">
        <f>IFERROR(__xludf.DUMMYFUNCTION("""COMPUTED_VALUE"""),"na")</f>
        <v>na</v>
      </c>
      <c r="R164" s="49"/>
      <c r="S164" s="49"/>
      <c r="T164" s="49"/>
      <c r="U164" s="49"/>
      <c r="V164" s="49"/>
      <c r="W164" s="49"/>
      <c r="X164" s="49"/>
      <c r="Y164" s="49"/>
      <c r="Z164" s="49"/>
    </row>
    <row r="165">
      <c r="A165" s="49" t="str">
        <f>IFERROR(__xludf.DUMMYFUNCTION("""COMPUTED_VALUE"""),"---")</f>
        <v>---</v>
      </c>
      <c r="B165" s="49" t="str">
        <f>IFERROR(__xludf.DUMMYFUNCTION("""COMPUTED_VALUE"""),"---")</f>
        <v>---</v>
      </c>
      <c r="C165" s="50" t="str">
        <f>IFERROR(__xludf.DUMMYFUNCTION("""COMPUTED_VALUE"""),"Stock")</f>
        <v>Stock</v>
      </c>
      <c r="D165" s="49"/>
      <c r="E165" s="49"/>
      <c r="F165" s="49"/>
      <c r="G165" s="49" t="str">
        <f>IFERROR(__xludf.DUMMYFUNCTION("""COMPUTED_VALUE"""),"Turbo inner sleeves")</f>
        <v>Turbo inner sleeves</v>
      </c>
      <c r="H165" s="52"/>
      <c r="I165" s="49"/>
      <c r="J165" s="51">
        <f>IFERROR(__xludf.DUMMYFUNCTION("""COMPUTED_VALUE"""),46055.0)</f>
        <v>46055</v>
      </c>
      <c r="K165" s="52"/>
      <c r="L165" s="49" t="str">
        <f>IFERROR(__xludf.DUMMYFUNCTION("""COMPUTED_VALUE"""),"Ace")</f>
        <v>Ace</v>
      </c>
      <c r="M165" s="49">
        <f>IFERROR(__xludf.DUMMYFUNCTION("""COMPUTED_VALUE"""),5.00303439E8)</f>
        <v>500303439</v>
      </c>
      <c r="N165" s="53">
        <f>IFERROR(__xludf.DUMMYFUNCTION("""COMPUTED_VALUE"""),7.6)</f>
        <v>7.6</v>
      </c>
      <c r="O165" s="54">
        <f>IFERROR(__xludf.DUMMYFUNCTION("""COMPUTED_VALUE"""),8.0005177E8)</f>
        <v>800051770</v>
      </c>
      <c r="P165" s="49" t="str">
        <f>IFERROR(__xludf.DUMMYFUNCTION("""COMPUTED_VALUE"""),"na")</f>
        <v>na</v>
      </c>
      <c r="Q165" s="49" t="str">
        <f>IFERROR(__xludf.DUMMYFUNCTION("""COMPUTED_VALUE"""),"na")</f>
        <v>na</v>
      </c>
      <c r="R165" s="49"/>
      <c r="S165" s="49"/>
      <c r="T165" s="49"/>
      <c r="U165" s="49"/>
      <c r="V165" s="49"/>
      <c r="W165" s="49"/>
      <c r="X165" s="49"/>
      <c r="Y165" s="49"/>
      <c r="Z165" s="49"/>
    </row>
    <row r="166">
      <c r="A166" s="49" t="str">
        <f>IFERROR(__xludf.DUMMYFUNCTION("""COMPUTED_VALUE"""),"---")</f>
        <v>---</v>
      </c>
      <c r="B166" s="49" t="str">
        <f>IFERROR(__xludf.DUMMYFUNCTION("""COMPUTED_VALUE"""),"---")</f>
        <v>---</v>
      </c>
      <c r="C166" s="50" t="str">
        <f>IFERROR(__xludf.DUMMYFUNCTION("""COMPUTED_VALUE"""),"Stock")</f>
        <v>Stock</v>
      </c>
      <c r="D166" s="49"/>
      <c r="E166" s="49"/>
      <c r="F166" s="49"/>
      <c r="G166" s="49" t="str">
        <f>IFERROR(__xludf.DUMMYFUNCTION("""COMPUTED_VALUE"""),"Turbo outer sleeves")</f>
        <v>Turbo outer sleeves</v>
      </c>
      <c r="H166" s="52"/>
      <c r="I166" s="49"/>
      <c r="J166" s="51">
        <f>IFERROR(__xludf.DUMMYFUNCTION("""COMPUTED_VALUE"""),46055.0)</f>
        <v>46055</v>
      </c>
      <c r="K166" s="52"/>
      <c r="L166" s="49" t="str">
        <f>IFERROR(__xludf.DUMMYFUNCTION("""COMPUTED_VALUE"""),"Ace")</f>
        <v>Ace</v>
      </c>
      <c r="M166" s="49">
        <f>IFERROR(__xludf.DUMMYFUNCTION("""COMPUTED_VALUE"""),5.00303439E8)</f>
        <v>500303439</v>
      </c>
      <c r="N166" s="53">
        <f>IFERROR(__xludf.DUMMYFUNCTION("""COMPUTED_VALUE"""),7.6)</f>
        <v>7.6</v>
      </c>
      <c r="O166" s="54">
        <f>IFERROR(__xludf.DUMMYFUNCTION("""COMPUTED_VALUE"""),8.0005177E8)</f>
        <v>800051770</v>
      </c>
      <c r="P166" s="49" t="str">
        <f>IFERROR(__xludf.DUMMYFUNCTION("""COMPUTED_VALUE"""),"na")</f>
        <v>na</v>
      </c>
      <c r="Q166" s="49" t="str">
        <f>IFERROR(__xludf.DUMMYFUNCTION("""COMPUTED_VALUE"""),"na")</f>
        <v>na</v>
      </c>
      <c r="R166" s="49"/>
      <c r="S166" s="49"/>
      <c r="T166" s="49"/>
      <c r="U166" s="49"/>
      <c r="V166" s="49"/>
      <c r="W166" s="49"/>
      <c r="X166" s="49"/>
      <c r="Y166" s="49"/>
      <c r="Z166" s="49"/>
    </row>
    <row r="167">
      <c r="A167" s="49" t="str">
        <f>IFERROR(__xludf.DUMMYFUNCTION("""COMPUTED_VALUE"""),"---")</f>
        <v>---</v>
      </c>
      <c r="B167" s="49" t="str">
        <f>IFERROR(__xludf.DUMMYFUNCTION("""COMPUTED_VALUE"""),"---")</f>
        <v>---</v>
      </c>
      <c r="C167" s="50" t="str">
        <f>IFERROR(__xludf.DUMMYFUNCTION("""COMPUTED_VALUE"""),"Stock")</f>
        <v>Stock</v>
      </c>
      <c r="D167" s="49"/>
      <c r="E167" s="49"/>
      <c r="F167" s="49"/>
      <c r="G167" s="49" t="str">
        <f>IFERROR(__xludf.DUMMYFUNCTION("""COMPUTED_VALUE"""),"1 1/8"" black/white")</f>
        <v>1 1/8" black/white</v>
      </c>
      <c r="H167" s="52"/>
      <c r="I167" s="49"/>
      <c r="J167" s="51">
        <f>IFERROR(__xludf.DUMMYFUNCTION("""COMPUTED_VALUE"""),46055.0)</f>
        <v>46055</v>
      </c>
      <c r="K167" s="52"/>
      <c r="L167" s="49" t="str">
        <f>IFERROR(__xludf.DUMMYFUNCTION("""COMPUTED_VALUE"""),"Ace")</f>
        <v>Ace</v>
      </c>
      <c r="M167" s="49">
        <f>IFERROR(__xludf.DUMMYFUNCTION("""COMPUTED_VALUE"""),5.00303439E8)</f>
        <v>500303439</v>
      </c>
      <c r="N167" s="53">
        <f>IFERROR(__xludf.DUMMYFUNCTION("""COMPUTED_VALUE"""),3.07)</f>
        <v>3.07</v>
      </c>
      <c r="O167" s="54">
        <f>IFERROR(__xludf.DUMMYFUNCTION("""COMPUTED_VALUE"""),8.0005177E8)</f>
        <v>800051770</v>
      </c>
      <c r="P167" s="49" t="str">
        <f>IFERROR(__xludf.DUMMYFUNCTION("""COMPUTED_VALUE"""),"na")</f>
        <v>na</v>
      </c>
      <c r="Q167" s="49" t="str">
        <f>IFERROR(__xludf.DUMMYFUNCTION("""COMPUTED_VALUE"""),"na")</f>
        <v>na</v>
      </c>
      <c r="R167" s="49"/>
      <c r="S167" s="49"/>
      <c r="T167" s="49"/>
      <c r="U167" s="49"/>
      <c r="V167" s="49"/>
      <c r="W167" s="49"/>
      <c r="X167" s="49"/>
      <c r="Y167" s="49"/>
      <c r="Z167" s="49"/>
    </row>
    <row r="168">
      <c r="A168" s="49" t="str">
        <f>IFERROR(__xludf.DUMMYFUNCTION("""COMPUTED_VALUE"""),"---")</f>
        <v>---</v>
      </c>
      <c r="B168" s="49" t="str">
        <f>IFERROR(__xludf.DUMMYFUNCTION("""COMPUTED_VALUE"""),"---")</f>
        <v>---</v>
      </c>
      <c r="C168" s="50" t="str">
        <f>IFERROR(__xludf.DUMMYFUNCTION("""COMPUTED_VALUE"""),"Stock")</f>
        <v>Stock</v>
      </c>
      <c r="D168" s="49"/>
      <c r="E168" s="49"/>
      <c r="F168" s="49"/>
      <c r="G168" s="49" t="str">
        <f>IFERROR(__xludf.DUMMYFUNCTION("""COMPUTED_VALUE"""),"1 1/4"" slug red/green")</f>
        <v>1 1/4" slug red/green</v>
      </c>
      <c r="H168" s="52"/>
      <c r="I168" s="49"/>
      <c r="J168" s="51">
        <f>IFERROR(__xludf.DUMMYFUNCTION("""COMPUTED_VALUE"""),46055.0)</f>
        <v>46055</v>
      </c>
      <c r="K168" s="52"/>
      <c r="L168" s="49" t="str">
        <f>IFERROR(__xludf.DUMMYFUNCTION("""COMPUTED_VALUE"""),"Ace")</f>
        <v>Ace</v>
      </c>
      <c r="M168" s="49">
        <f>IFERROR(__xludf.DUMMYFUNCTION("""COMPUTED_VALUE"""),5.00303439E8)</f>
        <v>500303439</v>
      </c>
      <c r="N168" s="53">
        <f>IFERROR(__xludf.DUMMYFUNCTION("""COMPUTED_VALUE"""),3.07)</f>
        <v>3.07</v>
      </c>
      <c r="O168" s="54">
        <f>IFERROR(__xludf.DUMMYFUNCTION("""COMPUTED_VALUE"""),8.0005177E8)</f>
        <v>800051770</v>
      </c>
      <c r="P168" s="49" t="str">
        <f>IFERROR(__xludf.DUMMYFUNCTION("""COMPUTED_VALUE"""),"na")</f>
        <v>na</v>
      </c>
      <c r="Q168" s="49" t="str">
        <f>IFERROR(__xludf.DUMMYFUNCTION("""COMPUTED_VALUE"""),"na")</f>
        <v>na</v>
      </c>
      <c r="R168" s="49"/>
      <c r="S168" s="49"/>
      <c r="T168" s="49"/>
      <c r="U168" s="49"/>
      <c r="V168" s="49"/>
      <c r="W168" s="49"/>
      <c r="X168" s="49"/>
      <c r="Y168" s="49"/>
      <c r="Z168" s="49"/>
    </row>
    <row r="169">
      <c r="A169" s="49" t="str">
        <f>IFERROR(__xludf.DUMMYFUNCTION("""COMPUTED_VALUE"""),"---")</f>
        <v>---</v>
      </c>
      <c r="B169" s="49" t="str">
        <f>IFERROR(__xludf.DUMMYFUNCTION("""COMPUTED_VALUE"""),"---")</f>
        <v>---</v>
      </c>
      <c r="C169" s="50" t="str">
        <f>IFERROR(__xludf.DUMMYFUNCTION("""COMPUTED_VALUE"""),"Stock")</f>
        <v>Stock</v>
      </c>
      <c r="D169" s="49"/>
      <c r="E169" s="49"/>
      <c r="F169" s="49"/>
      <c r="G169" s="49" t="str">
        <f>IFERROR(__xludf.DUMMYFUNCTION("""COMPUTED_VALUE"""),"TG blue 23")</f>
        <v>TG blue 23</v>
      </c>
      <c r="H169" s="52"/>
      <c r="I169" s="49"/>
      <c r="J169" s="51">
        <f>IFERROR(__xludf.DUMMYFUNCTION("""COMPUTED_VALUE"""),46055.0)</f>
        <v>46055</v>
      </c>
      <c r="K169" s="52"/>
      <c r="L169" s="49" t="str">
        <f>IFERROR(__xludf.DUMMYFUNCTION("""COMPUTED_VALUE"""),"Ace")</f>
        <v>Ace</v>
      </c>
      <c r="M169" s="49">
        <f>IFERROR(__xludf.DUMMYFUNCTION("""COMPUTED_VALUE"""),5.00303439E8)</f>
        <v>500303439</v>
      </c>
      <c r="N169" s="53">
        <f>IFERROR(__xludf.DUMMYFUNCTION("""COMPUTED_VALUE"""),0.99)</f>
        <v>0.99</v>
      </c>
      <c r="O169" s="54">
        <f>IFERROR(__xludf.DUMMYFUNCTION("""COMPUTED_VALUE"""),8.0005177E8)</f>
        <v>800051770</v>
      </c>
      <c r="P169" s="49" t="str">
        <f>IFERROR(__xludf.DUMMYFUNCTION("""COMPUTED_VALUE"""),"na")</f>
        <v>na</v>
      </c>
      <c r="Q169" s="49" t="str">
        <f>IFERROR(__xludf.DUMMYFUNCTION("""COMPUTED_VALUE"""),"na")</f>
        <v>na</v>
      </c>
      <c r="R169" s="49"/>
      <c r="S169" s="49"/>
      <c r="T169" s="49"/>
      <c r="U169" s="49"/>
      <c r="V169" s="49"/>
      <c r="W169" s="49"/>
      <c r="X169" s="49"/>
      <c r="Y169" s="49"/>
      <c r="Z169" s="49"/>
    </row>
    <row r="170">
      <c r="A170" s="49" t="str">
        <f>IFERROR(__xludf.DUMMYFUNCTION("""COMPUTED_VALUE"""),"---")</f>
        <v>---</v>
      </c>
      <c r="B170" s="49" t="str">
        <f>IFERROR(__xludf.DUMMYFUNCTION("""COMPUTED_VALUE"""),"---")</f>
        <v>---</v>
      </c>
      <c r="C170" s="50" t="str">
        <f>IFERROR(__xludf.DUMMYFUNCTION("""COMPUTED_VALUE"""),"Stock")</f>
        <v>Stock</v>
      </c>
      <c r="D170" s="49"/>
      <c r="E170" s="49"/>
      <c r="F170" s="49"/>
      <c r="G170" s="49" t="str">
        <f>IFERROR(__xludf.DUMMYFUNCTION("""COMPUTED_VALUE"""),"TG blue 51")</f>
        <v>TG blue 51</v>
      </c>
      <c r="H170" s="52"/>
      <c r="I170" s="49"/>
      <c r="J170" s="51">
        <f>IFERROR(__xludf.DUMMYFUNCTION("""COMPUTED_VALUE"""),46055.0)</f>
        <v>46055</v>
      </c>
      <c r="K170" s="52"/>
      <c r="L170" s="49" t="str">
        <f>IFERROR(__xludf.DUMMYFUNCTION("""COMPUTED_VALUE"""),"Ace")</f>
        <v>Ace</v>
      </c>
      <c r="M170" s="49">
        <f>IFERROR(__xludf.DUMMYFUNCTION("""COMPUTED_VALUE"""),5.00303439E8)</f>
        <v>500303439</v>
      </c>
      <c r="N170" s="53">
        <f>IFERROR(__xludf.DUMMYFUNCTION("""COMPUTED_VALUE"""),0.99)</f>
        <v>0.99</v>
      </c>
      <c r="O170" s="54">
        <f>IFERROR(__xludf.DUMMYFUNCTION("""COMPUTED_VALUE"""),8.0005177E8)</f>
        <v>800051770</v>
      </c>
      <c r="P170" s="49" t="str">
        <f>IFERROR(__xludf.DUMMYFUNCTION("""COMPUTED_VALUE"""),"na")</f>
        <v>na</v>
      </c>
      <c r="Q170" s="49" t="str">
        <f>IFERROR(__xludf.DUMMYFUNCTION("""COMPUTED_VALUE"""),"na")</f>
        <v>na</v>
      </c>
      <c r="R170" s="49"/>
      <c r="S170" s="49"/>
      <c r="T170" s="49"/>
      <c r="U170" s="49"/>
      <c r="V170" s="49"/>
      <c r="W170" s="49"/>
      <c r="X170" s="49"/>
      <c r="Y170" s="49"/>
      <c r="Z170" s="49"/>
    </row>
    <row r="171">
      <c r="A171" s="49" t="str">
        <f>IFERROR(__xludf.DUMMYFUNCTION("""COMPUTED_VALUE"""),"---")</f>
        <v>---</v>
      </c>
      <c r="B171" s="49" t="str">
        <f>IFERROR(__xludf.DUMMYFUNCTION("""COMPUTED_VALUE"""),"---")</f>
        <v>---</v>
      </c>
      <c r="C171" s="50" t="str">
        <f>IFERROR(__xludf.DUMMYFUNCTION("""COMPUTED_VALUE"""),"Stock")</f>
        <v>Stock</v>
      </c>
      <c r="D171" s="49"/>
      <c r="E171" s="49"/>
      <c r="F171" s="49"/>
      <c r="G171" s="49" t="str">
        <f>IFERROR(__xludf.DUMMYFUNCTION("""COMPUTED_VALUE"""),"TG red 23")</f>
        <v>TG red 23</v>
      </c>
      <c r="H171" s="52"/>
      <c r="I171" s="49"/>
      <c r="J171" s="51">
        <f>IFERROR(__xludf.DUMMYFUNCTION("""COMPUTED_VALUE"""),46055.0)</f>
        <v>46055</v>
      </c>
      <c r="K171" s="52"/>
      <c r="L171" s="49" t="str">
        <f>IFERROR(__xludf.DUMMYFUNCTION("""COMPUTED_VALUE"""),"Ace")</f>
        <v>Ace</v>
      </c>
      <c r="M171" s="49">
        <f>IFERROR(__xludf.DUMMYFUNCTION("""COMPUTED_VALUE"""),5.00303439E8)</f>
        <v>500303439</v>
      </c>
      <c r="N171" s="53">
        <f>IFERROR(__xludf.DUMMYFUNCTION("""COMPUTED_VALUE"""),0.99)</f>
        <v>0.99</v>
      </c>
      <c r="O171" s="54">
        <f>IFERROR(__xludf.DUMMYFUNCTION("""COMPUTED_VALUE"""),8.0005177E8)</f>
        <v>800051770</v>
      </c>
      <c r="P171" s="49" t="str">
        <f>IFERROR(__xludf.DUMMYFUNCTION("""COMPUTED_VALUE"""),"na")</f>
        <v>na</v>
      </c>
      <c r="Q171" s="49" t="str">
        <f>IFERROR(__xludf.DUMMYFUNCTION("""COMPUTED_VALUE"""),"na")</f>
        <v>na</v>
      </c>
      <c r="R171" s="49"/>
      <c r="S171" s="49"/>
      <c r="T171" s="49"/>
      <c r="U171" s="49"/>
      <c r="V171" s="49"/>
      <c r="W171" s="49"/>
      <c r="X171" s="49"/>
      <c r="Y171" s="49"/>
      <c r="Z171" s="49"/>
    </row>
    <row r="172">
      <c r="A172" s="49" t="str">
        <f>IFERROR(__xludf.DUMMYFUNCTION("""COMPUTED_VALUE"""),"---")</f>
        <v>---</v>
      </c>
      <c r="B172" s="49" t="str">
        <f>IFERROR(__xludf.DUMMYFUNCTION("""COMPUTED_VALUE"""),"---")</f>
        <v>---</v>
      </c>
      <c r="C172" s="50" t="str">
        <f>IFERROR(__xludf.DUMMYFUNCTION("""COMPUTED_VALUE"""),"Stock")</f>
        <v>Stock</v>
      </c>
      <c r="D172" s="49"/>
      <c r="E172" s="49"/>
      <c r="F172" s="49"/>
      <c r="G172" s="49" t="str">
        <f>IFERROR(__xludf.DUMMYFUNCTION("""COMPUTED_VALUE"""),"TG red 39")</f>
        <v>TG red 39</v>
      </c>
      <c r="H172" s="52"/>
      <c r="I172" s="49"/>
      <c r="J172" s="51">
        <f>IFERROR(__xludf.DUMMYFUNCTION("""COMPUTED_VALUE"""),46055.0)</f>
        <v>46055</v>
      </c>
      <c r="K172" s="52"/>
      <c r="L172" s="49" t="str">
        <f>IFERROR(__xludf.DUMMYFUNCTION("""COMPUTED_VALUE"""),"Ace")</f>
        <v>Ace</v>
      </c>
      <c r="M172" s="49">
        <f>IFERROR(__xludf.DUMMYFUNCTION("""COMPUTED_VALUE"""),5.00303439E8)</f>
        <v>500303439</v>
      </c>
      <c r="N172" s="53">
        <f>IFERROR(__xludf.DUMMYFUNCTION("""COMPUTED_VALUE"""),0.99)</f>
        <v>0.99</v>
      </c>
      <c r="O172" s="54">
        <f>IFERROR(__xludf.DUMMYFUNCTION("""COMPUTED_VALUE"""),8.0005177E8)</f>
        <v>800051770</v>
      </c>
      <c r="P172" s="49" t="str">
        <f>IFERROR(__xludf.DUMMYFUNCTION("""COMPUTED_VALUE"""),"na")</f>
        <v>na</v>
      </c>
      <c r="Q172" s="49" t="str">
        <f>IFERROR(__xludf.DUMMYFUNCTION("""COMPUTED_VALUE"""),"na")</f>
        <v>na</v>
      </c>
      <c r="R172" s="49"/>
      <c r="S172" s="49"/>
      <c r="T172" s="49"/>
      <c r="U172" s="49"/>
      <c r="V172" s="49"/>
      <c r="W172" s="49"/>
      <c r="X172" s="49"/>
      <c r="Y172" s="49"/>
      <c r="Z172" s="49"/>
    </row>
    <row r="173">
      <c r="A173" s="49" t="str">
        <f>IFERROR(__xludf.DUMMYFUNCTION("""COMPUTED_VALUE"""),"---")</f>
        <v>---</v>
      </c>
      <c r="B173" s="49" t="str">
        <f>IFERROR(__xludf.DUMMYFUNCTION("""COMPUTED_VALUE"""),"---")</f>
        <v>---</v>
      </c>
      <c r="C173" s="50" t="str">
        <f>IFERROR(__xludf.DUMMYFUNCTION("""COMPUTED_VALUE"""),"Stock")</f>
        <v>Stock</v>
      </c>
      <c r="D173" s="49"/>
      <c r="E173" s="49"/>
      <c r="F173" s="49"/>
      <c r="G173" s="49" t="str">
        <f>IFERROR(__xludf.DUMMYFUNCTION("""COMPUTED_VALUE"""),"TG yellow 43")</f>
        <v>TG yellow 43</v>
      </c>
      <c r="H173" s="52"/>
      <c r="I173" s="49"/>
      <c r="J173" s="51">
        <f>IFERROR(__xludf.DUMMYFUNCTION("""COMPUTED_VALUE"""),46055.0)</f>
        <v>46055</v>
      </c>
      <c r="K173" s="52"/>
      <c r="L173" s="49" t="str">
        <f>IFERROR(__xludf.DUMMYFUNCTION("""COMPUTED_VALUE"""),"Ace")</f>
        <v>Ace</v>
      </c>
      <c r="M173" s="49">
        <f>IFERROR(__xludf.DUMMYFUNCTION("""COMPUTED_VALUE"""),5.00303439E8)</f>
        <v>500303439</v>
      </c>
      <c r="N173" s="53">
        <f>IFERROR(__xludf.DUMMYFUNCTION("""COMPUTED_VALUE"""),0.99)</f>
        <v>0.99</v>
      </c>
      <c r="O173" s="54">
        <f>IFERROR(__xludf.DUMMYFUNCTION("""COMPUTED_VALUE"""),8.0005177E8)</f>
        <v>800051770</v>
      </c>
      <c r="P173" s="49" t="str">
        <f>IFERROR(__xludf.DUMMYFUNCTION("""COMPUTED_VALUE"""),"na")</f>
        <v>na</v>
      </c>
      <c r="Q173" s="49" t="str">
        <f>IFERROR(__xludf.DUMMYFUNCTION("""COMPUTED_VALUE"""),"na")</f>
        <v>na</v>
      </c>
      <c r="R173" s="49"/>
      <c r="S173" s="49"/>
      <c r="T173" s="49"/>
      <c r="U173" s="49"/>
      <c r="V173" s="49"/>
      <c r="W173" s="49"/>
      <c r="X173" s="49"/>
      <c r="Y173" s="49"/>
      <c r="Z173" s="49"/>
    </row>
    <row r="174">
      <c r="A174" s="49" t="str">
        <f>IFERROR(__xludf.DUMMYFUNCTION("""COMPUTED_VALUE"""),"---")</f>
        <v>---</v>
      </c>
      <c r="B174" s="49" t="str">
        <f>IFERROR(__xludf.DUMMYFUNCTION("""COMPUTED_VALUE"""),"---")</f>
        <v>---</v>
      </c>
      <c r="C174" s="50" t="str">
        <f>IFERROR(__xludf.DUMMYFUNCTION("""COMPUTED_VALUE"""),"Stock")</f>
        <v>Stock</v>
      </c>
      <c r="D174" s="49"/>
      <c r="E174" s="49"/>
      <c r="F174" s="49"/>
      <c r="G174" s="49" t="str">
        <f>IFERROR(__xludf.DUMMYFUNCTION("""COMPUTED_VALUE"""),"TG purple 45")</f>
        <v>TG purple 45</v>
      </c>
      <c r="H174" s="52"/>
      <c r="I174" s="49"/>
      <c r="J174" s="51">
        <f>IFERROR(__xludf.DUMMYFUNCTION("""COMPUTED_VALUE"""),46055.0)</f>
        <v>46055</v>
      </c>
      <c r="K174" s="52"/>
      <c r="L174" s="49" t="str">
        <f>IFERROR(__xludf.DUMMYFUNCTION("""COMPUTED_VALUE"""),"Ace")</f>
        <v>Ace</v>
      </c>
      <c r="M174" s="49">
        <f>IFERROR(__xludf.DUMMYFUNCTION("""COMPUTED_VALUE"""),5.00303439E8)</f>
        <v>500303439</v>
      </c>
      <c r="N174" s="53">
        <f>IFERROR(__xludf.DUMMYFUNCTION("""COMPUTED_VALUE"""),0.99)</f>
        <v>0.99</v>
      </c>
      <c r="O174" s="54">
        <f>IFERROR(__xludf.DUMMYFUNCTION("""COMPUTED_VALUE"""),8.0005177E8)</f>
        <v>800051770</v>
      </c>
      <c r="P174" s="49" t="str">
        <f>IFERROR(__xludf.DUMMYFUNCTION("""COMPUTED_VALUE"""),"na")</f>
        <v>na</v>
      </c>
      <c r="Q174" s="49" t="str">
        <f>IFERROR(__xludf.DUMMYFUNCTION("""COMPUTED_VALUE"""),"na")</f>
        <v>na</v>
      </c>
      <c r="R174" s="49"/>
      <c r="S174" s="49"/>
      <c r="T174" s="49"/>
      <c r="U174" s="49"/>
      <c r="V174" s="49"/>
      <c r="W174" s="49"/>
      <c r="X174" s="49"/>
      <c r="Y174" s="49"/>
      <c r="Z174" s="49"/>
    </row>
    <row r="175">
      <c r="A175" s="49" t="str">
        <f>IFERROR(__xludf.DUMMYFUNCTION("""COMPUTED_VALUE"""),"---")</f>
        <v>---</v>
      </c>
      <c r="B175" s="49" t="str">
        <f>IFERROR(__xludf.DUMMYFUNCTION("""COMPUTED_VALUE"""),"---")</f>
        <v>---</v>
      </c>
      <c r="C175" s="50" t="str">
        <f>IFERROR(__xludf.DUMMYFUNCTION("""COMPUTED_VALUE"""),"Aaron cole")</f>
        <v>Aaron cole</v>
      </c>
      <c r="D175" s="49"/>
      <c r="E175" s="49" t="str">
        <f>IFERROR(__xludf.DUMMYFUNCTION("""COMPUTED_VALUE"""),"South")</f>
        <v>South</v>
      </c>
      <c r="F175" s="49" t="str">
        <f>IFERROR(__xludf.DUMMYFUNCTION("""COMPUTED_VALUE"""),"South")</f>
        <v>South</v>
      </c>
      <c r="G175" s="49" t="str">
        <f>IFERROR(__xludf.DUMMYFUNCTION("""COMPUTED_VALUE"""),"Bag: 3-ball travel tote pro white/teal")</f>
        <v>Bag: 3-ball travel tote pro white/teal</v>
      </c>
      <c r="H175" s="52"/>
      <c r="I175" s="49"/>
      <c r="J175" s="51">
        <f>IFERROR(__xludf.DUMMYFUNCTION("""COMPUTED_VALUE"""),46055.0)</f>
        <v>46055</v>
      </c>
      <c r="K175" s="52"/>
      <c r="L175" s="49" t="str">
        <f>IFERROR(__xludf.DUMMYFUNCTION("""COMPUTED_VALUE"""),"B Supply")</f>
        <v>B Supply</v>
      </c>
      <c r="M175" s="49">
        <f>IFERROR(__xludf.DUMMYFUNCTION("""COMPUTED_VALUE"""),518563.0)</f>
        <v>518563</v>
      </c>
      <c r="N175" s="53">
        <f>IFERROR(__xludf.DUMMYFUNCTION("""COMPUTED_VALUE"""),84.88)</f>
        <v>84.88</v>
      </c>
      <c r="O175" s="54">
        <f>IFERROR(__xludf.DUMMYFUNCTION("""COMPUTED_VALUE"""),664395.0)</f>
        <v>664395</v>
      </c>
      <c r="P175" s="49" t="str">
        <f>IFERROR(__xludf.DUMMYFUNCTION("""COMPUTED_VALUE"""),"Y")</f>
        <v>Y</v>
      </c>
      <c r="Q175" s="49" t="str">
        <f>IFERROR(__xludf.DUMMYFUNCTION("""COMPUTED_VALUE"""),"Y")</f>
        <v>Y</v>
      </c>
      <c r="R175" s="49"/>
      <c r="S175" s="49"/>
      <c r="T175" s="49"/>
      <c r="U175" s="49"/>
      <c r="V175" s="49"/>
      <c r="W175" s="49"/>
      <c r="X175" s="49"/>
      <c r="Y175" s="49"/>
      <c r="Z175" s="49"/>
    </row>
    <row r="176">
      <c r="A176" s="49" t="str">
        <f>IFERROR(__xludf.DUMMYFUNCTION("""COMPUTED_VALUE"""),"---")</f>
        <v>---</v>
      </c>
      <c r="B176" s="49" t="str">
        <f>IFERROR(__xludf.DUMMYFUNCTION("""COMPUTED_VALUE"""),"---")</f>
        <v>---</v>
      </c>
      <c r="C176" s="50" t="str">
        <f>IFERROR(__xludf.DUMMYFUNCTION("""COMPUTED_VALUE"""),"Stock")</f>
        <v>Stock</v>
      </c>
      <c r="D176" s="49"/>
      <c r="E176" s="49" t="str">
        <f>IFERROR(__xludf.DUMMYFUNCTION("""COMPUTED_VALUE"""),"South")</f>
        <v>South</v>
      </c>
      <c r="F176" s="49" t="str">
        <f>IFERROR(__xludf.DUMMYFUNCTION("""COMPUTED_VALUE"""),"South")</f>
        <v>South</v>
      </c>
      <c r="G176" s="49" t="str">
        <f>IFERROR(__xludf.DUMMYFUNCTION("""COMPUTED_VALUE"""),"Brunswick Prism size 13")</f>
        <v>Brunswick Prism size 13</v>
      </c>
      <c r="H176" s="52"/>
      <c r="I176" s="49"/>
      <c r="J176" s="51">
        <f>IFERROR(__xludf.DUMMYFUNCTION("""COMPUTED_VALUE"""),46055.0)</f>
        <v>46055</v>
      </c>
      <c r="K176" s="52"/>
      <c r="L176" s="49" t="str">
        <f>IFERROR(__xludf.DUMMYFUNCTION("""COMPUTED_VALUE"""),"B Supply")</f>
        <v>B Supply</v>
      </c>
      <c r="M176" s="49">
        <f>IFERROR(__xludf.DUMMYFUNCTION("""COMPUTED_VALUE"""),518563.0)</f>
        <v>518563</v>
      </c>
      <c r="N176" s="53">
        <f>IFERROR(__xludf.DUMMYFUNCTION("""COMPUTED_VALUE"""),42.47)</f>
        <v>42.47</v>
      </c>
      <c r="O176" s="54">
        <f>IFERROR(__xludf.DUMMYFUNCTION("""COMPUTED_VALUE"""),664395.0)</f>
        <v>664395</v>
      </c>
      <c r="P176" s="49" t="str">
        <f>IFERROR(__xludf.DUMMYFUNCTION("""COMPUTED_VALUE"""),"na")</f>
        <v>na</v>
      </c>
      <c r="Q176" s="49" t="str">
        <f>IFERROR(__xludf.DUMMYFUNCTION("""COMPUTED_VALUE"""),"na")</f>
        <v>na</v>
      </c>
      <c r="R176" s="49"/>
      <c r="S176" s="49"/>
      <c r="T176" s="49"/>
      <c r="U176" s="49"/>
      <c r="V176" s="49"/>
      <c r="W176" s="49"/>
      <c r="X176" s="49"/>
      <c r="Y176" s="49"/>
      <c r="Z176" s="49"/>
    </row>
    <row r="177">
      <c r="A177" s="49" t="str">
        <f>IFERROR(__xludf.DUMMYFUNCTION("""COMPUTED_VALUE"""),"---")</f>
        <v>---</v>
      </c>
      <c r="B177" s="49" t="str">
        <f>IFERROR(__xludf.DUMMYFUNCTION("""COMPUTED_VALUE"""),"---")</f>
        <v>---</v>
      </c>
      <c r="C177" s="50" t="str">
        <f>IFERROR(__xludf.DUMMYFUNCTION("""COMPUTED_VALUE"""),"Jerry Sealey")</f>
        <v>Jerry Sealey</v>
      </c>
      <c r="D177" s="49">
        <f>IFERROR(__xludf.DUMMYFUNCTION("""COMPUTED_VALUE"""),5.707808107E9)</f>
        <v>5707808107</v>
      </c>
      <c r="E177" s="49"/>
      <c r="F177" s="49"/>
      <c r="G177" s="49" t="str">
        <f>IFERROR(__xludf.DUMMYFUNCTION("""COMPUTED_VALUE"""),"Brunswick zone Single ball roller black")</f>
        <v>Brunswick zone Single ball roller black</v>
      </c>
      <c r="H177" s="52"/>
      <c r="I177" s="49"/>
      <c r="J177" s="51">
        <f>IFERROR(__xludf.DUMMYFUNCTION("""COMPUTED_VALUE"""),46055.0)</f>
        <v>46055</v>
      </c>
      <c r="K177" s="52"/>
      <c r="L177" s="49" t="str">
        <f>IFERROR(__xludf.DUMMYFUNCTION("""COMPUTED_VALUE"""),"B Supply")</f>
        <v>B Supply</v>
      </c>
      <c r="M177" s="49">
        <f>IFERROR(__xludf.DUMMYFUNCTION("""COMPUTED_VALUE"""),518563.0)</f>
        <v>518563</v>
      </c>
      <c r="N177" s="53">
        <f>IFERROR(__xludf.DUMMYFUNCTION("""COMPUTED_VALUE"""),63.37)</f>
        <v>63.37</v>
      </c>
      <c r="O177" s="54">
        <f>IFERROR(__xludf.DUMMYFUNCTION("""COMPUTED_VALUE"""),664395.0)</f>
        <v>664395</v>
      </c>
      <c r="P177" s="49" t="str">
        <f>IFERROR(__xludf.DUMMYFUNCTION("""COMPUTED_VALUE"""),"Y")</f>
        <v>Y</v>
      </c>
      <c r="Q177" s="49" t="str">
        <f>IFERROR(__xludf.DUMMYFUNCTION("""COMPUTED_VALUE"""),"Y")</f>
        <v>Y</v>
      </c>
      <c r="R177" s="49"/>
      <c r="S177" s="49"/>
      <c r="T177" s="49"/>
      <c r="U177" s="49"/>
      <c r="V177" s="49"/>
      <c r="W177" s="49"/>
      <c r="X177" s="49"/>
      <c r="Y177" s="49"/>
      <c r="Z177" s="49"/>
    </row>
    <row r="178">
      <c r="A178" s="49" t="str">
        <f>IFERROR(__xludf.DUMMYFUNCTION("""COMPUTED_VALUE"""),"---")</f>
        <v>---</v>
      </c>
      <c r="B178" s="49" t="str">
        <f>IFERROR(__xludf.DUMMYFUNCTION("""COMPUTED_VALUE"""),"---")</f>
        <v>---</v>
      </c>
      <c r="C178" s="50" t="str">
        <f>IFERROR(__xludf.DUMMYFUNCTION("""COMPUTED_VALUE"""),"Stock")</f>
        <v>Stock</v>
      </c>
      <c r="D178" s="49"/>
      <c r="E178" s="49" t="str">
        <f>IFERROR(__xludf.DUMMYFUNCTION("""COMPUTED_VALUE"""),"South")</f>
        <v>South</v>
      </c>
      <c r="F178" s="49" t="str">
        <f>IFERROR(__xludf.DUMMYFUNCTION("""COMPUTED_VALUE"""),"South")</f>
        <v>South</v>
      </c>
      <c r="G178" s="49" t="str">
        <f>IFERROR(__xludf.DUMMYFUNCTION("""COMPUTED_VALUE"""),"Brunswick Danger Zone Solid 15 lb")</f>
        <v>Brunswick Danger Zone Solid 15 lb</v>
      </c>
      <c r="H178" s="52"/>
      <c r="I178" s="49"/>
      <c r="J178" s="51">
        <f>IFERROR(__xludf.DUMMYFUNCTION("""COMPUTED_VALUE"""),46055.0)</f>
        <v>46055</v>
      </c>
      <c r="K178" s="52"/>
      <c r="L178" s="49" t="str">
        <f>IFERROR(__xludf.DUMMYFUNCTION("""COMPUTED_VALUE"""),"B Supply")</f>
        <v>B Supply</v>
      </c>
      <c r="M178" s="49">
        <f>IFERROR(__xludf.DUMMYFUNCTION("""COMPUTED_VALUE"""),518563.0)</f>
        <v>518563</v>
      </c>
      <c r="N178" s="53">
        <f>IFERROR(__xludf.DUMMYFUNCTION("""COMPUTED_VALUE"""),99.28)</f>
        <v>99.28</v>
      </c>
      <c r="O178" s="54">
        <f>IFERROR(__xludf.DUMMYFUNCTION("""COMPUTED_VALUE"""),664395.0)</f>
        <v>664395</v>
      </c>
      <c r="P178" s="49" t="str">
        <f>IFERROR(__xludf.DUMMYFUNCTION("""COMPUTED_VALUE"""),"na")</f>
        <v>na</v>
      </c>
      <c r="Q178" s="49" t="str">
        <f>IFERROR(__xludf.DUMMYFUNCTION("""COMPUTED_VALUE"""),"na")</f>
        <v>na</v>
      </c>
      <c r="R178" s="49"/>
      <c r="S178" s="49"/>
      <c r="T178" s="49"/>
      <c r="U178" s="49"/>
      <c r="V178" s="49"/>
      <c r="W178" s="49"/>
      <c r="X178" s="49"/>
      <c r="Y178" s="49"/>
      <c r="Z178" s="49"/>
    </row>
    <row r="179">
      <c r="A179" s="49" t="str">
        <f>IFERROR(__xludf.DUMMYFUNCTION("""COMPUTED_VALUE"""),"---")</f>
        <v>---</v>
      </c>
      <c r="B179" s="49" t="str">
        <f>IFERROR(__xludf.DUMMYFUNCTION("""COMPUTED_VALUE"""),"---")</f>
        <v>---</v>
      </c>
      <c r="C179" s="50" t="str">
        <f>IFERROR(__xludf.DUMMYFUNCTION("""COMPUTED_VALUE"""),"Kim Murphy")</f>
        <v>Kim Murphy</v>
      </c>
      <c r="D179" s="49">
        <f>IFERROR(__xludf.DUMMYFUNCTION("""COMPUTED_VALUE"""),5.709911204E9)</f>
        <v>5709911204</v>
      </c>
      <c r="E179" s="49" t="str">
        <f>IFERROR(__xludf.DUMMYFUNCTION("""COMPUTED_VALUE"""),"South")</f>
        <v>South</v>
      </c>
      <c r="F179" s="49" t="str">
        <f>IFERROR(__xludf.DUMMYFUNCTION("""COMPUTED_VALUE"""),"South")</f>
        <v>South</v>
      </c>
      <c r="G179" s="49" t="str">
        <f>IFERROR(__xludf.DUMMYFUNCTION("""COMPUTED_VALUE"""),"Storm Tropical Surge Black Cherry 15 lb")</f>
        <v>Storm Tropical Surge Black Cherry 15 lb</v>
      </c>
      <c r="H179" s="52"/>
      <c r="I179" s="49"/>
      <c r="J179" s="51">
        <f>IFERROR(__xludf.DUMMYFUNCTION("""COMPUTED_VALUE"""),46055.0)</f>
        <v>46055</v>
      </c>
      <c r="K179" s="52"/>
      <c r="L179" s="49" t="str">
        <f>IFERROR(__xludf.DUMMYFUNCTION("""COMPUTED_VALUE"""),"B Supply")</f>
        <v>B Supply</v>
      </c>
      <c r="M179" s="49">
        <f>IFERROR(__xludf.DUMMYFUNCTION("""COMPUTED_VALUE"""),518563.0)</f>
        <v>518563</v>
      </c>
      <c r="N179" s="53">
        <f>IFERROR(__xludf.DUMMYFUNCTION("""COMPUTED_VALUE"""),79.8)</f>
        <v>79.8</v>
      </c>
      <c r="O179" s="54">
        <f>IFERROR(__xludf.DUMMYFUNCTION("""COMPUTED_VALUE"""),664395.0)</f>
        <v>664395</v>
      </c>
      <c r="P179" s="49" t="str">
        <f>IFERROR(__xludf.DUMMYFUNCTION("""COMPUTED_VALUE"""),"Y")</f>
        <v>Y</v>
      </c>
      <c r="Q179" s="49" t="str">
        <f>IFERROR(__xludf.DUMMYFUNCTION("""COMPUTED_VALUE"""),"Y")</f>
        <v>Y</v>
      </c>
      <c r="R179" s="49"/>
      <c r="S179" s="49"/>
      <c r="T179" s="49"/>
      <c r="U179" s="49"/>
      <c r="V179" s="49"/>
      <c r="W179" s="49"/>
      <c r="X179" s="49"/>
      <c r="Y179" s="49"/>
      <c r="Z179" s="49"/>
    </row>
    <row r="180">
      <c r="A180" s="49" t="str">
        <f>IFERROR(__xludf.DUMMYFUNCTION("""COMPUTED_VALUE"""),"---")</f>
        <v>---</v>
      </c>
      <c r="B180" s="49" t="str">
        <f>IFERROR(__xludf.DUMMYFUNCTION("""COMPUTED_VALUE"""),"---")</f>
        <v>---</v>
      </c>
      <c r="C180" s="50" t="str">
        <f>IFERROR(__xludf.DUMMYFUNCTION("""COMPUTED_VALUE"""),"Gary Ladomirak Jr")</f>
        <v>Gary Ladomirak Jr</v>
      </c>
      <c r="D180" s="49">
        <f>IFERROR(__xludf.DUMMYFUNCTION("""COMPUTED_VALUE"""),570280.0)</f>
        <v>570280</v>
      </c>
      <c r="E180" s="49" t="str">
        <f>IFERROR(__xludf.DUMMYFUNCTION("""COMPUTED_VALUE"""),"South")</f>
        <v>South</v>
      </c>
      <c r="F180" s="49" t="str">
        <f>IFERROR(__xludf.DUMMYFUNCTION("""COMPUTED_VALUE"""),"South")</f>
        <v>South</v>
      </c>
      <c r="G180" s="49" t="str">
        <f>IFERROR(__xludf.DUMMYFUNCTION("""COMPUTED_VALUE"""),"HyRoad (Original) 15 lb")</f>
        <v>HyRoad (Original) 15 lb</v>
      </c>
      <c r="H180" s="52"/>
      <c r="I180" s="49"/>
      <c r="J180" s="51">
        <f>IFERROR(__xludf.DUMMYFUNCTION("""COMPUTED_VALUE"""),46055.0)</f>
        <v>46055</v>
      </c>
      <c r="K180" s="52"/>
      <c r="L180" s="49" t="str">
        <f>IFERROR(__xludf.DUMMYFUNCTION("""COMPUTED_VALUE"""),"B Supply")</f>
        <v>B Supply</v>
      </c>
      <c r="M180" s="49">
        <f>IFERROR(__xludf.DUMMYFUNCTION("""COMPUTED_VALUE"""),518563.0)</f>
        <v>518563</v>
      </c>
      <c r="N180" s="53">
        <f>IFERROR(__xludf.DUMMYFUNCTION("""COMPUTED_VALUE"""),122.41)</f>
        <v>122.41</v>
      </c>
      <c r="O180" s="54">
        <f>IFERROR(__xludf.DUMMYFUNCTION("""COMPUTED_VALUE"""),664395.0)</f>
        <v>664395</v>
      </c>
      <c r="P180" s="49" t="str">
        <f>IFERROR(__xludf.DUMMYFUNCTION("""COMPUTED_VALUE"""),"Y")</f>
        <v>Y</v>
      </c>
      <c r="Q180" s="49" t="str">
        <f>IFERROR(__xludf.DUMMYFUNCTION("""COMPUTED_VALUE"""),"Y")</f>
        <v>Y</v>
      </c>
      <c r="R180" s="49"/>
      <c r="S180" s="49"/>
      <c r="T180" s="49"/>
      <c r="U180" s="49"/>
      <c r="V180" s="49"/>
      <c r="W180" s="49"/>
      <c r="X180" s="49"/>
      <c r="Y180" s="49"/>
      <c r="Z180" s="49"/>
    </row>
    <row r="181">
      <c r="A181" s="49" t="str">
        <f>IFERROR(__xludf.DUMMYFUNCTION("""COMPUTED_VALUE"""),"---")</f>
        <v>---</v>
      </c>
      <c r="B181" s="49" t="str">
        <f>IFERROR(__xludf.DUMMYFUNCTION("""COMPUTED_VALUE"""),"---")</f>
        <v>---</v>
      </c>
      <c r="C181" s="50" t="str">
        <f>IFERROR(__xludf.DUMMYFUNCTION("""COMPUTED_VALUE"""),"Heather Valenzano")</f>
        <v>Heather Valenzano</v>
      </c>
      <c r="D181" s="49"/>
      <c r="E181" s="49" t="str">
        <f>IFERROR(__xludf.DUMMYFUNCTION("""COMPUTED_VALUE"""),"South")</f>
        <v>South</v>
      </c>
      <c r="F181" s="49" t="str">
        <f>IFERROR(__xludf.DUMMYFUNCTION("""COMPUTED_VALUE"""),"South")</f>
        <v>South</v>
      </c>
      <c r="G181" s="49" t="str">
        <f>IFERROR(__xludf.DUMMYFUNCTION("""COMPUTED_VALUE"""),"Hammer widow 3.0 Dynasty 15 lb")</f>
        <v>Hammer widow 3.0 Dynasty 15 lb</v>
      </c>
      <c r="H181" s="52"/>
      <c r="I181" s="49"/>
      <c r="J181" s="51">
        <f>IFERROR(__xludf.DUMMYFUNCTION("""COMPUTED_VALUE"""),46055.0)</f>
        <v>46055</v>
      </c>
      <c r="K181" s="52"/>
      <c r="L181" s="49" t="str">
        <f>IFERROR(__xludf.DUMMYFUNCTION("""COMPUTED_VALUE"""),"B Supply")</f>
        <v>B Supply</v>
      </c>
      <c r="M181" s="49">
        <f>IFERROR(__xludf.DUMMYFUNCTION("""COMPUTED_VALUE"""),518563.0)</f>
        <v>518563</v>
      </c>
      <c r="N181" s="53">
        <f>IFERROR(__xludf.DUMMYFUNCTION("""COMPUTED_VALUE"""),132.15)</f>
        <v>132.15</v>
      </c>
      <c r="O181" s="54">
        <f>IFERROR(__xludf.DUMMYFUNCTION("""COMPUTED_VALUE"""),664395.0)</f>
        <v>664395</v>
      </c>
      <c r="P181" s="49" t="str">
        <f>IFERROR(__xludf.DUMMYFUNCTION("""COMPUTED_VALUE"""),"Y")</f>
        <v>Y</v>
      </c>
      <c r="Q181" s="49" t="str">
        <f>IFERROR(__xludf.DUMMYFUNCTION("""COMPUTED_VALUE"""),"Y")</f>
        <v>Y</v>
      </c>
      <c r="R181" s="49"/>
      <c r="S181" s="49"/>
      <c r="T181" s="49"/>
      <c r="U181" s="49"/>
      <c r="V181" s="49"/>
      <c r="W181" s="49"/>
      <c r="X181" s="49"/>
      <c r="Y181" s="49"/>
      <c r="Z181" s="49"/>
    </row>
    <row r="182">
      <c r="A182" s="49" t="str">
        <f>IFERROR(__xludf.DUMMYFUNCTION("""COMPUTED_VALUE"""),"---")</f>
        <v>---</v>
      </c>
      <c r="B182" s="49" t="str">
        <f>IFERROR(__xludf.DUMMYFUNCTION("""COMPUTED_VALUE"""),"---")</f>
        <v>---</v>
      </c>
      <c r="C182" s="50" t="str">
        <f>IFERROR(__xludf.DUMMYFUNCTION("""COMPUTED_VALUE"""),"Stock")</f>
        <v>Stock</v>
      </c>
      <c r="D182" s="49"/>
      <c r="E182" s="49" t="str">
        <f>IFERROR(__xludf.DUMMYFUNCTION("""COMPUTED_VALUE"""),"South")</f>
        <v>South</v>
      </c>
      <c r="F182" s="49" t="str">
        <f>IFERROR(__xludf.DUMMYFUNCTION("""COMPUTED_VALUE"""),"South")</f>
        <v>South</v>
      </c>
      <c r="G182" s="49" t="str">
        <f>IFERROR(__xludf.DUMMYFUNCTION("""COMPUTED_VALUE"""),"Hammer widow 3.0 Dynasty 15 lb")</f>
        <v>Hammer widow 3.0 Dynasty 15 lb</v>
      </c>
      <c r="H182" s="52"/>
      <c r="I182" s="49"/>
      <c r="J182" s="51">
        <f>IFERROR(__xludf.DUMMYFUNCTION("""COMPUTED_VALUE"""),46055.0)</f>
        <v>46055</v>
      </c>
      <c r="K182" s="52"/>
      <c r="L182" s="49" t="str">
        <f>IFERROR(__xludf.DUMMYFUNCTION("""COMPUTED_VALUE"""),"B Supply")</f>
        <v>B Supply</v>
      </c>
      <c r="M182" s="49">
        <f>IFERROR(__xludf.DUMMYFUNCTION("""COMPUTED_VALUE"""),518563.0)</f>
        <v>518563</v>
      </c>
      <c r="N182" s="53">
        <f>IFERROR(__xludf.DUMMYFUNCTION("""COMPUTED_VALUE"""),132.15)</f>
        <v>132.15</v>
      </c>
      <c r="O182" s="54">
        <f>IFERROR(__xludf.DUMMYFUNCTION("""COMPUTED_VALUE"""),664395.0)</f>
        <v>664395</v>
      </c>
      <c r="P182" s="49" t="str">
        <f>IFERROR(__xludf.DUMMYFUNCTION("""COMPUTED_VALUE"""),"na")</f>
        <v>na</v>
      </c>
      <c r="Q182" s="49" t="str">
        <f>IFERROR(__xludf.DUMMYFUNCTION("""COMPUTED_VALUE"""),"na")</f>
        <v>na</v>
      </c>
      <c r="R182" s="49"/>
      <c r="S182" s="49"/>
      <c r="T182" s="49"/>
      <c r="U182" s="49"/>
      <c r="V182" s="49"/>
      <c r="W182" s="49"/>
      <c r="X182" s="49"/>
      <c r="Y182" s="49"/>
      <c r="Z182" s="49"/>
    </row>
    <row r="183">
      <c r="A183" s="49" t="str">
        <f>IFERROR(__xludf.DUMMYFUNCTION("""COMPUTED_VALUE"""),"---")</f>
        <v>---</v>
      </c>
      <c r="B183" s="49" t="str">
        <f>IFERROR(__xludf.DUMMYFUNCTION("""COMPUTED_VALUE"""),"---")</f>
        <v>---</v>
      </c>
      <c r="C183" s="50" t="str">
        <f>IFERROR(__xludf.DUMMYFUNCTION("""COMPUTED_VALUE"""),"Stock")</f>
        <v>Stock</v>
      </c>
      <c r="D183" s="49"/>
      <c r="E183" s="49"/>
      <c r="F183" s="49"/>
      <c r="G183" s="49" t="str">
        <f>IFERROR(__xludf.DUMMYFUNCTION("""COMPUTED_VALUE"""),"Brunswick Punisher Double Roller grey")</f>
        <v>Brunswick Punisher Double Roller grey</v>
      </c>
      <c r="H183" s="52"/>
      <c r="I183" s="49"/>
      <c r="J183" s="51">
        <f>IFERROR(__xludf.DUMMYFUNCTION("""COMPUTED_VALUE"""),46055.0)</f>
        <v>46055</v>
      </c>
      <c r="K183" s="52"/>
      <c r="L183" s="49" t="str">
        <f>IFERROR(__xludf.DUMMYFUNCTION("""COMPUTED_VALUE"""),"B Supply")</f>
        <v>B Supply</v>
      </c>
      <c r="M183" s="49">
        <f>IFERROR(__xludf.DUMMYFUNCTION("""COMPUTED_VALUE"""),518563.0)</f>
        <v>518563</v>
      </c>
      <c r="N183" s="53">
        <f>IFERROR(__xludf.DUMMYFUNCTION("""COMPUTED_VALUE"""),91.2)</f>
        <v>91.2</v>
      </c>
      <c r="O183" s="54">
        <f>IFERROR(__xludf.DUMMYFUNCTION("""COMPUTED_VALUE"""),664395.0)</f>
        <v>664395</v>
      </c>
      <c r="P183" s="49" t="str">
        <f>IFERROR(__xludf.DUMMYFUNCTION("""COMPUTED_VALUE"""),"na")</f>
        <v>na</v>
      </c>
      <c r="Q183" s="49" t="str">
        <f>IFERROR(__xludf.DUMMYFUNCTION("""COMPUTED_VALUE"""),"na")</f>
        <v>na</v>
      </c>
      <c r="R183" s="49"/>
      <c r="S183" s="49"/>
      <c r="T183" s="49"/>
      <c r="U183" s="49"/>
      <c r="V183" s="49"/>
      <c r="W183" s="49"/>
      <c r="X183" s="49"/>
      <c r="Y183" s="49"/>
      <c r="Z183" s="49"/>
    </row>
    <row r="184">
      <c r="A184" s="49" t="str">
        <f>IFERROR(__xludf.DUMMYFUNCTION("""COMPUTED_VALUE"""),"---")</f>
        <v>---</v>
      </c>
      <c r="B184" s="49" t="str">
        <f>IFERROR(__xludf.DUMMYFUNCTION("""COMPUTED_VALUE"""),"---")</f>
        <v>---</v>
      </c>
      <c r="C184" s="50" t="str">
        <f>IFERROR(__xludf.DUMMYFUNCTION("""COMPUTED_VALUE"""),"Kayla")</f>
        <v>Kayla</v>
      </c>
      <c r="D184" s="49"/>
      <c r="E184" s="49" t="str">
        <f>IFERROR(__xludf.DUMMYFUNCTION("""COMPUTED_VALUE"""),"Valley")</f>
        <v>Valley</v>
      </c>
      <c r="F184" s="49" t="str">
        <f>IFERROR(__xludf.DUMMYFUNCTION("""COMPUTED_VALUE"""),"Valley")</f>
        <v>Valley</v>
      </c>
      <c r="G184" s="49" t="str">
        <f>IFERROR(__xludf.DUMMYFUNCTION("""COMPUTED_VALUE"""),"900 Global Vengeance 14 lb")</f>
        <v>900 Global Vengeance 14 lb</v>
      </c>
      <c r="H184" s="52"/>
      <c r="I184" s="49"/>
      <c r="J184" s="51">
        <f>IFERROR(__xludf.DUMMYFUNCTION("""COMPUTED_VALUE"""),46055.0)</f>
        <v>46055</v>
      </c>
      <c r="K184" s="52"/>
      <c r="L184" s="49" t="str">
        <f>IFERROR(__xludf.DUMMYFUNCTION("""COMPUTED_VALUE"""),"B Supply")</f>
        <v>B Supply</v>
      </c>
      <c r="M184" s="49">
        <f>IFERROR(__xludf.DUMMYFUNCTION("""COMPUTED_VALUE"""),518563.0)</f>
        <v>518563</v>
      </c>
      <c r="N184" s="53">
        <f>IFERROR(__xludf.DUMMYFUNCTION("""COMPUTED_VALUE"""),141.88)</f>
        <v>141.88</v>
      </c>
      <c r="O184" s="54">
        <f>IFERROR(__xludf.DUMMYFUNCTION("""COMPUTED_VALUE"""),664395.0)</f>
        <v>664395</v>
      </c>
      <c r="P184" s="49" t="str">
        <f>IFERROR(__xludf.DUMMYFUNCTION("""COMPUTED_VALUE"""),"Y")</f>
        <v>Y</v>
      </c>
      <c r="Q184" s="49" t="str">
        <f>IFERROR(__xludf.DUMMYFUNCTION("""COMPUTED_VALUE"""),"Y")</f>
        <v>Y</v>
      </c>
      <c r="R184" s="49"/>
      <c r="S184" s="49"/>
      <c r="T184" s="49"/>
      <c r="U184" s="49"/>
      <c r="V184" s="49"/>
      <c r="W184" s="49"/>
      <c r="X184" s="49"/>
      <c r="Y184" s="49"/>
      <c r="Z184" s="49"/>
    </row>
    <row r="185">
      <c r="A185" s="49" t="str">
        <f>IFERROR(__xludf.DUMMYFUNCTION("""COMPUTED_VALUE"""),"---")</f>
        <v>---</v>
      </c>
      <c r="B185" s="49" t="str">
        <f>IFERROR(__xludf.DUMMYFUNCTION("""COMPUTED_VALUE"""),"---")</f>
        <v>---</v>
      </c>
      <c r="C185" s="50" t="str">
        <f>IFERROR(__xludf.DUMMYFUNCTION("""COMPUTED_VALUE"""),"Stock")</f>
        <v>Stock</v>
      </c>
      <c r="D185" s="49"/>
      <c r="E185" s="49"/>
      <c r="F185" s="49"/>
      <c r="G185" s="49" t="str">
        <f>IFERROR(__xludf.DUMMYFUNCTION("""COMPUTED_VALUE"""),"C300 Pirahna 14 lb")</f>
        <v>C300 Pirahna 14 lb</v>
      </c>
      <c r="H185" s="52"/>
      <c r="I185" s="49"/>
      <c r="J185" s="51">
        <f>IFERROR(__xludf.DUMMYFUNCTION("""COMPUTED_VALUE"""),46055.0)</f>
        <v>46055</v>
      </c>
      <c r="K185" s="52"/>
      <c r="L185" s="49" t="str">
        <f>IFERROR(__xludf.DUMMYFUNCTION("""COMPUTED_VALUE"""),"Brunswick")</f>
        <v>Brunswick</v>
      </c>
      <c r="M185" s="49"/>
      <c r="N185" s="53">
        <f>IFERROR(__xludf.DUMMYFUNCTION("""COMPUTED_VALUE"""),95.4)</f>
        <v>95.4</v>
      </c>
      <c r="O185" s="54">
        <f>IFERROR(__xludf.DUMMYFUNCTION("""COMPUTED_VALUE"""),7421336.0)</f>
        <v>7421336</v>
      </c>
      <c r="P185" s="49" t="str">
        <f>IFERROR(__xludf.DUMMYFUNCTION("""COMPUTED_VALUE"""),"na")</f>
        <v>na</v>
      </c>
      <c r="Q185" s="49" t="str">
        <f>IFERROR(__xludf.DUMMYFUNCTION("""COMPUTED_VALUE"""),"na")</f>
        <v>na</v>
      </c>
      <c r="R185" s="49"/>
      <c r="S185" s="49"/>
      <c r="T185" s="49"/>
      <c r="U185" s="49"/>
      <c r="V185" s="49"/>
      <c r="W185" s="49"/>
      <c r="X185" s="49"/>
      <c r="Y185" s="49"/>
      <c r="Z185" s="49"/>
    </row>
    <row r="186">
      <c r="A186" s="49" t="str">
        <f>IFERROR(__xludf.DUMMYFUNCTION("""COMPUTED_VALUE"""),"---")</f>
        <v>---</v>
      </c>
      <c r="B186" s="49" t="str">
        <f>IFERROR(__xludf.DUMMYFUNCTION("""COMPUTED_VALUE"""),"---")</f>
        <v>---</v>
      </c>
      <c r="C186" s="50" t="str">
        <f>IFERROR(__xludf.DUMMYFUNCTION("""COMPUTED_VALUE"""),"Stock")</f>
        <v>Stock</v>
      </c>
      <c r="D186" s="49"/>
      <c r="E186" s="49"/>
      <c r="F186" s="49"/>
      <c r="G186" s="49" t="str">
        <f>IFERROR(__xludf.DUMMYFUNCTION("""COMPUTED_VALUE"""),"C300 Pirahna 15 lb")</f>
        <v>C300 Pirahna 15 lb</v>
      </c>
      <c r="H186" s="52"/>
      <c r="I186" s="49"/>
      <c r="J186" s="51">
        <f>IFERROR(__xludf.DUMMYFUNCTION("""COMPUTED_VALUE"""),46055.0)</f>
        <v>46055</v>
      </c>
      <c r="K186" s="52"/>
      <c r="L186" s="49" t="str">
        <f>IFERROR(__xludf.DUMMYFUNCTION("""COMPUTED_VALUE"""),"Brunswick")</f>
        <v>Brunswick</v>
      </c>
      <c r="M186" s="49"/>
      <c r="N186" s="53">
        <f>IFERROR(__xludf.DUMMYFUNCTION("""COMPUTED_VALUE"""),95.4)</f>
        <v>95.4</v>
      </c>
      <c r="O186" s="54">
        <f>IFERROR(__xludf.DUMMYFUNCTION("""COMPUTED_VALUE"""),7421336.0)</f>
        <v>7421336</v>
      </c>
      <c r="P186" s="49" t="str">
        <f>IFERROR(__xludf.DUMMYFUNCTION("""COMPUTED_VALUE"""),"na")</f>
        <v>na</v>
      </c>
      <c r="Q186" s="49" t="str">
        <f>IFERROR(__xludf.DUMMYFUNCTION("""COMPUTED_VALUE"""),"na")</f>
        <v>na</v>
      </c>
      <c r="R186" s="49"/>
      <c r="S186" s="49"/>
      <c r="T186" s="49"/>
      <c r="U186" s="49"/>
      <c r="V186" s="49"/>
      <c r="W186" s="49"/>
      <c r="X186" s="49"/>
      <c r="Y186" s="49"/>
      <c r="Z186" s="49"/>
    </row>
    <row r="187">
      <c r="A187" s="49" t="str">
        <f>IFERROR(__xludf.DUMMYFUNCTION("""COMPUTED_VALUE"""),"---")</f>
        <v>---</v>
      </c>
      <c r="B187" s="49" t="str">
        <f>IFERROR(__xludf.DUMMYFUNCTION("""COMPUTED_VALUE"""),"---")</f>
        <v>---</v>
      </c>
      <c r="C187" s="50" t="str">
        <f>IFERROR(__xludf.DUMMYFUNCTION("""COMPUTED_VALUE"""),"Stock")</f>
        <v>Stock</v>
      </c>
      <c r="D187" s="49"/>
      <c r="E187" s="49"/>
      <c r="F187" s="49"/>
      <c r="G187" s="49" t="str">
        <f>IFERROR(__xludf.DUMMYFUNCTION("""COMPUTED_VALUE"""),"Brunswick Pro Wrist Support XL")</f>
        <v>Brunswick Pro Wrist Support XL</v>
      </c>
      <c r="H187" s="52"/>
      <c r="I187" s="49"/>
      <c r="J187" s="51">
        <f>IFERROR(__xludf.DUMMYFUNCTION("""COMPUTED_VALUE"""),46062.0)</f>
        <v>46062</v>
      </c>
      <c r="K187" s="52"/>
      <c r="L187" s="49" t="str">
        <f>IFERROR(__xludf.DUMMYFUNCTION("""COMPUTED_VALUE"""),"Ace")</f>
        <v>Ace</v>
      </c>
      <c r="M187" s="49">
        <f>IFERROR(__xludf.DUMMYFUNCTION("""COMPUTED_VALUE"""),5.00306218E8)</f>
        <v>500306218</v>
      </c>
      <c r="N187" s="53">
        <f>IFERROR(__xludf.DUMMYFUNCTION("""COMPUTED_VALUE"""),8.77)</f>
        <v>8.77</v>
      </c>
      <c r="O187" s="54">
        <f>IFERROR(__xludf.DUMMYFUNCTION("""COMPUTED_VALUE"""),8.00052268E8)</f>
        <v>800052268</v>
      </c>
      <c r="P187" s="49" t="str">
        <f>IFERROR(__xludf.DUMMYFUNCTION("""COMPUTED_VALUE"""),"na")</f>
        <v>na</v>
      </c>
      <c r="Q187" s="49" t="str">
        <f>IFERROR(__xludf.DUMMYFUNCTION("""COMPUTED_VALUE"""),"na")</f>
        <v>na</v>
      </c>
      <c r="R187" s="49"/>
      <c r="S187" s="49"/>
      <c r="T187" s="49"/>
      <c r="U187" s="49"/>
      <c r="V187" s="49"/>
      <c r="W187" s="49"/>
      <c r="X187" s="49"/>
      <c r="Y187" s="49"/>
      <c r="Z187" s="49"/>
    </row>
    <row r="188">
      <c r="A188" s="49" t="str">
        <f>IFERROR(__xludf.DUMMYFUNCTION("""COMPUTED_VALUE"""),"---")</f>
        <v>---</v>
      </c>
      <c r="B188" s="49" t="str">
        <f>IFERROR(__xludf.DUMMYFUNCTION("""COMPUTED_VALUE"""),"---")</f>
        <v>---</v>
      </c>
      <c r="C188" s="50" t="str">
        <f>IFERROR(__xludf.DUMMYFUNCTION("""COMPUTED_VALUE"""),"Stock")</f>
        <v>Stock</v>
      </c>
      <c r="D188" s="49"/>
      <c r="E188" s="49" t="str">
        <f>IFERROR(__xludf.DUMMYFUNCTION("""COMPUTED_VALUE"""),"Valley")</f>
        <v>Valley</v>
      </c>
      <c r="F188" s="49" t="str">
        <f>IFERROR(__xludf.DUMMYFUNCTION("""COMPUTED_VALUE"""),"Valley")</f>
        <v>Valley</v>
      </c>
      <c r="G188" s="49" t="str">
        <f>IFERROR(__xludf.DUMMYFUNCTION("""COMPUTED_VALUE"""),"Brunswick/Hammer #8 sole")</f>
        <v>Brunswick/Hammer #8 sole</v>
      </c>
      <c r="H188" s="52"/>
      <c r="I188" s="49"/>
      <c r="J188" s="51">
        <f>IFERROR(__xludf.DUMMYFUNCTION("""COMPUTED_VALUE"""),46062.0)</f>
        <v>46062</v>
      </c>
      <c r="K188" s="52"/>
      <c r="L188" s="49" t="str">
        <f>IFERROR(__xludf.DUMMYFUNCTION("""COMPUTED_VALUE"""),"Ace")</f>
        <v>Ace</v>
      </c>
      <c r="M188" s="49">
        <f>IFERROR(__xludf.DUMMYFUNCTION("""COMPUTED_VALUE"""),5.00306218E8)</f>
        <v>500306218</v>
      </c>
      <c r="N188" s="53">
        <f>IFERROR(__xludf.DUMMYFUNCTION("""COMPUTED_VALUE"""),9.49)</f>
        <v>9.49</v>
      </c>
      <c r="O188" s="54">
        <f>IFERROR(__xludf.DUMMYFUNCTION("""COMPUTED_VALUE"""),8.00052268E8)</f>
        <v>800052268</v>
      </c>
      <c r="P188" s="49" t="str">
        <f>IFERROR(__xludf.DUMMYFUNCTION("""COMPUTED_VALUE"""),"na")</f>
        <v>na</v>
      </c>
      <c r="Q188" s="49" t="str">
        <f>IFERROR(__xludf.DUMMYFUNCTION("""COMPUTED_VALUE"""),"na")</f>
        <v>na</v>
      </c>
      <c r="R188" s="49"/>
      <c r="S188" s="49"/>
      <c r="T188" s="49"/>
      <c r="U188" s="49"/>
      <c r="V188" s="49"/>
      <c r="W188" s="49"/>
      <c r="X188" s="49"/>
      <c r="Y188" s="49"/>
      <c r="Z188" s="49"/>
    </row>
    <row r="189">
      <c r="A189" s="49" t="str">
        <f>IFERROR(__xludf.DUMMYFUNCTION("""COMPUTED_VALUE"""),"---")</f>
        <v>---</v>
      </c>
      <c r="B189" s="49" t="str">
        <f>IFERROR(__xludf.DUMMYFUNCTION("""COMPUTED_VALUE"""),"---")</f>
        <v>---</v>
      </c>
      <c r="C189" s="50" t="str">
        <f>IFERROR(__xludf.DUMMYFUNCTION("""COMPUTED_VALUE"""),"Stock")</f>
        <v>Stock</v>
      </c>
      <c r="D189" s="49"/>
      <c r="E189" s="49" t="str">
        <f>IFERROR(__xludf.DUMMYFUNCTION("""COMPUTED_VALUE"""),"Valley")</f>
        <v>Valley</v>
      </c>
      <c r="F189" s="49" t="str">
        <f>IFERROR(__xludf.DUMMYFUNCTION("""COMPUTED_VALUE"""),"Valley")</f>
        <v>Valley</v>
      </c>
      <c r="G189" s="49" t="str">
        <f>IFERROR(__xludf.DUMMYFUNCTION("""COMPUTED_VALUE"""),"Brunswick/Hammer #10 sole")</f>
        <v>Brunswick/Hammer #10 sole</v>
      </c>
      <c r="H189" s="52"/>
      <c r="I189" s="49"/>
      <c r="J189" s="51">
        <f>IFERROR(__xludf.DUMMYFUNCTION("""COMPUTED_VALUE"""),46062.0)</f>
        <v>46062</v>
      </c>
      <c r="K189" s="52"/>
      <c r="L189" s="49" t="str">
        <f>IFERROR(__xludf.DUMMYFUNCTION("""COMPUTED_VALUE"""),"Ace")</f>
        <v>Ace</v>
      </c>
      <c r="M189" s="49">
        <f>IFERROR(__xludf.DUMMYFUNCTION("""COMPUTED_VALUE"""),5.00306218E8)</f>
        <v>500306218</v>
      </c>
      <c r="N189" s="53">
        <f>IFERROR(__xludf.DUMMYFUNCTION("""COMPUTED_VALUE"""),9.49)</f>
        <v>9.49</v>
      </c>
      <c r="O189" s="54">
        <f>IFERROR(__xludf.DUMMYFUNCTION("""COMPUTED_VALUE"""),8.00052268E8)</f>
        <v>800052268</v>
      </c>
      <c r="P189" s="49" t="str">
        <f>IFERROR(__xludf.DUMMYFUNCTION("""COMPUTED_VALUE"""),"na")</f>
        <v>na</v>
      </c>
      <c r="Q189" s="49" t="str">
        <f>IFERROR(__xludf.DUMMYFUNCTION("""COMPUTED_VALUE"""),"na")</f>
        <v>na</v>
      </c>
      <c r="R189" s="49"/>
      <c r="S189" s="49"/>
      <c r="T189" s="49"/>
      <c r="U189" s="49"/>
      <c r="V189" s="49"/>
      <c r="W189" s="49"/>
      <c r="X189" s="49"/>
      <c r="Y189" s="49"/>
      <c r="Z189" s="49"/>
    </row>
    <row r="190">
      <c r="A190" s="49" t="str">
        <f>IFERROR(__xludf.DUMMYFUNCTION("""COMPUTED_VALUE"""),"---")</f>
        <v>---</v>
      </c>
      <c r="B190" s="49" t="str">
        <f>IFERROR(__xludf.DUMMYFUNCTION("""COMPUTED_VALUE"""),"---")</f>
        <v>---</v>
      </c>
      <c r="C190" s="50" t="str">
        <f>IFERROR(__xludf.DUMMYFUNCTION("""COMPUTED_VALUE"""),"Stock")</f>
        <v>Stock</v>
      </c>
      <c r="D190" s="49"/>
      <c r="E190" s="49" t="str">
        <f>IFERROR(__xludf.DUMMYFUNCTION("""COMPUTED_VALUE"""),"South")</f>
        <v>South</v>
      </c>
      <c r="F190" s="49" t="str">
        <f>IFERROR(__xludf.DUMMYFUNCTION("""COMPUTED_VALUE"""),"South")</f>
        <v>South</v>
      </c>
      <c r="G190" s="49" t="str">
        <f>IFERROR(__xludf.DUMMYFUNCTION("""COMPUTED_VALUE"""),"Storm Phaze II Pearl 15 lb")</f>
        <v>Storm Phaze II Pearl 15 lb</v>
      </c>
      <c r="H190" s="52"/>
      <c r="I190" s="49"/>
      <c r="J190" s="51">
        <f>IFERROR(__xludf.DUMMYFUNCTION("""COMPUTED_VALUE"""),46062.0)</f>
        <v>46062</v>
      </c>
      <c r="K190" s="52"/>
      <c r="L190" s="49" t="str">
        <f>IFERROR(__xludf.DUMMYFUNCTION("""COMPUTED_VALUE"""),"Ace")</f>
        <v>Ace</v>
      </c>
      <c r="M190" s="49">
        <f>IFERROR(__xludf.DUMMYFUNCTION("""COMPUTED_VALUE"""),5.00306218E8)</f>
        <v>500306218</v>
      </c>
      <c r="N190" s="53">
        <f>IFERROR(__xludf.DUMMYFUNCTION("""COMPUTED_VALUE"""),146.12)</f>
        <v>146.12</v>
      </c>
      <c r="O190" s="54">
        <f>IFERROR(__xludf.DUMMYFUNCTION("""COMPUTED_VALUE"""),8.00052268E8)</f>
        <v>800052268</v>
      </c>
      <c r="P190" s="49" t="str">
        <f>IFERROR(__xludf.DUMMYFUNCTION("""COMPUTED_VALUE"""),"na")</f>
        <v>na</v>
      </c>
      <c r="Q190" s="49" t="str">
        <f>IFERROR(__xludf.DUMMYFUNCTION("""COMPUTED_VALUE"""),"na")</f>
        <v>na</v>
      </c>
      <c r="R190" s="49"/>
      <c r="S190" s="49"/>
      <c r="T190" s="49"/>
      <c r="U190" s="49"/>
      <c r="V190" s="49"/>
      <c r="W190" s="49"/>
      <c r="X190" s="49"/>
      <c r="Y190" s="49"/>
      <c r="Z190" s="49"/>
    </row>
    <row r="191">
      <c r="A191" s="49" t="str">
        <f>IFERROR(__xludf.DUMMYFUNCTION("""COMPUTED_VALUE"""),"---")</f>
        <v>---</v>
      </c>
      <c r="B191" s="49" t="str">
        <f>IFERROR(__xludf.DUMMYFUNCTION("""COMPUTED_VALUE"""),"---")</f>
        <v>---</v>
      </c>
      <c r="C191" s="50" t="str">
        <f>IFERROR(__xludf.DUMMYFUNCTION("""COMPUTED_VALUE"""),"Thomas Fasano")</f>
        <v>Thomas Fasano</v>
      </c>
      <c r="D191" s="49">
        <f>IFERROR(__xludf.DUMMYFUNCTION("""COMPUTED_VALUE"""),6.462961187E9)</f>
        <v>6462961187</v>
      </c>
      <c r="E191" s="49" t="str">
        <f>IFERROR(__xludf.DUMMYFUNCTION("""COMPUTED_VALUE"""),"South")</f>
        <v>South</v>
      </c>
      <c r="F191" s="49" t="str">
        <f>IFERROR(__xludf.DUMMYFUNCTION("""COMPUTED_VALUE"""),"South")</f>
        <v>South</v>
      </c>
      <c r="G191" s="49" t="str">
        <f>IFERROR(__xludf.DUMMYFUNCTION("""COMPUTED_VALUE"""),"black widow dynasty 14 lb")</f>
        <v>black widow dynasty 14 lb</v>
      </c>
      <c r="H191" s="52"/>
      <c r="I191" s="49"/>
      <c r="J191" s="51">
        <f>IFERROR(__xludf.DUMMYFUNCTION("""COMPUTED_VALUE"""),46062.0)</f>
        <v>46062</v>
      </c>
      <c r="K191" s="52"/>
      <c r="L191" s="49" t="str">
        <f>IFERROR(__xludf.DUMMYFUNCTION("""COMPUTED_VALUE"""),"Ace")</f>
        <v>Ace</v>
      </c>
      <c r="M191" s="49">
        <f>IFERROR(__xludf.DUMMYFUNCTION("""COMPUTED_VALUE"""),5.00306218E8)</f>
        <v>500306218</v>
      </c>
      <c r="N191" s="53">
        <f>IFERROR(__xludf.DUMMYFUNCTION("""COMPUTED_VALUE"""),133.41)</f>
        <v>133.41</v>
      </c>
      <c r="O191" s="54">
        <f>IFERROR(__xludf.DUMMYFUNCTION("""COMPUTED_VALUE"""),8.00052268E8)</f>
        <v>800052268</v>
      </c>
      <c r="P191" s="49" t="str">
        <f>IFERROR(__xludf.DUMMYFUNCTION("""COMPUTED_VALUE"""),"Y")</f>
        <v>Y</v>
      </c>
      <c r="Q191" s="49" t="str">
        <f>IFERROR(__xludf.DUMMYFUNCTION("""COMPUTED_VALUE"""),"Y")</f>
        <v>Y</v>
      </c>
      <c r="R191" s="49"/>
      <c r="S191" s="49"/>
      <c r="T191" s="49"/>
      <c r="U191" s="49"/>
      <c r="V191" s="49"/>
      <c r="W191" s="49"/>
      <c r="X191" s="49"/>
      <c r="Y191" s="49"/>
      <c r="Z191" s="49"/>
    </row>
    <row r="192">
      <c r="A192" s="49" t="str">
        <f>IFERROR(__xludf.DUMMYFUNCTION("""COMPUTED_VALUE"""),"---")</f>
        <v>---</v>
      </c>
      <c r="B192" s="49" t="str">
        <f>IFERROR(__xludf.DUMMYFUNCTION("""COMPUTED_VALUE"""),"---")</f>
        <v>---</v>
      </c>
      <c r="C192" s="50" t="str">
        <f>IFERROR(__xludf.DUMMYFUNCTION("""COMPUTED_VALUE"""),"Stock")</f>
        <v>Stock</v>
      </c>
      <c r="D192" s="49"/>
      <c r="E192" s="49" t="str">
        <f>IFERROR(__xludf.DUMMYFUNCTION("""COMPUTED_VALUE"""),"Valley")</f>
        <v>Valley</v>
      </c>
      <c r="F192" s="49" t="str">
        <f>IFERROR(__xludf.DUMMYFUNCTION("""COMPUTED_VALUE"""),"Valley")</f>
        <v>Valley</v>
      </c>
      <c r="G192" s="49" t="str">
        <f>IFERROR(__xludf.DUMMYFUNCTION("""COMPUTED_VALUE"""),"Brunswick Shoe Shield XL")</f>
        <v>Brunswick Shoe Shield XL</v>
      </c>
      <c r="H192" s="52"/>
      <c r="I192" s="49"/>
      <c r="J192" s="51">
        <f>IFERROR(__xludf.DUMMYFUNCTION("""COMPUTED_VALUE"""),46062.0)</f>
        <v>46062</v>
      </c>
      <c r="K192" s="52"/>
      <c r="L192" s="49" t="str">
        <f>IFERROR(__xludf.DUMMYFUNCTION("""COMPUTED_VALUE"""),"Ace")</f>
        <v>Ace</v>
      </c>
      <c r="M192" s="49">
        <f>IFERROR(__xludf.DUMMYFUNCTION("""COMPUTED_VALUE"""),5.00306218E8)</f>
        <v>500306218</v>
      </c>
      <c r="N192" s="53">
        <f>IFERROR(__xludf.DUMMYFUNCTION("""COMPUTED_VALUE"""),8.04)</f>
        <v>8.04</v>
      </c>
      <c r="O192" s="54">
        <f>IFERROR(__xludf.DUMMYFUNCTION("""COMPUTED_VALUE"""),8.00052268E8)</f>
        <v>800052268</v>
      </c>
      <c r="P192" s="49" t="str">
        <f>IFERROR(__xludf.DUMMYFUNCTION("""COMPUTED_VALUE"""),"na")</f>
        <v>na</v>
      </c>
      <c r="Q192" s="49" t="str">
        <f>IFERROR(__xludf.DUMMYFUNCTION("""COMPUTED_VALUE"""),"na")</f>
        <v>na</v>
      </c>
      <c r="R192" s="49"/>
      <c r="S192" s="49"/>
      <c r="T192" s="49"/>
      <c r="U192" s="49"/>
      <c r="V192" s="49"/>
      <c r="W192" s="49"/>
      <c r="X192" s="49"/>
      <c r="Y192" s="49"/>
      <c r="Z192" s="49"/>
    </row>
    <row r="193">
      <c r="A193" s="49" t="str">
        <f>IFERROR(__xludf.DUMMYFUNCTION("""COMPUTED_VALUE"""),"---")</f>
        <v>---</v>
      </c>
      <c r="B193" s="49" t="str">
        <f>IFERROR(__xludf.DUMMYFUNCTION("""COMPUTED_VALUE"""),"---")</f>
        <v>---</v>
      </c>
      <c r="C193" s="50" t="str">
        <f>IFERROR(__xludf.DUMMYFUNCTION("""COMPUTED_VALUE"""),"Stock")</f>
        <v>Stock</v>
      </c>
      <c r="D193" s="49"/>
      <c r="E193" s="49" t="str">
        <f>IFERROR(__xludf.DUMMYFUNCTION("""COMPUTED_VALUE"""),"South")</f>
        <v>South</v>
      </c>
      <c r="F193" s="49" t="str">
        <f>IFERROR(__xludf.DUMMYFUNCTION("""COMPUTED_VALUE"""),"South")</f>
        <v>South</v>
      </c>
      <c r="G193" s="49" t="str">
        <f>IFERROR(__xludf.DUMMYFUNCTION("""COMPUTED_VALUE"""),"Brunswick Shoe Shield  XL")</f>
        <v>Brunswick Shoe Shield  XL</v>
      </c>
      <c r="H193" s="52"/>
      <c r="I193" s="49"/>
      <c r="J193" s="51">
        <f>IFERROR(__xludf.DUMMYFUNCTION("""COMPUTED_VALUE"""),46062.0)</f>
        <v>46062</v>
      </c>
      <c r="K193" s="52"/>
      <c r="L193" s="49" t="str">
        <f>IFERROR(__xludf.DUMMYFUNCTION("""COMPUTED_VALUE"""),"Ace")</f>
        <v>Ace</v>
      </c>
      <c r="M193" s="49">
        <f>IFERROR(__xludf.DUMMYFUNCTION("""COMPUTED_VALUE"""),5.00306218E8)</f>
        <v>500306218</v>
      </c>
      <c r="N193" s="53">
        <f>IFERROR(__xludf.DUMMYFUNCTION("""COMPUTED_VALUE"""),8.04)</f>
        <v>8.04</v>
      </c>
      <c r="O193" s="54">
        <f>IFERROR(__xludf.DUMMYFUNCTION("""COMPUTED_VALUE"""),8.00052268E8)</f>
        <v>800052268</v>
      </c>
      <c r="P193" s="49" t="str">
        <f>IFERROR(__xludf.DUMMYFUNCTION("""COMPUTED_VALUE"""),"na")</f>
        <v>na</v>
      </c>
      <c r="Q193" s="49" t="str">
        <f>IFERROR(__xludf.DUMMYFUNCTION("""COMPUTED_VALUE"""),"na")</f>
        <v>na</v>
      </c>
      <c r="R193" s="49"/>
      <c r="S193" s="49"/>
      <c r="T193" s="49"/>
      <c r="U193" s="49"/>
      <c r="V193" s="49"/>
      <c r="W193" s="49"/>
      <c r="X193" s="49"/>
      <c r="Y193" s="49"/>
      <c r="Z193" s="49"/>
    </row>
    <row r="194">
      <c r="A194" s="49" t="str">
        <f>IFERROR(__xludf.DUMMYFUNCTION("""COMPUTED_VALUE"""),"---")</f>
        <v>---</v>
      </c>
      <c r="B194" s="49" t="str">
        <f>IFERROR(__xludf.DUMMYFUNCTION("""COMPUTED_VALUE"""),"---")</f>
        <v>---</v>
      </c>
      <c r="C194" s="50" t="str">
        <f>IFERROR(__xludf.DUMMYFUNCTION("""COMPUTED_VALUE"""),"Stock")</f>
        <v>Stock</v>
      </c>
      <c r="D194" s="49"/>
      <c r="E194" s="49" t="str">
        <f>IFERROR(__xludf.DUMMYFUNCTION("""COMPUTED_VALUE"""),"Valley")</f>
        <v>Valley</v>
      </c>
      <c r="F194" s="49" t="str">
        <f>IFERROR(__xludf.DUMMYFUNCTION("""COMPUTED_VALUE"""),"Valley")</f>
        <v>Valley</v>
      </c>
      <c r="G194" s="49" t="str">
        <f>IFERROR(__xludf.DUMMYFUNCTION("""COMPUTED_VALUE"""),"Brunswick Shoe Shield  L")</f>
        <v>Brunswick Shoe Shield  L</v>
      </c>
      <c r="H194" s="52"/>
      <c r="I194" s="49"/>
      <c r="J194" s="51">
        <f>IFERROR(__xludf.DUMMYFUNCTION("""COMPUTED_VALUE"""),46062.0)</f>
        <v>46062</v>
      </c>
      <c r="K194" s="52"/>
      <c r="L194" s="49" t="str">
        <f>IFERROR(__xludf.DUMMYFUNCTION("""COMPUTED_VALUE"""),"Ace")</f>
        <v>Ace</v>
      </c>
      <c r="M194" s="49">
        <f>IFERROR(__xludf.DUMMYFUNCTION("""COMPUTED_VALUE"""),5.00306218E8)</f>
        <v>500306218</v>
      </c>
      <c r="N194" s="53">
        <f>IFERROR(__xludf.DUMMYFUNCTION("""COMPUTED_VALUE"""),8.04)</f>
        <v>8.04</v>
      </c>
      <c r="O194" s="54">
        <f>IFERROR(__xludf.DUMMYFUNCTION("""COMPUTED_VALUE"""),8.00052268E8)</f>
        <v>800052268</v>
      </c>
      <c r="P194" s="49" t="str">
        <f>IFERROR(__xludf.DUMMYFUNCTION("""COMPUTED_VALUE"""),"na")</f>
        <v>na</v>
      </c>
      <c r="Q194" s="49" t="str">
        <f>IFERROR(__xludf.DUMMYFUNCTION("""COMPUTED_VALUE"""),"na")</f>
        <v>na</v>
      </c>
      <c r="R194" s="49"/>
      <c r="S194" s="49"/>
      <c r="T194" s="49"/>
      <c r="U194" s="49"/>
      <c r="V194" s="49"/>
      <c r="W194" s="49"/>
      <c r="X194" s="49"/>
      <c r="Y194" s="49"/>
      <c r="Z194" s="49"/>
    </row>
    <row r="195">
      <c r="A195" s="49" t="str">
        <f>IFERROR(__xludf.DUMMYFUNCTION("""COMPUTED_VALUE"""),"---")</f>
        <v>---</v>
      </c>
      <c r="B195" s="49" t="str">
        <f>IFERROR(__xludf.DUMMYFUNCTION("""COMPUTED_VALUE"""),"---")</f>
        <v>---</v>
      </c>
      <c r="C195" s="50" t="str">
        <f>IFERROR(__xludf.DUMMYFUNCTION("""COMPUTED_VALUE"""),"Anna Pica")</f>
        <v>Anna Pica</v>
      </c>
      <c r="D195" s="49"/>
      <c r="E195" s="49" t="str">
        <f>IFERROR(__xludf.DUMMYFUNCTION("""COMPUTED_VALUE"""),"Valley")</f>
        <v>Valley</v>
      </c>
      <c r="F195" s="49" t="str">
        <f>IFERROR(__xludf.DUMMYFUNCTION("""COMPUTED_VALUE"""),"Valley")</f>
        <v>Valley</v>
      </c>
      <c r="G195" s="49" t="str">
        <f>IFERROR(__xludf.DUMMYFUNCTION("""COMPUTED_VALUE"""),"Dexter SST 8 Power Frame BOA white blue size 9")</f>
        <v>Dexter SST 8 Power Frame BOA white blue size 9</v>
      </c>
      <c r="H195" s="52"/>
      <c r="I195" s="49"/>
      <c r="J195" s="51">
        <f>IFERROR(__xludf.DUMMYFUNCTION("""COMPUTED_VALUE"""),46062.0)</f>
        <v>46062</v>
      </c>
      <c r="K195" s="52"/>
      <c r="L195" s="49" t="str">
        <f>IFERROR(__xludf.DUMMYFUNCTION("""COMPUTED_VALUE"""),"Ace")</f>
        <v>Ace</v>
      </c>
      <c r="M195" s="49">
        <f>IFERROR(__xludf.DUMMYFUNCTION("""COMPUTED_VALUE"""),5.00306218E8)</f>
        <v>500306218</v>
      </c>
      <c r="N195" s="53">
        <f>IFERROR(__xludf.DUMMYFUNCTION("""COMPUTED_VALUE"""),167.68)</f>
        <v>167.68</v>
      </c>
      <c r="O195" s="54">
        <f>IFERROR(__xludf.DUMMYFUNCTION("""COMPUTED_VALUE"""),8.00052268E8)</f>
        <v>800052268</v>
      </c>
      <c r="P195" s="49" t="str">
        <f>IFERROR(__xludf.DUMMYFUNCTION("""COMPUTED_VALUE"""),"Y")</f>
        <v>Y</v>
      </c>
      <c r="Q195" s="49" t="str">
        <f>IFERROR(__xludf.DUMMYFUNCTION("""COMPUTED_VALUE"""),"Y")</f>
        <v>Y</v>
      </c>
      <c r="R195" s="49"/>
      <c r="S195" s="49"/>
      <c r="T195" s="49"/>
      <c r="U195" s="49"/>
      <c r="V195" s="49"/>
      <c r="W195" s="49"/>
      <c r="X195" s="49"/>
      <c r="Y195" s="49"/>
      <c r="Z195" s="49"/>
    </row>
    <row r="196">
      <c r="A196" s="49" t="str">
        <f>IFERROR(__xludf.DUMMYFUNCTION("""COMPUTED_VALUE"""),"---")</f>
        <v>---</v>
      </c>
      <c r="B196" s="49" t="str">
        <f>IFERROR(__xludf.DUMMYFUNCTION("""COMPUTED_VALUE"""),"---")</f>
        <v>---</v>
      </c>
      <c r="C196" s="50" t="str">
        <f>IFERROR(__xludf.DUMMYFUNCTION("""COMPUTED_VALUE"""),"Stock")</f>
        <v>Stock</v>
      </c>
      <c r="D196" s="49"/>
      <c r="E196" s="49"/>
      <c r="F196" s="49"/>
      <c r="G196" s="49" t="str">
        <f>IFERROR(__xludf.DUMMYFUNCTION("""COMPUTED_VALUE"""),"1 1/8"" slug blue/purple")</f>
        <v>1 1/8" slug blue/purple</v>
      </c>
      <c r="H196" s="52"/>
      <c r="I196" s="49"/>
      <c r="J196" s="51">
        <f>IFERROR(__xludf.DUMMYFUNCTION("""COMPUTED_VALUE"""),46062.0)</f>
        <v>46062</v>
      </c>
      <c r="K196" s="52"/>
      <c r="L196" s="49" t="str">
        <f>IFERROR(__xludf.DUMMYFUNCTION("""COMPUTED_VALUE"""),"Ace")</f>
        <v>Ace</v>
      </c>
      <c r="M196" s="49">
        <f>IFERROR(__xludf.DUMMYFUNCTION("""COMPUTED_VALUE"""),5.00306218E8)</f>
        <v>500306218</v>
      </c>
      <c r="N196" s="53">
        <f>IFERROR(__xludf.DUMMYFUNCTION("""COMPUTED_VALUE"""),3.07)</f>
        <v>3.07</v>
      </c>
      <c r="O196" s="54">
        <f>IFERROR(__xludf.DUMMYFUNCTION("""COMPUTED_VALUE"""),8.00052268E8)</f>
        <v>800052268</v>
      </c>
      <c r="P196" s="49" t="str">
        <f>IFERROR(__xludf.DUMMYFUNCTION("""COMPUTED_VALUE"""),"na")</f>
        <v>na</v>
      </c>
      <c r="Q196" s="49" t="str">
        <f>IFERROR(__xludf.DUMMYFUNCTION("""COMPUTED_VALUE"""),"na")</f>
        <v>na</v>
      </c>
      <c r="R196" s="49"/>
      <c r="S196" s="49"/>
      <c r="T196" s="49"/>
      <c r="U196" s="49"/>
      <c r="V196" s="49"/>
      <c r="W196" s="49"/>
      <c r="X196" s="49"/>
      <c r="Y196" s="49"/>
      <c r="Z196" s="49"/>
    </row>
    <row r="197">
      <c r="A197" s="49" t="str">
        <f>IFERROR(__xludf.DUMMYFUNCTION("""COMPUTED_VALUE"""),"---")</f>
        <v>---</v>
      </c>
      <c r="B197" s="49" t="str">
        <f>IFERROR(__xludf.DUMMYFUNCTION("""COMPUTED_VALUE"""),"---")</f>
        <v>---</v>
      </c>
      <c r="C197" s="50" t="str">
        <f>IFERROR(__xludf.DUMMYFUNCTION("""COMPUTED_VALUE"""),"Stock")</f>
        <v>Stock</v>
      </c>
      <c r="D197" s="49"/>
      <c r="E197" s="49"/>
      <c r="F197" s="49"/>
      <c r="G197" s="49" t="str">
        <f>IFERROR(__xludf.DUMMYFUNCTION("""COMPUTED_VALUE"""),"1 1/8"" slug red/green")</f>
        <v>1 1/8" slug red/green</v>
      </c>
      <c r="H197" s="52"/>
      <c r="I197" s="49"/>
      <c r="J197" s="51">
        <f>IFERROR(__xludf.DUMMYFUNCTION("""COMPUTED_VALUE"""),46062.0)</f>
        <v>46062</v>
      </c>
      <c r="K197" s="52"/>
      <c r="L197" s="49" t="str">
        <f>IFERROR(__xludf.DUMMYFUNCTION("""COMPUTED_VALUE"""),"Ace")</f>
        <v>Ace</v>
      </c>
      <c r="M197" s="49">
        <f>IFERROR(__xludf.DUMMYFUNCTION("""COMPUTED_VALUE"""),5.00306218E8)</f>
        <v>500306218</v>
      </c>
      <c r="N197" s="53">
        <f>IFERROR(__xludf.DUMMYFUNCTION("""COMPUTED_VALUE"""),3.07)</f>
        <v>3.07</v>
      </c>
      <c r="O197" s="54">
        <f>IFERROR(__xludf.DUMMYFUNCTION("""COMPUTED_VALUE"""),8.00052268E8)</f>
        <v>800052268</v>
      </c>
      <c r="P197" s="49" t="str">
        <f>IFERROR(__xludf.DUMMYFUNCTION("""COMPUTED_VALUE"""),"na")</f>
        <v>na</v>
      </c>
      <c r="Q197" s="49" t="str">
        <f>IFERROR(__xludf.DUMMYFUNCTION("""COMPUTED_VALUE"""),"na")</f>
        <v>na</v>
      </c>
      <c r="R197" s="49"/>
      <c r="S197" s="49"/>
      <c r="T197" s="49"/>
      <c r="U197" s="49"/>
      <c r="V197" s="49"/>
      <c r="W197" s="49"/>
      <c r="X197" s="49"/>
      <c r="Y197" s="49"/>
      <c r="Z197" s="49"/>
    </row>
    <row r="198">
      <c r="A198" s="49" t="str">
        <f>IFERROR(__xludf.DUMMYFUNCTION("""COMPUTED_VALUE"""),"---")</f>
        <v>---</v>
      </c>
      <c r="B198" s="49" t="str">
        <f>IFERROR(__xludf.DUMMYFUNCTION("""COMPUTED_VALUE"""),"---")</f>
        <v>---</v>
      </c>
      <c r="C198" s="50" t="str">
        <f>IFERROR(__xludf.DUMMYFUNCTION("""COMPUTED_VALUE"""),"Stock")</f>
        <v>Stock</v>
      </c>
      <c r="D198" s="49"/>
      <c r="E198" s="49"/>
      <c r="F198" s="49"/>
      <c r="G198" s="49" t="str">
        <f>IFERROR(__xludf.DUMMYFUNCTION("""COMPUTED_VALUE"""),"TG orange 13")</f>
        <v>TG orange 13</v>
      </c>
      <c r="H198" s="52"/>
      <c r="I198" s="49"/>
      <c r="J198" s="51">
        <f>IFERROR(__xludf.DUMMYFUNCTION("""COMPUTED_VALUE"""),46062.0)</f>
        <v>46062</v>
      </c>
      <c r="K198" s="52"/>
      <c r="L198" s="49" t="str">
        <f>IFERROR(__xludf.DUMMYFUNCTION("""COMPUTED_VALUE"""),"Ace")</f>
        <v>Ace</v>
      </c>
      <c r="M198" s="49">
        <f>IFERROR(__xludf.DUMMYFUNCTION("""COMPUTED_VALUE"""),5.00306218E8)</f>
        <v>500306218</v>
      </c>
      <c r="N198" s="53">
        <f>IFERROR(__xludf.DUMMYFUNCTION("""COMPUTED_VALUE"""),0.99)</f>
        <v>0.99</v>
      </c>
      <c r="O198" s="54">
        <f>IFERROR(__xludf.DUMMYFUNCTION("""COMPUTED_VALUE"""),8.00052268E8)</f>
        <v>800052268</v>
      </c>
      <c r="P198" s="49" t="str">
        <f>IFERROR(__xludf.DUMMYFUNCTION("""COMPUTED_VALUE"""),"na")</f>
        <v>na</v>
      </c>
      <c r="Q198" s="49" t="str">
        <f>IFERROR(__xludf.DUMMYFUNCTION("""COMPUTED_VALUE"""),"na")</f>
        <v>na</v>
      </c>
      <c r="R198" s="49"/>
      <c r="S198" s="49"/>
      <c r="T198" s="49"/>
      <c r="U198" s="49"/>
      <c r="V198" s="49"/>
      <c r="W198" s="49"/>
      <c r="X198" s="49"/>
      <c r="Y198" s="49"/>
      <c r="Z198" s="49"/>
    </row>
    <row r="199">
      <c r="A199" s="49" t="str">
        <f>IFERROR(__xludf.DUMMYFUNCTION("""COMPUTED_VALUE"""),"---")</f>
        <v>---</v>
      </c>
      <c r="B199" s="49" t="str">
        <f>IFERROR(__xludf.DUMMYFUNCTION("""COMPUTED_VALUE"""),"---")</f>
        <v>---</v>
      </c>
      <c r="C199" s="50" t="str">
        <f>IFERROR(__xludf.DUMMYFUNCTION("""COMPUTED_VALUE"""),"Stock")</f>
        <v>Stock</v>
      </c>
      <c r="D199" s="49"/>
      <c r="E199" s="49"/>
      <c r="F199" s="49"/>
      <c r="G199" s="49" t="str">
        <f>IFERROR(__xludf.DUMMYFUNCTION("""COMPUTED_VALUE"""),"TG orange 49")</f>
        <v>TG orange 49</v>
      </c>
      <c r="H199" s="52"/>
      <c r="I199" s="49"/>
      <c r="J199" s="51">
        <f>IFERROR(__xludf.DUMMYFUNCTION("""COMPUTED_VALUE"""),46062.0)</f>
        <v>46062</v>
      </c>
      <c r="K199" s="52"/>
      <c r="L199" s="49" t="str">
        <f>IFERROR(__xludf.DUMMYFUNCTION("""COMPUTED_VALUE"""),"Ace")</f>
        <v>Ace</v>
      </c>
      <c r="M199" s="49">
        <f>IFERROR(__xludf.DUMMYFUNCTION("""COMPUTED_VALUE"""),5.00306218E8)</f>
        <v>500306218</v>
      </c>
      <c r="N199" s="53">
        <f>IFERROR(__xludf.DUMMYFUNCTION("""COMPUTED_VALUE"""),0.99)</f>
        <v>0.99</v>
      </c>
      <c r="O199" s="54">
        <f>IFERROR(__xludf.DUMMYFUNCTION("""COMPUTED_VALUE"""),8.00052268E8)</f>
        <v>800052268</v>
      </c>
      <c r="P199" s="49" t="str">
        <f>IFERROR(__xludf.DUMMYFUNCTION("""COMPUTED_VALUE"""),"na")</f>
        <v>na</v>
      </c>
      <c r="Q199" s="49" t="str">
        <f>IFERROR(__xludf.DUMMYFUNCTION("""COMPUTED_VALUE"""),"na")</f>
        <v>na</v>
      </c>
      <c r="R199" s="49"/>
      <c r="S199" s="49"/>
      <c r="T199" s="49"/>
      <c r="U199" s="49"/>
      <c r="V199" s="49"/>
      <c r="W199" s="49"/>
      <c r="X199" s="49"/>
      <c r="Y199" s="49"/>
      <c r="Z199" s="49"/>
    </row>
    <row r="200">
      <c r="A200" s="49" t="str">
        <f>IFERROR(__xludf.DUMMYFUNCTION("""COMPUTED_VALUE"""),"---")</f>
        <v>---</v>
      </c>
      <c r="B200" s="49" t="str">
        <f>IFERROR(__xludf.DUMMYFUNCTION("""COMPUTED_VALUE"""),"---")</f>
        <v>---</v>
      </c>
      <c r="C200" s="50" t="str">
        <f>IFERROR(__xludf.DUMMYFUNCTION("""COMPUTED_VALUE"""),"Stock")</f>
        <v>Stock</v>
      </c>
      <c r="D200" s="49"/>
      <c r="E200" s="49"/>
      <c r="F200" s="49"/>
      <c r="G200" s="49" t="str">
        <f>IFERROR(__xludf.DUMMYFUNCTION("""COMPUTED_VALUE"""),"TG black 11")</f>
        <v>TG black 11</v>
      </c>
      <c r="H200" s="52"/>
      <c r="I200" s="49"/>
      <c r="J200" s="51">
        <f>IFERROR(__xludf.DUMMYFUNCTION("""COMPUTED_VALUE"""),46062.0)</f>
        <v>46062</v>
      </c>
      <c r="K200" s="52"/>
      <c r="L200" s="49" t="str">
        <f>IFERROR(__xludf.DUMMYFUNCTION("""COMPUTED_VALUE"""),"Ace")</f>
        <v>Ace</v>
      </c>
      <c r="M200" s="49">
        <f>IFERROR(__xludf.DUMMYFUNCTION("""COMPUTED_VALUE"""),5.00306218E8)</f>
        <v>500306218</v>
      </c>
      <c r="N200" s="53">
        <f>IFERROR(__xludf.DUMMYFUNCTION("""COMPUTED_VALUE"""),0.99)</f>
        <v>0.99</v>
      </c>
      <c r="O200" s="54">
        <f>IFERROR(__xludf.DUMMYFUNCTION("""COMPUTED_VALUE"""),8.00052268E8)</f>
        <v>800052268</v>
      </c>
      <c r="P200" s="49" t="str">
        <f>IFERROR(__xludf.DUMMYFUNCTION("""COMPUTED_VALUE"""),"na")</f>
        <v>na</v>
      </c>
      <c r="Q200" s="49" t="str">
        <f>IFERROR(__xludf.DUMMYFUNCTION("""COMPUTED_VALUE"""),"na")</f>
        <v>na</v>
      </c>
      <c r="R200" s="49"/>
      <c r="S200" s="49"/>
      <c r="T200" s="49"/>
      <c r="U200" s="49"/>
      <c r="V200" s="49"/>
      <c r="W200" s="49"/>
      <c r="X200" s="49"/>
      <c r="Y200" s="49"/>
      <c r="Z200" s="49"/>
    </row>
    <row r="201">
      <c r="A201" s="49" t="str">
        <f>IFERROR(__xludf.DUMMYFUNCTION("""COMPUTED_VALUE"""),"---")</f>
        <v>---</v>
      </c>
      <c r="B201" s="49" t="str">
        <f>IFERROR(__xludf.DUMMYFUNCTION("""COMPUTED_VALUE"""),"---")</f>
        <v>---</v>
      </c>
      <c r="C201" s="50" t="str">
        <f>IFERROR(__xludf.DUMMYFUNCTION("""COMPUTED_VALUE"""),"Stock")</f>
        <v>Stock</v>
      </c>
      <c r="D201" s="49"/>
      <c r="E201" s="49"/>
      <c r="F201" s="49"/>
      <c r="G201" s="49" t="str">
        <f>IFERROR(__xludf.DUMMYFUNCTION("""COMPUTED_VALUE"""),"TG black 41")</f>
        <v>TG black 41</v>
      </c>
      <c r="H201" s="52"/>
      <c r="I201" s="49"/>
      <c r="J201" s="51">
        <f>IFERROR(__xludf.DUMMYFUNCTION("""COMPUTED_VALUE"""),46062.0)</f>
        <v>46062</v>
      </c>
      <c r="K201" s="52"/>
      <c r="L201" s="49" t="str">
        <f>IFERROR(__xludf.DUMMYFUNCTION("""COMPUTED_VALUE"""),"Ace")</f>
        <v>Ace</v>
      </c>
      <c r="M201" s="49">
        <f>IFERROR(__xludf.DUMMYFUNCTION("""COMPUTED_VALUE"""),5.00306218E8)</f>
        <v>500306218</v>
      </c>
      <c r="N201" s="53">
        <f>IFERROR(__xludf.DUMMYFUNCTION("""COMPUTED_VALUE"""),0.99)</f>
        <v>0.99</v>
      </c>
      <c r="O201" s="54">
        <f>IFERROR(__xludf.DUMMYFUNCTION("""COMPUTED_VALUE"""),8.00052268E8)</f>
        <v>800052268</v>
      </c>
      <c r="P201" s="49" t="str">
        <f>IFERROR(__xludf.DUMMYFUNCTION("""COMPUTED_VALUE"""),"na")</f>
        <v>na</v>
      </c>
      <c r="Q201" s="49" t="str">
        <f>IFERROR(__xludf.DUMMYFUNCTION("""COMPUTED_VALUE"""),"na")</f>
        <v>na</v>
      </c>
      <c r="R201" s="49"/>
      <c r="S201" s="49"/>
      <c r="T201" s="49"/>
      <c r="U201" s="49"/>
      <c r="V201" s="49"/>
      <c r="W201" s="49"/>
      <c r="X201" s="49"/>
      <c r="Y201" s="49"/>
      <c r="Z201" s="49"/>
    </row>
    <row r="202">
      <c r="A202" s="49" t="str">
        <f>IFERROR(__xludf.DUMMYFUNCTION("""COMPUTED_VALUE"""),"---")</f>
        <v>---</v>
      </c>
      <c r="B202" s="49" t="str">
        <f>IFERROR(__xludf.DUMMYFUNCTION("""COMPUTED_VALUE"""),"---")</f>
        <v>---</v>
      </c>
      <c r="C202" s="50" t="str">
        <f>IFERROR(__xludf.DUMMYFUNCTION("""COMPUTED_VALUE"""),"Stock")</f>
        <v>Stock</v>
      </c>
      <c r="D202" s="49"/>
      <c r="E202" s="49"/>
      <c r="F202" s="49"/>
      <c r="G202" s="49" t="str">
        <f>IFERROR(__xludf.DUMMYFUNCTION("""COMPUTED_VALUE"""),"TG yellow 23")</f>
        <v>TG yellow 23</v>
      </c>
      <c r="H202" s="52"/>
      <c r="I202" s="49"/>
      <c r="J202" s="51">
        <f>IFERROR(__xludf.DUMMYFUNCTION("""COMPUTED_VALUE"""),46062.0)</f>
        <v>46062</v>
      </c>
      <c r="K202" s="52"/>
      <c r="L202" s="49" t="str">
        <f>IFERROR(__xludf.DUMMYFUNCTION("""COMPUTED_VALUE"""),"Ace")</f>
        <v>Ace</v>
      </c>
      <c r="M202" s="49">
        <f>IFERROR(__xludf.DUMMYFUNCTION("""COMPUTED_VALUE"""),5.00306218E8)</f>
        <v>500306218</v>
      </c>
      <c r="N202" s="53">
        <f>IFERROR(__xludf.DUMMYFUNCTION("""COMPUTED_VALUE"""),0.99)</f>
        <v>0.99</v>
      </c>
      <c r="O202" s="54">
        <f>IFERROR(__xludf.DUMMYFUNCTION("""COMPUTED_VALUE"""),8.00052268E8)</f>
        <v>800052268</v>
      </c>
      <c r="P202" s="49" t="str">
        <f>IFERROR(__xludf.DUMMYFUNCTION("""COMPUTED_VALUE"""),"na")</f>
        <v>na</v>
      </c>
      <c r="Q202" s="49" t="str">
        <f>IFERROR(__xludf.DUMMYFUNCTION("""COMPUTED_VALUE"""),"na")</f>
        <v>na</v>
      </c>
      <c r="R202" s="49"/>
      <c r="S202" s="49"/>
      <c r="T202" s="49"/>
      <c r="U202" s="49"/>
      <c r="V202" s="49"/>
      <c r="W202" s="49"/>
      <c r="X202" s="49"/>
      <c r="Y202" s="49"/>
      <c r="Z202" s="49"/>
    </row>
    <row r="203">
      <c r="A203" s="49" t="str">
        <f>IFERROR(__xludf.DUMMYFUNCTION("""COMPUTED_VALUE"""),"---")</f>
        <v>---</v>
      </c>
      <c r="B203" s="49" t="str">
        <f>IFERROR(__xludf.DUMMYFUNCTION("""COMPUTED_VALUE"""),"---")</f>
        <v>---</v>
      </c>
      <c r="C203" s="50" t="str">
        <f>IFERROR(__xludf.DUMMYFUNCTION("""COMPUTED_VALUE"""),"Stock")</f>
        <v>Stock</v>
      </c>
      <c r="D203" s="49"/>
      <c r="E203" s="49"/>
      <c r="F203" s="49"/>
      <c r="G203" s="49" t="str">
        <f>IFERROR(__xludf.DUMMYFUNCTION("""COMPUTED_VALUE"""),"TG white 39")</f>
        <v>TG white 39</v>
      </c>
      <c r="H203" s="52"/>
      <c r="I203" s="49"/>
      <c r="J203" s="51">
        <f>IFERROR(__xludf.DUMMYFUNCTION("""COMPUTED_VALUE"""),46062.0)</f>
        <v>46062</v>
      </c>
      <c r="K203" s="52"/>
      <c r="L203" s="49" t="str">
        <f>IFERROR(__xludf.DUMMYFUNCTION("""COMPUTED_VALUE"""),"Ace")</f>
        <v>Ace</v>
      </c>
      <c r="M203" s="49">
        <f>IFERROR(__xludf.DUMMYFUNCTION("""COMPUTED_VALUE"""),5.00306218E8)</f>
        <v>500306218</v>
      </c>
      <c r="N203" s="53">
        <f>IFERROR(__xludf.DUMMYFUNCTION("""COMPUTED_VALUE"""),0.99)</f>
        <v>0.99</v>
      </c>
      <c r="O203" s="54">
        <f>IFERROR(__xludf.DUMMYFUNCTION("""COMPUTED_VALUE"""),8.00052268E8)</f>
        <v>800052268</v>
      </c>
      <c r="P203" s="49" t="str">
        <f>IFERROR(__xludf.DUMMYFUNCTION("""COMPUTED_VALUE"""),"na")</f>
        <v>na</v>
      </c>
      <c r="Q203" s="49" t="str">
        <f>IFERROR(__xludf.DUMMYFUNCTION("""COMPUTED_VALUE"""),"na")</f>
        <v>na</v>
      </c>
      <c r="R203" s="49"/>
      <c r="S203" s="49"/>
      <c r="T203" s="49"/>
      <c r="U203" s="49"/>
      <c r="V203" s="49"/>
      <c r="W203" s="49"/>
      <c r="X203" s="49"/>
      <c r="Y203" s="49"/>
      <c r="Z203" s="49"/>
    </row>
    <row r="204">
      <c r="A204" s="49" t="str">
        <f>IFERROR(__xludf.DUMMYFUNCTION("""COMPUTED_VALUE"""),"---")</f>
        <v>---</v>
      </c>
      <c r="B204" s="49" t="str">
        <f>IFERROR(__xludf.DUMMYFUNCTION("""COMPUTED_VALUE"""),"---")</f>
        <v>---</v>
      </c>
      <c r="C204" s="50" t="str">
        <f>IFERROR(__xludf.DUMMYFUNCTION("""COMPUTED_VALUE"""),"Stock")</f>
        <v>Stock</v>
      </c>
      <c r="D204" s="49"/>
      <c r="E204" s="49"/>
      <c r="F204" s="49"/>
      <c r="G204" s="49" t="str">
        <f>IFERROR(__xludf.DUMMYFUNCTION("""COMPUTED_VALUE"""),"TG blue 51")</f>
        <v>TG blue 51</v>
      </c>
      <c r="H204" s="52"/>
      <c r="I204" s="49"/>
      <c r="J204" s="51">
        <f>IFERROR(__xludf.DUMMYFUNCTION("""COMPUTED_VALUE"""),46062.0)</f>
        <v>46062</v>
      </c>
      <c r="K204" s="52"/>
      <c r="L204" s="49" t="str">
        <f>IFERROR(__xludf.DUMMYFUNCTION("""COMPUTED_VALUE"""),"Ace")</f>
        <v>Ace</v>
      </c>
      <c r="M204" s="49">
        <f>IFERROR(__xludf.DUMMYFUNCTION("""COMPUTED_VALUE"""),5.00306218E8)</f>
        <v>500306218</v>
      </c>
      <c r="N204" s="53">
        <f>IFERROR(__xludf.DUMMYFUNCTION("""COMPUTED_VALUE"""),0.99)</f>
        <v>0.99</v>
      </c>
      <c r="O204" s="54">
        <f>IFERROR(__xludf.DUMMYFUNCTION("""COMPUTED_VALUE"""),8.00052268E8)</f>
        <v>800052268</v>
      </c>
      <c r="P204" s="49" t="str">
        <f>IFERROR(__xludf.DUMMYFUNCTION("""COMPUTED_VALUE"""),"na")</f>
        <v>na</v>
      </c>
      <c r="Q204" s="49" t="str">
        <f>IFERROR(__xludf.DUMMYFUNCTION("""COMPUTED_VALUE"""),"na")</f>
        <v>na</v>
      </c>
      <c r="R204" s="49"/>
      <c r="S204" s="49"/>
      <c r="T204" s="49"/>
      <c r="U204" s="49"/>
      <c r="V204" s="49"/>
      <c r="W204" s="49"/>
      <c r="X204" s="49"/>
      <c r="Y204" s="49"/>
      <c r="Z204" s="49"/>
    </row>
    <row r="205">
      <c r="A205" s="49" t="str">
        <f>IFERROR(__xludf.DUMMYFUNCTION("""COMPUTED_VALUE"""),"---")</f>
        <v>---</v>
      </c>
      <c r="B205" s="49" t="str">
        <f>IFERROR(__xludf.DUMMYFUNCTION("""COMPUTED_VALUE"""),"---")</f>
        <v>---</v>
      </c>
      <c r="C205" s="50" t="str">
        <f>IFERROR(__xludf.DUMMYFUNCTION("""COMPUTED_VALUE"""),"Stock")</f>
        <v>Stock</v>
      </c>
      <c r="D205" s="49"/>
      <c r="E205" s="49"/>
      <c r="F205" s="49"/>
      <c r="G205" s="49" t="str">
        <f>IFERROR(__xludf.DUMMYFUNCTION("""COMPUTED_VALUE"""),"TG blue 5")</f>
        <v>TG blue 5</v>
      </c>
      <c r="H205" s="52"/>
      <c r="I205" s="49"/>
      <c r="J205" s="51">
        <f>IFERROR(__xludf.DUMMYFUNCTION("""COMPUTED_VALUE"""),46062.0)</f>
        <v>46062</v>
      </c>
      <c r="K205" s="52"/>
      <c r="L205" s="49" t="str">
        <f>IFERROR(__xludf.DUMMYFUNCTION("""COMPUTED_VALUE"""),"Ace")</f>
        <v>Ace</v>
      </c>
      <c r="M205" s="49">
        <f>IFERROR(__xludf.DUMMYFUNCTION("""COMPUTED_VALUE"""),5.00306218E8)</f>
        <v>500306218</v>
      </c>
      <c r="N205" s="53">
        <f>IFERROR(__xludf.DUMMYFUNCTION("""COMPUTED_VALUE"""),0.99)</f>
        <v>0.99</v>
      </c>
      <c r="O205" s="54">
        <f>IFERROR(__xludf.DUMMYFUNCTION("""COMPUTED_VALUE"""),8.00052268E8)</f>
        <v>800052268</v>
      </c>
      <c r="P205" s="49" t="str">
        <f>IFERROR(__xludf.DUMMYFUNCTION("""COMPUTED_VALUE"""),"na")</f>
        <v>na</v>
      </c>
      <c r="Q205" s="49" t="str">
        <f>IFERROR(__xludf.DUMMYFUNCTION("""COMPUTED_VALUE"""),"na")</f>
        <v>na</v>
      </c>
      <c r="R205" s="49"/>
      <c r="S205" s="49"/>
      <c r="T205" s="49"/>
      <c r="U205" s="49"/>
      <c r="V205" s="49"/>
      <c r="W205" s="49"/>
      <c r="X205" s="49"/>
      <c r="Y205" s="49"/>
      <c r="Z205" s="49"/>
    </row>
    <row r="206">
      <c r="A206" s="49" t="str">
        <f>IFERROR(__xludf.DUMMYFUNCTION("""COMPUTED_VALUE"""),"---")</f>
        <v>---</v>
      </c>
      <c r="B206" s="49" t="str">
        <f>IFERROR(__xludf.DUMMYFUNCTION("""COMPUTED_VALUE"""),"---")</f>
        <v>---</v>
      </c>
      <c r="C206" s="50" t="str">
        <f>IFERROR(__xludf.DUMMYFUNCTION("""COMPUTED_VALUE"""),"Stock")</f>
        <v>Stock</v>
      </c>
      <c r="D206" s="49"/>
      <c r="E206" s="49"/>
      <c r="F206" s="49"/>
      <c r="G206" s="49" t="str">
        <f>IFERROR(__xludf.DUMMYFUNCTION("""COMPUTED_VALUE"""),"Brunswick Shoe Shield XXL")</f>
        <v>Brunswick Shoe Shield XXL</v>
      </c>
      <c r="H206" s="52"/>
      <c r="I206" s="49"/>
      <c r="J206" s="51">
        <f>IFERROR(__xludf.DUMMYFUNCTION("""COMPUTED_VALUE"""),46062.0)</f>
        <v>46062</v>
      </c>
      <c r="K206" s="52"/>
      <c r="L206" s="49" t="str">
        <f>IFERROR(__xludf.DUMMYFUNCTION("""COMPUTED_VALUE"""),"Ace")</f>
        <v>Ace</v>
      </c>
      <c r="M206" s="49">
        <f>IFERROR(__xludf.DUMMYFUNCTION("""COMPUTED_VALUE"""),5.00306218E8)</f>
        <v>500306218</v>
      </c>
      <c r="N206" s="53">
        <f>IFERROR(__xludf.DUMMYFUNCTION("""COMPUTED_VALUE"""),8.04)</f>
        <v>8.04</v>
      </c>
      <c r="O206" s="54">
        <f>IFERROR(__xludf.DUMMYFUNCTION("""COMPUTED_VALUE"""),8.00052268E8)</f>
        <v>800052268</v>
      </c>
      <c r="P206" s="49" t="str">
        <f>IFERROR(__xludf.DUMMYFUNCTION("""COMPUTED_VALUE"""),"na")</f>
        <v>na</v>
      </c>
      <c r="Q206" s="49" t="str">
        <f>IFERROR(__xludf.DUMMYFUNCTION("""COMPUTED_VALUE"""),"na")</f>
        <v>na</v>
      </c>
      <c r="R206" s="49"/>
      <c r="S206" s="49"/>
      <c r="T206" s="49"/>
      <c r="U206" s="49"/>
      <c r="V206" s="49"/>
      <c r="W206" s="49"/>
      <c r="X206" s="49"/>
      <c r="Y206" s="49"/>
      <c r="Z206" s="49"/>
    </row>
    <row r="207">
      <c r="A207" s="49" t="str">
        <f>IFERROR(__xludf.DUMMYFUNCTION("""COMPUTED_VALUE"""),"---")</f>
        <v>---</v>
      </c>
      <c r="B207" s="49" t="str">
        <f>IFERROR(__xludf.DUMMYFUNCTION("""COMPUTED_VALUE"""),"---")</f>
        <v>---</v>
      </c>
      <c r="C207" s="50" t="str">
        <f>IFERROR(__xludf.DUMMYFUNCTION("""COMPUTED_VALUE"""),"Allen Phelps")</f>
        <v>Allen Phelps</v>
      </c>
      <c r="D207" s="49"/>
      <c r="E207" s="49" t="str">
        <f>IFERROR(__xludf.DUMMYFUNCTION("""COMPUTED_VALUE"""),"Valley")</f>
        <v>Valley</v>
      </c>
      <c r="F207" s="49" t="str">
        <f>IFERROR(__xludf.DUMMYFUNCTION("""COMPUTED_VALUE"""),"Valley")</f>
        <v>Valley</v>
      </c>
      <c r="G207" s="49" t="str">
        <f>IFERROR(__xludf.DUMMYFUNCTION("""COMPUTED_VALUE"""),"Motiv Evoke Mayhem - 14 lb")</f>
        <v>Motiv Evoke Mayhem - 14 lb</v>
      </c>
      <c r="H207" s="52"/>
      <c r="I207" s="49"/>
      <c r="J207" s="51">
        <f>IFERROR(__xludf.DUMMYFUNCTION("""COMPUTED_VALUE"""),46062.0)</f>
        <v>46062</v>
      </c>
      <c r="K207" s="52"/>
      <c r="L207" s="49" t="str">
        <f>IFERROR(__xludf.DUMMYFUNCTION("""COMPUTED_VALUE"""),"B Supply")</f>
        <v>B Supply</v>
      </c>
      <c r="M207" s="49">
        <f>IFERROR(__xludf.DUMMYFUNCTION("""COMPUTED_VALUE"""),520204.0)</f>
        <v>520204</v>
      </c>
      <c r="N207" s="53">
        <f>IFERROR(__xludf.DUMMYFUNCTION("""COMPUTED_VALUE"""),157.7)</f>
        <v>157.7</v>
      </c>
      <c r="O207" s="54">
        <f>IFERROR(__xludf.DUMMYFUNCTION("""COMPUTED_VALUE"""),666561.0)</f>
        <v>666561</v>
      </c>
      <c r="P207" s="49" t="str">
        <f>IFERROR(__xludf.DUMMYFUNCTION("""COMPUTED_VALUE"""),"Y")</f>
        <v>Y</v>
      </c>
      <c r="Q207" s="49" t="str">
        <f>IFERROR(__xludf.DUMMYFUNCTION("""COMPUTED_VALUE"""),"Y")</f>
        <v>Y</v>
      </c>
      <c r="R207" s="49"/>
      <c r="S207" s="49"/>
      <c r="T207" s="49"/>
      <c r="U207" s="49"/>
      <c r="V207" s="49"/>
      <c r="W207" s="49"/>
      <c r="X207" s="49"/>
      <c r="Y207" s="49"/>
      <c r="Z207" s="49"/>
    </row>
    <row r="208">
      <c r="A208" s="49" t="str">
        <f>IFERROR(__xludf.DUMMYFUNCTION("""COMPUTED_VALUE"""),"---")</f>
        <v>---</v>
      </c>
      <c r="B208" s="49" t="str">
        <f>IFERROR(__xludf.DUMMYFUNCTION("""COMPUTED_VALUE"""),"---")</f>
        <v>---</v>
      </c>
      <c r="C208" s="50" t="str">
        <f>IFERROR(__xludf.DUMMYFUNCTION("""COMPUTED_VALUE"""),"Stock")</f>
        <v>Stock</v>
      </c>
      <c r="D208" s="49"/>
      <c r="E208" s="49" t="str">
        <f>IFERROR(__xludf.DUMMYFUNCTION("""COMPUTED_VALUE"""),"Valley")</f>
        <v>Valley</v>
      </c>
      <c r="F208" s="49" t="str">
        <f>IFERROR(__xludf.DUMMYFUNCTION("""COMPUTED_VALUE"""),"Valley")</f>
        <v>Valley</v>
      </c>
      <c r="G208" s="49" t="str">
        <f>IFERROR(__xludf.DUMMYFUNCTION("""COMPUTED_VALUE"""),"Motiv Evoke Mayhem - 15 lb")</f>
        <v>Motiv Evoke Mayhem - 15 lb</v>
      </c>
      <c r="H208" s="52"/>
      <c r="I208" s="49"/>
      <c r="J208" s="51">
        <f>IFERROR(__xludf.DUMMYFUNCTION("""COMPUTED_VALUE"""),46062.0)</f>
        <v>46062</v>
      </c>
      <c r="K208" s="52"/>
      <c r="L208" s="49" t="str">
        <f>IFERROR(__xludf.DUMMYFUNCTION("""COMPUTED_VALUE"""),"B Supply")</f>
        <v>B Supply</v>
      </c>
      <c r="M208" s="49">
        <f>IFERROR(__xludf.DUMMYFUNCTION("""COMPUTED_VALUE"""),520204.0)</f>
        <v>520204</v>
      </c>
      <c r="N208" s="53">
        <f>IFERROR(__xludf.DUMMYFUNCTION("""COMPUTED_VALUE"""),157.7)</f>
        <v>157.7</v>
      </c>
      <c r="O208" s="54">
        <f>IFERROR(__xludf.DUMMYFUNCTION("""COMPUTED_VALUE"""),666561.0)</f>
        <v>666561</v>
      </c>
      <c r="P208" s="49" t="str">
        <f>IFERROR(__xludf.DUMMYFUNCTION("""COMPUTED_VALUE"""),"na")</f>
        <v>na</v>
      </c>
      <c r="Q208" s="49" t="str">
        <f>IFERROR(__xludf.DUMMYFUNCTION("""COMPUTED_VALUE"""),"na")</f>
        <v>na</v>
      </c>
      <c r="R208" s="49"/>
      <c r="S208" s="49"/>
      <c r="T208" s="49"/>
      <c r="U208" s="49"/>
      <c r="V208" s="49"/>
      <c r="W208" s="49"/>
      <c r="X208" s="49"/>
      <c r="Y208" s="49"/>
      <c r="Z208" s="49"/>
    </row>
    <row r="209">
      <c r="A209" s="49" t="str">
        <f>IFERROR(__xludf.DUMMYFUNCTION("""COMPUTED_VALUE"""),"---")</f>
        <v>---</v>
      </c>
      <c r="B209" s="49" t="str">
        <f>IFERROR(__xludf.DUMMYFUNCTION("""COMPUTED_VALUE"""),"---")</f>
        <v>---</v>
      </c>
      <c r="C209" s="50" t="str">
        <f>IFERROR(__xludf.DUMMYFUNCTION("""COMPUTED_VALUE"""),"Tom Boylan")</f>
        <v>Tom Boylan</v>
      </c>
      <c r="D209" s="49"/>
      <c r="E209" s="49" t="str">
        <f>IFERROR(__xludf.DUMMYFUNCTION("""COMPUTED_VALUE"""),"Valley")</f>
        <v>Valley</v>
      </c>
      <c r="F209" s="49" t="str">
        <f>IFERROR(__xludf.DUMMYFUNCTION("""COMPUTED_VALUE"""),"Valley")</f>
        <v>Valley</v>
      </c>
      <c r="G209" s="49" t="str">
        <f>IFERROR(__xludf.DUMMYFUNCTION("""COMPUTED_VALUE"""),"Motiv Evoke Mayhem - 15 lb")</f>
        <v>Motiv Evoke Mayhem - 15 lb</v>
      </c>
      <c r="H209" s="52"/>
      <c r="I209" s="49"/>
      <c r="J209" s="51">
        <f>IFERROR(__xludf.DUMMYFUNCTION("""COMPUTED_VALUE"""),46062.0)</f>
        <v>46062</v>
      </c>
      <c r="K209" s="52"/>
      <c r="L209" s="49" t="str">
        <f>IFERROR(__xludf.DUMMYFUNCTION("""COMPUTED_VALUE"""),"B Supply")</f>
        <v>B Supply</v>
      </c>
      <c r="M209" s="49">
        <f>IFERROR(__xludf.DUMMYFUNCTION("""COMPUTED_VALUE"""),520204.0)</f>
        <v>520204</v>
      </c>
      <c r="N209" s="53">
        <f>IFERROR(__xludf.DUMMYFUNCTION("""COMPUTED_VALUE"""),157.7)</f>
        <v>157.7</v>
      </c>
      <c r="O209" s="54">
        <f>IFERROR(__xludf.DUMMYFUNCTION("""COMPUTED_VALUE"""),666561.0)</f>
        <v>666561</v>
      </c>
      <c r="P209" s="49" t="str">
        <f>IFERROR(__xludf.DUMMYFUNCTION("""COMPUTED_VALUE"""),"Y")</f>
        <v>Y</v>
      </c>
      <c r="Q209" s="49" t="str">
        <f>IFERROR(__xludf.DUMMYFUNCTION("""COMPUTED_VALUE"""),"Y")</f>
        <v>Y</v>
      </c>
      <c r="R209" s="49"/>
      <c r="S209" s="49"/>
      <c r="T209" s="49"/>
      <c r="U209" s="49"/>
      <c r="V209" s="49"/>
      <c r="W209" s="49"/>
      <c r="X209" s="49"/>
      <c r="Y209" s="49"/>
      <c r="Z209" s="49"/>
    </row>
    <row r="210">
      <c r="A210" s="49" t="str">
        <f>IFERROR(__xludf.DUMMYFUNCTION("""COMPUTED_VALUE"""),"---")</f>
        <v>---</v>
      </c>
      <c r="B210" s="49" t="str">
        <f>IFERROR(__xludf.DUMMYFUNCTION("""COMPUTED_VALUE"""),"---")</f>
        <v>---</v>
      </c>
      <c r="C210" s="50" t="str">
        <f>IFERROR(__xludf.DUMMYFUNCTION("""COMPUTED_VALUE"""),"Cullen Mccarthy")</f>
        <v>Cullen Mccarthy</v>
      </c>
      <c r="D210" s="49">
        <f>IFERROR(__xludf.DUMMYFUNCTION("""COMPUTED_VALUE"""),5.70862619E9)</f>
        <v>5708626190</v>
      </c>
      <c r="E210" s="49" t="str">
        <f>IFERROR(__xludf.DUMMYFUNCTION("""COMPUTED_VALUE"""),"Valley")</f>
        <v>Valley</v>
      </c>
      <c r="F210" s="49" t="str">
        <f>IFERROR(__xludf.DUMMYFUNCTION("""COMPUTED_VALUE"""),"Valley")</f>
        <v>Valley</v>
      </c>
      <c r="G210" s="49" t="str">
        <f>IFERROR(__xludf.DUMMYFUNCTION("""COMPUTED_VALUE"""),"Rhino Carbon Lime Silver 14lbs")</f>
        <v>Rhino Carbon Lime Silver 14lbs</v>
      </c>
      <c r="H210" s="52"/>
      <c r="I210" s="49"/>
      <c r="J210" s="51">
        <f>IFERROR(__xludf.DUMMYFUNCTION("""COMPUTED_VALUE"""),46062.0)</f>
        <v>46062</v>
      </c>
      <c r="K210" s="52"/>
      <c r="L210" s="49" t="str">
        <f>IFERROR(__xludf.DUMMYFUNCTION("""COMPUTED_VALUE"""),"B Supply")</f>
        <v>B Supply</v>
      </c>
      <c r="M210" s="49">
        <f>IFERROR(__xludf.DUMMYFUNCTION("""COMPUTED_VALUE"""),520204.0)</f>
        <v>520204</v>
      </c>
      <c r="N210" s="53">
        <f>IFERROR(__xludf.DUMMYFUNCTION("""COMPUTED_VALUE"""),70.16)</f>
        <v>70.16</v>
      </c>
      <c r="O210" s="54">
        <f>IFERROR(__xludf.DUMMYFUNCTION("""COMPUTED_VALUE"""),666561.0)</f>
        <v>666561</v>
      </c>
      <c r="P210" s="49" t="str">
        <f>IFERROR(__xludf.DUMMYFUNCTION("""COMPUTED_VALUE"""),"Y")</f>
        <v>Y</v>
      </c>
      <c r="Q210" s="49" t="str">
        <f>IFERROR(__xludf.DUMMYFUNCTION("""COMPUTED_VALUE"""),"Y")</f>
        <v>Y</v>
      </c>
      <c r="R210" s="49"/>
      <c r="S210" s="49"/>
      <c r="T210" s="49"/>
      <c r="U210" s="49"/>
      <c r="V210" s="49"/>
      <c r="W210" s="49"/>
      <c r="X210" s="49"/>
      <c r="Y210" s="49"/>
      <c r="Z210" s="49"/>
    </row>
    <row r="211">
      <c r="A211" s="49" t="str">
        <f>IFERROR(__xludf.DUMMYFUNCTION("""COMPUTED_VALUE"""),"---")</f>
        <v>---</v>
      </c>
      <c r="B211" s="49" t="str">
        <f>IFERROR(__xludf.DUMMYFUNCTION("""COMPUTED_VALUE"""),"---")</f>
        <v>---</v>
      </c>
      <c r="C211" s="50" t="str">
        <f>IFERROR(__xludf.DUMMYFUNCTION("""COMPUTED_VALUE"""),"Stock")</f>
        <v>Stock</v>
      </c>
      <c r="D211" s="49"/>
      <c r="E211" s="49"/>
      <c r="F211" s="49"/>
      <c r="G211" s="49" t="str">
        <f>IFERROR(__xludf.DUMMYFUNCTION("""COMPUTED_VALUE"""),"Vise K+ tape")</f>
        <v>Vise K+ tape</v>
      </c>
      <c r="H211" s="52"/>
      <c r="I211" s="49"/>
      <c r="J211" s="51">
        <f>IFERROR(__xludf.DUMMYFUNCTION("""COMPUTED_VALUE"""),46062.0)</f>
        <v>46062</v>
      </c>
      <c r="K211" s="52"/>
      <c r="L211" s="49" t="str">
        <f>IFERROR(__xludf.DUMMYFUNCTION("""COMPUTED_VALUE"""),"B Supply")</f>
        <v>B Supply</v>
      </c>
      <c r="M211" s="49">
        <f>IFERROR(__xludf.DUMMYFUNCTION("""COMPUTED_VALUE"""),520204.0)</f>
        <v>520204</v>
      </c>
      <c r="N211" s="53">
        <f>IFERROR(__xludf.DUMMYFUNCTION("""COMPUTED_VALUE"""),13.35)</f>
        <v>13.35</v>
      </c>
      <c r="O211" s="54">
        <f>IFERROR(__xludf.DUMMYFUNCTION("""COMPUTED_VALUE"""),666561.0)</f>
        <v>666561</v>
      </c>
      <c r="P211" s="49" t="str">
        <f>IFERROR(__xludf.DUMMYFUNCTION("""COMPUTED_VALUE"""),"na")</f>
        <v>na</v>
      </c>
      <c r="Q211" s="49" t="str">
        <f>IFERROR(__xludf.DUMMYFUNCTION("""COMPUTED_VALUE"""),"na")</f>
        <v>na</v>
      </c>
      <c r="R211" s="49"/>
      <c r="S211" s="49"/>
      <c r="T211" s="49"/>
      <c r="U211" s="49"/>
      <c r="V211" s="49"/>
      <c r="W211" s="49"/>
      <c r="X211" s="49"/>
      <c r="Y211" s="49"/>
      <c r="Z211" s="49"/>
    </row>
    <row r="212">
      <c r="A212" s="49" t="str">
        <f>IFERROR(__xludf.DUMMYFUNCTION("""COMPUTED_VALUE"""),"---")</f>
        <v>---</v>
      </c>
      <c r="B212" s="49" t="str">
        <f>IFERROR(__xludf.DUMMYFUNCTION("""COMPUTED_VALUE"""),"---")</f>
        <v>---</v>
      </c>
      <c r="C212" s="50" t="str">
        <f>IFERROR(__xludf.DUMMYFUNCTION("""COMPUTED_VALUE"""),"Stock")</f>
        <v>Stock</v>
      </c>
      <c r="D212" s="49"/>
      <c r="E212" s="49"/>
      <c r="F212" s="49"/>
      <c r="G212" s="49" t="str">
        <f>IFERROR(__xludf.DUMMYFUNCTION("""COMPUTED_VALUE"""),"Dexter S10 sole standard")</f>
        <v>Dexter S10 sole standard</v>
      </c>
      <c r="H212" s="52"/>
      <c r="I212" s="49"/>
      <c r="J212" s="51">
        <f>IFERROR(__xludf.DUMMYFUNCTION("""COMPUTED_VALUE"""),46062.0)</f>
        <v>46062</v>
      </c>
      <c r="K212" s="52"/>
      <c r="L212" s="49" t="str">
        <f>IFERROR(__xludf.DUMMYFUNCTION("""COMPUTED_VALUE"""),"B Supply")</f>
        <v>B Supply</v>
      </c>
      <c r="M212" s="49">
        <f>IFERROR(__xludf.DUMMYFUNCTION("""COMPUTED_VALUE"""),520204.0)</f>
        <v>520204</v>
      </c>
      <c r="N212" s="53">
        <f>IFERROR(__xludf.DUMMYFUNCTION("""COMPUTED_VALUE"""),13.3)</f>
        <v>13.3</v>
      </c>
      <c r="O212" s="54">
        <f>IFERROR(__xludf.DUMMYFUNCTION("""COMPUTED_VALUE"""),666561.0)</f>
        <v>666561</v>
      </c>
      <c r="P212" s="49" t="str">
        <f>IFERROR(__xludf.DUMMYFUNCTION("""COMPUTED_VALUE"""),"na")</f>
        <v>na</v>
      </c>
      <c r="Q212" s="49" t="str">
        <f>IFERROR(__xludf.DUMMYFUNCTION("""COMPUTED_VALUE"""),"na")</f>
        <v>na</v>
      </c>
      <c r="R212" s="49"/>
      <c r="S212" s="49"/>
      <c r="T212" s="49"/>
      <c r="U212" s="49"/>
      <c r="V212" s="49"/>
      <c r="W212" s="49"/>
      <c r="X212" s="49"/>
      <c r="Y212" s="49"/>
      <c r="Z212" s="49"/>
    </row>
    <row r="213">
      <c r="A213" s="49" t="str">
        <f>IFERROR(__xludf.DUMMYFUNCTION("""COMPUTED_VALUE"""),"---")</f>
        <v>---</v>
      </c>
      <c r="B213" s="49" t="str">
        <f>IFERROR(__xludf.DUMMYFUNCTION("""COMPUTED_VALUE"""),"---")</f>
        <v>---</v>
      </c>
      <c r="C213" s="50" t="str">
        <f>IFERROR(__xludf.DUMMYFUNCTION("""COMPUTED_VALUE"""),"Stock")</f>
        <v>Stock</v>
      </c>
      <c r="D213" s="49"/>
      <c r="E213" s="49"/>
      <c r="F213" s="49"/>
      <c r="G213" s="49" t="str">
        <f>IFERROR(__xludf.DUMMYFUNCTION("""COMPUTED_VALUE"""),"Dxeter S10 sole XL")</f>
        <v>Dxeter S10 sole XL</v>
      </c>
      <c r="H213" s="52"/>
      <c r="I213" s="49"/>
      <c r="J213" s="51">
        <f>IFERROR(__xludf.DUMMYFUNCTION("""COMPUTED_VALUE"""),46062.0)</f>
        <v>46062</v>
      </c>
      <c r="K213" s="52"/>
      <c r="L213" s="49" t="str">
        <f>IFERROR(__xludf.DUMMYFUNCTION("""COMPUTED_VALUE"""),"B Supply")</f>
        <v>B Supply</v>
      </c>
      <c r="M213" s="49">
        <f>IFERROR(__xludf.DUMMYFUNCTION("""COMPUTED_VALUE"""),520204.0)</f>
        <v>520204</v>
      </c>
      <c r="N213" s="53">
        <f>IFERROR(__xludf.DUMMYFUNCTION("""COMPUTED_VALUE"""),14.25)</f>
        <v>14.25</v>
      </c>
      <c r="O213" s="54">
        <f>IFERROR(__xludf.DUMMYFUNCTION("""COMPUTED_VALUE"""),666561.0)</f>
        <v>666561</v>
      </c>
      <c r="P213" s="49" t="str">
        <f>IFERROR(__xludf.DUMMYFUNCTION("""COMPUTED_VALUE"""),"na")</f>
        <v>na</v>
      </c>
      <c r="Q213" s="49" t="str">
        <f>IFERROR(__xludf.DUMMYFUNCTION("""COMPUTED_VALUE"""),"na")</f>
        <v>na</v>
      </c>
      <c r="R213" s="49"/>
      <c r="S213" s="49"/>
      <c r="T213" s="49"/>
      <c r="U213" s="49"/>
      <c r="V213" s="49"/>
      <c r="W213" s="49"/>
      <c r="X213" s="49"/>
      <c r="Y213" s="49"/>
      <c r="Z213" s="49"/>
    </row>
    <row r="214">
      <c r="A214" s="49" t="str">
        <f>IFERROR(__xludf.DUMMYFUNCTION("""COMPUTED_VALUE"""),"---")</f>
        <v>---</v>
      </c>
      <c r="B214" s="49" t="str">
        <f>IFERROR(__xludf.DUMMYFUNCTION("""COMPUTED_VALUE"""),"---")</f>
        <v>---</v>
      </c>
      <c r="C214" s="50" t="str">
        <f>IFERROR(__xludf.DUMMYFUNCTION("""COMPUTED_VALUE"""),"Andrew Vaughan")</f>
        <v>Andrew Vaughan</v>
      </c>
      <c r="D214" s="49">
        <f>IFERROR(__xludf.DUMMYFUNCTION("""COMPUTED_VALUE"""),5.705912726E9)</f>
        <v>5705912726</v>
      </c>
      <c r="E214" s="49" t="str">
        <f>IFERROR(__xludf.DUMMYFUNCTION("""COMPUTED_VALUE"""),"Valley")</f>
        <v>Valley</v>
      </c>
      <c r="F214" s="49" t="str">
        <f>IFERROR(__xludf.DUMMYFUNCTION("""COMPUTED_VALUE"""),"Valley")</f>
        <v>Valley</v>
      </c>
      <c r="G214" s="49" t="str">
        <f>IFERROR(__xludf.DUMMYFUNCTION("""COMPUTED_VALUE"""),"Danger zone solid - 13lbs")</f>
        <v>Danger zone solid - 13lbs</v>
      </c>
      <c r="H214" s="52"/>
      <c r="I214" s="49" t="str">
        <f>IFERROR(__xludf.DUMMYFUNCTION("""COMPUTED_VALUE"""),"returned")</f>
        <v>returned</v>
      </c>
      <c r="J214" s="51">
        <f>IFERROR(__xludf.DUMMYFUNCTION("""COMPUTED_VALUE"""),46062.0)</f>
        <v>46062</v>
      </c>
      <c r="K214" s="52"/>
      <c r="L214" s="49" t="str">
        <f>IFERROR(__xludf.DUMMYFUNCTION("""COMPUTED_VALUE"""),"B Supply")</f>
        <v>B Supply</v>
      </c>
      <c r="M214" s="49">
        <f>IFERROR(__xludf.DUMMYFUNCTION("""COMPUTED_VALUE"""),520204.0)</f>
        <v>520204</v>
      </c>
      <c r="N214" s="53">
        <f>IFERROR(__xludf.DUMMYFUNCTION("""COMPUTED_VALUE"""),99.28)</f>
        <v>99.28</v>
      </c>
      <c r="O214" s="54">
        <f>IFERROR(__xludf.DUMMYFUNCTION("""COMPUTED_VALUE"""),666561.0)</f>
        <v>666561</v>
      </c>
      <c r="P214" s="49" t="str">
        <f>IFERROR(__xludf.DUMMYFUNCTION("""COMPUTED_VALUE"""),"na")</f>
        <v>na</v>
      </c>
      <c r="Q214" s="49" t="str">
        <f>IFERROR(__xludf.DUMMYFUNCTION("""COMPUTED_VALUE"""),"na")</f>
        <v>na</v>
      </c>
      <c r="R214" s="49"/>
      <c r="S214" s="49"/>
      <c r="T214" s="49"/>
      <c r="U214" s="49"/>
      <c r="V214" s="49"/>
      <c r="W214" s="49"/>
      <c r="X214" s="49"/>
      <c r="Y214" s="49"/>
      <c r="Z214" s="49"/>
    </row>
    <row r="215">
      <c r="A215" s="49" t="str">
        <f>IFERROR(__xludf.DUMMYFUNCTION("""COMPUTED_VALUE"""),"---")</f>
        <v>---</v>
      </c>
      <c r="B215" s="49" t="str">
        <f>IFERROR(__xludf.DUMMYFUNCTION("""COMPUTED_VALUE"""),"---")</f>
        <v>---</v>
      </c>
      <c r="C215" s="50" t="str">
        <f>IFERROR(__xludf.DUMMYFUNCTION("""COMPUTED_VALUE"""),"Stock")</f>
        <v>Stock</v>
      </c>
      <c r="D215" s="49"/>
      <c r="E215" s="49" t="str">
        <f>IFERROR(__xludf.DUMMYFUNCTION("""COMPUTED_VALUE"""),"Valley")</f>
        <v>Valley</v>
      </c>
      <c r="F215" s="49" t="str">
        <f>IFERROR(__xludf.DUMMYFUNCTION("""COMPUTED_VALUE"""),"Valley")</f>
        <v>Valley</v>
      </c>
      <c r="G215" s="49" t="str">
        <f>IFERROR(__xludf.DUMMYFUNCTION("""COMPUTED_VALUE"""),"Brunswick Shoe Shield M")</f>
        <v>Brunswick Shoe Shield M</v>
      </c>
      <c r="H215" s="52"/>
      <c r="I215" s="49"/>
      <c r="J215" s="51">
        <f>IFERROR(__xludf.DUMMYFUNCTION("""COMPUTED_VALUE"""),46062.0)</f>
        <v>46062</v>
      </c>
      <c r="K215" s="52"/>
      <c r="L215" s="49" t="str">
        <f>IFERROR(__xludf.DUMMYFUNCTION("""COMPUTED_VALUE"""),"B Supply")</f>
        <v>B Supply</v>
      </c>
      <c r="M215" s="49">
        <f>IFERROR(__xludf.DUMMYFUNCTION("""COMPUTED_VALUE"""),520204.0)</f>
        <v>520204</v>
      </c>
      <c r="N215" s="53">
        <f>IFERROR(__xludf.DUMMYFUNCTION("""COMPUTED_VALUE"""),8.17)</f>
        <v>8.17</v>
      </c>
      <c r="O215" s="54">
        <f>IFERROR(__xludf.DUMMYFUNCTION("""COMPUTED_VALUE"""),666561.0)</f>
        <v>666561</v>
      </c>
      <c r="P215" s="49" t="str">
        <f>IFERROR(__xludf.DUMMYFUNCTION("""COMPUTED_VALUE"""),"na")</f>
        <v>na</v>
      </c>
      <c r="Q215" s="49" t="str">
        <f>IFERROR(__xludf.DUMMYFUNCTION("""COMPUTED_VALUE"""),"na")</f>
        <v>na</v>
      </c>
      <c r="R215" s="49"/>
      <c r="S215" s="49"/>
      <c r="T215" s="49"/>
      <c r="U215" s="49"/>
      <c r="V215" s="49"/>
      <c r="W215" s="49"/>
      <c r="X215" s="49"/>
      <c r="Y215" s="49"/>
      <c r="Z215" s="49"/>
    </row>
    <row r="216">
      <c r="A216" s="49" t="str">
        <f>IFERROR(__xludf.DUMMYFUNCTION("""COMPUTED_VALUE"""),"---")</f>
        <v>---</v>
      </c>
      <c r="B216" s="49" t="str">
        <f>IFERROR(__xludf.DUMMYFUNCTION("""COMPUTED_VALUE"""),"---")</f>
        <v>---</v>
      </c>
      <c r="C216" s="50" t="str">
        <f>IFERROR(__xludf.DUMMYFUNCTION("""COMPUTED_VALUE"""),"Stock")</f>
        <v>Stock</v>
      </c>
      <c r="D216" s="49"/>
      <c r="E216" s="49" t="str">
        <f>IFERROR(__xludf.DUMMYFUNCTION("""COMPUTED_VALUE"""),"Valley")</f>
        <v>Valley</v>
      </c>
      <c r="F216" s="49" t="str">
        <f>IFERROR(__xludf.DUMMYFUNCTION("""COMPUTED_VALUE"""),"Valley")</f>
        <v>Valley</v>
      </c>
      <c r="G216" s="49" t="str">
        <f>IFERROR(__xludf.DUMMYFUNCTION("""COMPUTED_VALUE"""),"Master large puff ball")</f>
        <v>Master large puff ball</v>
      </c>
      <c r="H216" s="52"/>
      <c r="I216" s="49"/>
      <c r="J216" s="51">
        <f>IFERROR(__xludf.DUMMYFUNCTION("""COMPUTED_VALUE"""),46062.0)</f>
        <v>46062</v>
      </c>
      <c r="K216" s="52"/>
      <c r="L216" s="49" t="str">
        <f>IFERROR(__xludf.DUMMYFUNCTION("""COMPUTED_VALUE"""),"B Supply")</f>
        <v>B Supply</v>
      </c>
      <c r="M216" s="49">
        <f>IFERROR(__xludf.DUMMYFUNCTION("""COMPUTED_VALUE"""),520204.0)</f>
        <v>520204</v>
      </c>
      <c r="N216" s="53">
        <f>IFERROR(__xludf.DUMMYFUNCTION("""COMPUTED_VALUE"""),5.51)</f>
        <v>5.51</v>
      </c>
      <c r="O216" s="54">
        <f>IFERROR(__xludf.DUMMYFUNCTION("""COMPUTED_VALUE"""),666561.0)</f>
        <v>666561</v>
      </c>
      <c r="P216" s="49" t="str">
        <f>IFERROR(__xludf.DUMMYFUNCTION("""COMPUTED_VALUE"""),"na")</f>
        <v>na</v>
      </c>
      <c r="Q216" s="49" t="str">
        <f>IFERROR(__xludf.DUMMYFUNCTION("""COMPUTED_VALUE"""),"na")</f>
        <v>na</v>
      </c>
      <c r="R216" s="49"/>
      <c r="S216" s="49"/>
      <c r="T216" s="49"/>
      <c r="U216" s="49"/>
      <c r="V216" s="49"/>
      <c r="W216" s="49"/>
      <c r="X216" s="49"/>
      <c r="Y216" s="49"/>
      <c r="Z216" s="49"/>
    </row>
    <row r="217">
      <c r="A217" s="49" t="str">
        <f>IFERROR(__xludf.DUMMYFUNCTION("""COMPUTED_VALUE"""),"---")</f>
        <v>---</v>
      </c>
      <c r="B217" s="49" t="str">
        <f>IFERROR(__xludf.DUMMYFUNCTION("""COMPUTED_VALUE"""),"---")</f>
        <v>---</v>
      </c>
      <c r="C217" s="50" t="str">
        <f>IFERROR(__xludf.DUMMYFUNCTION("""COMPUTED_VALUE"""),"Shaun Kucharski")</f>
        <v>Shaun Kucharski</v>
      </c>
      <c r="D217" s="49"/>
      <c r="E217" s="49" t="str">
        <f>IFERROR(__xludf.DUMMYFUNCTION("""COMPUTED_VALUE"""),"South")</f>
        <v>South</v>
      </c>
      <c r="F217" s="49" t="str">
        <f>IFERROR(__xludf.DUMMYFUNCTION("""COMPUTED_VALUE"""),"South")</f>
        <v>South</v>
      </c>
      <c r="G217" s="49" t="str">
        <f>IFERROR(__xludf.DUMMYFUNCTION("""COMPUTED_VALUE"""),"Hammer Black Widow Tour V1 14lb")</f>
        <v>Hammer Black Widow Tour V1 14lb</v>
      </c>
      <c r="H217" s="52"/>
      <c r="I217" s="49"/>
      <c r="J217" s="51">
        <f>IFERROR(__xludf.DUMMYFUNCTION("""COMPUTED_VALUE"""),46062.0)</f>
        <v>46062</v>
      </c>
      <c r="K217" s="52"/>
      <c r="L217" s="49" t="str">
        <f>IFERROR(__xludf.DUMMYFUNCTION("""COMPUTED_VALUE"""),"B Supply")</f>
        <v>B Supply</v>
      </c>
      <c r="M217" s="49">
        <f>IFERROR(__xludf.DUMMYFUNCTION("""COMPUTED_VALUE"""),520204.0)</f>
        <v>520204</v>
      </c>
      <c r="N217" s="53">
        <f>IFERROR(__xludf.DUMMYFUNCTION("""COMPUTED_VALUE"""),132.15)</f>
        <v>132.15</v>
      </c>
      <c r="O217" s="54">
        <f>IFERROR(__xludf.DUMMYFUNCTION("""COMPUTED_VALUE"""),666561.0)</f>
        <v>666561</v>
      </c>
      <c r="P217" s="49" t="str">
        <f>IFERROR(__xludf.DUMMYFUNCTION("""COMPUTED_VALUE"""),"Y")</f>
        <v>Y</v>
      </c>
      <c r="Q217" s="49" t="str">
        <f>IFERROR(__xludf.DUMMYFUNCTION("""COMPUTED_VALUE"""),"Y")</f>
        <v>Y</v>
      </c>
      <c r="R217" s="49"/>
      <c r="S217" s="49"/>
      <c r="T217" s="49"/>
      <c r="U217" s="49"/>
      <c r="V217" s="49"/>
      <c r="W217" s="49"/>
      <c r="X217" s="49"/>
      <c r="Y217" s="49"/>
      <c r="Z217" s="49"/>
    </row>
    <row r="218">
      <c r="A218" s="49" t="str">
        <f>IFERROR(__xludf.DUMMYFUNCTION("""COMPUTED_VALUE"""),"---")</f>
        <v>---</v>
      </c>
      <c r="B218" s="49" t="str">
        <f>IFERROR(__xludf.DUMMYFUNCTION("""COMPUTED_VALUE"""),"---")</f>
        <v>---</v>
      </c>
      <c r="C218" s="50" t="str">
        <f>IFERROR(__xludf.DUMMYFUNCTION("""COMPUTED_VALUE"""),"Brian Hamilton")</f>
        <v>Brian Hamilton</v>
      </c>
      <c r="D218" s="49"/>
      <c r="E218" s="49" t="str">
        <f>IFERROR(__xludf.DUMMYFUNCTION("""COMPUTED_VALUE"""),"South")</f>
        <v>South</v>
      </c>
      <c r="F218" s="49" t="str">
        <f>IFERROR(__xludf.DUMMYFUNCTION("""COMPUTED_VALUE"""),"South")</f>
        <v>South</v>
      </c>
      <c r="G218" s="49" t="str">
        <f>IFERROR(__xludf.DUMMYFUNCTION("""COMPUTED_VALUE"""),"Roto grip rst hyperdrive pearl 14 lb")</f>
        <v>Roto grip rst hyperdrive pearl 14 lb</v>
      </c>
      <c r="H218" s="52"/>
      <c r="I218" s="49"/>
      <c r="J218" s="51">
        <f>IFERROR(__xludf.DUMMYFUNCTION("""COMPUTED_VALUE"""),46062.0)</f>
        <v>46062</v>
      </c>
      <c r="K218" s="52"/>
      <c r="L218" s="49" t="str">
        <f>IFERROR(__xludf.DUMMYFUNCTION("""COMPUTED_VALUE"""),"B Supply")</f>
        <v>B Supply</v>
      </c>
      <c r="M218" s="49">
        <f>IFERROR(__xludf.DUMMYFUNCTION("""COMPUTED_VALUE"""),520204.0)</f>
        <v>520204</v>
      </c>
      <c r="N218" s="53">
        <f>IFERROR(__xludf.DUMMYFUNCTION("""COMPUTED_VALUE"""),154.09)</f>
        <v>154.09</v>
      </c>
      <c r="O218" s="54">
        <f>IFERROR(__xludf.DUMMYFUNCTION("""COMPUTED_VALUE"""),666561.0)</f>
        <v>666561</v>
      </c>
      <c r="P218" s="49" t="str">
        <f>IFERROR(__xludf.DUMMYFUNCTION("""COMPUTED_VALUE"""),"Y")</f>
        <v>Y</v>
      </c>
      <c r="Q218" s="49" t="str">
        <f>IFERROR(__xludf.DUMMYFUNCTION("""COMPUTED_VALUE"""),"Y")</f>
        <v>Y</v>
      </c>
      <c r="R218" s="49"/>
      <c r="S218" s="49"/>
      <c r="T218" s="49"/>
      <c r="U218" s="49"/>
      <c r="V218" s="49"/>
      <c r="W218" s="49"/>
      <c r="X218" s="49"/>
      <c r="Y218" s="49"/>
      <c r="Z218" s="49"/>
    </row>
    <row r="219">
      <c r="A219" s="49" t="str">
        <f>IFERROR(__xludf.DUMMYFUNCTION("""COMPUTED_VALUE"""),"---")</f>
        <v>---</v>
      </c>
      <c r="B219" s="49" t="str">
        <f>IFERROR(__xludf.DUMMYFUNCTION("""COMPUTED_VALUE"""),"---")</f>
        <v>---</v>
      </c>
      <c r="C219" s="50" t="str">
        <f>IFERROR(__xludf.DUMMYFUNCTION("""COMPUTED_VALUE"""),"Benny centeno")</f>
        <v>Benny centeno</v>
      </c>
      <c r="D219" s="49">
        <f>IFERROR(__xludf.DUMMYFUNCTION("""COMPUTED_VALUE"""),5.70877982E9)</f>
        <v>5708779820</v>
      </c>
      <c r="E219" s="49" t="str">
        <f>IFERROR(__xludf.DUMMYFUNCTION("""COMPUTED_VALUE"""),"South")</f>
        <v>South</v>
      </c>
      <c r="F219" s="49" t="str">
        <f>IFERROR(__xludf.DUMMYFUNCTION("""COMPUTED_VALUE"""),"South")</f>
        <v>South</v>
      </c>
      <c r="G219" s="49" t="str">
        <f>IFERROR(__xludf.DUMMYFUNCTION("""COMPUTED_VALUE"""),"C300 Pulse 14 lbs")</f>
        <v>C300 Pulse 14 lbs</v>
      </c>
      <c r="H219" s="52"/>
      <c r="I219" s="49"/>
      <c r="J219" s="51">
        <f>IFERROR(__xludf.DUMMYFUNCTION("""COMPUTED_VALUE"""),46062.0)</f>
        <v>46062</v>
      </c>
      <c r="K219" s="52"/>
      <c r="L219" s="49" t="str">
        <f>IFERROR(__xludf.DUMMYFUNCTION("""COMPUTED_VALUE"""),"B Supply")</f>
        <v>B Supply</v>
      </c>
      <c r="M219" s="49">
        <f>IFERROR(__xludf.DUMMYFUNCTION("""COMPUTED_VALUE"""),520204.0)</f>
        <v>520204</v>
      </c>
      <c r="N219" s="53">
        <f>IFERROR(__xludf.DUMMYFUNCTION("""COMPUTED_VALUE"""),150.58)</f>
        <v>150.58</v>
      </c>
      <c r="O219" s="54">
        <f>IFERROR(__xludf.DUMMYFUNCTION("""COMPUTED_VALUE"""),666561.0)</f>
        <v>666561</v>
      </c>
      <c r="P219" s="49" t="str">
        <f>IFERROR(__xludf.DUMMYFUNCTION("""COMPUTED_VALUE"""),"Y")</f>
        <v>Y</v>
      </c>
      <c r="Q219" s="49" t="str">
        <f>IFERROR(__xludf.DUMMYFUNCTION("""COMPUTED_VALUE"""),"Y")</f>
        <v>Y</v>
      </c>
      <c r="R219" s="49"/>
      <c r="S219" s="49"/>
      <c r="T219" s="49"/>
      <c r="U219" s="49"/>
      <c r="V219" s="49"/>
      <c r="W219" s="49"/>
      <c r="X219" s="49"/>
      <c r="Y219" s="49"/>
      <c r="Z219" s="49"/>
    </row>
    <row r="220">
      <c r="A220" s="49" t="str">
        <f>IFERROR(__xludf.DUMMYFUNCTION("""COMPUTED_VALUE"""),"---")</f>
        <v>---</v>
      </c>
      <c r="B220" s="49" t="str">
        <f>IFERROR(__xludf.DUMMYFUNCTION("""COMPUTED_VALUE"""),"---")</f>
        <v>---</v>
      </c>
      <c r="C220" s="50" t="str">
        <f>IFERROR(__xludf.DUMMYFUNCTION("""COMPUTED_VALUE"""),"Benny centeno")</f>
        <v>Benny centeno</v>
      </c>
      <c r="D220" s="49">
        <f>IFERROR(__xludf.DUMMYFUNCTION("""COMPUTED_VALUE"""),5.70877982E9)</f>
        <v>5708779820</v>
      </c>
      <c r="E220" s="49" t="str">
        <f>IFERROR(__xludf.DUMMYFUNCTION("""COMPUTED_VALUE"""),"South")</f>
        <v>South</v>
      </c>
      <c r="F220" s="49" t="str">
        <f>IFERROR(__xludf.DUMMYFUNCTION("""COMPUTED_VALUE"""),"South")</f>
        <v>South</v>
      </c>
      <c r="G220" s="49" t="str">
        <f>IFERROR(__xludf.DUMMYFUNCTION("""COMPUTED_VALUE"""),"Brunswick T-zone deep space 14 lbs")</f>
        <v>Brunswick T-zone deep space 14 lbs</v>
      </c>
      <c r="H220" s="52"/>
      <c r="I220" s="49"/>
      <c r="J220" s="51">
        <f>IFERROR(__xludf.DUMMYFUNCTION("""COMPUTED_VALUE"""),46062.0)</f>
        <v>46062</v>
      </c>
      <c r="K220" s="52"/>
      <c r="L220" s="49" t="str">
        <f>IFERROR(__xludf.DUMMYFUNCTION("""COMPUTED_VALUE"""),"B Supply")</f>
        <v>B Supply</v>
      </c>
      <c r="M220" s="49">
        <f>IFERROR(__xludf.DUMMYFUNCTION("""COMPUTED_VALUE"""),520204.0)</f>
        <v>520204</v>
      </c>
      <c r="N220" s="53">
        <f>IFERROR(__xludf.DUMMYFUNCTION("""COMPUTED_VALUE"""),50.11)</f>
        <v>50.11</v>
      </c>
      <c r="O220" s="54">
        <f>IFERROR(__xludf.DUMMYFUNCTION("""COMPUTED_VALUE"""),666561.0)</f>
        <v>666561</v>
      </c>
      <c r="P220" s="49" t="str">
        <f>IFERROR(__xludf.DUMMYFUNCTION("""COMPUTED_VALUE"""),"Y")</f>
        <v>Y</v>
      </c>
      <c r="Q220" s="49" t="str">
        <f>IFERROR(__xludf.DUMMYFUNCTION("""COMPUTED_VALUE"""),"Y")</f>
        <v>Y</v>
      </c>
      <c r="R220" s="49"/>
      <c r="S220" s="49"/>
      <c r="T220" s="49"/>
      <c r="U220" s="49"/>
      <c r="V220" s="49"/>
      <c r="W220" s="49"/>
      <c r="X220" s="49"/>
      <c r="Y220" s="49"/>
      <c r="Z220" s="49"/>
    </row>
    <row r="221">
      <c r="A221" s="49" t="str">
        <f>IFERROR(__xludf.DUMMYFUNCTION("""COMPUTED_VALUE"""),"---")</f>
        <v>---</v>
      </c>
      <c r="B221" s="49" t="str">
        <f>IFERROR(__xludf.DUMMYFUNCTION("""COMPUTED_VALUE"""),"---")</f>
        <v>---</v>
      </c>
      <c r="C221" s="50" t="str">
        <f>IFERROR(__xludf.DUMMYFUNCTION("""COMPUTED_VALUE"""),"Stock")</f>
        <v>Stock</v>
      </c>
      <c r="D221" s="49"/>
      <c r="E221" s="49" t="str">
        <f>IFERROR(__xludf.DUMMYFUNCTION("""COMPUTED_VALUE"""),"South")</f>
        <v>South</v>
      </c>
      <c r="F221" s="49" t="str">
        <f>IFERROR(__xludf.DUMMYFUNCTION("""COMPUTED_VALUE"""),"South")</f>
        <v>South</v>
      </c>
      <c r="G221" s="49" t="str">
        <f>IFERROR(__xludf.DUMMYFUNCTION("""COMPUTED_VALUE"""),"14lb black widow dynasty")</f>
        <v>14lb black widow dynasty</v>
      </c>
      <c r="H221" s="52"/>
      <c r="I221" s="49"/>
      <c r="J221" s="51">
        <f>IFERROR(__xludf.DUMMYFUNCTION("""COMPUTED_VALUE"""),46062.0)</f>
        <v>46062</v>
      </c>
      <c r="K221" s="52"/>
      <c r="L221" s="49" t="str">
        <f>IFERROR(__xludf.DUMMYFUNCTION("""COMPUTED_VALUE"""),"B Supply")</f>
        <v>B Supply</v>
      </c>
      <c r="M221" s="49">
        <f>IFERROR(__xludf.DUMMYFUNCTION("""COMPUTED_VALUE"""),520204.0)</f>
        <v>520204</v>
      </c>
      <c r="N221" s="53">
        <f>IFERROR(__xludf.DUMMYFUNCTION("""COMPUTED_VALUE"""),132.15)</f>
        <v>132.15</v>
      </c>
      <c r="O221" s="54">
        <f>IFERROR(__xludf.DUMMYFUNCTION("""COMPUTED_VALUE"""),666561.0)</f>
        <v>666561</v>
      </c>
      <c r="P221" s="49" t="str">
        <f>IFERROR(__xludf.DUMMYFUNCTION("""COMPUTED_VALUE"""),"na")</f>
        <v>na</v>
      </c>
      <c r="Q221" s="49" t="str">
        <f>IFERROR(__xludf.DUMMYFUNCTION("""COMPUTED_VALUE"""),"na")</f>
        <v>na</v>
      </c>
      <c r="R221" s="49"/>
      <c r="S221" s="49"/>
      <c r="T221" s="49"/>
      <c r="U221" s="49"/>
      <c r="V221" s="49"/>
      <c r="W221" s="49"/>
      <c r="X221" s="49"/>
      <c r="Y221" s="49"/>
      <c r="Z221" s="49"/>
    </row>
    <row r="222">
      <c r="A222" s="49" t="str">
        <f>IFERROR(__xludf.DUMMYFUNCTION("""COMPUTED_VALUE"""),"---")</f>
        <v>---</v>
      </c>
      <c r="B222" s="49" t="str">
        <f>IFERROR(__xludf.DUMMYFUNCTION("""COMPUTED_VALUE"""),"---")</f>
        <v>---</v>
      </c>
      <c r="C222" s="50" t="str">
        <f>IFERROR(__xludf.DUMMYFUNCTION("""COMPUTED_VALUE"""),"Phil ferrese")</f>
        <v>Phil ferrese</v>
      </c>
      <c r="D222" s="49"/>
      <c r="E222" s="49" t="str">
        <f>IFERROR(__xludf.DUMMYFUNCTION("""COMPUTED_VALUE"""),"Valley")</f>
        <v>Valley</v>
      </c>
      <c r="F222" s="49" t="str">
        <f>IFERROR(__xludf.DUMMYFUNCTION("""COMPUTED_VALUE"""),"Valley")</f>
        <v>Valley</v>
      </c>
      <c r="G222" s="49" t="str">
        <f>IFERROR(__xludf.DUMMYFUNCTION("""COMPUTED_VALUE"""),"Hammer Nu 2.0 - 14lbs")</f>
        <v>Hammer Nu 2.0 - 14lbs</v>
      </c>
      <c r="H222" s="52"/>
      <c r="I222" s="49"/>
      <c r="J222" s="51">
        <f>IFERROR(__xludf.DUMMYFUNCTION("""COMPUTED_VALUE"""),46062.0)</f>
        <v>46062</v>
      </c>
      <c r="K222" s="52"/>
      <c r="L222" s="49" t="str">
        <f>IFERROR(__xludf.DUMMYFUNCTION("""COMPUTED_VALUE"""),"B Supply")</f>
        <v>B Supply</v>
      </c>
      <c r="M222" s="49">
        <f>IFERROR(__xludf.DUMMYFUNCTION("""COMPUTED_VALUE"""),520204.0)</f>
        <v>520204</v>
      </c>
      <c r="N222" s="53">
        <f>IFERROR(__xludf.DUMMYFUNCTION("""COMPUTED_VALUE"""),114.0)</f>
        <v>114</v>
      </c>
      <c r="O222" s="54">
        <f>IFERROR(__xludf.DUMMYFUNCTION("""COMPUTED_VALUE"""),666561.0)</f>
        <v>666561</v>
      </c>
      <c r="P222" s="49" t="str">
        <f>IFERROR(__xludf.DUMMYFUNCTION("""COMPUTED_VALUE"""),"Y")</f>
        <v>Y</v>
      </c>
      <c r="Q222" s="49" t="str">
        <f>IFERROR(__xludf.DUMMYFUNCTION("""COMPUTED_VALUE"""),"Y")</f>
        <v>Y</v>
      </c>
      <c r="R222" s="49"/>
      <c r="S222" s="49"/>
      <c r="T222" s="49"/>
      <c r="U222" s="49"/>
      <c r="V222" s="49"/>
      <c r="W222" s="49"/>
      <c r="X222" s="49"/>
      <c r="Y222" s="49"/>
      <c r="Z222" s="49"/>
    </row>
    <row r="223">
      <c r="A223" s="49" t="str">
        <f>IFERROR(__xludf.DUMMYFUNCTION("""COMPUTED_VALUE"""),"---")</f>
        <v>---</v>
      </c>
      <c r="B223" s="49" t="str">
        <f>IFERROR(__xludf.DUMMYFUNCTION("""COMPUTED_VALUE"""),"---")</f>
        <v>---</v>
      </c>
      <c r="C223" s="50" t="str">
        <f>IFERROR(__xludf.DUMMYFUNCTION("""COMPUTED_VALUE"""),"Michael Dinning")</f>
        <v>Michael Dinning</v>
      </c>
      <c r="D223" s="49"/>
      <c r="E223" s="49" t="str">
        <f>IFERROR(__xludf.DUMMYFUNCTION("""COMPUTED_VALUE"""),"Valley")</f>
        <v>Valley</v>
      </c>
      <c r="F223" s="49" t="str">
        <f>IFERROR(__xludf.DUMMYFUNCTION("""COMPUTED_VALUE"""),"Valley")</f>
        <v>Valley</v>
      </c>
      <c r="G223" s="49" t="str">
        <f>IFERROR(__xludf.DUMMYFUNCTION("""COMPUTED_VALUE"""),"900 Global Vengeance 15 lb")</f>
        <v>900 Global Vengeance 15 lb</v>
      </c>
      <c r="H223" s="52"/>
      <c r="I223" s="49"/>
      <c r="J223" s="51">
        <f>IFERROR(__xludf.DUMMYFUNCTION("""COMPUTED_VALUE"""),46062.0)</f>
        <v>46062</v>
      </c>
      <c r="K223" s="52"/>
      <c r="L223" s="49" t="str">
        <f>IFERROR(__xludf.DUMMYFUNCTION("""COMPUTED_VALUE"""),"B Supply")</f>
        <v>B Supply</v>
      </c>
      <c r="M223" s="49">
        <f>IFERROR(__xludf.DUMMYFUNCTION("""COMPUTED_VALUE"""),520204.0)</f>
        <v>520204</v>
      </c>
      <c r="N223" s="53">
        <f>IFERROR(__xludf.DUMMYFUNCTION("""COMPUTED_VALUE"""),141.88)</f>
        <v>141.88</v>
      </c>
      <c r="O223" s="54">
        <f>IFERROR(__xludf.DUMMYFUNCTION("""COMPUTED_VALUE"""),666561.0)</f>
        <v>666561</v>
      </c>
      <c r="P223" s="49" t="str">
        <f>IFERROR(__xludf.DUMMYFUNCTION("""COMPUTED_VALUE"""),"Y")</f>
        <v>Y</v>
      </c>
      <c r="Q223" s="49" t="str">
        <f>IFERROR(__xludf.DUMMYFUNCTION("""COMPUTED_VALUE"""),"Y")</f>
        <v>Y</v>
      </c>
      <c r="R223" s="49"/>
      <c r="S223" s="49"/>
      <c r="T223" s="49"/>
      <c r="U223" s="49"/>
      <c r="V223" s="49"/>
      <c r="W223" s="49"/>
      <c r="X223" s="49"/>
      <c r="Y223" s="49"/>
      <c r="Z223" s="49"/>
    </row>
    <row r="224">
      <c r="A224" s="49" t="str">
        <f>IFERROR(__xludf.DUMMYFUNCTION("""COMPUTED_VALUE"""),"---")</f>
        <v>---</v>
      </c>
      <c r="B224" s="49" t="str">
        <f>IFERROR(__xludf.DUMMYFUNCTION("""COMPUTED_VALUE"""),"---")</f>
        <v>---</v>
      </c>
      <c r="C224" s="50" t="str">
        <f>IFERROR(__xludf.DUMMYFUNCTION("""COMPUTED_VALUE"""),"Stock")</f>
        <v>Stock</v>
      </c>
      <c r="D224" s="49"/>
      <c r="E224" s="49" t="str">
        <f>IFERROR(__xludf.DUMMYFUNCTION("""COMPUTED_VALUE"""),"South")</f>
        <v>South</v>
      </c>
      <c r="F224" s="49" t="str">
        <f>IFERROR(__xludf.DUMMYFUNCTION("""COMPUTED_VALUE"""),"South")</f>
        <v>South</v>
      </c>
      <c r="G224" s="49" t="str">
        <f>IFERROR(__xludf.DUMMYFUNCTION("""COMPUTED_VALUE"""),"900 Global Vengeance 15 lb")</f>
        <v>900 Global Vengeance 15 lb</v>
      </c>
      <c r="H224" s="52"/>
      <c r="I224" s="49"/>
      <c r="J224" s="51">
        <f>IFERROR(__xludf.DUMMYFUNCTION("""COMPUTED_VALUE"""),46062.0)</f>
        <v>46062</v>
      </c>
      <c r="K224" s="52"/>
      <c r="L224" s="49" t="str">
        <f>IFERROR(__xludf.DUMMYFUNCTION("""COMPUTED_VALUE"""),"B Supply")</f>
        <v>B Supply</v>
      </c>
      <c r="M224" s="49">
        <f>IFERROR(__xludf.DUMMYFUNCTION("""COMPUTED_VALUE"""),520204.0)</f>
        <v>520204</v>
      </c>
      <c r="N224" s="53">
        <f>IFERROR(__xludf.DUMMYFUNCTION("""COMPUTED_VALUE"""),141.88)</f>
        <v>141.88</v>
      </c>
      <c r="O224" s="54">
        <f>IFERROR(__xludf.DUMMYFUNCTION("""COMPUTED_VALUE"""),666561.0)</f>
        <v>666561</v>
      </c>
      <c r="P224" s="49" t="str">
        <f>IFERROR(__xludf.DUMMYFUNCTION("""COMPUTED_VALUE"""),"na")</f>
        <v>na</v>
      </c>
      <c r="Q224" s="49" t="str">
        <f>IFERROR(__xludf.DUMMYFUNCTION("""COMPUTED_VALUE"""),"na")</f>
        <v>na</v>
      </c>
      <c r="R224" s="49"/>
      <c r="S224" s="49"/>
      <c r="T224" s="49"/>
      <c r="U224" s="49"/>
      <c r="V224" s="49"/>
      <c r="W224" s="49"/>
      <c r="X224" s="49"/>
      <c r="Y224" s="49"/>
      <c r="Z224" s="49"/>
    </row>
    <row r="225">
      <c r="A225" s="49" t="str">
        <f>IFERROR(__xludf.DUMMYFUNCTION("""COMPUTED_VALUE"""),"---")</f>
        <v>---</v>
      </c>
      <c r="B225" s="49" t="str">
        <f>IFERROR(__xludf.DUMMYFUNCTION("""COMPUTED_VALUE"""),"---")</f>
        <v>---</v>
      </c>
      <c r="C225" s="50" t="str">
        <f>IFERROR(__xludf.DUMMYFUNCTION("""COMPUTED_VALUE"""),"Stock")</f>
        <v>Stock</v>
      </c>
      <c r="D225" s="49"/>
      <c r="E225" s="49" t="str">
        <f>IFERROR(__xludf.DUMMYFUNCTION("""COMPUTED_VALUE"""),"South")</f>
        <v>South</v>
      </c>
      <c r="F225" s="49" t="str">
        <f>IFERROR(__xludf.DUMMYFUNCTION("""COMPUTED_VALUE"""),"South")</f>
        <v>South</v>
      </c>
      <c r="G225" s="49" t="str">
        <f>IFERROR(__xludf.DUMMYFUNCTION("""COMPUTED_VALUE"""),"Rotogrip Transformer 15 lb")</f>
        <v>Rotogrip Transformer 15 lb</v>
      </c>
      <c r="H225" s="52"/>
      <c r="I225" s="49"/>
      <c r="J225" s="51">
        <f>IFERROR(__xludf.DUMMYFUNCTION("""COMPUTED_VALUE"""),46062.0)</f>
        <v>46062</v>
      </c>
      <c r="K225" s="52"/>
      <c r="L225" s="49" t="str">
        <f>IFERROR(__xludf.DUMMYFUNCTION("""COMPUTED_VALUE"""),"B Supply")</f>
        <v>B Supply</v>
      </c>
      <c r="M225" s="49">
        <f>IFERROR(__xludf.DUMMYFUNCTION("""COMPUTED_VALUE"""),520204.0)</f>
        <v>520204</v>
      </c>
      <c r="N225" s="53">
        <f>IFERROR(__xludf.DUMMYFUNCTION("""COMPUTED_VALUE"""),158.94)</f>
        <v>158.94</v>
      </c>
      <c r="O225" s="54">
        <f>IFERROR(__xludf.DUMMYFUNCTION("""COMPUTED_VALUE"""),666561.0)</f>
        <v>666561</v>
      </c>
      <c r="P225" s="49" t="str">
        <f>IFERROR(__xludf.DUMMYFUNCTION("""COMPUTED_VALUE"""),"na")</f>
        <v>na</v>
      </c>
      <c r="Q225" s="49" t="str">
        <f>IFERROR(__xludf.DUMMYFUNCTION("""COMPUTED_VALUE"""),"na")</f>
        <v>na</v>
      </c>
      <c r="R225" s="49"/>
      <c r="S225" s="49"/>
      <c r="T225" s="49"/>
      <c r="U225" s="49"/>
      <c r="V225" s="49"/>
      <c r="W225" s="49"/>
      <c r="X225" s="49"/>
      <c r="Y225" s="49"/>
      <c r="Z225" s="49"/>
    </row>
    <row r="226">
      <c r="A226" s="49" t="str">
        <f>IFERROR(__xludf.DUMMYFUNCTION("""COMPUTED_VALUE"""),"---")</f>
        <v>---</v>
      </c>
      <c r="B226" s="49" t="str">
        <f>IFERROR(__xludf.DUMMYFUNCTION("""COMPUTED_VALUE"""),"---")</f>
        <v>---</v>
      </c>
      <c r="C226" s="50" t="str">
        <f>IFERROR(__xludf.DUMMYFUNCTION("""COMPUTED_VALUE"""),"Stock")</f>
        <v>Stock</v>
      </c>
      <c r="D226" s="49"/>
      <c r="E226" s="49"/>
      <c r="F226" s="49"/>
      <c r="G226" s="49" t="str">
        <f>IFERROR(__xludf.DUMMYFUNCTION("""COMPUTED_VALUE"""),"1 1/4"" slug orange/yellow")</f>
        <v>1 1/4" slug orange/yellow</v>
      </c>
      <c r="H226" s="52"/>
      <c r="I226" s="49"/>
      <c r="J226" s="51">
        <f>IFERROR(__xludf.DUMMYFUNCTION("""COMPUTED_VALUE"""),46065.0)</f>
        <v>46065</v>
      </c>
      <c r="K226" s="52"/>
      <c r="L226" s="49" t="str">
        <f>IFERROR(__xludf.DUMMYFUNCTION("""COMPUTED_VALUE"""),"B Supply")</f>
        <v>B Supply</v>
      </c>
      <c r="M226" s="49">
        <f>IFERROR(__xludf.DUMMYFUNCTION("""COMPUTED_VALUE"""),520942.0)</f>
        <v>520942</v>
      </c>
      <c r="N226" s="53">
        <f>IFERROR(__xludf.DUMMYFUNCTION("""COMPUTED_VALUE"""),3.14)</f>
        <v>3.14</v>
      </c>
      <c r="O226" s="54">
        <f>IFERROR(__xludf.DUMMYFUNCTION("""COMPUTED_VALUE"""),667549.0)</f>
        <v>667549</v>
      </c>
      <c r="P226" s="49" t="str">
        <f>IFERROR(__xludf.DUMMYFUNCTION("""COMPUTED_VALUE"""),"na")</f>
        <v>na</v>
      </c>
      <c r="Q226" s="49" t="str">
        <f>IFERROR(__xludf.DUMMYFUNCTION("""COMPUTED_VALUE"""),"na")</f>
        <v>na</v>
      </c>
      <c r="R226" s="49"/>
      <c r="S226" s="49"/>
      <c r="T226" s="49"/>
      <c r="U226" s="49"/>
      <c r="V226" s="49"/>
      <c r="W226" s="49"/>
      <c r="X226" s="49"/>
      <c r="Y226" s="49"/>
      <c r="Z226" s="49"/>
    </row>
    <row r="227">
      <c r="A227" s="49" t="str">
        <f>IFERROR(__xludf.DUMMYFUNCTION("""COMPUTED_VALUE"""),"---")</f>
        <v>---</v>
      </c>
      <c r="B227" s="49" t="str">
        <f>IFERROR(__xludf.DUMMYFUNCTION("""COMPUTED_VALUE"""),"---")</f>
        <v>---</v>
      </c>
      <c r="C227" s="50" t="str">
        <f>IFERROR(__xludf.DUMMYFUNCTION("""COMPUTED_VALUE"""),"Stock")</f>
        <v>Stock</v>
      </c>
      <c r="D227" s="49"/>
      <c r="E227" s="49"/>
      <c r="F227" s="49"/>
      <c r="G227" s="49" t="str">
        <f>IFERROR(__xludf.DUMMYFUNCTION("""COMPUTED_VALUE"""),"1 1/8"" slug pink/white")</f>
        <v>1 1/8" slug pink/white</v>
      </c>
      <c r="H227" s="52"/>
      <c r="I227" s="49"/>
      <c r="J227" s="51">
        <f>IFERROR(__xludf.DUMMYFUNCTION("""COMPUTED_VALUE"""),46065.0)</f>
        <v>46065</v>
      </c>
      <c r="K227" s="52"/>
      <c r="L227" s="49" t="str">
        <f>IFERROR(__xludf.DUMMYFUNCTION("""COMPUTED_VALUE"""),"B Supply")</f>
        <v>B Supply</v>
      </c>
      <c r="M227" s="49">
        <f>IFERROR(__xludf.DUMMYFUNCTION("""COMPUTED_VALUE"""),520942.0)</f>
        <v>520942</v>
      </c>
      <c r="N227" s="53">
        <f>IFERROR(__xludf.DUMMYFUNCTION("""COMPUTED_VALUE"""),3.33)</f>
        <v>3.33</v>
      </c>
      <c r="O227" s="54">
        <f>IFERROR(__xludf.DUMMYFUNCTION("""COMPUTED_VALUE"""),667549.0)</f>
        <v>667549</v>
      </c>
      <c r="P227" s="49" t="str">
        <f>IFERROR(__xludf.DUMMYFUNCTION("""COMPUTED_VALUE"""),"na")</f>
        <v>na</v>
      </c>
      <c r="Q227" s="49" t="str">
        <f>IFERROR(__xludf.DUMMYFUNCTION("""COMPUTED_VALUE"""),"na")</f>
        <v>na</v>
      </c>
      <c r="R227" s="49"/>
      <c r="S227" s="49"/>
      <c r="T227" s="49"/>
      <c r="U227" s="49"/>
      <c r="V227" s="49"/>
      <c r="W227" s="49"/>
      <c r="X227" s="49"/>
      <c r="Y227" s="49"/>
      <c r="Z227" s="49"/>
    </row>
    <row r="228">
      <c r="A228" s="49" t="str">
        <f>IFERROR(__xludf.DUMMYFUNCTION("""COMPUTED_VALUE"""),"---")</f>
        <v>---</v>
      </c>
      <c r="B228" s="49" t="str">
        <f>IFERROR(__xludf.DUMMYFUNCTION("""COMPUTED_VALUE"""),"---")</f>
        <v>---</v>
      </c>
      <c r="C228" s="50" t="str">
        <f>IFERROR(__xludf.DUMMYFUNCTION("""COMPUTED_VALUE"""),"Stock")</f>
        <v>Stock</v>
      </c>
      <c r="D228" s="49"/>
      <c r="E228" s="49"/>
      <c r="F228" s="49"/>
      <c r="G228" s="49" t="str">
        <f>IFERROR(__xludf.DUMMYFUNCTION("""COMPUTED_VALUE"""),"1 1/4"" blue/purple")</f>
        <v>1 1/4" blue/purple</v>
      </c>
      <c r="H228" s="52"/>
      <c r="I228" s="49"/>
      <c r="J228" s="51">
        <f>IFERROR(__xludf.DUMMYFUNCTION("""COMPUTED_VALUE"""),46065.0)</f>
        <v>46065</v>
      </c>
      <c r="K228" s="52"/>
      <c r="L228" s="49" t="str">
        <f>IFERROR(__xludf.DUMMYFUNCTION("""COMPUTED_VALUE"""),"B Supply")</f>
        <v>B Supply</v>
      </c>
      <c r="M228" s="49">
        <f>IFERROR(__xludf.DUMMYFUNCTION("""COMPUTED_VALUE"""),520942.0)</f>
        <v>520942</v>
      </c>
      <c r="N228" s="53">
        <f>IFERROR(__xludf.DUMMYFUNCTION("""COMPUTED_VALUE"""),3.33)</f>
        <v>3.33</v>
      </c>
      <c r="O228" s="54">
        <f>IFERROR(__xludf.DUMMYFUNCTION("""COMPUTED_VALUE"""),667549.0)</f>
        <v>667549</v>
      </c>
      <c r="P228" s="49" t="str">
        <f>IFERROR(__xludf.DUMMYFUNCTION("""COMPUTED_VALUE"""),"na")</f>
        <v>na</v>
      </c>
      <c r="Q228" s="49" t="str">
        <f>IFERROR(__xludf.DUMMYFUNCTION("""COMPUTED_VALUE"""),"na")</f>
        <v>na</v>
      </c>
      <c r="R228" s="49"/>
      <c r="S228" s="49"/>
      <c r="T228" s="49"/>
      <c r="U228" s="49"/>
      <c r="V228" s="49"/>
      <c r="W228" s="49"/>
      <c r="X228" s="49"/>
      <c r="Y228" s="49"/>
      <c r="Z228" s="49"/>
    </row>
    <row r="229">
      <c r="A229" s="49" t="str">
        <f>IFERROR(__xludf.DUMMYFUNCTION("""COMPUTED_VALUE"""),"---")</f>
        <v>---</v>
      </c>
      <c r="B229" s="49" t="str">
        <f>IFERROR(__xludf.DUMMYFUNCTION("""COMPUTED_VALUE"""),"---")</f>
        <v>---</v>
      </c>
      <c r="C229" s="50" t="str">
        <f>IFERROR(__xludf.DUMMYFUNCTION("""COMPUTED_VALUE"""),"Stock")</f>
        <v>Stock</v>
      </c>
      <c r="D229" s="49"/>
      <c r="E229" s="49" t="str">
        <f>IFERROR(__xludf.DUMMYFUNCTION("""COMPUTED_VALUE"""),"South")</f>
        <v>South</v>
      </c>
      <c r="F229" s="49" t="str">
        <f>IFERROR(__xludf.DUMMYFUNCTION("""COMPUTED_VALUE"""),"South")</f>
        <v>South</v>
      </c>
      <c r="G229" s="49" t="str">
        <f>IFERROR(__xludf.DUMMYFUNCTION("""COMPUTED_VALUE"""),"Hammer Zero mercy Solid 15 lb")</f>
        <v>Hammer Zero mercy Solid 15 lb</v>
      </c>
      <c r="H229" s="52"/>
      <c r="I229" s="49"/>
      <c r="J229" s="51">
        <f>IFERROR(__xludf.DUMMYFUNCTION("""COMPUTED_VALUE"""),46065.0)</f>
        <v>46065</v>
      </c>
      <c r="K229" s="52"/>
      <c r="L229" s="49" t="str">
        <f>IFERROR(__xludf.DUMMYFUNCTION("""COMPUTED_VALUE"""),"B Supply")</f>
        <v>B Supply</v>
      </c>
      <c r="M229" s="49">
        <f>IFERROR(__xludf.DUMMYFUNCTION("""COMPUTED_VALUE"""),520942.0)</f>
        <v>520942</v>
      </c>
      <c r="N229" s="53">
        <f>IFERROR(__xludf.DUMMYFUNCTION("""COMPUTED_VALUE"""),156.51)</f>
        <v>156.51</v>
      </c>
      <c r="O229" s="54">
        <f>IFERROR(__xludf.DUMMYFUNCTION("""COMPUTED_VALUE"""),667549.0)</f>
        <v>667549</v>
      </c>
      <c r="P229" s="49" t="str">
        <f>IFERROR(__xludf.DUMMYFUNCTION("""COMPUTED_VALUE"""),"na")</f>
        <v>na</v>
      </c>
      <c r="Q229" s="49" t="str">
        <f>IFERROR(__xludf.DUMMYFUNCTION("""COMPUTED_VALUE"""),"na")</f>
        <v>na</v>
      </c>
      <c r="R229" s="49"/>
      <c r="S229" s="49"/>
      <c r="T229" s="49"/>
      <c r="U229" s="49"/>
      <c r="V229" s="49"/>
      <c r="W229" s="49"/>
      <c r="X229" s="49"/>
      <c r="Y229" s="49"/>
      <c r="Z229" s="49"/>
    </row>
    <row r="230">
      <c r="A230" s="49" t="str">
        <f>IFERROR(__xludf.DUMMYFUNCTION("""COMPUTED_VALUE"""),"---")</f>
        <v>---</v>
      </c>
      <c r="B230" s="49" t="str">
        <f>IFERROR(__xludf.DUMMYFUNCTION("""COMPUTED_VALUE"""),"---")</f>
        <v>---</v>
      </c>
      <c r="C230" s="50" t="str">
        <f>IFERROR(__xludf.DUMMYFUNCTION("""COMPUTED_VALUE"""),"Carl O'Neil")</f>
        <v>Carl O'Neil</v>
      </c>
      <c r="D230" s="49"/>
      <c r="E230" s="49" t="str">
        <f>IFERROR(__xludf.DUMMYFUNCTION("""COMPUTED_VALUE"""),"South")</f>
        <v>South</v>
      </c>
      <c r="F230" s="49" t="str">
        <f>IFERROR(__xludf.DUMMYFUNCTION("""COMPUTED_VALUE"""),"South")</f>
        <v>South</v>
      </c>
      <c r="G230" s="49" t="str">
        <f>IFERROR(__xludf.DUMMYFUNCTION("""COMPUTED_VALUE"""),"Hammer Ocean Vibe 14 lb")</f>
        <v>Hammer Ocean Vibe 14 lb</v>
      </c>
      <c r="H230" s="52"/>
      <c r="I230" s="49"/>
      <c r="J230" s="51">
        <f>IFERROR(__xludf.DUMMYFUNCTION("""COMPUTED_VALUE"""),46065.0)</f>
        <v>46065</v>
      </c>
      <c r="K230" s="52"/>
      <c r="L230" s="49" t="str">
        <f>IFERROR(__xludf.DUMMYFUNCTION("""COMPUTED_VALUE"""),"B Supply")</f>
        <v>B Supply</v>
      </c>
      <c r="M230" s="49">
        <f>IFERROR(__xludf.DUMMYFUNCTION("""COMPUTED_VALUE"""),520942.0)</f>
        <v>520942</v>
      </c>
      <c r="N230" s="53">
        <f>IFERROR(__xludf.DUMMYFUNCTION("""COMPUTED_VALUE"""),95.62)</f>
        <v>95.62</v>
      </c>
      <c r="O230" s="54">
        <f>IFERROR(__xludf.DUMMYFUNCTION("""COMPUTED_VALUE"""),667549.0)</f>
        <v>667549</v>
      </c>
      <c r="P230" s="49" t="str">
        <f>IFERROR(__xludf.DUMMYFUNCTION("""COMPUTED_VALUE"""),"Y")</f>
        <v>Y</v>
      </c>
      <c r="Q230" s="49" t="str">
        <f>IFERROR(__xludf.DUMMYFUNCTION("""COMPUTED_VALUE"""),"Y")</f>
        <v>Y</v>
      </c>
      <c r="R230" s="49"/>
      <c r="S230" s="49"/>
      <c r="T230" s="49"/>
      <c r="U230" s="49"/>
      <c r="V230" s="49"/>
      <c r="W230" s="49"/>
      <c r="X230" s="49"/>
      <c r="Y230" s="49"/>
      <c r="Z230" s="49"/>
    </row>
    <row r="231">
      <c r="A231" s="49" t="str">
        <f>IFERROR(__xludf.DUMMYFUNCTION("""COMPUTED_VALUE"""),"---")</f>
        <v>---</v>
      </c>
      <c r="B231" s="49" t="str">
        <f>IFERROR(__xludf.DUMMYFUNCTION("""COMPUTED_VALUE"""),"---")</f>
        <v>---</v>
      </c>
      <c r="C231" s="50" t="str">
        <f>IFERROR(__xludf.DUMMYFUNCTION("""COMPUTED_VALUE"""),"Ariele Williams")</f>
        <v>Ariele Williams</v>
      </c>
      <c r="D231" s="49"/>
      <c r="E231" s="49" t="str">
        <f>IFERROR(__xludf.DUMMYFUNCTION("""COMPUTED_VALUE"""),"Valley")</f>
        <v>Valley</v>
      </c>
      <c r="F231" s="49" t="str">
        <f>IFERROR(__xludf.DUMMYFUNCTION("""COMPUTED_VALUE"""),"Valley")</f>
        <v>Valley</v>
      </c>
      <c r="G231" s="49" t="str">
        <f>IFERROR(__xludf.DUMMYFUNCTION("""COMPUTED_VALUE"""),"Brunswick Tzone Deep Space - 11lbs")</f>
        <v>Brunswick Tzone Deep Space - 11lbs</v>
      </c>
      <c r="H231" s="52"/>
      <c r="I231" s="49"/>
      <c r="J231" s="51">
        <f>IFERROR(__xludf.DUMMYFUNCTION("""COMPUTED_VALUE"""),46065.0)</f>
        <v>46065</v>
      </c>
      <c r="K231" s="52"/>
      <c r="L231" s="49" t="str">
        <f>IFERROR(__xludf.DUMMYFUNCTION("""COMPUTED_VALUE"""),"B Supply")</f>
        <v>B Supply</v>
      </c>
      <c r="M231" s="49">
        <f>IFERROR(__xludf.DUMMYFUNCTION("""COMPUTED_VALUE"""),520942.0)</f>
        <v>520942</v>
      </c>
      <c r="N231" s="53">
        <f>IFERROR(__xludf.DUMMYFUNCTION("""COMPUTED_VALUE"""),50.11)</f>
        <v>50.11</v>
      </c>
      <c r="O231" s="54">
        <f>IFERROR(__xludf.DUMMYFUNCTION("""COMPUTED_VALUE"""),667549.0)</f>
        <v>667549</v>
      </c>
      <c r="P231" s="49" t="str">
        <f>IFERROR(__xludf.DUMMYFUNCTION("""COMPUTED_VALUE"""),"Y")</f>
        <v>Y</v>
      </c>
      <c r="Q231" s="49" t="str">
        <f>IFERROR(__xludf.DUMMYFUNCTION("""COMPUTED_VALUE"""),"Y")</f>
        <v>Y</v>
      </c>
      <c r="R231" s="49"/>
      <c r="S231" s="49"/>
      <c r="T231" s="49"/>
      <c r="U231" s="49"/>
      <c r="V231" s="49"/>
      <c r="W231" s="49"/>
      <c r="X231" s="49"/>
      <c r="Y231" s="49"/>
      <c r="Z231" s="49"/>
    </row>
    <row r="232">
      <c r="A232" s="49" t="str">
        <f>IFERROR(__xludf.DUMMYFUNCTION("""COMPUTED_VALUE"""),"---")</f>
        <v>---</v>
      </c>
      <c r="B232" s="49" t="str">
        <f>IFERROR(__xludf.DUMMYFUNCTION("""COMPUTED_VALUE"""),"---")</f>
        <v>---</v>
      </c>
      <c r="C232" s="50" t="str">
        <f>IFERROR(__xludf.DUMMYFUNCTION("""COMPUTED_VALUE"""),"Ariele Williams")</f>
        <v>Ariele Williams</v>
      </c>
      <c r="D232" s="49"/>
      <c r="E232" s="49" t="str">
        <f>IFERROR(__xludf.DUMMYFUNCTION("""COMPUTED_VALUE"""),"Valley")</f>
        <v>Valley</v>
      </c>
      <c r="F232" s="49" t="str">
        <f>IFERROR(__xludf.DUMMYFUNCTION("""COMPUTED_VALUE"""),"Valley")</f>
        <v>Valley</v>
      </c>
      <c r="G232" s="49" t="str">
        <f>IFERROR(__xludf.DUMMYFUNCTION("""COMPUTED_VALUE"""),"Lady Fanatic - Size 8.5 and 9  Pink/black/white")</f>
        <v>Lady Fanatic - Size 8.5 and 9  Pink/black/white</v>
      </c>
      <c r="H232" s="52"/>
      <c r="I232" s="49"/>
      <c r="J232" s="51">
        <f>IFERROR(__xludf.DUMMYFUNCTION("""COMPUTED_VALUE"""),46065.0)</f>
        <v>46065</v>
      </c>
      <c r="K232" s="52"/>
      <c r="L232" s="49" t="str">
        <f>IFERROR(__xludf.DUMMYFUNCTION("""COMPUTED_VALUE"""),"B Supply")</f>
        <v>B Supply</v>
      </c>
      <c r="M232" s="49">
        <f>IFERROR(__xludf.DUMMYFUNCTION("""COMPUTED_VALUE"""),520942.0)</f>
        <v>520942</v>
      </c>
      <c r="N232" s="53">
        <f>IFERROR(__xludf.DUMMYFUNCTION("""COMPUTED_VALUE"""),42.47)</f>
        <v>42.47</v>
      </c>
      <c r="O232" s="54">
        <f>IFERROR(__xludf.DUMMYFUNCTION("""COMPUTED_VALUE"""),667549.0)</f>
        <v>667549</v>
      </c>
      <c r="P232" s="49" t="str">
        <f>IFERROR(__xludf.DUMMYFUNCTION("""COMPUTED_VALUE"""),"Y")</f>
        <v>Y</v>
      </c>
      <c r="Q232" s="49" t="str">
        <f>IFERROR(__xludf.DUMMYFUNCTION("""COMPUTED_VALUE"""),"Y")</f>
        <v>Y</v>
      </c>
      <c r="R232" s="49"/>
      <c r="S232" s="49"/>
      <c r="T232" s="49"/>
      <c r="U232" s="49"/>
      <c r="V232" s="49"/>
      <c r="W232" s="49"/>
      <c r="X232" s="49"/>
      <c r="Y232" s="49"/>
      <c r="Z232" s="49"/>
    </row>
    <row r="233">
      <c r="A233" s="49" t="str">
        <f>IFERROR(__xludf.DUMMYFUNCTION("""COMPUTED_VALUE"""),"---")</f>
        <v>---</v>
      </c>
      <c r="B233" s="49" t="str">
        <f>IFERROR(__xludf.DUMMYFUNCTION("""COMPUTED_VALUE"""),"---")</f>
        <v>---</v>
      </c>
      <c r="C233" s="50" t="str">
        <f>IFERROR(__xludf.DUMMYFUNCTION("""COMPUTED_VALUE"""),"Francesha Houck")</f>
        <v>Francesha Houck</v>
      </c>
      <c r="D233" s="49"/>
      <c r="E233" s="49" t="str">
        <f>IFERROR(__xludf.DUMMYFUNCTION("""COMPUTED_VALUE"""),"Valley")</f>
        <v>Valley</v>
      </c>
      <c r="F233" s="49" t="str">
        <f>IFERROR(__xludf.DUMMYFUNCTION("""COMPUTED_VALUE"""),"Valley")</f>
        <v>Valley</v>
      </c>
      <c r="G233" s="49" t="str">
        <f>IFERROR(__xludf.DUMMYFUNCTION("""COMPUTED_VALUE"""),"C300 White Dot Wild Orchid - 11lbs")</f>
        <v>C300 White Dot Wild Orchid - 11lbs</v>
      </c>
      <c r="H233" s="52"/>
      <c r="I233" s="49"/>
      <c r="J233" s="51">
        <f>IFERROR(__xludf.DUMMYFUNCTION("""COMPUTED_VALUE"""),46065.0)</f>
        <v>46065</v>
      </c>
      <c r="K233" s="52"/>
      <c r="L233" s="49" t="str">
        <f>IFERROR(__xludf.DUMMYFUNCTION("""COMPUTED_VALUE"""),"B Supply")</f>
        <v>B Supply</v>
      </c>
      <c r="M233" s="49">
        <f>IFERROR(__xludf.DUMMYFUNCTION("""COMPUTED_VALUE"""),520942.0)</f>
        <v>520942</v>
      </c>
      <c r="N233" s="53">
        <f>IFERROR(__xludf.DUMMYFUNCTION("""COMPUTED_VALUE"""),50.11)</f>
        <v>50.11</v>
      </c>
      <c r="O233" s="54">
        <f>IFERROR(__xludf.DUMMYFUNCTION("""COMPUTED_VALUE"""),667549.0)</f>
        <v>667549</v>
      </c>
      <c r="P233" s="49" t="str">
        <f>IFERROR(__xludf.DUMMYFUNCTION("""COMPUTED_VALUE"""),"Y")</f>
        <v>Y</v>
      </c>
      <c r="Q233" s="49" t="str">
        <f>IFERROR(__xludf.DUMMYFUNCTION("""COMPUTED_VALUE"""),"Y")</f>
        <v>Y</v>
      </c>
      <c r="R233" s="49"/>
      <c r="S233" s="49"/>
      <c r="T233" s="49"/>
      <c r="U233" s="49"/>
      <c r="V233" s="49"/>
      <c r="W233" s="49"/>
      <c r="X233" s="49"/>
      <c r="Y233" s="49"/>
      <c r="Z233" s="49"/>
    </row>
    <row r="234">
      <c r="A234" s="49" t="str">
        <f>IFERROR(__xludf.DUMMYFUNCTION("""COMPUTED_VALUE"""),"---")</f>
        <v>---</v>
      </c>
      <c r="B234" s="49" t="str">
        <f>IFERROR(__xludf.DUMMYFUNCTION("""COMPUTED_VALUE"""),"---")</f>
        <v>---</v>
      </c>
      <c r="C234" s="50" t="str">
        <f>IFERROR(__xludf.DUMMYFUNCTION("""COMPUTED_VALUE"""),"Francesha Houck")</f>
        <v>Francesha Houck</v>
      </c>
      <c r="D234" s="49"/>
      <c r="E234" s="49" t="str">
        <f>IFERROR(__xludf.DUMMYFUNCTION("""COMPUTED_VALUE"""),"Valley")</f>
        <v>Valley</v>
      </c>
      <c r="F234" s="49" t="str">
        <f>IFERROR(__xludf.DUMMYFUNCTION("""COMPUTED_VALUE"""),"Valley")</f>
        <v>Valley</v>
      </c>
      <c r="G234" s="49" t="str">
        <f>IFERROR(__xludf.DUMMYFUNCTION("""COMPUTED_VALUE"""),"Lady Fantic - Size 8.5 - Female - Pink")</f>
        <v>Lady Fantic - Size 8.5 - Female - Pink</v>
      </c>
      <c r="H234" s="52"/>
      <c r="I234" s="49"/>
      <c r="J234" s="51">
        <f>IFERROR(__xludf.DUMMYFUNCTION("""COMPUTED_VALUE"""),46065.0)</f>
        <v>46065</v>
      </c>
      <c r="K234" s="52"/>
      <c r="L234" s="49" t="str">
        <f>IFERROR(__xludf.DUMMYFUNCTION("""COMPUTED_VALUE"""),"B Supply")</f>
        <v>B Supply</v>
      </c>
      <c r="M234" s="49">
        <f>IFERROR(__xludf.DUMMYFUNCTION("""COMPUTED_VALUE"""),520942.0)</f>
        <v>520942</v>
      </c>
      <c r="N234" s="53">
        <f>IFERROR(__xludf.DUMMYFUNCTION("""COMPUTED_VALUE"""),42.47)</f>
        <v>42.47</v>
      </c>
      <c r="O234" s="54">
        <f>IFERROR(__xludf.DUMMYFUNCTION("""COMPUTED_VALUE"""),667549.0)</f>
        <v>667549</v>
      </c>
      <c r="P234" s="49" t="str">
        <f>IFERROR(__xludf.DUMMYFUNCTION("""COMPUTED_VALUE"""),"Y")</f>
        <v>Y</v>
      </c>
      <c r="Q234" s="49" t="str">
        <f>IFERROR(__xludf.DUMMYFUNCTION("""COMPUTED_VALUE"""),"Y")</f>
        <v>Y</v>
      </c>
      <c r="R234" s="49"/>
      <c r="S234" s="49"/>
      <c r="T234" s="49"/>
      <c r="U234" s="49"/>
      <c r="V234" s="49"/>
      <c r="W234" s="49"/>
      <c r="X234" s="49"/>
      <c r="Y234" s="49"/>
      <c r="Z234" s="49"/>
    </row>
    <row r="235">
      <c r="A235" s="49" t="str">
        <f>IFERROR(__xludf.DUMMYFUNCTION("""COMPUTED_VALUE"""),"---")</f>
        <v>---</v>
      </c>
      <c r="B235" s="49" t="str">
        <f>IFERROR(__xludf.DUMMYFUNCTION("""COMPUTED_VALUE"""),"---")</f>
        <v>---</v>
      </c>
      <c r="C235" s="50" t="str">
        <f>IFERROR(__xludf.DUMMYFUNCTION("""COMPUTED_VALUE"""),"Dunton Francis")</f>
        <v>Dunton Francis</v>
      </c>
      <c r="D235" s="49"/>
      <c r="E235" s="49" t="str">
        <f>IFERROR(__xludf.DUMMYFUNCTION("""COMPUTED_VALUE"""),"South")</f>
        <v>South</v>
      </c>
      <c r="F235" s="49" t="str">
        <f>IFERROR(__xludf.DUMMYFUNCTION("""COMPUTED_VALUE"""),"South")</f>
        <v>South</v>
      </c>
      <c r="G235" s="49" t="str">
        <f>IFERROR(__xludf.DUMMYFUNCTION("""COMPUTED_VALUE"""),"Brunswick Combat 14 lb")</f>
        <v>Brunswick Combat 14 lb</v>
      </c>
      <c r="H235" s="52"/>
      <c r="I235" s="49"/>
      <c r="J235" s="51">
        <f>IFERROR(__xludf.DUMMYFUNCTION("""COMPUTED_VALUE"""),46065.0)</f>
        <v>46065</v>
      </c>
      <c r="K235" s="52"/>
      <c r="L235" s="49" t="str">
        <f>IFERROR(__xludf.DUMMYFUNCTION("""COMPUTED_VALUE"""),"B Supply")</f>
        <v>B Supply</v>
      </c>
      <c r="M235" s="49">
        <f>IFERROR(__xludf.DUMMYFUNCTION("""COMPUTED_VALUE"""),520942.0)</f>
        <v>520942</v>
      </c>
      <c r="N235" s="53">
        <f>IFERROR(__xludf.DUMMYFUNCTION("""COMPUTED_VALUE"""),156.51)</f>
        <v>156.51</v>
      </c>
      <c r="O235" s="54">
        <f>IFERROR(__xludf.DUMMYFUNCTION("""COMPUTED_VALUE"""),667549.0)</f>
        <v>667549</v>
      </c>
      <c r="P235" s="49" t="str">
        <f>IFERROR(__xludf.DUMMYFUNCTION("""COMPUTED_VALUE"""),"Y")</f>
        <v>Y</v>
      </c>
      <c r="Q235" s="49" t="str">
        <f>IFERROR(__xludf.DUMMYFUNCTION("""COMPUTED_VALUE"""),"Y")</f>
        <v>Y</v>
      </c>
      <c r="R235" s="49"/>
      <c r="S235" s="49"/>
      <c r="T235" s="49"/>
      <c r="U235" s="49"/>
      <c r="V235" s="49"/>
      <c r="W235" s="49"/>
      <c r="X235" s="49"/>
      <c r="Y235" s="49"/>
      <c r="Z235" s="49"/>
    </row>
    <row r="236">
      <c r="A236" s="49" t="str">
        <f>IFERROR(__xludf.DUMMYFUNCTION("""COMPUTED_VALUE"""),"---")</f>
        <v>---</v>
      </c>
      <c r="B236" s="49" t="str">
        <f>IFERROR(__xludf.DUMMYFUNCTION("""COMPUTED_VALUE"""),"---")</f>
        <v>---</v>
      </c>
      <c r="C236" s="50" t="str">
        <f>IFERROR(__xludf.DUMMYFUNCTION("""COMPUTED_VALUE"""),"Kyle Recicar")</f>
        <v>Kyle Recicar</v>
      </c>
      <c r="D236" s="49"/>
      <c r="E236" s="49"/>
      <c r="F236" s="49"/>
      <c r="G236" s="49" t="str">
        <f>IFERROR(__xludf.DUMMYFUNCTION("""COMPUTED_VALUE"""),"Hammer Premium Slim Triple Tote")</f>
        <v>Hammer Premium Slim Triple Tote</v>
      </c>
      <c r="H236" s="52"/>
      <c r="I236" s="49"/>
      <c r="J236" s="51">
        <f>IFERROR(__xludf.DUMMYFUNCTION("""COMPUTED_VALUE"""),46069.0)</f>
        <v>46069</v>
      </c>
      <c r="K236" s="52"/>
      <c r="L236" s="49" t="str">
        <f>IFERROR(__xludf.DUMMYFUNCTION("""COMPUTED_VALUE"""),"B Supply")</f>
        <v>B Supply</v>
      </c>
      <c r="M236" s="49">
        <f>IFERROR(__xludf.DUMMYFUNCTION("""COMPUTED_VALUE"""),521743.0)</f>
        <v>521743</v>
      </c>
      <c r="N236" s="53">
        <f>IFERROR(__xludf.DUMMYFUNCTION("""COMPUTED_VALUE"""),95.0)</f>
        <v>95</v>
      </c>
      <c r="O236" s="54">
        <f>IFERROR(__xludf.DUMMYFUNCTION("""COMPUTED_VALUE"""),668639.0)</f>
        <v>668639</v>
      </c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>
      <c r="A237" s="49" t="str">
        <f>IFERROR(__xludf.DUMMYFUNCTION("""COMPUTED_VALUE"""),"---")</f>
        <v>---</v>
      </c>
      <c r="B237" s="49" t="str">
        <f>IFERROR(__xludf.DUMMYFUNCTION("""COMPUTED_VALUE"""),"---")</f>
        <v>---</v>
      </c>
      <c r="C237" s="50" t="str">
        <f>IFERROR(__xludf.DUMMYFUNCTION("""COMPUTED_VALUE"""),"Tom Burke")</f>
        <v>Tom Burke</v>
      </c>
      <c r="D237" s="49"/>
      <c r="E237" s="49" t="str">
        <f>IFERROR(__xludf.DUMMYFUNCTION("""COMPUTED_VALUE"""),"South")</f>
        <v>South</v>
      </c>
      <c r="F237" s="49" t="str">
        <f>IFERROR(__xludf.DUMMYFUNCTION("""COMPUTED_VALUE"""),"South")</f>
        <v>South</v>
      </c>
      <c r="G237" s="49" t="str">
        <f>IFERROR(__xludf.DUMMYFUNCTION("""COMPUTED_VALUE"""),"C300 White Dot mint frost 13 lb")</f>
        <v>C300 White Dot mint frost 13 lb</v>
      </c>
      <c r="H237" s="52"/>
      <c r="I237" s="49"/>
      <c r="J237" s="51">
        <f>IFERROR(__xludf.DUMMYFUNCTION("""COMPUTED_VALUE"""),46069.0)</f>
        <v>46069</v>
      </c>
      <c r="K237" s="52"/>
      <c r="L237" s="49" t="str">
        <f>IFERROR(__xludf.DUMMYFUNCTION("""COMPUTED_VALUE"""),"B Supply")</f>
        <v>B Supply</v>
      </c>
      <c r="M237" s="49">
        <f>IFERROR(__xludf.DUMMYFUNCTION("""COMPUTED_VALUE"""),521743.0)</f>
        <v>521743</v>
      </c>
      <c r="N237" s="53">
        <f>IFERROR(__xludf.DUMMYFUNCTION("""COMPUTED_VALUE"""),50.11)</f>
        <v>50.11</v>
      </c>
      <c r="O237" s="54">
        <f>IFERROR(__xludf.DUMMYFUNCTION("""COMPUTED_VALUE"""),668639.0)</f>
        <v>668639</v>
      </c>
      <c r="P237" s="49" t="str">
        <f>IFERROR(__xludf.DUMMYFUNCTION("""COMPUTED_VALUE"""),"Y")</f>
        <v>Y</v>
      </c>
      <c r="Q237" s="49" t="str">
        <f>IFERROR(__xludf.DUMMYFUNCTION("""COMPUTED_VALUE"""),"Y")</f>
        <v>Y</v>
      </c>
      <c r="R237" s="49"/>
      <c r="S237" s="49"/>
      <c r="T237" s="49"/>
      <c r="U237" s="49"/>
      <c r="V237" s="49"/>
      <c r="W237" s="49"/>
      <c r="X237" s="49"/>
      <c r="Y237" s="49"/>
      <c r="Z237" s="49"/>
    </row>
    <row r="238">
      <c r="A238" s="49" t="str">
        <f>IFERROR(__xludf.DUMMYFUNCTION("""COMPUTED_VALUE"""),"---")</f>
        <v>---</v>
      </c>
      <c r="B238" s="49" t="str">
        <f>IFERROR(__xludf.DUMMYFUNCTION("""COMPUTED_VALUE"""),"---")</f>
        <v>---</v>
      </c>
      <c r="C238" s="50" t="str">
        <f>IFERROR(__xludf.DUMMYFUNCTION("""COMPUTED_VALUE"""),"Bill Bracey")</f>
        <v>Bill Bracey</v>
      </c>
      <c r="D238" s="49">
        <f>IFERROR(__xludf.DUMMYFUNCTION("""COMPUTED_VALUE"""),5.709779123E9)</f>
        <v>5709779123</v>
      </c>
      <c r="E238" s="49" t="str">
        <f>IFERROR(__xludf.DUMMYFUNCTION("""COMPUTED_VALUE"""),"Valley")</f>
        <v>Valley</v>
      </c>
      <c r="F238" s="49" t="str">
        <f>IFERROR(__xludf.DUMMYFUNCTION("""COMPUTED_VALUE"""),"Valley")</f>
        <v>Valley</v>
      </c>
      <c r="G238" s="49" t="str">
        <f>IFERROR(__xludf.DUMMYFUNCTION("""COMPUTED_VALUE"""),"C300 Piranha 15 lb")</f>
        <v>C300 Piranha 15 lb</v>
      </c>
      <c r="H238" s="52"/>
      <c r="I238" s="49"/>
      <c r="J238" s="51">
        <f>IFERROR(__xludf.DUMMYFUNCTION("""COMPUTED_VALUE"""),46069.0)</f>
        <v>46069</v>
      </c>
      <c r="K238" s="52"/>
      <c r="L238" s="49" t="str">
        <f>IFERROR(__xludf.DUMMYFUNCTION("""COMPUTED_VALUE"""),"B Supply")</f>
        <v>B Supply</v>
      </c>
      <c r="M238" s="49">
        <f>IFERROR(__xludf.DUMMYFUNCTION("""COMPUTED_VALUE"""),521743.0)</f>
        <v>521743</v>
      </c>
      <c r="N238" s="53">
        <f>IFERROR(__xludf.DUMMYFUNCTION("""COMPUTED_VALUE"""),124.88)</f>
        <v>124.88</v>
      </c>
      <c r="O238" s="54">
        <f>IFERROR(__xludf.DUMMYFUNCTION("""COMPUTED_VALUE"""),668639.0)</f>
        <v>668639</v>
      </c>
      <c r="P238" s="49" t="str">
        <f>IFERROR(__xludf.DUMMYFUNCTION("""COMPUTED_VALUE"""),"Y")</f>
        <v>Y</v>
      </c>
      <c r="Q238" s="49" t="str">
        <f>IFERROR(__xludf.DUMMYFUNCTION("""COMPUTED_VALUE"""),"Y")</f>
        <v>Y</v>
      </c>
      <c r="R238" s="49"/>
      <c r="S238" s="49"/>
      <c r="T238" s="49"/>
      <c r="U238" s="49"/>
      <c r="V238" s="49"/>
      <c r="W238" s="49"/>
      <c r="X238" s="49"/>
      <c r="Y238" s="49"/>
      <c r="Z238" s="49"/>
    </row>
    <row r="239">
      <c r="A239" s="49" t="str">
        <f>IFERROR(__xludf.DUMMYFUNCTION("""COMPUTED_VALUE"""),"---")</f>
        <v>---</v>
      </c>
      <c r="B239" s="49" t="str">
        <f>IFERROR(__xludf.DUMMYFUNCTION("""COMPUTED_VALUE"""),"---")</f>
        <v>---</v>
      </c>
      <c r="C239" s="50" t="str">
        <f>IFERROR(__xludf.DUMMYFUNCTION("""COMPUTED_VALUE"""),"Stock")</f>
        <v>Stock</v>
      </c>
      <c r="D239" s="49"/>
      <c r="E239" s="49" t="str">
        <f>IFERROR(__xludf.DUMMYFUNCTION("""COMPUTED_VALUE"""),"Both")</f>
        <v>Both</v>
      </c>
      <c r="F239" s="49" t="str">
        <f>IFERROR(__xludf.DUMMYFUNCTION("""COMPUTED_VALUE"""),"Both")</f>
        <v>Both</v>
      </c>
      <c r="G239" s="49" t="str">
        <f>IFERROR(__xludf.DUMMYFUNCTION("""COMPUTED_VALUE"""),"C300 Piranha 15 lb")</f>
        <v>C300 Piranha 15 lb</v>
      </c>
      <c r="H239" s="52"/>
      <c r="I239" s="49"/>
      <c r="J239" s="51">
        <f>IFERROR(__xludf.DUMMYFUNCTION("""COMPUTED_VALUE"""),46069.0)</f>
        <v>46069</v>
      </c>
      <c r="K239" s="52"/>
      <c r="L239" s="49" t="str">
        <f>IFERROR(__xludf.DUMMYFUNCTION("""COMPUTED_VALUE"""),"B Supply")</f>
        <v>B Supply</v>
      </c>
      <c r="M239" s="49">
        <f>IFERROR(__xludf.DUMMYFUNCTION("""COMPUTED_VALUE"""),521743.0)</f>
        <v>521743</v>
      </c>
      <c r="N239" s="53">
        <f>IFERROR(__xludf.DUMMYFUNCTION("""COMPUTED_VALUE"""),124.88)</f>
        <v>124.88</v>
      </c>
      <c r="O239" s="54">
        <f>IFERROR(__xludf.DUMMYFUNCTION("""COMPUTED_VALUE"""),668639.0)</f>
        <v>668639</v>
      </c>
      <c r="P239" s="49" t="str">
        <f>IFERROR(__xludf.DUMMYFUNCTION("""COMPUTED_VALUE"""),"na")</f>
        <v>na</v>
      </c>
      <c r="Q239" s="49" t="str">
        <f>IFERROR(__xludf.DUMMYFUNCTION("""COMPUTED_VALUE"""),"na")</f>
        <v>na</v>
      </c>
      <c r="R239" s="49"/>
      <c r="S239" s="49"/>
      <c r="T239" s="49"/>
      <c r="U239" s="49"/>
      <c r="V239" s="49"/>
      <c r="W239" s="49"/>
      <c r="X239" s="49"/>
      <c r="Y239" s="49"/>
      <c r="Z239" s="49"/>
    </row>
    <row r="240">
      <c r="A240" s="49" t="str">
        <f>IFERROR(__xludf.DUMMYFUNCTION("""COMPUTED_VALUE"""),"---")</f>
        <v>---</v>
      </c>
      <c r="B240" s="49" t="str">
        <f>IFERROR(__xludf.DUMMYFUNCTION("""COMPUTED_VALUE"""),"---")</f>
        <v>---</v>
      </c>
      <c r="C240" s="50" t="str">
        <f>IFERROR(__xludf.DUMMYFUNCTION("""COMPUTED_VALUE"""),"Stock")</f>
        <v>Stock</v>
      </c>
      <c r="D240" s="49"/>
      <c r="E240" s="49" t="str">
        <f>IFERROR(__xludf.DUMMYFUNCTION("""COMPUTED_VALUE"""),"South")</f>
        <v>South</v>
      </c>
      <c r="F240" s="49" t="str">
        <f>IFERROR(__xludf.DUMMYFUNCTION("""COMPUTED_VALUE"""),"South")</f>
        <v>South</v>
      </c>
      <c r="G240" s="49" t="str">
        <f>IFERROR(__xludf.DUMMYFUNCTION("""COMPUTED_VALUE"""),"C300 Piranha 14 lb")</f>
        <v>C300 Piranha 14 lb</v>
      </c>
      <c r="H240" s="52"/>
      <c r="I240" s="49"/>
      <c r="J240" s="51">
        <f>IFERROR(__xludf.DUMMYFUNCTION("""COMPUTED_VALUE"""),46069.0)</f>
        <v>46069</v>
      </c>
      <c r="K240" s="52"/>
      <c r="L240" s="49" t="str">
        <f>IFERROR(__xludf.DUMMYFUNCTION("""COMPUTED_VALUE"""),"B Supply")</f>
        <v>B Supply</v>
      </c>
      <c r="M240" s="49">
        <f>IFERROR(__xludf.DUMMYFUNCTION("""COMPUTED_VALUE"""),521743.0)</f>
        <v>521743</v>
      </c>
      <c r="N240" s="53">
        <f>IFERROR(__xludf.DUMMYFUNCTION("""COMPUTED_VALUE"""),124.88)</f>
        <v>124.88</v>
      </c>
      <c r="O240" s="54">
        <f>IFERROR(__xludf.DUMMYFUNCTION("""COMPUTED_VALUE"""),668639.0)</f>
        <v>668639</v>
      </c>
      <c r="P240" s="49" t="str">
        <f>IFERROR(__xludf.DUMMYFUNCTION("""COMPUTED_VALUE"""),"na")</f>
        <v>na</v>
      </c>
      <c r="Q240" s="49" t="str">
        <f>IFERROR(__xludf.DUMMYFUNCTION("""COMPUTED_VALUE"""),"na")</f>
        <v>na</v>
      </c>
      <c r="R240" s="49"/>
      <c r="S240" s="49"/>
      <c r="T240" s="49"/>
      <c r="U240" s="49"/>
      <c r="V240" s="49"/>
      <c r="W240" s="49"/>
      <c r="X240" s="49"/>
      <c r="Y240" s="49"/>
      <c r="Z240" s="49"/>
    </row>
    <row r="241">
      <c r="A241" s="49" t="str">
        <f>IFERROR(__xludf.DUMMYFUNCTION("""COMPUTED_VALUE"""),"---")</f>
        <v>---</v>
      </c>
      <c r="B241" s="49" t="str">
        <f>IFERROR(__xludf.DUMMYFUNCTION("""COMPUTED_VALUE"""),"---")</f>
        <v>---</v>
      </c>
      <c r="C241" s="50" t="str">
        <f>IFERROR(__xludf.DUMMYFUNCTION("""COMPUTED_VALUE"""),"Phil Minelli")</f>
        <v>Phil Minelli</v>
      </c>
      <c r="D241" s="49"/>
      <c r="E241" s="49" t="str">
        <f>IFERROR(__xludf.DUMMYFUNCTION("""COMPUTED_VALUE"""),"South")</f>
        <v>South</v>
      </c>
      <c r="F241" s="49" t="str">
        <f>IFERROR(__xludf.DUMMYFUNCTION("""COMPUTED_VALUE"""),"South")</f>
        <v>South</v>
      </c>
      <c r="G241" s="49" t="str">
        <f>IFERROR(__xludf.DUMMYFUNCTION("""COMPUTED_VALUE"""),"Hammer Zero Mercy Pearl 15 lb")</f>
        <v>Hammer Zero Mercy Pearl 15 lb</v>
      </c>
      <c r="H241" s="52"/>
      <c r="I241" s="49"/>
      <c r="J241" s="51">
        <f>IFERROR(__xludf.DUMMYFUNCTION("""COMPUTED_VALUE"""),46069.0)</f>
        <v>46069</v>
      </c>
      <c r="K241" s="52"/>
      <c r="L241" s="49" t="str">
        <f>IFERROR(__xludf.DUMMYFUNCTION("""COMPUTED_VALUE"""),"B Supply")</f>
        <v>B Supply</v>
      </c>
      <c r="M241" s="49">
        <f>IFERROR(__xludf.DUMMYFUNCTION("""COMPUTED_VALUE"""),521743.0)</f>
        <v>521743</v>
      </c>
      <c r="N241" s="53">
        <f>IFERROR(__xludf.DUMMYFUNCTION("""COMPUTED_VALUE"""),156.51)</f>
        <v>156.51</v>
      </c>
      <c r="O241" s="54">
        <f>IFERROR(__xludf.DUMMYFUNCTION("""COMPUTED_VALUE"""),668639.0)</f>
        <v>668639</v>
      </c>
      <c r="P241" s="49" t="str">
        <f>IFERROR(__xludf.DUMMYFUNCTION("""COMPUTED_VALUE"""),"Y")</f>
        <v>Y</v>
      </c>
      <c r="Q241" s="49" t="str">
        <f>IFERROR(__xludf.DUMMYFUNCTION("""COMPUTED_VALUE"""),"Y")</f>
        <v>Y</v>
      </c>
      <c r="R241" s="49"/>
      <c r="S241" s="49"/>
      <c r="T241" s="49"/>
      <c r="U241" s="49"/>
      <c r="V241" s="49"/>
      <c r="W241" s="49"/>
      <c r="X241" s="49"/>
      <c r="Y241" s="49"/>
      <c r="Z241" s="49"/>
    </row>
    <row r="242">
      <c r="A242" s="49" t="str">
        <f>IFERROR(__xludf.DUMMYFUNCTION("""COMPUTED_VALUE"""),"---")</f>
        <v>---</v>
      </c>
      <c r="B242" s="49" t="str">
        <f>IFERROR(__xludf.DUMMYFUNCTION("""COMPUTED_VALUE"""),"---")</f>
        <v>---</v>
      </c>
      <c r="C242" s="50" t="str">
        <f>IFERROR(__xludf.DUMMYFUNCTION("""COMPUTED_VALUE"""),"Paul Ward")</f>
        <v>Paul Ward</v>
      </c>
      <c r="D242" s="49"/>
      <c r="E242" s="49" t="str">
        <f>IFERROR(__xludf.DUMMYFUNCTION("""COMPUTED_VALUE"""),"South")</f>
        <v>South</v>
      </c>
      <c r="F242" s="49" t="str">
        <f>IFERROR(__xludf.DUMMYFUNCTION("""COMPUTED_VALUE"""),"South")</f>
        <v>South</v>
      </c>
      <c r="G242" s="49" t="str">
        <f>IFERROR(__xludf.DUMMYFUNCTION("""COMPUTED_VALUE"""),"Dexter #7 heel")</f>
        <v>Dexter #7 heel</v>
      </c>
      <c r="H242" s="52"/>
      <c r="I242" s="49"/>
      <c r="J242" s="51">
        <f>IFERROR(__xludf.DUMMYFUNCTION("""COMPUTED_VALUE"""),46069.0)</f>
        <v>46069</v>
      </c>
      <c r="K242" s="52"/>
      <c r="L242" s="49" t="str">
        <f>IFERROR(__xludf.DUMMYFUNCTION("""COMPUTED_VALUE"""),"B Supply")</f>
        <v>B Supply</v>
      </c>
      <c r="M242" s="49">
        <f>IFERROR(__xludf.DUMMYFUNCTION("""COMPUTED_VALUE"""),521743.0)</f>
        <v>521743</v>
      </c>
      <c r="N242" s="53">
        <f>IFERROR(__xludf.DUMMYFUNCTION("""COMPUTED_VALUE"""),10.45)</f>
        <v>10.45</v>
      </c>
      <c r="O242" s="54">
        <f>IFERROR(__xludf.DUMMYFUNCTION("""COMPUTED_VALUE"""),668639.0)</f>
        <v>668639</v>
      </c>
      <c r="P242" s="49" t="str">
        <f>IFERROR(__xludf.DUMMYFUNCTION("""COMPUTED_VALUE"""),"Y")</f>
        <v>Y</v>
      </c>
      <c r="Q242" s="49" t="str">
        <f>IFERROR(__xludf.DUMMYFUNCTION("""COMPUTED_VALUE"""),"Y")</f>
        <v>Y</v>
      </c>
      <c r="R242" s="49"/>
      <c r="S242" s="49"/>
      <c r="T242" s="49"/>
      <c r="U242" s="49"/>
      <c r="V242" s="49"/>
      <c r="W242" s="49"/>
      <c r="X242" s="49"/>
      <c r="Y242" s="49"/>
      <c r="Z242" s="49"/>
    </row>
    <row r="243">
      <c r="A243" s="49" t="str">
        <f>IFERROR(__xludf.DUMMYFUNCTION("""COMPUTED_VALUE"""),"---")</f>
        <v>---</v>
      </c>
      <c r="B243" s="49" t="str">
        <f>IFERROR(__xludf.DUMMYFUNCTION("""COMPUTED_VALUE"""),"---")</f>
        <v>---</v>
      </c>
      <c r="C243" s="50" t="str">
        <f>IFERROR(__xludf.DUMMYFUNCTION("""COMPUTED_VALUE"""),"Stock")</f>
        <v>Stock</v>
      </c>
      <c r="D243" s="49"/>
      <c r="E243" s="49" t="str">
        <f>IFERROR(__xludf.DUMMYFUNCTION("""COMPUTED_VALUE"""),"Both")</f>
        <v>Both</v>
      </c>
      <c r="F243" s="49" t="str">
        <f>IFERROR(__xludf.DUMMYFUNCTION("""COMPUTED_VALUE"""),"Both")</f>
        <v>Both</v>
      </c>
      <c r="G243" s="49" t="str">
        <f>IFERROR(__xludf.DUMMYFUNCTION("""COMPUTED_VALUE"""),"Hammer Black Widow Dynasty 3.0 15 lb")</f>
        <v>Hammer Black Widow Dynasty 3.0 15 lb</v>
      </c>
      <c r="H243" s="52"/>
      <c r="I243" s="49"/>
      <c r="J243" s="51">
        <f>IFERROR(__xludf.DUMMYFUNCTION("""COMPUTED_VALUE"""),46069.0)</f>
        <v>46069</v>
      </c>
      <c r="K243" s="52"/>
      <c r="L243" s="49" t="str">
        <f>IFERROR(__xludf.DUMMYFUNCTION("""COMPUTED_VALUE"""),"B Supply")</f>
        <v>B Supply</v>
      </c>
      <c r="M243" s="49">
        <f>IFERROR(__xludf.DUMMYFUNCTION("""COMPUTED_VALUE"""),521743.0)</f>
        <v>521743</v>
      </c>
      <c r="N243" s="53">
        <f>IFERROR(__xludf.DUMMYFUNCTION("""COMPUTED_VALUE"""),132.15)</f>
        <v>132.15</v>
      </c>
      <c r="O243" s="54">
        <f>IFERROR(__xludf.DUMMYFUNCTION("""COMPUTED_VALUE"""),668639.0)</f>
        <v>668639</v>
      </c>
      <c r="P243" s="49" t="str">
        <f>IFERROR(__xludf.DUMMYFUNCTION("""COMPUTED_VALUE"""),"na")</f>
        <v>na</v>
      </c>
      <c r="Q243" s="49" t="str">
        <f>IFERROR(__xludf.DUMMYFUNCTION("""COMPUTED_VALUE"""),"na")</f>
        <v>na</v>
      </c>
      <c r="R243" s="49"/>
      <c r="S243" s="49"/>
      <c r="T243" s="49"/>
      <c r="U243" s="49"/>
      <c r="V243" s="49"/>
      <c r="W243" s="49"/>
      <c r="X243" s="49"/>
      <c r="Y243" s="49"/>
      <c r="Z243" s="49"/>
    </row>
    <row r="244">
      <c r="A244" s="49" t="str">
        <f>IFERROR(__xludf.DUMMYFUNCTION("""COMPUTED_VALUE"""),"---")</f>
        <v>---</v>
      </c>
      <c r="B244" s="49" t="str">
        <f>IFERROR(__xludf.DUMMYFUNCTION("""COMPUTED_VALUE"""),"---")</f>
        <v>---</v>
      </c>
      <c r="C244" s="50" t="str">
        <f>IFERROR(__xludf.DUMMYFUNCTION("""COMPUTED_VALUE"""),"Stock")</f>
        <v>Stock</v>
      </c>
      <c r="D244" s="49"/>
      <c r="E244" s="49" t="str">
        <f>IFERROR(__xludf.DUMMYFUNCTION("""COMPUTED_VALUE"""),"Both")</f>
        <v>Both</v>
      </c>
      <c r="F244" s="49" t="str">
        <f>IFERROR(__xludf.DUMMYFUNCTION("""COMPUTED_VALUE"""),"Both")</f>
        <v>Both</v>
      </c>
      <c r="G244" s="49" t="str">
        <f>IFERROR(__xludf.DUMMYFUNCTION("""COMPUTED_VALUE"""),"Brunswick shoe shield M &amp; XXL")</f>
        <v>Brunswick shoe shield M &amp; XXL</v>
      </c>
      <c r="H244" s="52"/>
      <c r="I244" s="49"/>
      <c r="J244" s="51">
        <f>IFERROR(__xludf.DUMMYFUNCTION("""COMPUTED_VALUE"""),46069.0)</f>
        <v>46069</v>
      </c>
      <c r="K244" s="52"/>
      <c r="L244" s="49" t="str">
        <f>IFERROR(__xludf.DUMMYFUNCTION("""COMPUTED_VALUE"""),"B Supply")</f>
        <v>B Supply</v>
      </c>
      <c r="M244" s="49">
        <f>IFERROR(__xludf.DUMMYFUNCTION("""COMPUTED_VALUE"""),521743.0)</f>
        <v>521743</v>
      </c>
      <c r="N244" s="53">
        <f>IFERROR(__xludf.DUMMYFUNCTION("""COMPUTED_VALUE"""),8.17)</f>
        <v>8.17</v>
      </c>
      <c r="O244" s="54">
        <f>IFERROR(__xludf.DUMMYFUNCTION("""COMPUTED_VALUE"""),668639.0)</f>
        <v>668639</v>
      </c>
      <c r="P244" s="49" t="str">
        <f>IFERROR(__xludf.DUMMYFUNCTION("""COMPUTED_VALUE"""),"na")</f>
        <v>na</v>
      </c>
      <c r="Q244" s="49" t="str">
        <f>IFERROR(__xludf.DUMMYFUNCTION("""COMPUTED_VALUE"""),"na")</f>
        <v>na</v>
      </c>
      <c r="R244" s="49"/>
      <c r="S244" s="49"/>
      <c r="T244" s="49"/>
      <c r="U244" s="49"/>
      <c r="V244" s="49"/>
      <c r="W244" s="49"/>
      <c r="X244" s="49"/>
      <c r="Y244" s="49"/>
      <c r="Z244" s="49"/>
    </row>
    <row r="245">
      <c r="A245" s="49" t="str">
        <f>IFERROR(__xludf.DUMMYFUNCTION("""COMPUTED_VALUE"""),"---")</f>
        <v>---</v>
      </c>
      <c r="B245" s="49" t="str">
        <f>IFERROR(__xludf.DUMMYFUNCTION("""COMPUTED_VALUE"""),"---")</f>
        <v>---</v>
      </c>
      <c r="C245" s="50" t="str">
        <f>IFERROR(__xludf.DUMMYFUNCTION("""COMPUTED_VALUE"""),"Stock")</f>
        <v>Stock</v>
      </c>
      <c r="D245" s="49"/>
      <c r="E245" s="49" t="str">
        <f>IFERROR(__xludf.DUMMYFUNCTION("""COMPUTED_VALUE"""),"Valley")</f>
        <v>Valley</v>
      </c>
      <c r="F245" s="49" t="str">
        <f>IFERROR(__xludf.DUMMYFUNCTION("""COMPUTED_VALUE"""),"Valley")</f>
        <v>Valley</v>
      </c>
      <c r="G245" s="49" t="str">
        <f>IFERROR(__xludf.DUMMYFUNCTION("""COMPUTED_VALUE"""),"Turbo wrister M")</f>
        <v>Turbo wrister M</v>
      </c>
      <c r="H245" s="52"/>
      <c r="I245" s="49"/>
      <c r="J245" s="51">
        <f>IFERROR(__xludf.DUMMYFUNCTION("""COMPUTED_VALUE"""),46069.0)</f>
        <v>46069</v>
      </c>
      <c r="K245" s="52"/>
      <c r="L245" s="49" t="str">
        <f>IFERROR(__xludf.DUMMYFUNCTION("""COMPUTED_VALUE"""),"B Supply")</f>
        <v>B Supply</v>
      </c>
      <c r="M245" s="49">
        <f>IFERROR(__xludf.DUMMYFUNCTION("""COMPUTED_VALUE"""),521743.0)</f>
        <v>521743</v>
      </c>
      <c r="N245" s="53">
        <f>IFERROR(__xludf.DUMMYFUNCTION("""COMPUTED_VALUE"""),9.12)</f>
        <v>9.12</v>
      </c>
      <c r="O245" s="54">
        <f>IFERROR(__xludf.DUMMYFUNCTION("""COMPUTED_VALUE"""),668639.0)</f>
        <v>668639</v>
      </c>
      <c r="P245" s="49" t="str">
        <f>IFERROR(__xludf.DUMMYFUNCTION("""COMPUTED_VALUE"""),"na")</f>
        <v>na</v>
      </c>
      <c r="Q245" s="49" t="str">
        <f>IFERROR(__xludf.DUMMYFUNCTION("""COMPUTED_VALUE"""),"na")</f>
        <v>na</v>
      </c>
      <c r="R245" s="49"/>
      <c r="S245" s="49"/>
      <c r="T245" s="49"/>
      <c r="U245" s="49"/>
      <c r="V245" s="49"/>
      <c r="W245" s="49"/>
      <c r="X245" s="49"/>
      <c r="Y245" s="49"/>
      <c r="Z245" s="49"/>
    </row>
    <row r="246">
      <c r="A246" s="49" t="str">
        <f>IFERROR(__xludf.DUMMYFUNCTION("""COMPUTED_VALUE"""),"---")</f>
        <v>---</v>
      </c>
      <c r="B246" s="49" t="str">
        <f>IFERROR(__xludf.DUMMYFUNCTION("""COMPUTED_VALUE"""),"---")</f>
        <v>---</v>
      </c>
      <c r="C246" s="50" t="str">
        <f>IFERROR(__xludf.DUMMYFUNCTION("""COMPUTED_VALUE"""),"Justin Allabaugh")</f>
        <v>Justin Allabaugh</v>
      </c>
      <c r="D246" s="49">
        <f>IFERROR(__xludf.DUMMYFUNCTION("""COMPUTED_VALUE"""),5.708995409E9)</f>
        <v>5708995409</v>
      </c>
      <c r="E246" s="49" t="str">
        <f>IFERROR(__xludf.DUMMYFUNCTION("""COMPUTED_VALUE"""),"South")</f>
        <v>South</v>
      </c>
      <c r="F246" s="49" t="str">
        <f>IFERROR(__xludf.DUMMYFUNCTION("""COMPUTED_VALUE"""),"South")</f>
        <v>South</v>
      </c>
      <c r="G246" s="49" t="str">
        <f>IFERROR(__xludf.DUMMYFUNCTION("""COMPUTED_VALUE"""),"Motiv nebula 15 lbs")</f>
        <v>Motiv nebula 15 lbs</v>
      </c>
      <c r="H246" s="52"/>
      <c r="I246" s="49"/>
      <c r="J246" s="51">
        <f>IFERROR(__xludf.DUMMYFUNCTION("""COMPUTED_VALUE"""),46073.0)</f>
        <v>46073</v>
      </c>
      <c r="K246" s="52"/>
      <c r="L246" s="49" t="str">
        <f>IFERROR(__xludf.DUMMYFUNCTION("""COMPUTED_VALUE"""),"Ace")</f>
        <v>Ace</v>
      </c>
      <c r="M246" s="49">
        <f>IFERROR(__xludf.DUMMYFUNCTION("""COMPUTED_VALUE"""),5.0031099E8)</f>
        <v>500310990</v>
      </c>
      <c r="N246" s="53">
        <f>IFERROR(__xludf.DUMMYFUNCTION("""COMPUTED_VALUE"""),156.52)</f>
        <v>156.52</v>
      </c>
      <c r="O246" s="54">
        <f>IFERROR(__xludf.DUMMYFUNCTION("""COMPUTED_VALUE"""),8.00053125E8)</f>
        <v>800053125</v>
      </c>
      <c r="P246" s="49" t="str">
        <f>IFERROR(__xludf.DUMMYFUNCTION("""COMPUTED_VALUE"""),"na")</f>
        <v>na</v>
      </c>
      <c r="Q246" s="49" t="str">
        <f>IFERROR(__xludf.DUMMYFUNCTION("""COMPUTED_VALUE"""),"na")</f>
        <v>na</v>
      </c>
      <c r="R246" s="49"/>
      <c r="S246" s="49"/>
      <c r="T246" s="49"/>
      <c r="U246" s="49"/>
      <c r="V246" s="49"/>
      <c r="W246" s="49"/>
      <c r="X246" s="49"/>
      <c r="Y246" s="49"/>
      <c r="Z246" s="49"/>
    </row>
    <row r="247">
      <c r="A247" s="49" t="str">
        <f>IFERROR(__xludf.DUMMYFUNCTION("""COMPUTED_VALUE"""),"---")</f>
        <v>---</v>
      </c>
      <c r="B247" s="49" t="str">
        <f>IFERROR(__xludf.DUMMYFUNCTION("""COMPUTED_VALUE"""),"---")</f>
        <v>---</v>
      </c>
      <c r="C247" s="50" t="str">
        <f>IFERROR(__xludf.DUMMYFUNCTION("""COMPUTED_VALUE"""),"Stock")</f>
        <v>Stock</v>
      </c>
      <c r="D247" s="49"/>
      <c r="E247" s="49"/>
      <c r="F247" s="49"/>
      <c r="G247" s="49" t="str">
        <f>IFERROR(__xludf.DUMMYFUNCTION("""COMPUTED_VALUE"""),"1 1/8"" slug yellow/orange")</f>
        <v>1 1/8" slug yellow/orange</v>
      </c>
      <c r="H247" s="52"/>
      <c r="I247" s="49"/>
      <c r="J247" s="51">
        <f>IFERROR(__xludf.DUMMYFUNCTION("""COMPUTED_VALUE"""),46073.0)</f>
        <v>46073</v>
      </c>
      <c r="K247" s="52"/>
      <c r="L247" s="49" t="str">
        <f>IFERROR(__xludf.DUMMYFUNCTION("""COMPUTED_VALUE"""),"Ace")</f>
        <v>Ace</v>
      </c>
      <c r="M247" s="49">
        <f>IFERROR(__xludf.DUMMYFUNCTION("""COMPUTED_VALUE"""),5.0031099E8)</f>
        <v>500310990</v>
      </c>
      <c r="N247" s="53">
        <f>IFERROR(__xludf.DUMMYFUNCTION("""COMPUTED_VALUE"""),3.07)</f>
        <v>3.07</v>
      </c>
      <c r="O247" s="54">
        <f>IFERROR(__xludf.DUMMYFUNCTION("""COMPUTED_VALUE"""),8.00053125E8)</f>
        <v>800053125</v>
      </c>
      <c r="P247" s="49" t="str">
        <f>IFERROR(__xludf.DUMMYFUNCTION("""COMPUTED_VALUE"""),"na")</f>
        <v>na</v>
      </c>
      <c r="Q247" s="49" t="str">
        <f>IFERROR(__xludf.DUMMYFUNCTION("""COMPUTED_VALUE"""),"na")</f>
        <v>na</v>
      </c>
      <c r="R247" s="49"/>
      <c r="S247" s="49"/>
      <c r="T247" s="49"/>
      <c r="U247" s="49"/>
      <c r="V247" s="49"/>
      <c r="W247" s="49"/>
      <c r="X247" s="49"/>
      <c r="Y247" s="49"/>
      <c r="Z247" s="49"/>
    </row>
    <row r="248">
      <c r="A248" s="49" t="str">
        <f>IFERROR(__xludf.DUMMYFUNCTION("""COMPUTED_VALUE"""),"---")</f>
        <v>---</v>
      </c>
      <c r="B248" s="49" t="str">
        <f>IFERROR(__xludf.DUMMYFUNCTION("""COMPUTED_VALUE"""),"---")</f>
        <v>---</v>
      </c>
      <c r="C248" s="50" t="str">
        <f>IFERROR(__xludf.DUMMYFUNCTION("""COMPUTED_VALUE"""),"Stock")</f>
        <v>Stock</v>
      </c>
      <c r="D248" s="49"/>
      <c r="E248" s="49" t="str">
        <f>IFERROR(__xludf.DUMMYFUNCTION("""COMPUTED_VALUE"""),"Valley")</f>
        <v>Valley</v>
      </c>
      <c r="F248" s="49" t="str">
        <f>IFERROR(__xludf.DUMMYFUNCTION("""COMPUTED_VALUE"""),"Valley")</f>
        <v>Valley</v>
      </c>
      <c r="G248" s="49" t="str">
        <f>IFERROR(__xludf.DUMMYFUNCTION("""COMPUTED_VALUE"""),"Brunswick Big B Ball Cleaner 32 oz")</f>
        <v>Brunswick Big B Ball Cleaner 32 oz</v>
      </c>
      <c r="H248" s="52"/>
      <c r="I248" s="49"/>
      <c r="J248" s="51">
        <f>IFERROR(__xludf.DUMMYFUNCTION("""COMPUTED_VALUE"""),46073.0)</f>
        <v>46073</v>
      </c>
      <c r="K248" s="52"/>
      <c r="L248" s="49" t="str">
        <f>IFERROR(__xludf.DUMMYFUNCTION("""COMPUTED_VALUE"""),"Ace")</f>
        <v>Ace</v>
      </c>
      <c r="M248" s="49">
        <f>IFERROR(__xludf.DUMMYFUNCTION("""COMPUTED_VALUE"""),5.0031099E8)</f>
        <v>500310990</v>
      </c>
      <c r="N248" s="53">
        <f>IFERROR(__xludf.DUMMYFUNCTION("""COMPUTED_VALUE"""),14.61)</f>
        <v>14.61</v>
      </c>
      <c r="O248" s="54">
        <f>IFERROR(__xludf.DUMMYFUNCTION("""COMPUTED_VALUE"""),8.00053125E8)</f>
        <v>800053125</v>
      </c>
      <c r="P248" s="49" t="str">
        <f>IFERROR(__xludf.DUMMYFUNCTION("""COMPUTED_VALUE"""),"na")</f>
        <v>na</v>
      </c>
      <c r="Q248" s="49" t="str">
        <f>IFERROR(__xludf.DUMMYFUNCTION("""COMPUTED_VALUE"""),"na")</f>
        <v>na</v>
      </c>
      <c r="R248" s="49"/>
      <c r="S248" s="49"/>
      <c r="T248" s="49"/>
      <c r="U248" s="49"/>
      <c r="V248" s="49"/>
      <c r="W248" s="49"/>
      <c r="X248" s="49"/>
      <c r="Y248" s="49"/>
      <c r="Z248" s="49"/>
    </row>
    <row r="249">
      <c r="A249" s="49" t="str">
        <f>IFERROR(__xludf.DUMMYFUNCTION("""COMPUTED_VALUE"""),"---")</f>
        <v>---</v>
      </c>
      <c r="B249" s="49" t="str">
        <f>IFERROR(__xludf.DUMMYFUNCTION("""COMPUTED_VALUE"""),"---")</f>
        <v>---</v>
      </c>
      <c r="C249" s="50" t="str">
        <f>IFERROR(__xludf.DUMMYFUNCTION("""COMPUTED_VALUE"""),"Stock")</f>
        <v>Stock</v>
      </c>
      <c r="D249" s="49"/>
      <c r="E249" s="49"/>
      <c r="F249" s="49"/>
      <c r="G249" s="49" t="str">
        <f>IFERROR(__xludf.DUMMYFUNCTION("""COMPUTED_VALUE"""),"JoPo Outer sleeves")</f>
        <v>JoPo Outer sleeves</v>
      </c>
      <c r="H249" s="52"/>
      <c r="I249" s="49"/>
      <c r="J249" s="51">
        <f>IFERROR(__xludf.DUMMYFUNCTION("""COMPUTED_VALUE"""),46073.0)</f>
        <v>46073</v>
      </c>
      <c r="K249" s="52"/>
      <c r="L249" s="49" t="str">
        <f>IFERROR(__xludf.DUMMYFUNCTION("""COMPUTED_VALUE"""),"Ace")</f>
        <v>Ace</v>
      </c>
      <c r="M249" s="49">
        <f>IFERROR(__xludf.DUMMYFUNCTION("""COMPUTED_VALUE"""),5.0031099E8)</f>
        <v>500310990</v>
      </c>
      <c r="N249" s="53">
        <f>IFERROR(__xludf.DUMMYFUNCTION("""COMPUTED_VALUE"""),8.04)</f>
        <v>8.04</v>
      </c>
      <c r="O249" s="54">
        <f>IFERROR(__xludf.DUMMYFUNCTION("""COMPUTED_VALUE"""),8.00053125E8)</f>
        <v>800053125</v>
      </c>
      <c r="P249" s="49" t="str">
        <f>IFERROR(__xludf.DUMMYFUNCTION("""COMPUTED_VALUE"""),"na")</f>
        <v>na</v>
      </c>
      <c r="Q249" s="49" t="str">
        <f>IFERROR(__xludf.DUMMYFUNCTION("""COMPUTED_VALUE"""),"na")</f>
        <v>na</v>
      </c>
      <c r="R249" s="49"/>
      <c r="S249" s="49"/>
      <c r="T249" s="49"/>
      <c r="U249" s="49"/>
      <c r="V249" s="49"/>
      <c r="W249" s="49"/>
      <c r="X249" s="49"/>
      <c r="Y249" s="49"/>
      <c r="Z249" s="49"/>
    </row>
    <row r="250">
      <c r="A250" s="49" t="str">
        <f>IFERROR(__xludf.DUMMYFUNCTION("""COMPUTED_VALUE"""),"---")</f>
        <v>---</v>
      </c>
      <c r="B250" s="49" t="str">
        <f>IFERROR(__xludf.DUMMYFUNCTION("""COMPUTED_VALUE"""),"---")</f>
        <v>---</v>
      </c>
      <c r="C250" s="50" t="str">
        <f>IFERROR(__xludf.DUMMYFUNCTION("""COMPUTED_VALUE"""),"Stock")</f>
        <v>Stock</v>
      </c>
      <c r="D250" s="49"/>
      <c r="E250" s="49"/>
      <c r="F250" s="49"/>
      <c r="G250" s="49" t="str">
        <f>IFERROR(__xludf.DUMMYFUNCTION("""COMPUTED_VALUE"""),"TG purple 47")</f>
        <v>TG purple 47</v>
      </c>
      <c r="H250" s="52"/>
      <c r="I250" s="49"/>
      <c r="J250" s="51">
        <f>IFERROR(__xludf.DUMMYFUNCTION("""COMPUTED_VALUE"""),46073.0)</f>
        <v>46073</v>
      </c>
      <c r="K250" s="52"/>
      <c r="L250" s="49" t="str">
        <f>IFERROR(__xludf.DUMMYFUNCTION("""COMPUTED_VALUE"""),"Ace")</f>
        <v>Ace</v>
      </c>
      <c r="M250" s="49">
        <f>IFERROR(__xludf.DUMMYFUNCTION("""COMPUTED_VALUE"""),5.0031099E8)</f>
        <v>500310990</v>
      </c>
      <c r="N250" s="53">
        <f>IFERROR(__xludf.DUMMYFUNCTION("""COMPUTED_VALUE"""),0.99)</f>
        <v>0.99</v>
      </c>
      <c r="O250" s="54">
        <f>IFERROR(__xludf.DUMMYFUNCTION("""COMPUTED_VALUE"""),8.00053125E8)</f>
        <v>800053125</v>
      </c>
      <c r="P250" s="49" t="str">
        <f>IFERROR(__xludf.DUMMYFUNCTION("""COMPUTED_VALUE"""),"na")</f>
        <v>na</v>
      </c>
      <c r="Q250" s="49" t="str">
        <f>IFERROR(__xludf.DUMMYFUNCTION("""COMPUTED_VALUE"""),"na")</f>
        <v>na</v>
      </c>
      <c r="R250" s="49"/>
      <c r="S250" s="49"/>
      <c r="T250" s="49"/>
      <c r="U250" s="49"/>
      <c r="V250" s="49"/>
      <c r="W250" s="49"/>
      <c r="X250" s="49"/>
      <c r="Y250" s="49"/>
      <c r="Z250" s="49"/>
    </row>
    <row r="251">
      <c r="A251" s="49" t="str">
        <f>IFERROR(__xludf.DUMMYFUNCTION("""COMPUTED_VALUE"""),"---")</f>
        <v>---</v>
      </c>
      <c r="B251" s="49" t="str">
        <f>IFERROR(__xludf.DUMMYFUNCTION("""COMPUTED_VALUE"""),"---")</f>
        <v>---</v>
      </c>
      <c r="C251" s="50" t="str">
        <f>IFERROR(__xludf.DUMMYFUNCTION("""COMPUTED_VALUE"""),"Stock")</f>
        <v>Stock</v>
      </c>
      <c r="D251" s="49"/>
      <c r="E251" s="49"/>
      <c r="F251" s="49"/>
      <c r="G251" s="49" t="str">
        <f>IFERROR(__xludf.DUMMYFUNCTION("""COMPUTED_VALUE"""),"TG black 23")</f>
        <v>TG black 23</v>
      </c>
      <c r="H251" s="52"/>
      <c r="I251" s="49"/>
      <c r="J251" s="51">
        <f>IFERROR(__xludf.DUMMYFUNCTION("""COMPUTED_VALUE"""),46073.0)</f>
        <v>46073</v>
      </c>
      <c r="K251" s="52"/>
      <c r="L251" s="49" t="str">
        <f>IFERROR(__xludf.DUMMYFUNCTION("""COMPUTED_VALUE"""),"Ace")</f>
        <v>Ace</v>
      </c>
      <c r="M251" s="49">
        <f>IFERROR(__xludf.DUMMYFUNCTION("""COMPUTED_VALUE"""),5.0031099E8)</f>
        <v>500310990</v>
      </c>
      <c r="N251" s="53">
        <f>IFERROR(__xludf.DUMMYFUNCTION("""COMPUTED_VALUE"""),0.99)</f>
        <v>0.99</v>
      </c>
      <c r="O251" s="54">
        <f>IFERROR(__xludf.DUMMYFUNCTION("""COMPUTED_VALUE"""),8.00053125E8)</f>
        <v>800053125</v>
      </c>
      <c r="P251" s="49" t="str">
        <f>IFERROR(__xludf.DUMMYFUNCTION("""COMPUTED_VALUE"""),"na")</f>
        <v>na</v>
      </c>
      <c r="Q251" s="49" t="str">
        <f>IFERROR(__xludf.DUMMYFUNCTION("""COMPUTED_VALUE"""),"na")</f>
        <v>na</v>
      </c>
      <c r="R251" s="49"/>
      <c r="S251" s="49"/>
      <c r="T251" s="49"/>
      <c r="U251" s="49"/>
      <c r="V251" s="49"/>
      <c r="W251" s="49"/>
      <c r="X251" s="49"/>
      <c r="Y251" s="49"/>
      <c r="Z251" s="49"/>
    </row>
    <row r="252">
      <c r="A252" s="49" t="str">
        <f>IFERROR(__xludf.DUMMYFUNCTION("""COMPUTED_VALUE"""),"---")</f>
        <v>---</v>
      </c>
      <c r="B252" s="49" t="str">
        <f>IFERROR(__xludf.DUMMYFUNCTION("""COMPUTED_VALUE"""),"---")</f>
        <v>---</v>
      </c>
      <c r="C252" s="50" t="str">
        <f>IFERROR(__xludf.DUMMYFUNCTION("""COMPUTED_VALUE"""),"Stock")</f>
        <v>Stock</v>
      </c>
      <c r="D252" s="49"/>
      <c r="E252" s="49"/>
      <c r="F252" s="49"/>
      <c r="G252" s="49" t="str">
        <f>IFERROR(__xludf.DUMMYFUNCTION("""COMPUTED_VALUE"""),"TG yellow 5")</f>
        <v>TG yellow 5</v>
      </c>
      <c r="H252" s="52"/>
      <c r="I252" s="49"/>
      <c r="J252" s="51">
        <f>IFERROR(__xludf.DUMMYFUNCTION("""COMPUTED_VALUE"""),46073.0)</f>
        <v>46073</v>
      </c>
      <c r="K252" s="52"/>
      <c r="L252" s="49" t="str">
        <f>IFERROR(__xludf.DUMMYFUNCTION("""COMPUTED_VALUE"""),"Ace")</f>
        <v>Ace</v>
      </c>
      <c r="M252" s="49">
        <f>IFERROR(__xludf.DUMMYFUNCTION("""COMPUTED_VALUE"""),5.0031099E8)</f>
        <v>500310990</v>
      </c>
      <c r="N252" s="53">
        <f>IFERROR(__xludf.DUMMYFUNCTION("""COMPUTED_VALUE"""),0.99)</f>
        <v>0.99</v>
      </c>
      <c r="O252" s="54">
        <f>IFERROR(__xludf.DUMMYFUNCTION("""COMPUTED_VALUE"""),8.00053125E8)</f>
        <v>800053125</v>
      </c>
      <c r="P252" s="49" t="str">
        <f>IFERROR(__xludf.DUMMYFUNCTION("""COMPUTED_VALUE"""),"na")</f>
        <v>na</v>
      </c>
      <c r="Q252" s="49" t="str">
        <f>IFERROR(__xludf.DUMMYFUNCTION("""COMPUTED_VALUE"""),"na")</f>
        <v>na</v>
      </c>
      <c r="R252" s="49"/>
      <c r="S252" s="49"/>
      <c r="T252" s="49"/>
      <c r="U252" s="49"/>
      <c r="V252" s="49"/>
      <c r="W252" s="49"/>
      <c r="X252" s="49"/>
      <c r="Y252" s="49"/>
      <c r="Z252" s="49"/>
    </row>
    <row r="253">
      <c r="A253" s="49" t="str">
        <f>IFERROR(__xludf.DUMMYFUNCTION("""COMPUTED_VALUE"""),"---")</f>
        <v>---</v>
      </c>
      <c r="B253" s="49" t="str">
        <f>IFERROR(__xludf.DUMMYFUNCTION("""COMPUTED_VALUE"""),"---")</f>
        <v>---</v>
      </c>
      <c r="C253" s="50" t="str">
        <f>IFERROR(__xludf.DUMMYFUNCTION("""COMPUTED_VALUE"""),"Stock")</f>
        <v>Stock</v>
      </c>
      <c r="D253" s="49"/>
      <c r="E253" s="49"/>
      <c r="F253" s="49"/>
      <c r="G253" s="49" t="str">
        <f>IFERROR(__xludf.DUMMYFUNCTION("""COMPUTED_VALUE"""),"TG red 43")</f>
        <v>TG red 43</v>
      </c>
      <c r="H253" s="52"/>
      <c r="I253" s="49"/>
      <c r="J253" s="51">
        <f>IFERROR(__xludf.DUMMYFUNCTION("""COMPUTED_VALUE"""),46073.0)</f>
        <v>46073</v>
      </c>
      <c r="K253" s="52"/>
      <c r="L253" s="49" t="str">
        <f>IFERROR(__xludf.DUMMYFUNCTION("""COMPUTED_VALUE"""),"Ace")</f>
        <v>Ace</v>
      </c>
      <c r="M253" s="49">
        <f>IFERROR(__xludf.DUMMYFUNCTION("""COMPUTED_VALUE"""),5.0031099E8)</f>
        <v>500310990</v>
      </c>
      <c r="N253" s="53">
        <f>IFERROR(__xludf.DUMMYFUNCTION("""COMPUTED_VALUE"""),0.99)</f>
        <v>0.99</v>
      </c>
      <c r="O253" s="54">
        <f>IFERROR(__xludf.DUMMYFUNCTION("""COMPUTED_VALUE"""),8.00053125E8)</f>
        <v>800053125</v>
      </c>
      <c r="P253" s="49" t="str">
        <f>IFERROR(__xludf.DUMMYFUNCTION("""COMPUTED_VALUE"""),"na")</f>
        <v>na</v>
      </c>
      <c r="Q253" s="49" t="str">
        <f>IFERROR(__xludf.DUMMYFUNCTION("""COMPUTED_VALUE"""),"na")</f>
        <v>na</v>
      </c>
      <c r="R253" s="49"/>
      <c r="S253" s="49"/>
      <c r="T253" s="49"/>
      <c r="U253" s="49"/>
      <c r="V253" s="49"/>
      <c r="W253" s="49"/>
      <c r="X253" s="49"/>
      <c r="Y253" s="49"/>
      <c r="Z253" s="49"/>
    </row>
    <row r="254">
      <c r="A254" s="49" t="str">
        <f>IFERROR(__xludf.DUMMYFUNCTION("""COMPUTED_VALUE"""),"---")</f>
        <v>---</v>
      </c>
      <c r="B254" s="49" t="str">
        <f>IFERROR(__xludf.DUMMYFUNCTION("""COMPUTED_VALUE"""),"---")</f>
        <v>---</v>
      </c>
      <c r="C254" s="50" t="str">
        <f>IFERROR(__xludf.DUMMYFUNCTION("""COMPUTED_VALUE"""),"Stock")</f>
        <v>Stock</v>
      </c>
      <c r="D254" s="49"/>
      <c r="E254" s="49" t="str">
        <f>IFERROR(__xludf.DUMMYFUNCTION("""COMPUTED_VALUE"""),"South")</f>
        <v>South</v>
      </c>
      <c r="F254" s="49" t="str">
        <f>IFERROR(__xludf.DUMMYFUNCTION("""COMPUTED_VALUE"""),"South")</f>
        <v>South</v>
      </c>
      <c r="G254" s="49" t="str">
        <f>IFERROR(__xludf.DUMMYFUNCTION("""COMPUTED_VALUE"""),"Wristmaster II RH L")</f>
        <v>Wristmaster II RH L</v>
      </c>
      <c r="H254" s="52"/>
      <c r="I254" s="49"/>
      <c r="J254" s="51">
        <f>IFERROR(__xludf.DUMMYFUNCTION("""COMPUTED_VALUE"""),46073.0)</f>
        <v>46073</v>
      </c>
      <c r="K254" s="52"/>
      <c r="L254" s="49" t="str">
        <f>IFERROR(__xludf.DUMMYFUNCTION("""COMPUTED_VALUE"""),"Ace")</f>
        <v>Ace</v>
      </c>
      <c r="M254" s="49">
        <f>IFERROR(__xludf.DUMMYFUNCTION("""COMPUTED_VALUE"""),5.0031099E8)</f>
        <v>500310990</v>
      </c>
      <c r="N254" s="53">
        <f>IFERROR(__xludf.DUMMYFUNCTION("""COMPUTED_VALUE"""),16.92)</f>
        <v>16.92</v>
      </c>
      <c r="O254" s="54">
        <f>IFERROR(__xludf.DUMMYFUNCTION("""COMPUTED_VALUE"""),8.00053125E8)</f>
        <v>800053125</v>
      </c>
      <c r="P254" s="49" t="str">
        <f>IFERROR(__xludf.DUMMYFUNCTION("""COMPUTED_VALUE"""),"na")</f>
        <v>na</v>
      </c>
      <c r="Q254" s="49" t="str">
        <f>IFERROR(__xludf.DUMMYFUNCTION("""COMPUTED_VALUE"""),"na")</f>
        <v>na</v>
      </c>
      <c r="R254" s="49"/>
      <c r="S254" s="49"/>
      <c r="T254" s="49"/>
      <c r="U254" s="49"/>
      <c r="V254" s="49"/>
      <c r="W254" s="49"/>
      <c r="X254" s="49"/>
      <c r="Y254" s="49"/>
      <c r="Z254" s="49"/>
    </row>
    <row r="255">
      <c r="A255" s="49" t="str">
        <f>IFERROR(__xludf.DUMMYFUNCTION("""COMPUTED_VALUE"""),"---")</f>
        <v>---</v>
      </c>
      <c r="B255" s="49" t="str">
        <f>IFERROR(__xludf.DUMMYFUNCTION("""COMPUTED_VALUE"""),"---")</f>
        <v>---</v>
      </c>
      <c r="C255" s="50" t="str">
        <f>IFERROR(__xludf.DUMMYFUNCTION("""COMPUTED_VALUE"""),"Stock")</f>
        <v>Stock</v>
      </c>
      <c r="D255" s="49"/>
      <c r="E255" s="49" t="str">
        <f>IFERROR(__xludf.DUMMYFUNCTION("""COMPUTED_VALUE"""),"South")</f>
        <v>South</v>
      </c>
      <c r="F255" s="49" t="str">
        <f>IFERROR(__xludf.DUMMYFUNCTION("""COMPUTED_VALUE"""),"South")</f>
        <v>South</v>
      </c>
      <c r="G255" s="49" t="str">
        <f>IFERROR(__xludf.DUMMYFUNCTION("""COMPUTED_VALUE"""),"Wristmaster II RH XL")</f>
        <v>Wristmaster II RH XL</v>
      </c>
      <c r="H255" s="52"/>
      <c r="I255" s="49"/>
      <c r="J255" s="51">
        <f>IFERROR(__xludf.DUMMYFUNCTION("""COMPUTED_VALUE"""),46073.0)</f>
        <v>46073</v>
      </c>
      <c r="K255" s="52"/>
      <c r="L255" s="49" t="str">
        <f>IFERROR(__xludf.DUMMYFUNCTION("""COMPUTED_VALUE"""),"Ace")</f>
        <v>Ace</v>
      </c>
      <c r="M255" s="49">
        <f>IFERROR(__xludf.DUMMYFUNCTION("""COMPUTED_VALUE"""),5.0031099E8)</f>
        <v>500310990</v>
      </c>
      <c r="N255" s="53">
        <f>IFERROR(__xludf.DUMMYFUNCTION("""COMPUTED_VALUE"""),16.92)</f>
        <v>16.92</v>
      </c>
      <c r="O255" s="54">
        <f>IFERROR(__xludf.DUMMYFUNCTION("""COMPUTED_VALUE"""),8.00053125E8)</f>
        <v>800053125</v>
      </c>
      <c r="P255" s="49" t="str">
        <f>IFERROR(__xludf.DUMMYFUNCTION("""COMPUTED_VALUE"""),"na")</f>
        <v>na</v>
      </c>
      <c r="Q255" s="49" t="str">
        <f>IFERROR(__xludf.DUMMYFUNCTION("""COMPUTED_VALUE"""),"na")</f>
        <v>na</v>
      </c>
      <c r="R255" s="49"/>
      <c r="S255" s="49"/>
      <c r="T255" s="49"/>
      <c r="U255" s="49"/>
      <c r="V255" s="49"/>
      <c r="W255" s="49"/>
      <c r="X255" s="49"/>
      <c r="Y255" s="49"/>
      <c r="Z255" s="49"/>
    </row>
    <row r="256">
      <c r="A256" s="49" t="str">
        <f>IFERROR(__xludf.DUMMYFUNCTION("""COMPUTED_VALUE"""),"---")</f>
        <v>---</v>
      </c>
      <c r="B256" s="49" t="str">
        <f>IFERROR(__xludf.DUMMYFUNCTION("""COMPUTED_VALUE"""),"---")</f>
        <v>---</v>
      </c>
      <c r="C256" s="50" t="str">
        <f>IFERROR(__xludf.DUMMYFUNCTION("""COMPUTED_VALUE"""),"Stock")</f>
        <v>Stock</v>
      </c>
      <c r="D256" s="49"/>
      <c r="E256" s="49" t="str">
        <f>IFERROR(__xludf.DUMMYFUNCTION("""COMPUTED_VALUE"""),"Valley")</f>
        <v>Valley</v>
      </c>
      <c r="F256" s="49" t="str">
        <f>IFERROR(__xludf.DUMMYFUNCTION("""COMPUTED_VALUE"""),"Valley")</f>
        <v>Valley</v>
      </c>
      <c r="G256" s="49" t="str">
        <f>IFERROR(__xludf.DUMMYFUNCTION("""COMPUTED_VALUE"""),"Wristmaster II RH S")</f>
        <v>Wristmaster II RH S</v>
      </c>
      <c r="H256" s="52"/>
      <c r="I256" s="49"/>
      <c r="J256" s="51">
        <f>IFERROR(__xludf.DUMMYFUNCTION("""COMPUTED_VALUE"""),46073.0)</f>
        <v>46073</v>
      </c>
      <c r="K256" s="52"/>
      <c r="L256" s="49" t="str">
        <f>IFERROR(__xludf.DUMMYFUNCTION("""COMPUTED_VALUE"""),"Ace")</f>
        <v>Ace</v>
      </c>
      <c r="M256" s="49">
        <f>IFERROR(__xludf.DUMMYFUNCTION("""COMPUTED_VALUE"""),5.0031099E8)</f>
        <v>500310990</v>
      </c>
      <c r="N256" s="53">
        <f>IFERROR(__xludf.DUMMYFUNCTION("""COMPUTED_VALUE"""),16.92)</f>
        <v>16.92</v>
      </c>
      <c r="O256" s="54">
        <f>IFERROR(__xludf.DUMMYFUNCTION("""COMPUTED_VALUE"""),8.00053125E8)</f>
        <v>800053125</v>
      </c>
      <c r="P256" s="49" t="str">
        <f>IFERROR(__xludf.DUMMYFUNCTION("""COMPUTED_VALUE"""),"na")</f>
        <v>na</v>
      </c>
      <c r="Q256" s="49" t="str">
        <f>IFERROR(__xludf.DUMMYFUNCTION("""COMPUTED_VALUE"""),"na")</f>
        <v>na</v>
      </c>
      <c r="R256" s="49"/>
      <c r="S256" s="49"/>
      <c r="T256" s="49"/>
      <c r="U256" s="49"/>
      <c r="V256" s="49"/>
      <c r="W256" s="49"/>
      <c r="X256" s="49"/>
      <c r="Y256" s="49"/>
      <c r="Z256" s="49"/>
    </row>
    <row r="257">
      <c r="A257" s="49" t="str">
        <f>IFERROR(__xludf.DUMMYFUNCTION("""COMPUTED_VALUE"""),"---")</f>
        <v>---</v>
      </c>
      <c r="B257" s="49" t="str">
        <f>IFERROR(__xludf.DUMMYFUNCTION("""COMPUTED_VALUE"""),"---")</f>
        <v>---</v>
      </c>
      <c r="C257" s="50" t="str">
        <f>IFERROR(__xludf.DUMMYFUNCTION("""COMPUTED_VALUE"""),"Stock")</f>
        <v>Stock</v>
      </c>
      <c r="D257" s="49"/>
      <c r="E257" s="49"/>
      <c r="F257" s="49"/>
      <c r="G257" s="49" t="str">
        <f>IFERROR(__xludf.DUMMYFUNCTION("""COMPUTED_VALUE"""),"Brunswick Big B Ball Cleaner")</f>
        <v>Brunswick Big B Ball Cleaner</v>
      </c>
      <c r="H257" s="52"/>
      <c r="I257" s="49"/>
      <c r="J257" s="51">
        <f>IFERROR(__xludf.DUMMYFUNCTION("""COMPUTED_VALUE"""),46073.0)</f>
        <v>46073</v>
      </c>
      <c r="K257" s="52"/>
      <c r="L257" s="49" t="str">
        <f>IFERROR(__xludf.DUMMYFUNCTION("""COMPUTED_VALUE"""),"Ace")</f>
        <v>Ace</v>
      </c>
      <c r="M257" s="49">
        <f>IFERROR(__xludf.DUMMYFUNCTION("""COMPUTED_VALUE"""),5.0031099E8)</f>
        <v>500310990</v>
      </c>
      <c r="N257" s="53">
        <f>IFERROR(__xludf.DUMMYFUNCTION("""COMPUTED_VALUE"""),5.11)</f>
        <v>5.11</v>
      </c>
      <c r="O257" s="54">
        <f>IFERROR(__xludf.DUMMYFUNCTION("""COMPUTED_VALUE"""),8.00053125E8)</f>
        <v>800053125</v>
      </c>
      <c r="P257" s="49" t="str">
        <f>IFERROR(__xludf.DUMMYFUNCTION("""COMPUTED_VALUE"""),"na")</f>
        <v>na</v>
      </c>
      <c r="Q257" s="49" t="str">
        <f>IFERROR(__xludf.DUMMYFUNCTION("""COMPUTED_VALUE"""),"na")</f>
        <v>na</v>
      </c>
      <c r="R257" s="49"/>
      <c r="S257" s="49"/>
      <c r="T257" s="49"/>
      <c r="U257" s="49"/>
      <c r="V257" s="49"/>
      <c r="W257" s="49"/>
      <c r="X257" s="49"/>
      <c r="Y257" s="49"/>
      <c r="Z257" s="49"/>
    </row>
    <row r="258">
      <c r="A258" s="49" t="str">
        <f>IFERROR(__xludf.DUMMYFUNCTION("""COMPUTED_VALUE"""),"---")</f>
        <v>---</v>
      </c>
      <c r="B258" s="49" t="str">
        <f>IFERROR(__xludf.DUMMYFUNCTION("""COMPUTED_VALUE"""),"---")</f>
        <v>---</v>
      </c>
      <c r="C258" s="50" t="str">
        <f>IFERROR(__xludf.DUMMYFUNCTION("""COMPUTED_VALUE"""),"Stock")</f>
        <v>Stock</v>
      </c>
      <c r="D258" s="49"/>
      <c r="E258" s="49"/>
      <c r="F258" s="49"/>
      <c r="G258" s="49" t="str">
        <f>IFERROR(__xludf.DUMMYFUNCTION("""COMPUTED_VALUE"""),"Brunswick Big B Ball Cleaner")</f>
        <v>Brunswick Big B Ball Cleaner</v>
      </c>
      <c r="H258" s="52"/>
      <c r="I258" s="49"/>
      <c r="J258" s="51">
        <f>IFERROR(__xludf.DUMMYFUNCTION("""COMPUTED_VALUE"""),46073.0)</f>
        <v>46073</v>
      </c>
      <c r="K258" s="52"/>
      <c r="L258" s="49" t="str">
        <f>IFERROR(__xludf.DUMMYFUNCTION("""COMPUTED_VALUE"""),"B Supply")</f>
        <v>B Supply</v>
      </c>
      <c r="M258" s="49">
        <f>IFERROR(__xludf.DUMMYFUNCTION("""COMPUTED_VALUE"""),522926.0)</f>
        <v>522926</v>
      </c>
      <c r="N258" s="53">
        <f>IFERROR(__xludf.DUMMYFUNCTION("""COMPUTED_VALUE"""),5.23)</f>
        <v>5.23</v>
      </c>
      <c r="O258" s="54">
        <f>IFERROR(__xludf.DUMMYFUNCTION("""COMPUTED_VALUE"""),669749.0)</f>
        <v>669749</v>
      </c>
      <c r="P258" s="49" t="str">
        <f>IFERROR(__xludf.DUMMYFUNCTION("""COMPUTED_VALUE"""),"na")</f>
        <v>na</v>
      </c>
      <c r="Q258" s="49" t="str">
        <f>IFERROR(__xludf.DUMMYFUNCTION("""COMPUTED_VALUE"""),"na")</f>
        <v>na</v>
      </c>
      <c r="R258" s="49"/>
      <c r="S258" s="49"/>
      <c r="T258" s="49"/>
      <c r="U258" s="49"/>
      <c r="V258" s="49"/>
      <c r="W258" s="49"/>
      <c r="X258" s="49"/>
      <c r="Y258" s="49"/>
      <c r="Z258" s="49"/>
    </row>
    <row r="259">
      <c r="A259" s="49" t="str">
        <f>IFERROR(__xludf.DUMMYFUNCTION("""COMPUTED_VALUE"""),"---")</f>
        <v>---</v>
      </c>
      <c r="B259" s="49" t="str">
        <f>IFERROR(__xludf.DUMMYFUNCTION("""COMPUTED_VALUE"""),"---")</f>
        <v>---</v>
      </c>
      <c r="C259" s="50" t="str">
        <f>IFERROR(__xludf.DUMMYFUNCTION("""COMPUTED_VALUE"""),"Jadyn Rostri")</f>
        <v>Jadyn Rostri</v>
      </c>
      <c r="D259" s="49">
        <f>IFERROR(__xludf.DUMMYFUNCTION("""COMPUTED_VALUE"""),5.704700519E9)</f>
        <v>5704700519</v>
      </c>
      <c r="E259" s="49" t="str">
        <f>IFERROR(__xludf.DUMMYFUNCTION("""COMPUTED_VALUE"""),"Valley")</f>
        <v>Valley</v>
      </c>
      <c r="F259" s="49" t="str">
        <f>IFERROR(__xludf.DUMMYFUNCTION("""COMPUTED_VALUE"""),"Valley")</f>
        <v>Valley</v>
      </c>
      <c r="G259" s="49" t="str">
        <f>IFERROR(__xludf.DUMMYFUNCTION("""COMPUTED_VALUE"""),"Brunswick Coast - Size 11 - Female - Black")</f>
        <v>Brunswick Coast - Size 11 - Female - Black</v>
      </c>
      <c r="H259" s="52"/>
      <c r="I259" s="49"/>
      <c r="J259" s="51">
        <f>IFERROR(__xludf.DUMMYFUNCTION("""COMPUTED_VALUE"""),46073.0)</f>
        <v>46073</v>
      </c>
      <c r="K259" s="52"/>
      <c r="L259" s="49" t="str">
        <f>IFERROR(__xludf.DUMMYFUNCTION("""COMPUTED_VALUE"""),"B Supply")</f>
        <v>B Supply</v>
      </c>
      <c r="M259" s="49">
        <f>IFERROR(__xludf.DUMMYFUNCTION("""COMPUTED_VALUE"""),522926.0)</f>
        <v>522926</v>
      </c>
      <c r="N259" s="53">
        <f>IFERROR(__xludf.DUMMYFUNCTION("""COMPUTED_VALUE"""),42.47)</f>
        <v>42.47</v>
      </c>
      <c r="O259" s="54">
        <f>IFERROR(__xludf.DUMMYFUNCTION("""COMPUTED_VALUE"""),669749.0)</f>
        <v>669749</v>
      </c>
      <c r="P259" s="49" t="str">
        <f>IFERROR(__xludf.DUMMYFUNCTION("""COMPUTED_VALUE"""),"Y")</f>
        <v>Y</v>
      </c>
      <c r="Q259" s="49" t="str">
        <f>IFERROR(__xludf.DUMMYFUNCTION("""COMPUTED_VALUE"""),"Y")</f>
        <v>Y</v>
      </c>
      <c r="R259" s="49"/>
      <c r="S259" s="49"/>
      <c r="T259" s="49"/>
      <c r="U259" s="49"/>
      <c r="V259" s="49"/>
      <c r="W259" s="49"/>
      <c r="X259" s="49"/>
      <c r="Y259" s="49"/>
      <c r="Z259" s="49"/>
    </row>
    <row r="260">
      <c r="A260" s="49" t="str">
        <f>IFERROR(__xludf.DUMMYFUNCTION("""COMPUTED_VALUE"""),"---")</f>
        <v>---</v>
      </c>
      <c r="B260" s="49" t="str">
        <f>IFERROR(__xludf.DUMMYFUNCTION("""COMPUTED_VALUE"""),"---")</f>
        <v>---</v>
      </c>
      <c r="C260" s="50" t="str">
        <f>IFERROR(__xludf.DUMMYFUNCTION("""COMPUTED_VALUE"""),"Mike Wasylyniak")</f>
        <v>Mike Wasylyniak</v>
      </c>
      <c r="D260" s="49"/>
      <c r="E260" s="49" t="str">
        <f>IFERROR(__xludf.DUMMYFUNCTION("""COMPUTED_VALUE"""),"South")</f>
        <v>South</v>
      </c>
      <c r="F260" s="49" t="str">
        <f>IFERROR(__xludf.DUMMYFUNCTION("""COMPUTED_VALUE"""),"South")</f>
        <v>South</v>
      </c>
      <c r="G260" s="49" t="str">
        <f>IFERROR(__xludf.DUMMYFUNCTION("""COMPUTED_VALUE"""),"Brunswick Hero size 12")</f>
        <v>Brunswick Hero size 12</v>
      </c>
      <c r="H260" s="52"/>
      <c r="I260" s="49"/>
      <c r="J260" s="51">
        <f>IFERROR(__xludf.DUMMYFUNCTION("""COMPUTED_VALUE"""),46073.0)</f>
        <v>46073</v>
      </c>
      <c r="K260" s="52"/>
      <c r="L260" s="49" t="str">
        <f>IFERROR(__xludf.DUMMYFUNCTION("""COMPUTED_VALUE"""),"B Supply")</f>
        <v>B Supply</v>
      </c>
      <c r="M260" s="49">
        <f>IFERROR(__xludf.DUMMYFUNCTION("""COMPUTED_VALUE"""),522926.0)</f>
        <v>522926</v>
      </c>
      <c r="N260" s="53">
        <f>IFERROR(__xludf.DUMMYFUNCTION("""COMPUTED_VALUE"""),42.47)</f>
        <v>42.47</v>
      </c>
      <c r="O260" s="54">
        <f>IFERROR(__xludf.DUMMYFUNCTION("""COMPUTED_VALUE"""),669749.0)</f>
        <v>669749</v>
      </c>
      <c r="P260" s="49" t="str">
        <f>IFERROR(__xludf.DUMMYFUNCTION("""COMPUTED_VALUE"""),"na")</f>
        <v>na</v>
      </c>
      <c r="Q260" s="49" t="str">
        <f>IFERROR(__xludf.DUMMYFUNCTION("""COMPUTED_VALUE"""),"na")</f>
        <v>na</v>
      </c>
      <c r="R260" s="49"/>
      <c r="S260" s="49"/>
      <c r="T260" s="49"/>
      <c r="U260" s="49"/>
      <c r="V260" s="49"/>
      <c r="W260" s="49"/>
      <c r="X260" s="49"/>
      <c r="Y260" s="49"/>
      <c r="Z260" s="49"/>
    </row>
    <row r="261">
      <c r="A261" s="49" t="str">
        <f>IFERROR(__xludf.DUMMYFUNCTION("""COMPUTED_VALUE"""),"---")</f>
        <v>---</v>
      </c>
      <c r="B261" s="49" t="str">
        <f>IFERROR(__xludf.DUMMYFUNCTION("""COMPUTED_VALUE"""),"---")</f>
        <v>---</v>
      </c>
      <c r="C261" s="50" t="str">
        <f>IFERROR(__xludf.DUMMYFUNCTION("""COMPUTED_VALUE"""),"Andrew Vaughan")</f>
        <v>Andrew Vaughan</v>
      </c>
      <c r="D261" s="49">
        <f>IFERROR(__xludf.DUMMYFUNCTION("""COMPUTED_VALUE"""),5.705912726E9)</f>
        <v>5705912726</v>
      </c>
      <c r="E261" s="49" t="str">
        <f>IFERROR(__xludf.DUMMYFUNCTION("""COMPUTED_VALUE"""),"Valley")</f>
        <v>Valley</v>
      </c>
      <c r="F261" s="49" t="str">
        <f>IFERROR(__xludf.DUMMYFUNCTION("""COMPUTED_VALUE"""),"Valley")</f>
        <v>Valley</v>
      </c>
      <c r="G261" s="49" t="str">
        <f>IFERROR(__xludf.DUMMYFUNCTION("""COMPUTED_VALUE"""),"Danger zone solid - 14lbs")</f>
        <v>Danger zone solid - 14lbs</v>
      </c>
      <c r="H261" s="52"/>
      <c r="I261" s="49"/>
      <c r="J261" s="51">
        <f>IFERROR(__xludf.DUMMYFUNCTION("""COMPUTED_VALUE"""),46073.0)</f>
        <v>46073</v>
      </c>
      <c r="K261" s="52"/>
      <c r="L261" s="49" t="str">
        <f>IFERROR(__xludf.DUMMYFUNCTION("""COMPUTED_VALUE"""),"B Supply")</f>
        <v>B Supply</v>
      </c>
      <c r="M261" s="49">
        <f>IFERROR(__xludf.DUMMYFUNCTION("""COMPUTED_VALUE"""),522926.0)</f>
        <v>522926</v>
      </c>
      <c r="N261" s="53">
        <f>IFERROR(__xludf.DUMMYFUNCTION("""COMPUTED_VALUE"""),99.28)</f>
        <v>99.28</v>
      </c>
      <c r="O261" s="54">
        <f>IFERROR(__xludf.DUMMYFUNCTION("""COMPUTED_VALUE"""),669749.0)</f>
        <v>669749</v>
      </c>
      <c r="P261" s="49" t="str">
        <f>IFERROR(__xludf.DUMMYFUNCTION("""COMPUTED_VALUE"""),"Y")</f>
        <v>Y</v>
      </c>
      <c r="Q261" s="49" t="str">
        <f>IFERROR(__xludf.DUMMYFUNCTION("""COMPUTED_VALUE"""),"Y")</f>
        <v>Y</v>
      </c>
      <c r="R261" s="49"/>
      <c r="S261" s="49"/>
      <c r="T261" s="49"/>
      <c r="U261" s="49"/>
      <c r="V261" s="49"/>
      <c r="W261" s="49"/>
      <c r="X261" s="49"/>
      <c r="Y261" s="49"/>
      <c r="Z261" s="49"/>
    </row>
    <row r="262">
      <c r="A262" s="49" t="str">
        <f>IFERROR(__xludf.DUMMYFUNCTION("""COMPUTED_VALUE"""),"---")</f>
        <v>---</v>
      </c>
      <c r="B262" s="49" t="str">
        <f>IFERROR(__xludf.DUMMYFUNCTION("""COMPUTED_VALUE"""),"---")</f>
        <v>---</v>
      </c>
      <c r="C262" s="50" t="str">
        <f>IFERROR(__xludf.DUMMYFUNCTION("""COMPUTED_VALUE"""),"Stock")</f>
        <v>Stock</v>
      </c>
      <c r="D262" s="49"/>
      <c r="E262" s="49" t="str">
        <f>IFERROR(__xludf.DUMMYFUNCTION("""COMPUTED_VALUE"""),"Valley")</f>
        <v>Valley</v>
      </c>
      <c r="F262" s="49" t="str">
        <f>IFERROR(__xludf.DUMMYFUNCTION("""COMPUTED_VALUE"""),"Valley")</f>
        <v>Valley</v>
      </c>
      <c r="G262" s="49" t="str">
        <f>IFERROR(__xludf.DUMMYFUNCTION("""COMPUTED_VALUE"""),"Turbo wrister L")</f>
        <v>Turbo wrister L</v>
      </c>
      <c r="H262" s="52"/>
      <c r="I262" s="49"/>
      <c r="J262" s="51">
        <f>IFERROR(__xludf.DUMMYFUNCTION("""COMPUTED_VALUE"""),46073.0)</f>
        <v>46073</v>
      </c>
      <c r="K262" s="52"/>
      <c r="L262" s="49" t="str">
        <f>IFERROR(__xludf.DUMMYFUNCTION("""COMPUTED_VALUE"""),"B Supply")</f>
        <v>B Supply</v>
      </c>
      <c r="M262" s="49">
        <f>IFERROR(__xludf.DUMMYFUNCTION("""COMPUTED_VALUE"""),522926.0)</f>
        <v>522926</v>
      </c>
      <c r="N262" s="53">
        <f>IFERROR(__xludf.DUMMYFUNCTION("""COMPUTED_VALUE"""),9.12)</f>
        <v>9.12</v>
      </c>
      <c r="O262" s="54">
        <f>IFERROR(__xludf.DUMMYFUNCTION("""COMPUTED_VALUE"""),669749.0)</f>
        <v>669749</v>
      </c>
      <c r="P262" s="49" t="str">
        <f>IFERROR(__xludf.DUMMYFUNCTION("""COMPUTED_VALUE"""),"na")</f>
        <v>na</v>
      </c>
      <c r="Q262" s="49" t="str">
        <f>IFERROR(__xludf.DUMMYFUNCTION("""COMPUTED_VALUE"""),"na")</f>
        <v>na</v>
      </c>
      <c r="R262" s="49"/>
      <c r="S262" s="49"/>
      <c r="T262" s="49"/>
      <c r="U262" s="49"/>
      <c r="V262" s="49"/>
      <c r="W262" s="49"/>
      <c r="X262" s="49"/>
      <c r="Y262" s="49"/>
      <c r="Z262" s="49"/>
    </row>
    <row r="263">
      <c r="A263" s="49" t="str">
        <f>IFERROR(__xludf.DUMMYFUNCTION("""COMPUTED_VALUE"""),"---")</f>
        <v>---</v>
      </c>
      <c r="B263" s="49" t="str">
        <f>IFERROR(__xludf.DUMMYFUNCTION("""COMPUTED_VALUE"""),"---")</f>
        <v>---</v>
      </c>
      <c r="C263" s="50" t="str">
        <f>IFERROR(__xludf.DUMMYFUNCTION("""COMPUTED_VALUE"""),"Stock")</f>
        <v>Stock</v>
      </c>
      <c r="D263" s="49"/>
      <c r="E263" s="49" t="str">
        <f>IFERROR(__xludf.DUMMYFUNCTION("""COMPUTED_VALUE"""),"South")</f>
        <v>South</v>
      </c>
      <c r="F263" s="49" t="str">
        <f>IFERROR(__xludf.DUMMYFUNCTION("""COMPUTED_VALUE"""),"South")</f>
        <v>South</v>
      </c>
      <c r="G263" s="49" t="str">
        <f>IFERROR(__xludf.DUMMYFUNCTION("""COMPUTED_VALUE"""),"Master Giant puff ball")</f>
        <v>Master Giant puff ball</v>
      </c>
      <c r="H263" s="52"/>
      <c r="I263" s="49"/>
      <c r="J263" s="51">
        <f>IFERROR(__xludf.DUMMYFUNCTION("""COMPUTED_VALUE"""),46073.0)</f>
        <v>46073</v>
      </c>
      <c r="K263" s="52"/>
      <c r="L263" s="49" t="str">
        <f>IFERROR(__xludf.DUMMYFUNCTION("""COMPUTED_VALUE"""),"B Supply")</f>
        <v>B Supply</v>
      </c>
      <c r="M263" s="49">
        <f>IFERROR(__xludf.DUMMYFUNCTION("""COMPUTED_VALUE"""),522926.0)</f>
        <v>522926</v>
      </c>
      <c r="N263" s="53">
        <f>IFERROR(__xludf.DUMMYFUNCTION("""COMPUTED_VALUE"""),5.51)</f>
        <v>5.51</v>
      </c>
      <c r="O263" s="54">
        <f>IFERROR(__xludf.DUMMYFUNCTION("""COMPUTED_VALUE"""),669749.0)</f>
        <v>669749</v>
      </c>
      <c r="P263" s="49" t="str">
        <f>IFERROR(__xludf.DUMMYFUNCTION("""COMPUTED_VALUE"""),"na")</f>
        <v>na</v>
      </c>
      <c r="Q263" s="49" t="str">
        <f>IFERROR(__xludf.DUMMYFUNCTION("""COMPUTED_VALUE"""),"na")</f>
        <v>na</v>
      </c>
      <c r="R263" s="49"/>
      <c r="S263" s="49"/>
      <c r="T263" s="49"/>
      <c r="U263" s="49"/>
      <c r="V263" s="49"/>
      <c r="W263" s="49"/>
      <c r="X263" s="49"/>
      <c r="Y263" s="49"/>
      <c r="Z263" s="49"/>
    </row>
    <row r="264">
      <c r="A264" s="49" t="str">
        <f>IFERROR(__xludf.DUMMYFUNCTION("""COMPUTED_VALUE"""),"---")</f>
        <v>---</v>
      </c>
      <c r="B264" s="49" t="str">
        <f>IFERROR(__xludf.DUMMYFUNCTION("""COMPUTED_VALUE"""),"---")</f>
        <v>---</v>
      </c>
      <c r="C264" s="50" t="str">
        <f>IFERROR(__xludf.DUMMYFUNCTION("""COMPUTED_VALUE"""),"Stock")</f>
        <v>Stock</v>
      </c>
      <c r="D264" s="49"/>
      <c r="E264" s="49" t="str">
        <f>IFERROR(__xludf.DUMMYFUNCTION("""COMPUTED_VALUE"""),"South")</f>
        <v>South</v>
      </c>
      <c r="F264" s="49" t="str">
        <f>IFERROR(__xludf.DUMMYFUNCTION("""COMPUTED_VALUE"""),"South")</f>
        <v>South</v>
      </c>
      <c r="G264" s="49" t="str">
        <f>IFERROR(__xludf.DUMMYFUNCTION("""COMPUTED_VALUE"""),"Dexter #8 sole standard")</f>
        <v>Dexter #8 sole standard</v>
      </c>
      <c r="H264" s="52"/>
      <c r="I264" s="49"/>
      <c r="J264" s="51">
        <f>IFERROR(__xludf.DUMMYFUNCTION("""COMPUTED_VALUE"""),46073.0)</f>
        <v>46073</v>
      </c>
      <c r="K264" s="52"/>
      <c r="L264" s="49" t="str">
        <f>IFERROR(__xludf.DUMMYFUNCTION("""COMPUTED_VALUE"""),"B Supply")</f>
        <v>B Supply</v>
      </c>
      <c r="M264" s="49">
        <f>IFERROR(__xludf.DUMMYFUNCTION("""COMPUTED_VALUE"""),522926.0)</f>
        <v>522926</v>
      </c>
      <c r="N264" s="53">
        <f>IFERROR(__xludf.DUMMYFUNCTION("""COMPUTED_VALUE"""),13.3)</f>
        <v>13.3</v>
      </c>
      <c r="O264" s="54">
        <f>IFERROR(__xludf.DUMMYFUNCTION("""COMPUTED_VALUE"""),669749.0)</f>
        <v>669749</v>
      </c>
      <c r="P264" s="49" t="str">
        <f>IFERROR(__xludf.DUMMYFUNCTION("""COMPUTED_VALUE"""),"na")</f>
        <v>na</v>
      </c>
      <c r="Q264" s="49" t="str">
        <f>IFERROR(__xludf.DUMMYFUNCTION("""COMPUTED_VALUE"""),"na")</f>
        <v>na</v>
      </c>
      <c r="R264" s="49"/>
      <c r="S264" s="49"/>
      <c r="T264" s="49"/>
      <c r="U264" s="49"/>
      <c r="V264" s="49"/>
      <c r="W264" s="49"/>
      <c r="X264" s="49"/>
      <c r="Y264" s="49"/>
      <c r="Z264" s="49"/>
    </row>
    <row r="265">
      <c r="A265" s="49" t="str">
        <f>IFERROR(__xludf.DUMMYFUNCTION("""COMPUTED_VALUE"""),"---")</f>
        <v>---</v>
      </c>
      <c r="B265" s="49" t="str">
        <f>IFERROR(__xludf.DUMMYFUNCTION("""COMPUTED_VALUE"""),"---")</f>
        <v>---</v>
      </c>
      <c r="C265" s="50" t="str">
        <f>IFERROR(__xludf.DUMMYFUNCTION("""COMPUTED_VALUE"""),"Stock")</f>
        <v>Stock</v>
      </c>
      <c r="D265" s="49"/>
      <c r="E265" s="49" t="str">
        <f>IFERROR(__xludf.DUMMYFUNCTION("""COMPUTED_VALUE"""),"South")</f>
        <v>South</v>
      </c>
      <c r="F265" s="49" t="str">
        <f>IFERROR(__xludf.DUMMYFUNCTION("""COMPUTED_VALUE"""),"South")</f>
        <v>South</v>
      </c>
      <c r="G265" s="49" t="str">
        <f>IFERROR(__xludf.DUMMYFUNCTION("""COMPUTED_VALUE"""),"Storm Phaze II Pearl 15 lb")</f>
        <v>Storm Phaze II Pearl 15 lb</v>
      </c>
      <c r="H265" s="52"/>
      <c r="I265" s="49"/>
      <c r="J265" s="51">
        <f>IFERROR(__xludf.DUMMYFUNCTION("""COMPUTED_VALUE"""),46073.0)</f>
        <v>46073</v>
      </c>
      <c r="K265" s="52"/>
      <c r="L265" s="49" t="str">
        <f>IFERROR(__xludf.DUMMYFUNCTION("""COMPUTED_VALUE"""),"B Supply")</f>
        <v>B Supply</v>
      </c>
      <c r="M265" s="49">
        <f>IFERROR(__xludf.DUMMYFUNCTION("""COMPUTED_VALUE"""),522926.0)</f>
        <v>522926</v>
      </c>
      <c r="N265" s="53">
        <f>IFERROR(__xludf.DUMMYFUNCTION("""COMPUTED_VALUE"""),144.35)</f>
        <v>144.35</v>
      </c>
      <c r="O265" s="54">
        <f>IFERROR(__xludf.DUMMYFUNCTION("""COMPUTED_VALUE"""),669749.0)</f>
        <v>669749</v>
      </c>
      <c r="P265" s="49" t="str">
        <f>IFERROR(__xludf.DUMMYFUNCTION("""COMPUTED_VALUE"""),"na")</f>
        <v>na</v>
      </c>
      <c r="Q265" s="49" t="str">
        <f>IFERROR(__xludf.DUMMYFUNCTION("""COMPUTED_VALUE"""),"na")</f>
        <v>na</v>
      </c>
      <c r="R265" s="49"/>
      <c r="S265" s="49"/>
      <c r="T265" s="49"/>
      <c r="U265" s="49"/>
      <c r="V265" s="49"/>
      <c r="W265" s="49"/>
      <c r="X265" s="49"/>
      <c r="Y265" s="49"/>
      <c r="Z265" s="49"/>
    </row>
    <row r="266">
      <c r="A266" s="49" t="str">
        <f>IFERROR(__xludf.DUMMYFUNCTION("""COMPUTED_VALUE"""),"---")</f>
        <v>---</v>
      </c>
      <c r="B266" s="49" t="str">
        <f>IFERROR(__xludf.DUMMYFUNCTION("""COMPUTED_VALUE"""),"---")</f>
        <v>---</v>
      </c>
      <c r="C266" s="50" t="str">
        <f>IFERROR(__xludf.DUMMYFUNCTION("""COMPUTED_VALUE"""),"Christopher Fallon")</f>
        <v>Christopher Fallon</v>
      </c>
      <c r="D266" s="49"/>
      <c r="E266" s="49" t="str">
        <f>IFERROR(__xludf.DUMMYFUNCTION("""COMPUTED_VALUE"""),"Valley")</f>
        <v>Valley</v>
      </c>
      <c r="F266" s="49" t="str">
        <f>IFERROR(__xludf.DUMMYFUNCTION("""COMPUTED_VALUE"""),"Valley")</f>
        <v>Valley</v>
      </c>
      <c r="G266" s="49" t="str">
        <f>IFERROR(__xludf.DUMMYFUNCTION("""COMPUTED_VALUE"""),"Brunswick Hero size 10.5")</f>
        <v>Brunswick Hero size 10.5</v>
      </c>
      <c r="H266" s="52"/>
      <c r="I266" s="49"/>
      <c r="J266" s="51">
        <f>IFERROR(__xludf.DUMMYFUNCTION("""COMPUTED_VALUE"""),46073.0)</f>
        <v>46073</v>
      </c>
      <c r="K266" s="52"/>
      <c r="L266" s="49" t="str">
        <f>IFERROR(__xludf.DUMMYFUNCTION("""COMPUTED_VALUE"""),"B Supply")</f>
        <v>B Supply</v>
      </c>
      <c r="M266" s="49">
        <f>IFERROR(__xludf.DUMMYFUNCTION("""COMPUTED_VALUE"""),522926.0)</f>
        <v>522926</v>
      </c>
      <c r="N266" s="53">
        <f>IFERROR(__xludf.DUMMYFUNCTION("""COMPUTED_VALUE"""),42.47)</f>
        <v>42.47</v>
      </c>
      <c r="O266" s="54">
        <f>IFERROR(__xludf.DUMMYFUNCTION("""COMPUTED_VALUE"""),669749.0)</f>
        <v>669749</v>
      </c>
      <c r="P266" s="49" t="str">
        <f>IFERROR(__xludf.DUMMYFUNCTION("""COMPUTED_VALUE"""),"Y")</f>
        <v>Y</v>
      </c>
      <c r="Q266" s="49" t="str">
        <f>IFERROR(__xludf.DUMMYFUNCTION("""COMPUTED_VALUE"""),"Y")</f>
        <v>Y</v>
      </c>
      <c r="R266" s="49"/>
      <c r="S266" s="49"/>
      <c r="T266" s="49"/>
      <c r="U266" s="49"/>
      <c r="V266" s="49"/>
      <c r="W266" s="49"/>
      <c r="X266" s="49"/>
      <c r="Y266" s="49"/>
      <c r="Z266" s="49"/>
    </row>
    <row r="267">
      <c r="A267" s="49" t="str">
        <f>IFERROR(__xludf.DUMMYFUNCTION("""COMPUTED_VALUE"""),"---")</f>
        <v>---</v>
      </c>
      <c r="B267" s="49" t="str">
        <f>IFERROR(__xludf.DUMMYFUNCTION("""COMPUTED_VALUE"""),"---")</f>
        <v>---</v>
      </c>
      <c r="C267" s="50" t="str">
        <f>IFERROR(__xludf.DUMMYFUNCTION("""COMPUTED_VALUE"""),"Christopher Fallon")</f>
        <v>Christopher Fallon</v>
      </c>
      <c r="D267" s="49"/>
      <c r="E267" s="49" t="str">
        <f>IFERROR(__xludf.DUMMYFUNCTION("""COMPUTED_VALUE"""),"Valley")</f>
        <v>Valley</v>
      </c>
      <c r="F267" s="49" t="str">
        <f>IFERROR(__xludf.DUMMYFUNCTION("""COMPUTED_VALUE"""),"Valley")</f>
        <v>Valley</v>
      </c>
      <c r="G267" s="49" t="str">
        <f>IFERROR(__xludf.DUMMYFUNCTION("""COMPUTED_VALUE"""),"Brunswick Rhino Red Black Gold 12 lb")</f>
        <v>Brunswick Rhino Red Black Gold 12 lb</v>
      </c>
      <c r="H267" s="52"/>
      <c r="I267" s="49" t="str">
        <f>IFERROR(__xludf.DUMMYFUNCTION("""COMPUTED_VALUE"""),"returned 4/21/26")</f>
        <v>returned 4/21/26</v>
      </c>
      <c r="J267" s="51">
        <f>IFERROR(__xludf.DUMMYFUNCTION("""COMPUTED_VALUE"""),46073.0)</f>
        <v>46073</v>
      </c>
      <c r="K267" s="52"/>
      <c r="L267" s="49" t="str">
        <f>IFERROR(__xludf.DUMMYFUNCTION("""COMPUTED_VALUE"""),"B Supply")</f>
        <v>B Supply</v>
      </c>
      <c r="M267" s="49">
        <f>IFERROR(__xludf.DUMMYFUNCTION("""COMPUTED_VALUE"""),522926.0)</f>
        <v>522926</v>
      </c>
      <c r="N267" s="53">
        <f>IFERROR(__xludf.DUMMYFUNCTION("""COMPUTED_VALUE"""),70.16)</f>
        <v>70.16</v>
      </c>
      <c r="O267" s="54">
        <f>IFERROR(__xludf.DUMMYFUNCTION("""COMPUTED_VALUE"""),669749.0)</f>
        <v>669749</v>
      </c>
      <c r="P267" s="49" t="str">
        <f>IFERROR(__xludf.DUMMYFUNCTION("""COMPUTED_VALUE"""),"na")</f>
        <v>na</v>
      </c>
      <c r="Q267" s="49" t="str">
        <f>IFERROR(__xludf.DUMMYFUNCTION("""COMPUTED_VALUE"""),"na")</f>
        <v>na</v>
      </c>
      <c r="R267" s="49"/>
      <c r="S267" s="49"/>
      <c r="T267" s="49"/>
      <c r="U267" s="49"/>
      <c r="V267" s="49"/>
      <c r="W267" s="49"/>
      <c r="X267" s="49"/>
      <c r="Y267" s="49"/>
      <c r="Z267" s="49"/>
    </row>
    <row r="268">
      <c r="A268" s="49" t="str">
        <f>IFERROR(__xludf.DUMMYFUNCTION("""COMPUTED_VALUE"""),"---")</f>
        <v>---</v>
      </c>
      <c r="B268" s="49" t="str">
        <f>IFERROR(__xludf.DUMMYFUNCTION("""COMPUTED_VALUE"""),"---")</f>
        <v>---</v>
      </c>
      <c r="C268" s="50" t="str">
        <f>IFERROR(__xludf.DUMMYFUNCTION("""COMPUTED_VALUE"""),"Becky Decker")</f>
        <v>Becky Decker</v>
      </c>
      <c r="D268" s="49"/>
      <c r="E268" s="49" t="str">
        <f>IFERROR(__xludf.DUMMYFUNCTION("""COMPUTED_VALUE"""),"Valley")</f>
        <v>Valley</v>
      </c>
      <c r="F268" s="49" t="str">
        <f>IFERROR(__xludf.DUMMYFUNCTION("""COMPUTED_VALUE"""),"Valley")</f>
        <v>Valley</v>
      </c>
      <c r="G268" s="49" t="str">
        <f>IFERROR(__xludf.DUMMYFUNCTION("""COMPUTED_VALUE"""),"Entity Pearl - 14lbs")</f>
        <v>Entity Pearl - 14lbs</v>
      </c>
      <c r="H268" s="52"/>
      <c r="I268" s="49"/>
      <c r="J268" s="51">
        <f>IFERROR(__xludf.DUMMYFUNCTION("""COMPUTED_VALUE"""),46073.0)</f>
        <v>46073</v>
      </c>
      <c r="K268" s="52"/>
      <c r="L268" s="49" t="str">
        <f>IFERROR(__xludf.DUMMYFUNCTION("""COMPUTED_VALUE"""),"B Supply")</f>
        <v>B Supply</v>
      </c>
      <c r="M268" s="49">
        <f>IFERROR(__xludf.DUMMYFUNCTION("""COMPUTED_VALUE"""),522926.0)</f>
        <v>522926</v>
      </c>
      <c r="N268" s="53">
        <f>IFERROR(__xludf.DUMMYFUNCTION("""COMPUTED_VALUE"""),150.43)</f>
        <v>150.43</v>
      </c>
      <c r="O268" s="54">
        <f>IFERROR(__xludf.DUMMYFUNCTION("""COMPUTED_VALUE"""),669749.0)</f>
        <v>669749</v>
      </c>
      <c r="P268" s="49" t="str">
        <f>IFERROR(__xludf.DUMMYFUNCTION("""COMPUTED_VALUE"""),"Y")</f>
        <v>Y</v>
      </c>
      <c r="Q268" s="49" t="str">
        <f>IFERROR(__xludf.DUMMYFUNCTION("""COMPUTED_VALUE"""),"Y")</f>
        <v>Y</v>
      </c>
      <c r="R268" s="49"/>
      <c r="S268" s="49"/>
      <c r="T268" s="49"/>
      <c r="U268" s="49"/>
      <c r="V268" s="49"/>
      <c r="W268" s="49"/>
      <c r="X268" s="49"/>
      <c r="Y268" s="49"/>
      <c r="Z268" s="49"/>
    </row>
    <row r="269">
      <c r="A269" s="49" t="str">
        <f>IFERROR(__xludf.DUMMYFUNCTION("""COMPUTED_VALUE"""),"---")</f>
        <v>---</v>
      </c>
      <c r="B269" s="49" t="str">
        <f>IFERROR(__xludf.DUMMYFUNCTION("""COMPUTED_VALUE"""),"---")</f>
        <v>---</v>
      </c>
      <c r="C269" s="50" t="str">
        <f>IFERROR(__xludf.DUMMYFUNCTION("""COMPUTED_VALUE"""),"Kyle Dittus")</f>
        <v>Kyle Dittus</v>
      </c>
      <c r="D269" s="49"/>
      <c r="E269" s="49" t="str">
        <f>IFERROR(__xludf.DUMMYFUNCTION("""COMPUTED_VALUE"""),"South")</f>
        <v>South</v>
      </c>
      <c r="F269" s="49" t="str">
        <f>IFERROR(__xludf.DUMMYFUNCTION("""COMPUTED_VALUE"""),"South")</f>
        <v>South</v>
      </c>
      <c r="G269" s="49" t="str">
        <f>IFERROR(__xludf.DUMMYFUNCTION("""COMPUTED_VALUE"""),"Storm Phaze II Pearl 14 lb")</f>
        <v>Storm Phaze II Pearl 14 lb</v>
      </c>
      <c r="H269" s="52"/>
      <c r="I269" s="49"/>
      <c r="J269" s="51">
        <f>IFERROR(__xludf.DUMMYFUNCTION("""COMPUTED_VALUE"""),46073.0)</f>
        <v>46073</v>
      </c>
      <c r="K269" s="52"/>
      <c r="L269" s="49" t="str">
        <f>IFERROR(__xludf.DUMMYFUNCTION("""COMPUTED_VALUE"""),"B Supply")</f>
        <v>B Supply</v>
      </c>
      <c r="M269" s="49">
        <f>IFERROR(__xludf.DUMMYFUNCTION("""COMPUTED_VALUE"""),522926.0)</f>
        <v>522926</v>
      </c>
      <c r="N269" s="53">
        <f>IFERROR(__xludf.DUMMYFUNCTION("""COMPUTED_VALUE"""),144.35)</f>
        <v>144.35</v>
      </c>
      <c r="O269" s="54">
        <f>IFERROR(__xludf.DUMMYFUNCTION("""COMPUTED_VALUE"""),669749.0)</f>
        <v>669749</v>
      </c>
      <c r="P269" s="49" t="str">
        <f>IFERROR(__xludf.DUMMYFUNCTION("""COMPUTED_VALUE"""),"Y")</f>
        <v>Y</v>
      </c>
      <c r="Q269" s="49" t="str">
        <f>IFERROR(__xludf.DUMMYFUNCTION("""COMPUTED_VALUE"""),"Y")</f>
        <v>Y</v>
      </c>
      <c r="R269" s="49"/>
      <c r="S269" s="49"/>
      <c r="T269" s="49"/>
      <c r="U269" s="49"/>
      <c r="V269" s="49"/>
      <c r="W269" s="49"/>
      <c r="X269" s="49"/>
      <c r="Y269" s="49"/>
      <c r="Z269" s="49"/>
    </row>
    <row r="270">
      <c r="A270" s="49" t="str">
        <f>IFERROR(__xludf.DUMMYFUNCTION("""COMPUTED_VALUE"""),"---")</f>
        <v>---</v>
      </c>
      <c r="B270" s="49" t="str">
        <f>IFERROR(__xludf.DUMMYFUNCTION("""COMPUTED_VALUE"""),"---")</f>
        <v>---</v>
      </c>
      <c r="C270" s="50" t="str">
        <f>IFERROR(__xludf.DUMMYFUNCTION("""COMPUTED_VALUE"""),"Richard Sakosky")</f>
        <v>Richard Sakosky</v>
      </c>
      <c r="D270" s="49"/>
      <c r="E270" s="49" t="str">
        <f>IFERROR(__xludf.DUMMYFUNCTION("""COMPUTED_VALUE"""),"South")</f>
        <v>South</v>
      </c>
      <c r="F270" s="49" t="str">
        <f>IFERROR(__xludf.DUMMYFUNCTION("""COMPUTED_VALUE"""),"South")</f>
        <v>South</v>
      </c>
      <c r="G270" s="49" t="str">
        <f>IFERROR(__xludf.DUMMYFUNCTION("""COMPUTED_VALUE"""),"Hammer Black Widow Viz-a-ball 14 lb")</f>
        <v>Hammer Black Widow Viz-a-ball 14 lb</v>
      </c>
      <c r="H270" s="52"/>
      <c r="I270" s="49"/>
      <c r="J270" s="51">
        <f>IFERROR(__xludf.DUMMYFUNCTION("""COMPUTED_VALUE"""),46076.0)</f>
        <v>46076</v>
      </c>
      <c r="K270" s="52"/>
      <c r="L270" s="49" t="str">
        <f>IFERROR(__xludf.DUMMYFUNCTION("""COMPUTED_VALUE"""),"B Supply")</f>
        <v>B Supply</v>
      </c>
      <c r="M270" s="49">
        <f>IFERROR(__xludf.DUMMYFUNCTION("""COMPUTED_VALUE"""),523659.0)</f>
        <v>523659</v>
      </c>
      <c r="N270" s="53">
        <f>IFERROR(__xludf.DUMMYFUNCTION("""COMPUTED_VALUE"""),84.65)</f>
        <v>84.65</v>
      </c>
      <c r="O270" s="54">
        <f>IFERROR(__xludf.DUMMYFUNCTION("""COMPUTED_VALUE"""),670537.0)</f>
        <v>670537</v>
      </c>
      <c r="P270" s="49" t="str">
        <f>IFERROR(__xludf.DUMMYFUNCTION("""COMPUTED_VALUE"""),"Y")</f>
        <v>Y</v>
      </c>
      <c r="Q270" s="49" t="str">
        <f>IFERROR(__xludf.DUMMYFUNCTION("""COMPUTED_VALUE"""),"Y")</f>
        <v>Y</v>
      </c>
      <c r="R270" s="49"/>
      <c r="S270" s="49"/>
      <c r="T270" s="49"/>
      <c r="U270" s="49"/>
      <c r="V270" s="49"/>
      <c r="W270" s="49"/>
      <c r="X270" s="49"/>
      <c r="Y270" s="49"/>
      <c r="Z270" s="49"/>
    </row>
    <row r="271">
      <c r="A271" s="49" t="str">
        <f>IFERROR(__xludf.DUMMYFUNCTION("""COMPUTED_VALUE"""),"---")</f>
        <v>---</v>
      </c>
      <c r="B271" s="49" t="str">
        <f>IFERROR(__xludf.DUMMYFUNCTION("""COMPUTED_VALUE"""),"---")</f>
        <v>---</v>
      </c>
      <c r="C271" s="50" t="str">
        <f>IFERROR(__xludf.DUMMYFUNCTION("""COMPUTED_VALUE"""),"Charles David")</f>
        <v>Charles David</v>
      </c>
      <c r="D271" s="49">
        <f>IFERROR(__xludf.DUMMYFUNCTION("""COMPUTED_VALUE"""),5.706988794E9)</f>
        <v>5706988794</v>
      </c>
      <c r="E271" s="49" t="str">
        <f>IFERROR(__xludf.DUMMYFUNCTION("""COMPUTED_VALUE"""),"Valley")</f>
        <v>Valley</v>
      </c>
      <c r="F271" s="49" t="str">
        <f>IFERROR(__xludf.DUMMYFUNCTION("""COMPUTED_VALUE"""),"Valley")</f>
        <v>Valley</v>
      </c>
      <c r="G271" s="49" t="str">
        <f>IFERROR(__xludf.DUMMYFUNCTION("""COMPUTED_VALUE"""),"Hammer NU 2.0 14 lb")</f>
        <v>Hammer NU 2.0 14 lb</v>
      </c>
      <c r="H271" s="52"/>
      <c r="I271" s="49"/>
      <c r="J271" s="51">
        <f>IFERROR(__xludf.DUMMYFUNCTION("""COMPUTED_VALUE"""),46076.0)</f>
        <v>46076</v>
      </c>
      <c r="K271" s="52"/>
      <c r="L271" s="49" t="str">
        <f>IFERROR(__xludf.DUMMYFUNCTION("""COMPUTED_VALUE"""),"B Supply")</f>
        <v>B Supply</v>
      </c>
      <c r="M271" s="49">
        <f>IFERROR(__xludf.DUMMYFUNCTION("""COMPUTED_VALUE"""),523659.0)</f>
        <v>523659</v>
      </c>
      <c r="N271" s="53">
        <f>IFERROR(__xludf.DUMMYFUNCTION("""COMPUTED_VALUE"""),114.0)</f>
        <v>114</v>
      </c>
      <c r="O271" s="54">
        <f>IFERROR(__xludf.DUMMYFUNCTION("""COMPUTED_VALUE"""),670537.0)</f>
        <v>670537</v>
      </c>
      <c r="P271" s="49" t="str">
        <f>IFERROR(__xludf.DUMMYFUNCTION("""COMPUTED_VALUE"""),"Y")</f>
        <v>Y</v>
      </c>
      <c r="Q271" s="49" t="str">
        <f>IFERROR(__xludf.DUMMYFUNCTION("""COMPUTED_VALUE"""),"Y")</f>
        <v>Y</v>
      </c>
      <c r="R271" s="49"/>
      <c r="S271" s="49"/>
      <c r="T271" s="49"/>
      <c r="U271" s="49"/>
      <c r="V271" s="49"/>
      <c r="W271" s="49"/>
      <c r="X271" s="49"/>
      <c r="Y271" s="49"/>
      <c r="Z271" s="49"/>
    </row>
    <row r="272">
      <c r="A272" s="49" t="str">
        <f>IFERROR(__xludf.DUMMYFUNCTION("""COMPUTED_VALUE"""),"---")</f>
        <v>---</v>
      </c>
      <c r="B272" s="49" t="str">
        <f>IFERROR(__xludf.DUMMYFUNCTION("""COMPUTED_VALUE"""),"---")</f>
        <v>---</v>
      </c>
      <c r="C272" s="50" t="str">
        <f>IFERROR(__xludf.DUMMYFUNCTION("""COMPUTED_VALUE"""),"Gino Arcurie")</f>
        <v>Gino Arcurie</v>
      </c>
      <c r="D272" s="49"/>
      <c r="E272" s="49" t="str">
        <f>IFERROR(__xludf.DUMMYFUNCTION("""COMPUTED_VALUE"""),"South")</f>
        <v>South</v>
      </c>
      <c r="F272" s="49" t="str">
        <f>IFERROR(__xludf.DUMMYFUNCTION("""COMPUTED_VALUE"""),"South")</f>
        <v>South</v>
      </c>
      <c r="G272" s="49" t="str">
        <f>IFERROR(__xludf.DUMMYFUNCTION("""COMPUTED_VALUE"""),"Hammer NU 2.0 14 lb")</f>
        <v>Hammer NU 2.0 14 lb</v>
      </c>
      <c r="H272" s="52"/>
      <c r="I272" s="49"/>
      <c r="J272" s="51">
        <f>IFERROR(__xludf.DUMMYFUNCTION("""COMPUTED_VALUE"""),46076.0)</f>
        <v>46076</v>
      </c>
      <c r="K272" s="52"/>
      <c r="L272" s="49" t="str">
        <f>IFERROR(__xludf.DUMMYFUNCTION("""COMPUTED_VALUE"""),"B Supply")</f>
        <v>B Supply</v>
      </c>
      <c r="M272" s="49">
        <f>IFERROR(__xludf.DUMMYFUNCTION("""COMPUTED_VALUE"""),523659.0)</f>
        <v>523659</v>
      </c>
      <c r="N272" s="53">
        <f>IFERROR(__xludf.DUMMYFUNCTION("""COMPUTED_VALUE"""),114.0)</f>
        <v>114</v>
      </c>
      <c r="O272" s="54">
        <f>IFERROR(__xludf.DUMMYFUNCTION("""COMPUTED_VALUE"""),670537.0)</f>
        <v>670537</v>
      </c>
      <c r="P272" s="49" t="str">
        <f>IFERROR(__xludf.DUMMYFUNCTION("""COMPUTED_VALUE"""),"Y")</f>
        <v>Y</v>
      </c>
      <c r="Q272" s="49" t="str">
        <f>IFERROR(__xludf.DUMMYFUNCTION("""COMPUTED_VALUE"""),"Y")</f>
        <v>Y</v>
      </c>
      <c r="R272" s="49"/>
      <c r="S272" s="49"/>
      <c r="T272" s="49"/>
      <c r="U272" s="49"/>
      <c r="V272" s="49"/>
      <c r="W272" s="49"/>
      <c r="X272" s="49"/>
      <c r="Y272" s="49"/>
      <c r="Z272" s="49"/>
    </row>
    <row r="273">
      <c r="A273" s="49" t="str">
        <f>IFERROR(__xludf.DUMMYFUNCTION("""COMPUTED_VALUE"""),"---")</f>
        <v>---</v>
      </c>
      <c r="B273" s="49" t="str">
        <f>IFERROR(__xludf.DUMMYFUNCTION("""COMPUTED_VALUE"""),"---")</f>
        <v>---</v>
      </c>
      <c r="C273" s="50" t="str">
        <f>IFERROR(__xludf.DUMMYFUNCTION("""COMPUTED_VALUE"""),"Greg Matyjevich")</f>
        <v>Greg Matyjevich</v>
      </c>
      <c r="D273" s="49"/>
      <c r="E273" s="49" t="str">
        <f>IFERROR(__xludf.DUMMYFUNCTION("""COMPUTED_VALUE"""),"South")</f>
        <v>South</v>
      </c>
      <c r="F273" s="49" t="str">
        <f>IFERROR(__xludf.DUMMYFUNCTION("""COMPUTED_VALUE"""),"South")</f>
        <v>South</v>
      </c>
      <c r="G273" s="49" t="str">
        <f>IFERROR(__xludf.DUMMYFUNCTION("""COMPUTED_VALUE"""),"Hammer Hammerhead Pearl 14 lb")</f>
        <v>Hammer Hammerhead Pearl 14 lb</v>
      </c>
      <c r="H273" s="52"/>
      <c r="I273" s="49"/>
      <c r="J273" s="51">
        <f>IFERROR(__xludf.DUMMYFUNCTION("""COMPUTED_VALUE"""),46076.0)</f>
        <v>46076</v>
      </c>
      <c r="K273" s="52"/>
      <c r="L273" s="49" t="str">
        <f>IFERROR(__xludf.DUMMYFUNCTION("""COMPUTED_VALUE"""),"B Supply")</f>
        <v>B Supply</v>
      </c>
      <c r="M273" s="49">
        <f>IFERROR(__xludf.DUMMYFUNCTION("""COMPUTED_VALUE"""),523659.0)</f>
        <v>523659</v>
      </c>
      <c r="N273" s="53">
        <f>IFERROR(__xludf.DUMMYFUNCTION("""COMPUTED_VALUE"""),113.91)</f>
        <v>113.91</v>
      </c>
      <c r="O273" s="54">
        <f>IFERROR(__xludf.DUMMYFUNCTION("""COMPUTED_VALUE"""),670537.0)</f>
        <v>670537</v>
      </c>
      <c r="P273" s="49" t="str">
        <f>IFERROR(__xludf.DUMMYFUNCTION("""COMPUTED_VALUE"""),"Y")</f>
        <v>Y</v>
      </c>
      <c r="Q273" s="49" t="str">
        <f>IFERROR(__xludf.DUMMYFUNCTION("""COMPUTED_VALUE"""),"Y")</f>
        <v>Y</v>
      </c>
      <c r="R273" s="49"/>
      <c r="S273" s="49"/>
      <c r="T273" s="49"/>
      <c r="U273" s="49"/>
      <c r="V273" s="49"/>
      <c r="W273" s="49"/>
      <c r="X273" s="49"/>
      <c r="Y273" s="49"/>
      <c r="Z273" s="49"/>
    </row>
    <row r="274">
      <c r="A274" s="49" t="str">
        <f>IFERROR(__xludf.DUMMYFUNCTION("""COMPUTED_VALUE"""),"---")</f>
        <v>---</v>
      </c>
      <c r="B274" s="49" t="str">
        <f>IFERROR(__xludf.DUMMYFUNCTION("""COMPUTED_VALUE"""),"---")</f>
        <v>---</v>
      </c>
      <c r="C274" s="50" t="str">
        <f>IFERROR(__xludf.DUMMYFUNCTION("""COMPUTED_VALUE"""),"Stock")</f>
        <v>Stock</v>
      </c>
      <c r="D274" s="49"/>
      <c r="E274" s="49" t="str">
        <f>IFERROR(__xludf.DUMMYFUNCTION("""COMPUTED_VALUE"""),"South")</f>
        <v>South</v>
      </c>
      <c r="F274" s="49" t="str">
        <f>IFERROR(__xludf.DUMMYFUNCTION("""COMPUTED_VALUE"""),"South")</f>
        <v>South</v>
      </c>
      <c r="G274" s="49" t="str">
        <f>IFERROR(__xludf.DUMMYFUNCTION("""COMPUTED_VALUE"""),"Brunswick Danger Zone Solid 15 lb")</f>
        <v>Brunswick Danger Zone Solid 15 lb</v>
      </c>
      <c r="H274" s="52"/>
      <c r="I274" s="49"/>
      <c r="J274" s="51">
        <f>IFERROR(__xludf.DUMMYFUNCTION("""COMPUTED_VALUE"""),46076.0)</f>
        <v>46076</v>
      </c>
      <c r="K274" s="52"/>
      <c r="L274" s="49" t="str">
        <f>IFERROR(__xludf.DUMMYFUNCTION("""COMPUTED_VALUE"""),"B Supply")</f>
        <v>B Supply</v>
      </c>
      <c r="M274" s="49">
        <f>IFERROR(__xludf.DUMMYFUNCTION("""COMPUTED_VALUE"""),523659.0)</f>
        <v>523659</v>
      </c>
      <c r="N274" s="53">
        <f>IFERROR(__xludf.DUMMYFUNCTION("""COMPUTED_VALUE"""),99.28)</f>
        <v>99.28</v>
      </c>
      <c r="O274" s="54">
        <f>IFERROR(__xludf.DUMMYFUNCTION("""COMPUTED_VALUE"""),670537.0)</f>
        <v>670537</v>
      </c>
      <c r="P274" s="49" t="str">
        <f>IFERROR(__xludf.DUMMYFUNCTION("""COMPUTED_VALUE"""),"na")</f>
        <v>na</v>
      </c>
      <c r="Q274" s="49" t="str">
        <f>IFERROR(__xludf.DUMMYFUNCTION("""COMPUTED_VALUE"""),"na")</f>
        <v>na</v>
      </c>
      <c r="R274" s="49"/>
      <c r="S274" s="49"/>
      <c r="T274" s="49"/>
      <c r="U274" s="49"/>
      <c r="V274" s="49"/>
      <c r="W274" s="49"/>
      <c r="X274" s="49"/>
      <c r="Y274" s="49"/>
      <c r="Z274" s="49"/>
    </row>
    <row r="275">
      <c r="A275" s="49" t="str">
        <f>IFERROR(__xludf.DUMMYFUNCTION("""COMPUTED_VALUE"""),"---")</f>
        <v>---</v>
      </c>
      <c r="B275" s="49" t="str">
        <f>IFERROR(__xludf.DUMMYFUNCTION("""COMPUTED_VALUE"""),"---")</f>
        <v>---</v>
      </c>
      <c r="C275" s="50" t="str">
        <f>IFERROR(__xludf.DUMMYFUNCTION("""COMPUTED_VALUE"""),"Jim Bingham")</f>
        <v>Jim Bingham</v>
      </c>
      <c r="D275" s="49"/>
      <c r="E275" s="49" t="str">
        <f>IFERROR(__xludf.DUMMYFUNCTION("""COMPUTED_VALUE"""),"South")</f>
        <v>South</v>
      </c>
      <c r="F275" s="49" t="str">
        <f>IFERROR(__xludf.DUMMYFUNCTION("""COMPUTED_VALUE"""),"South")</f>
        <v>South</v>
      </c>
      <c r="G275" s="49" t="str">
        <f>IFERROR(__xludf.DUMMYFUNCTION("""COMPUTED_VALUE"""),"Hammer Zero Mercy Pearl 16 lb")</f>
        <v>Hammer Zero Mercy Pearl 16 lb</v>
      </c>
      <c r="H275" s="52"/>
      <c r="I275" s="49"/>
      <c r="J275" s="51">
        <f>IFERROR(__xludf.DUMMYFUNCTION("""COMPUTED_VALUE"""),46076.0)</f>
        <v>46076</v>
      </c>
      <c r="K275" s="52"/>
      <c r="L275" s="49" t="str">
        <f>IFERROR(__xludf.DUMMYFUNCTION("""COMPUTED_VALUE"""),"B Supply")</f>
        <v>B Supply</v>
      </c>
      <c r="M275" s="49">
        <f>IFERROR(__xludf.DUMMYFUNCTION("""COMPUTED_VALUE"""),523659.0)</f>
        <v>523659</v>
      </c>
      <c r="N275" s="53">
        <f>IFERROR(__xludf.DUMMYFUNCTION("""COMPUTED_VALUE"""),156.51)</f>
        <v>156.51</v>
      </c>
      <c r="O275" s="54">
        <f>IFERROR(__xludf.DUMMYFUNCTION("""COMPUTED_VALUE"""),670537.0)</f>
        <v>670537</v>
      </c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>
      <c r="A276" s="49" t="str">
        <f>IFERROR(__xludf.DUMMYFUNCTION("""COMPUTED_VALUE"""),"---")</f>
        <v>---</v>
      </c>
      <c r="B276" s="49" t="str">
        <f>IFERROR(__xludf.DUMMYFUNCTION("""COMPUTED_VALUE"""),"---")</f>
        <v>---</v>
      </c>
      <c r="C276" s="50" t="str">
        <f>IFERROR(__xludf.DUMMYFUNCTION("""COMPUTED_VALUE"""),"Dev Telford")</f>
        <v>Dev Telford</v>
      </c>
      <c r="D276" s="49"/>
      <c r="E276" s="49" t="str">
        <f>IFERROR(__xludf.DUMMYFUNCTION("""COMPUTED_VALUE"""),"Valley")</f>
        <v>Valley</v>
      </c>
      <c r="F276" s="49" t="str">
        <f>IFERROR(__xludf.DUMMYFUNCTION("""COMPUTED_VALUE"""),"Valley")</f>
        <v>Valley</v>
      </c>
      <c r="G276" s="49" t="str">
        <f>IFERROR(__xludf.DUMMYFUNCTION("""COMPUTED_VALUE"""),"Hammer NU 2.0 15 lb")</f>
        <v>Hammer NU 2.0 15 lb</v>
      </c>
      <c r="H276" s="52"/>
      <c r="I276" s="49"/>
      <c r="J276" s="51">
        <f>IFERROR(__xludf.DUMMYFUNCTION("""COMPUTED_VALUE"""),46076.0)</f>
        <v>46076</v>
      </c>
      <c r="K276" s="52"/>
      <c r="L276" s="49" t="str">
        <f>IFERROR(__xludf.DUMMYFUNCTION("""COMPUTED_VALUE"""),"B Supply")</f>
        <v>B Supply</v>
      </c>
      <c r="M276" s="49">
        <f>IFERROR(__xludf.DUMMYFUNCTION("""COMPUTED_VALUE"""),523659.0)</f>
        <v>523659</v>
      </c>
      <c r="N276" s="53">
        <f>IFERROR(__xludf.DUMMYFUNCTION("""COMPUTED_VALUE"""),114.0)</f>
        <v>114</v>
      </c>
      <c r="O276" s="54">
        <f>IFERROR(__xludf.DUMMYFUNCTION("""COMPUTED_VALUE"""),670537.0)</f>
        <v>670537</v>
      </c>
      <c r="P276" s="49" t="str">
        <f>IFERROR(__xludf.DUMMYFUNCTION("""COMPUTED_VALUE"""),"Y")</f>
        <v>Y</v>
      </c>
      <c r="Q276" s="49" t="str">
        <f>IFERROR(__xludf.DUMMYFUNCTION("""COMPUTED_VALUE"""),"Y")</f>
        <v>Y</v>
      </c>
      <c r="R276" s="49"/>
      <c r="S276" s="49"/>
      <c r="T276" s="49"/>
      <c r="U276" s="49"/>
      <c r="V276" s="49"/>
      <c r="W276" s="49"/>
      <c r="X276" s="49"/>
      <c r="Y276" s="49"/>
      <c r="Z276" s="49"/>
    </row>
    <row r="277">
      <c r="A277" s="49" t="str">
        <f>IFERROR(__xludf.DUMMYFUNCTION("""COMPUTED_VALUE"""),"---")</f>
        <v>---</v>
      </c>
      <c r="B277" s="49" t="str">
        <f>IFERROR(__xludf.DUMMYFUNCTION("""COMPUTED_VALUE"""),"---")</f>
        <v>---</v>
      </c>
      <c r="C277" s="50" t="str">
        <f>IFERROR(__xludf.DUMMYFUNCTION("""COMPUTED_VALUE"""),"Stock")</f>
        <v>Stock</v>
      </c>
      <c r="D277" s="49"/>
      <c r="E277" s="49" t="str">
        <f>IFERROR(__xludf.DUMMYFUNCTION("""COMPUTED_VALUE"""),"South")</f>
        <v>South</v>
      </c>
      <c r="F277" s="49" t="str">
        <f>IFERROR(__xludf.DUMMYFUNCTION("""COMPUTED_VALUE"""),"South")</f>
        <v>South</v>
      </c>
      <c r="G277" s="49" t="str">
        <f>IFERROR(__xludf.DUMMYFUNCTION("""COMPUTED_VALUE"""),"Brunswick Sidekick Single Tote")</f>
        <v>Brunswick Sidekick Single Tote</v>
      </c>
      <c r="H277" s="52"/>
      <c r="I277" s="49"/>
      <c r="J277" s="51">
        <f>IFERROR(__xludf.DUMMYFUNCTION("""COMPUTED_VALUE"""),46076.0)</f>
        <v>46076</v>
      </c>
      <c r="K277" s="52"/>
      <c r="L277" s="49" t="str">
        <f>IFERROR(__xludf.DUMMYFUNCTION("""COMPUTED_VALUE"""),"B Supply")</f>
        <v>B Supply</v>
      </c>
      <c r="M277" s="49">
        <f>IFERROR(__xludf.DUMMYFUNCTION("""COMPUTED_VALUE"""),523659.0)</f>
        <v>523659</v>
      </c>
      <c r="N277" s="53">
        <f>IFERROR(__xludf.DUMMYFUNCTION("""COMPUTED_VALUE"""),20.9)</f>
        <v>20.9</v>
      </c>
      <c r="O277" s="54">
        <f>IFERROR(__xludf.DUMMYFUNCTION("""COMPUTED_VALUE"""),670537.0)</f>
        <v>670537</v>
      </c>
      <c r="P277" s="49" t="str">
        <f>IFERROR(__xludf.DUMMYFUNCTION("""COMPUTED_VALUE"""),"na")</f>
        <v>na</v>
      </c>
      <c r="Q277" s="49" t="str">
        <f>IFERROR(__xludf.DUMMYFUNCTION("""COMPUTED_VALUE"""),"na")</f>
        <v>na</v>
      </c>
      <c r="R277" s="49"/>
      <c r="S277" s="49"/>
      <c r="T277" s="49"/>
      <c r="U277" s="49"/>
      <c r="V277" s="49"/>
      <c r="W277" s="49"/>
      <c r="X277" s="49"/>
      <c r="Y277" s="49"/>
      <c r="Z277" s="49"/>
    </row>
    <row r="278">
      <c r="A278" s="49" t="str">
        <f>IFERROR(__xludf.DUMMYFUNCTION("""COMPUTED_VALUE"""),"---")</f>
        <v>---</v>
      </c>
      <c r="B278" s="49" t="str">
        <f>IFERROR(__xludf.DUMMYFUNCTION("""COMPUTED_VALUE"""),"---")</f>
        <v>---</v>
      </c>
      <c r="C278" s="50" t="str">
        <f>IFERROR(__xludf.DUMMYFUNCTION("""COMPUTED_VALUE"""),"Stock")</f>
        <v>Stock</v>
      </c>
      <c r="D278" s="49"/>
      <c r="E278" s="49"/>
      <c r="F278" s="49"/>
      <c r="G278" s="49" t="str">
        <f>IFERROR(__xludf.DUMMYFUNCTION("""COMPUTED_VALUE"""),"Brunswick Crown Victory Pearl 15 lb")</f>
        <v>Brunswick Crown Victory Pearl 15 lb</v>
      </c>
      <c r="H278" s="52"/>
      <c r="I278" s="49"/>
      <c r="J278" s="51">
        <f>IFERROR(__xludf.DUMMYFUNCTION("""COMPUTED_VALUE"""),46076.0)</f>
        <v>46076</v>
      </c>
      <c r="K278" s="52"/>
      <c r="L278" s="49" t="str">
        <f>IFERROR(__xludf.DUMMYFUNCTION("""COMPUTED_VALUE"""),"Brunswick")</f>
        <v>Brunswick</v>
      </c>
      <c r="M278" s="49"/>
      <c r="N278" s="53">
        <f>IFERROR(__xludf.DUMMYFUNCTION("""COMPUTED_VALUE"""),100.0)</f>
        <v>100</v>
      </c>
      <c r="O278" s="54">
        <f>IFERROR(__xludf.DUMMYFUNCTION("""COMPUTED_VALUE"""),7426926.0)</f>
        <v>7426926</v>
      </c>
      <c r="P278" s="49" t="str">
        <f>IFERROR(__xludf.DUMMYFUNCTION("""COMPUTED_VALUE"""),"na")</f>
        <v>na</v>
      </c>
      <c r="Q278" s="49" t="str">
        <f>IFERROR(__xludf.DUMMYFUNCTION("""COMPUTED_VALUE"""),"na")</f>
        <v>na</v>
      </c>
      <c r="R278" s="49"/>
      <c r="S278" s="49"/>
      <c r="T278" s="49"/>
      <c r="U278" s="49"/>
      <c r="V278" s="49"/>
      <c r="W278" s="49"/>
      <c r="X278" s="49"/>
      <c r="Y278" s="49"/>
      <c r="Z278" s="49"/>
    </row>
    <row r="279">
      <c r="A279" s="49" t="str">
        <f>IFERROR(__xludf.DUMMYFUNCTION("""COMPUTED_VALUE"""),"---")</f>
        <v>---</v>
      </c>
      <c r="B279" s="49" t="str">
        <f>IFERROR(__xludf.DUMMYFUNCTION("""COMPUTED_VALUE"""),"---")</f>
        <v>---</v>
      </c>
      <c r="C279" s="50" t="str">
        <f>IFERROR(__xludf.DUMMYFUNCTION("""COMPUTED_VALUE"""),"Stock")</f>
        <v>Stock</v>
      </c>
      <c r="D279" s="49"/>
      <c r="E279" s="49"/>
      <c r="F279" s="49"/>
      <c r="G279" s="49" t="str">
        <f>IFERROR(__xludf.DUMMYFUNCTION("""COMPUTED_VALUE"""),"Hammer Black Widow Dynasty 3.0 15 lb")</f>
        <v>Hammer Black Widow Dynasty 3.0 15 lb</v>
      </c>
      <c r="H279" s="52"/>
      <c r="I279" s="49"/>
      <c r="J279" s="51">
        <f>IFERROR(__xludf.DUMMYFUNCTION("""COMPUTED_VALUE"""),46076.0)</f>
        <v>46076</v>
      </c>
      <c r="K279" s="52"/>
      <c r="L279" s="49" t="str">
        <f>IFERROR(__xludf.DUMMYFUNCTION("""COMPUTED_VALUE"""),"Brunswick")</f>
        <v>Brunswick</v>
      </c>
      <c r="M279" s="49"/>
      <c r="N279" s="53">
        <f>IFERROR(__xludf.DUMMYFUNCTION("""COMPUTED_VALUE"""),100.0)</f>
        <v>100</v>
      </c>
      <c r="O279" s="54">
        <f>IFERROR(__xludf.DUMMYFUNCTION("""COMPUTED_VALUE"""),7426926.0)</f>
        <v>7426926</v>
      </c>
      <c r="P279" s="49" t="str">
        <f>IFERROR(__xludf.DUMMYFUNCTION("""COMPUTED_VALUE"""),"na")</f>
        <v>na</v>
      </c>
      <c r="Q279" s="49" t="str">
        <f>IFERROR(__xludf.DUMMYFUNCTION("""COMPUTED_VALUE"""),"na")</f>
        <v>na</v>
      </c>
      <c r="R279" s="49"/>
      <c r="S279" s="49"/>
      <c r="T279" s="49"/>
      <c r="U279" s="49"/>
      <c r="V279" s="49"/>
      <c r="W279" s="49"/>
      <c r="X279" s="49"/>
      <c r="Y279" s="49"/>
      <c r="Z279" s="49"/>
    </row>
    <row r="280">
      <c r="A280" s="49" t="str">
        <f>IFERROR(__xludf.DUMMYFUNCTION("""COMPUTED_VALUE"""),"---")</f>
        <v>---</v>
      </c>
      <c r="B280" s="49" t="str">
        <f>IFERROR(__xludf.DUMMYFUNCTION("""COMPUTED_VALUE"""),"---")</f>
        <v>---</v>
      </c>
      <c r="C280" s="50" t="str">
        <f>IFERROR(__xludf.DUMMYFUNCTION("""COMPUTED_VALUE"""),"Stock")</f>
        <v>Stock</v>
      </c>
      <c r="D280" s="49"/>
      <c r="E280" s="49"/>
      <c r="F280" s="49"/>
      <c r="G280" s="49" t="str">
        <f>IFERROR(__xludf.DUMMYFUNCTION("""COMPUTED_VALUE"""),"Hammer Zero Mercy Pearl 15 lb")</f>
        <v>Hammer Zero Mercy Pearl 15 lb</v>
      </c>
      <c r="H280" s="52"/>
      <c r="I280" s="49"/>
      <c r="J280" s="51">
        <f>IFERROR(__xludf.DUMMYFUNCTION("""COMPUTED_VALUE"""),46076.0)</f>
        <v>46076</v>
      </c>
      <c r="K280" s="52"/>
      <c r="L280" s="49" t="str">
        <f>IFERROR(__xludf.DUMMYFUNCTION("""COMPUTED_VALUE"""),"Brunswick")</f>
        <v>Brunswick</v>
      </c>
      <c r="M280" s="49"/>
      <c r="N280" s="53">
        <f>IFERROR(__xludf.DUMMYFUNCTION("""COMPUTED_VALUE"""),100.0)</f>
        <v>100</v>
      </c>
      <c r="O280" s="54">
        <f>IFERROR(__xludf.DUMMYFUNCTION("""COMPUTED_VALUE"""),7426926.0)</f>
        <v>7426926</v>
      </c>
      <c r="P280" s="49" t="str">
        <f>IFERROR(__xludf.DUMMYFUNCTION("""COMPUTED_VALUE"""),"na")</f>
        <v>na</v>
      </c>
      <c r="Q280" s="49" t="str">
        <f>IFERROR(__xludf.DUMMYFUNCTION("""COMPUTED_VALUE"""),"na")</f>
        <v>na</v>
      </c>
      <c r="R280" s="49"/>
      <c r="S280" s="49"/>
      <c r="T280" s="49"/>
      <c r="U280" s="49"/>
      <c r="V280" s="49"/>
      <c r="W280" s="49"/>
      <c r="X280" s="49"/>
      <c r="Y280" s="49"/>
      <c r="Z280" s="49"/>
    </row>
    <row r="281">
      <c r="A281" s="49" t="str">
        <f>IFERROR(__xludf.DUMMYFUNCTION("""COMPUTED_VALUE"""),"---")</f>
        <v>---</v>
      </c>
      <c r="B281" s="49" t="str">
        <f>IFERROR(__xludf.DUMMYFUNCTION("""COMPUTED_VALUE"""),"---")</f>
        <v>---</v>
      </c>
      <c r="C281" s="50" t="str">
        <f>IFERROR(__xludf.DUMMYFUNCTION("""COMPUTED_VALUE"""),"Stock")</f>
        <v>Stock</v>
      </c>
      <c r="D281" s="49"/>
      <c r="E281" s="49"/>
      <c r="F281" s="49"/>
      <c r="G281" s="49" t="str">
        <f>IFERROR(__xludf.DUMMYFUNCTION("""COMPUTED_VALUE"""),"C300 Piranha 15 lb")</f>
        <v>C300 Piranha 15 lb</v>
      </c>
      <c r="H281" s="52"/>
      <c r="I281" s="49"/>
      <c r="J281" s="51">
        <f>IFERROR(__xludf.DUMMYFUNCTION("""COMPUTED_VALUE"""),46076.0)</f>
        <v>46076</v>
      </c>
      <c r="K281" s="52"/>
      <c r="L281" s="49" t="str">
        <f>IFERROR(__xludf.DUMMYFUNCTION("""COMPUTED_VALUE"""),"Brunswick")</f>
        <v>Brunswick</v>
      </c>
      <c r="M281" s="49"/>
      <c r="N281" s="53">
        <f>IFERROR(__xludf.DUMMYFUNCTION("""COMPUTED_VALUE"""),100.0)</f>
        <v>100</v>
      </c>
      <c r="O281" s="54">
        <f>IFERROR(__xludf.DUMMYFUNCTION("""COMPUTED_VALUE"""),7426926.0)</f>
        <v>7426926</v>
      </c>
      <c r="P281" s="49" t="str">
        <f>IFERROR(__xludf.DUMMYFUNCTION("""COMPUTED_VALUE"""),"Y")</f>
        <v>Y</v>
      </c>
      <c r="Q281" s="49" t="str">
        <f>IFERROR(__xludf.DUMMYFUNCTION("""COMPUTED_VALUE"""),"Y")</f>
        <v>Y</v>
      </c>
      <c r="R281" s="49"/>
      <c r="S281" s="49"/>
      <c r="T281" s="49"/>
      <c r="U281" s="49"/>
      <c r="V281" s="49"/>
      <c r="W281" s="49"/>
      <c r="X281" s="49"/>
      <c r="Y281" s="49"/>
      <c r="Z281" s="49"/>
    </row>
    <row r="282">
      <c r="A282" s="49" t="str">
        <f>IFERROR(__xludf.DUMMYFUNCTION("""COMPUTED_VALUE"""),"---")</f>
        <v>---</v>
      </c>
      <c r="B282" s="49" t="str">
        <f>IFERROR(__xludf.DUMMYFUNCTION("""COMPUTED_VALUE"""),"---")</f>
        <v>---</v>
      </c>
      <c r="C282" s="50" t="str">
        <f>IFERROR(__xludf.DUMMYFUNCTION("""COMPUTED_VALUE"""),"Stock")</f>
        <v>Stock</v>
      </c>
      <c r="D282" s="49"/>
      <c r="E282" s="49"/>
      <c r="F282" s="49"/>
      <c r="G282" s="49" t="str">
        <f>IFERROR(__xludf.DUMMYFUNCTION("""COMPUTED_VALUE"""),"Hammer Zero Mercy Solid 15 lb")</f>
        <v>Hammer Zero Mercy Solid 15 lb</v>
      </c>
      <c r="H282" s="52"/>
      <c r="I282" s="49"/>
      <c r="J282" s="51">
        <f>IFERROR(__xludf.DUMMYFUNCTION("""COMPUTED_VALUE"""),46076.0)</f>
        <v>46076</v>
      </c>
      <c r="K282" s="52"/>
      <c r="L282" s="49" t="str">
        <f>IFERROR(__xludf.DUMMYFUNCTION("""COMPUTED_VALUE"""),"Brunswick")</f>
        <v>Brunswick</v>
      </c>
      <c r="M282" s="49"/>
      <c r="N282" s="53">
        <f>IFERROR(__xludf.DUMMYFUNCTION("""COMPUTED_VALUE"""),100.0)</f>
        <v>100</v>
      </c>
      <c r="O282" s="54">
        <f>IFERROR(__xludf.DUMMYFUNCTION("""COMPUTED_VALUE"""),7426926.0)</f>
        <v>7426926</v>
      </c>
      <c r="P282" s="49" t="str">
        <f>IFERROR(__xludf.DUMMYFUNCTION("""COMPUTED_VALUE"""),"na")</f>
        <v>na</v>
      </c>
      <c r="Q282" s="49" t="str">
        <f>IFERROR(__xludf.DUMMYFUNCTION("""COMPUTED_VALUE"""),"na")</f>
        <v>na</v>
      </c>
      <c r="R282" s="49"/>
      <c r="S282" s="49"/>
      <c r="T282" s="49"/>
      <c r="U282" s="49"/>
      <c r="V282" s="49"/>
      <c r="W282" s="49"/>
      <c r="X282" s="49"/>
      <c r="Y282" s="49"/>
      <c r="Z282" s="49"/>
    </row>
    <row r="283">
      <c r="A283" s="49" t="str">
        <f>IFERROR(__xludf.DUMMYFUNCTION("""COMPUTED_VALUE"""),"---")</f>
        <v>---</v>
      </c>
      <c r="B283" s="49" t="str">
        <f>IFERROR(__xludf.DUMMYFUNCTION("""COMPUTED_VALUE"""),"---")</f>
        <v>---</v>
      </c>
      <c r="C283" s="50" t="str">
        <f>IFERROR(__xludf.DUMMYFUNCTION("""COMPUTED_VALUE"""),"Charlie Azarsky")</f>
        <v>Charlie Azarsky</v>
      </c>
      <c r="D283" s="49"/>
      <c r="E283" s="49" t="str">
        <f>IFERROR(__xludf.DUMMYFUNCTION("""COMPUTED_VALUE"""),"South")</f>
        <v>South</v>
      </c>
      <c r="F283" s="49" t="str">
        <f>IFERROR(__xludf.DUMMYFUNCTION("""COMPUTED_VALUE"""),"South")</f>
        <v>South</v>
      </c>
      <c r="G283" s="49" t="str">
        <f>IFERROR(__xludf.DUMMYFUNCTION("""COMPUTED_VALUE"""),"Hammer Zero Mercy Solid 15 lb")</f>
        <v>Hammer Zero Mercy Solid 15 lb</v>
      </c>
      <c r="H283" s="52"/>
      <c r="I283" s="49"/>
      <c r="J283" s="51">
        <f>IFERROR(__xludf.DUMMYFUNCTION("""COMPUTED_VALUE"""),46080.0)</f>
        <v>46080</v>
      </c>
      <c r="K283" s="52"/>
      <c r="L283" s="49" t="str">
        <f>IFERROR(__xludf.DUMMYFUNCTION("""COMPUTED_VALUE"""),"B Supply")</f>
        <v>B Supply</v>
      </c>
      <c r="M283" s="49">
        <f>IFERROR(__xludf.DUMMYFUNCTION("""COMPUTED_VALUE"""),524675.0)</f>
        <v>524675</v>
      </c>
      <c r="N283" s="53">
        <f>IFERROR(__xludf.DUMMYFUNCTION("""COMPUTED_VALUE"""),156.51)</f>
        <v>156.51</v>
      </c>
      <c r="O283" s="54">
        <f>IFERROR(__xludf.DUMMYFUNCTION("""COMPUTED_VALUE"""),671898.0)</f>
        <v>671898</v>
      </c>
      <c r="P283" s="49" t="str">
        <f>IFERROR(__xludf.DUMMYFUNCTION("""COMPUTED_VALUE"""),"Y")</f>
        <v>Y</v>
      </c>
      <c r="Q283" s="49" t="str">
        <f>IFERROR(__xludf.DUMMYFUNCTION("""COMPUTED_VALUE"""),"Y")</f>
        <v>Y</v>
      </c>
      <c r="R283" s="49"/>
      <c r="S283" s="49"/>
      <c r="T283" s="49"/>
      <c r="U283" s="49"/>
      <c r="V283" s="49"/>
      <c r="W283" s="49"/>
      <c r="X283" s="49"/>
      <c r="Y283" s="49"/>
      <c r="Z283" s="49"/>
    </row>
    <row r="284">
      <c r="A284" s="49" t="str">
        <f>IFERROR(__xludf.DUMMYFUNCTION("""COMPUTED_VALUE"""),"---")</f>
        <v>---</v>
      </c>
      <c r="B284" s="49" t="str">
        <f>IFERROR(__xludf.DUMMYFUNCTION("""COMPUTED_VALUE"""),"---")</f>
        <v>---</v>
      </c>
      <c r="C284" s="50" t="str">
        <f>IFERROR(__xludf.DUMMYFUNCTION("""COMPUTED_VALUE"""),"Stock")</f>
        <v>Stock</v>
      </c>
      <c r="D284" s="49"/>
      <c r="E284" s="49" t="str">
        <f>IFERROR(__xludf.DUMMYFUNCTION("""COMPUTED_VALUE"""),"Valley")</f>
        <v>Valley</v>
      </c>
      <c r="F284" s="49" t="str">
        <f>IFERROR(__xludf.DUMMYFUNCTION("""COMPUTED_VALUE"""),"Valley")</f>
        <v>Valley</v>
      </c>
      <c r="G284" s="49" t="str">
        <f>IFERROR(__xludf.DUMMYFUNCTION("""COMPUTED_VALUE"""),"Hammer Zero Mercy Solid 15 lb")</f>
        <v>Hammer Zero Mercy Solid 15 lb</v>
      </c>
      <c r="H284" s="52"/>
      <c r="I284" s="49"/>
      <c r="J284" s="51">
        <f>IFERROR(__xludf.DUMMYFUNCTION("""COMPUTED_VALUE"""),46080.0)</f>
        <v>46080</v>
      </c>
      <c r="K284" s="52"/>
      <c r="L284" s="49" t="str">
        <f>IFERROR(__xludf.DUMMYFUNCTION("""COMPUTED_VALUE"""),"B Supply")</f>
        <v>B Supply</v>
      </c>
      <c r="M284" s="49">
        <f>IFERROR(__xludf.DUMMYFUNCTION("""COMPUTED_VALUE"""),524675.0)</f>
        <v>524675</v>
      </c>
      <c r="N284" s="53">
        <f>IFERROR(__xludf.DUMMYFUNCTION("""COMPUTED_VALUE"""),156.51)</f>
        <v>156.51</v>
      </c>
      <c r="O284" s="54">
        <f>IFERROR(__xludf.DUMMYFUNCTION("""COMPUTED_VALUE"""),671898.0)</f>
        <v>671898</v>
      </c>
      <c r="P284" s="49" t="str">
        <f>IFERROR(__xludf.DUMMYFUNCTION("""COMPUTED_VALUE"""),"na")</f>
        <v>na</v>
      </c>
      <c r="Q284" s="49" t="str">
        <f>IFERROR(__xludf.DUMMYFUNCTION("""COMPUTED_VALUE"""),"na")</f>
        <v>na</v>
      </c>
      <c r="R284" s="49"/>
      <c r="S284" s="49"/>
      <c r="T284" s="49"/>
      <c r="U284" s="49"/>
      <c r="V284" s="49"/>
      <c r="W284" s="49"/>
      <c r="X284" s="49"/>
      <c r="Y284" s="49"/>
      <c r="Z284" s="49"/>
    </row>
    <row r="285">
      <c r="A285" s="49" t="str">
        <f>IFERROR(__xludf.DUMMYFUNCTION("""COMPUTED_VALUE"""),"---")</f>
        <v>---</v>
      </c>
      <c r="B285" s="49" t="str">
        <f>IFERROR(__xludf.DUMMYFUNCTION("""COMPUTED_VALUE"""),"---")</f>
        <v>---</v>
      </c>
      <c r="C285" s="50" t="str">
        <f>IFERROR(__xludf.DUMMYFUNCTION("""COMPUTED_VALUE"""),"Kyle Recicar")</f>
        <v>Kyle Recicar</v>
      </c>
      <c r="D285" s="49"/>
      <c r="E285" s="49" t="str">
        <f>IFERROR(__xludf.DUMMYFUNCTION("""COMPUTED_VALUE"""),"South")</f>
        <v>South</v>
      </c>
      <c r="F285" s="49" t="str">
        <f>IFERROR(__xludf.DUMMYFUNCTION("""COMPUTED_VALUE"""),"South")</f>
        <v>South</v>
      </c>
      <c r="G285" s="49" t="str">
        <f>IFERROR(__xludf.DUMMYFUNCTION("""COMPUTED_VALUE"""),"Hammer Zero Mercy Solid 15 lb")</f>
        <v>Hammer Zero Mercy Solid 15 lb</v>
      </c>
      <c r="H285" s="52"/>
      <c r="I285" s="49"/>
      <c r="J285" s="51">
        <f>IFERROR(__xludf.DUMMYFUNCTION("""COMPUTED_VALUE"""),46080.0)</f>
        <v>46080</v>
      </c>
      <c r="K285" s="52"/>
      <c r="L285" s="49" t="str">
        <f>IFERROR(__xludf.DUMMYFUNCTION("""COMPUTED_VALUE"""),"B Supply")</f>
        <v>B Supply</v>
      </c>
      <c r="M285" s="49">
        <f>IFERROR(__xludf.DUMMYFUNCTION("""COMPUTED_VALUE"""),524675.0)</f>
        <v>524675</v>
      </c>
      <c r="N285" s="53">
        <f>IFERROR(__xludf.DUMMYFUNCTION("""COMPUTED_VALUE"""),156.51)</f>
        <v>156.51</v>
      </c>
      <c r="O285" s="54">
        <f>IFERROR(__xludf.DUMMYFUNCTION("""COMPUTED_VALUE"""),671898.0)</f>
        <v>671898</v>
      </c>
      <c r="P285" s="49" t="str">
        <f>IFERROR(__xludf.DUMMYFUNCTION("""COMPUTED_VALUE"""),"Y")</f>
        <v>Y</v>
      </c>
      <c r="Q285" s="49" t="str">
        <f>IFERROR(__xludf.DUMMYFUNCTION("""COMPUTED_VALUE"""),"Y")</f>
        <v>Y</v>
      </c>
      <c r="R285" s="49"/>
      <c r="S285" s="49"/>
      <c r="T285" s="49"/>
      <c r="U285" s="49"/>
      <c r="V285" s="49"/>
      <c r="W285" s="49"/>
      <c r="X285" s="49"/>
      <c r="Y285" s="49"/>
      <c r="Z285" s="49"/>
    </row>
    <row r="286">
      <c r="A286" s="49" t="str">
        <f>IFERROR(__xludf.DUMMYFUNCTION("""COMPUTED_VALUE"""),"---")</f>
        <v>---</v>
      </c>
      <c r="B286" s="49" t="str">
        <f>IFERROR(__xludf.DUMMYFUNCTION("""COMPUTED_VALUE"""),"---")</f>
        <v>---</v>
      </c>
      <c r="C286" s="50" t="str">
        <f>IFERROR(__xludf.DUMMYFUNCTION("""COMPUTED_VALUE"""),"Gary Richard Spencer")</f>
        <v>Gary Richard Spencer</v>
      </c>
      <c r="D286" s="49">
        <f>IFERROR(__xludf.DUMMYFUNCTION("""COMPUTED_VALUE"""),5.70561834E9)</f>
        <v>5705618340</v>
      </c>
      <c r="E286" s="49" t="str">
        <f>IFERROR(__xludf.DUMMYFUNCTION("""COMPUTED_VALUE"""),"South")</f>
        <v>South</v>
      </c>
      <c r="F286" s="49" t="str">
        <f>IFERROR(__xludf.DUMMYFUNCTION("""COMPUTED_VALUE"""),"South")</f>
        <v>South</v>
      </c>
      <c r="G286" s="49" t="str">
        <f>IFERROR(__xludf.DUMMYFUNCTION("""COMPUTED_VALUE"""),"Hammer Zero Mercy Solid 14 lb")</f>
        <v>Hammer Zero Mercy Solid 14 lb</v>
      </c>
      <c r="H286" s="52"/>
      <c r="I286" s="49"/>
      <c r="J286" s="51">
        <f>IFERROR(__xludf.DUMMYFUNCTION("""COMPUTED_VALUE"""),46080.0)</f>
        <v>46080</v>
      </c>
      <c r="K286" s="52"/>
      <c r="L286" s="49" t="str">
        <f>IFERROR(__xludf.DUMMYFUNCTION("""COMPUTED_VALUE"""),"B Supply")</f>
        <v>B Supply</v>
      </c>
      <c r="M286" s="49">
        <f>IFERROR(__xludf.DUMMYFUNCTION("""COMPUTED_VALUE"""),524675.0)</f>
        <v>524675</v>
      </c>
      <c r="N286" s="53">
        <f>IFERROR(__xludf.DUMMYFUNCTION("""COMPUTED_VALUE"""),156.51)</f>
        <v>156.51</v>
      </c>
      <c r="O286" s="54">
        <f>IFERROR(__xludf.DUMMYFUNCTION("""COMPUTED_VALUE"""),671898.0)</f>
        <v>671898</v>
      </c>
      <c r="P286" s="49" t="str">
        <f>IFERROR(__xludf.DUMMYFUNCTION("""COMPUTED_VALUE"""),"Y")</f>
        <v>Y</v>
      </c>
      <c r="Q286" s="49" t="str">
        <f>IFERROR(__xludf.DUMMYFUNCTION("""COMPUTED_VALUE"""),"Y")</f>
        <v>Y</v>
      </c>
      <c r="R286" s="49"/>
      <c r="S286" s="49"/>
      <c r="T286" s="49"/>
      <c r="U286" s="49"/>
      <c r="V286" s="49"/>
      <c r="W286" s="49"/>
      <c r="X286" s="49"/>
      <c r="Y286" s="49"/>
      <c r="Z286" s="49"/>
    </row>
    <row r="287">
      <c r="A287" s="49" t="str">
        <f>IFERROR(__xludf.DUMMYFUNCTION("""COMPUTED_VALUE"""),"---")</f>
        <v>---</v>
      </c>
      <c r="B287" s="49" t="str">
        <f>IFERROR(__xludf.DUMMYFUNCTION("""COMPUTED_VALUE"""),"---")</f>
        <v>---</v>
      </c>
      <c r="C287" s="50" t="str">
        <f>IFERROR(__xludf.DUMMYFUNCTION("""COMPUTED_VALUE"""),"Stock")</f>
        <v>Stock</v>
      </c>
      <c r="D287" s="49"/>
      <c r="E287" s="49"/>
      <c r="F287" s="49"/>
      <c r="G287" s="49" t="str">
        <f>IFERROR(__xludf.DUMMYFUNCTION("""COMPUTED_VALUE"""),"TG blue 25")</f>
        <v>TG blue 25</v>
      </c>
      <c r="H287" s="52"/>
      <c r="I287" s="49"/>
      <c r="J287" s="51">
        <f>IFERROR(__xludf.DUMMYFUNCTION("""COMPUTED_VALUE"""),46083.0)</f>
        <v>46083</v>
      </c>
      <c r="K287" s="52"/>
      <c r="L287" s="49" t="str">
        <f>IFERROR(__xludf.DUMMYFUNCTION("""COMPUTED_VALUE"""),"Ace")</f>
        <v>Ace</v>
      </c>
      <c r="M287" s="49">
        <f>IFERROR(__xludf.DUMMYFUNCTION("""COMPUTED_VALUE"""),5.00315055E8)</f>
        <v>500315055</v>
      </c>
      <c r="N287" s="53">
        <f>IFERROR(__xludf.DUMMYFUNCTION("""COMPUTED_VALUE"""),0.99)</f>
        <v>0.99</v>
      </c>
      <c r="O287" s="54"/>
      <c r="P287" s="49" t="str">
        <f>IFERROR(__xludf.DUMMYFUNCTION("""COMPUTED_VALUE"""),"na")</f>
        <v>na</v>
      </c>
      <c r="Q287" s="49" t="str">
        <f>IFERROR(__xludf.DUMMYFUNCTION("""COMPUTED_VALUE"""),"na")</f>
        <v>na</v>
      </c>
      <c r="R287" s="49"/>
      <c r="S287" s="49"/>
      <c r="T287" s="49"/>
      <c r="U287" s="49"/>
      <c r="V287" s="49"/>
      <c r="W287" s="49"/>
      <c r="X287" s="49"/>
      <c r="Y287" s="49"/>
      <c r="Z287" s="49"/>
    </row>
    <row r="288">
      <c r="A288" s="49" t="str">
        <f>IFERROR(__xludf.DUMMYFUNCTION("""COMPUTED_VALUE"""),"---")</f>
        <v>---</v>
      </c>
      <c r="B288" s="49" t="str">
        <f>IFERROR(__xludf.DUMMYFUNCTION("""COMPUTED_VALUE"""),"---")</f>
        <v>---</v>
      </c>
      <c r="C288" s="50" t="str">
        <f>IFERROR(__xludf.DUMMYFUNCTION("""COMPUTED_VALUE"""),"Stock")</f>
        <v>Stock</v>
      </c>
      <c r="D288" s="49"/>
      <c r="E288" s="49"/>
      <c r="F288" s="49"/>
      <c r="G288" s="49" t="str">
        <f>IFERROR(__xludf.DUMMYFUNCTION("""COMPUTED_VALUE"""),"TG blue 21")</f>
        <v>TG blue 21</v>
      </c>
      <c r="H288" s="52"/>
      <c r="I288" s="49"/>
      <c r="J288" s="51">
        <f>IFERROR(__xludf.DUMMYFUNCTION("""COMPUTED_VALUE"""),46083.0)</f>
        <v>46083</v>
      </c>
      <c r="K288" s="52"/>
      <c r="L288" s="49" t="str">
        <f>IFERROR(__xludf.DUMMYFUNCTION("""COMPUTED_VALUE"""),"Ace")</f>
        <v>Ace</v>
      </c>
      <c r="M288" s="49">
        <f>IFERROR(__xludf.DUMMYFUNCTION("""COMPUTED_VALUE"""),5.00315055E8)</f>
        <v>500315055</v>
      </c>
      <c r="N288" s="53">
        <f>IFERROR(__xludf.DUMMYFUNCTION("""COMPUTED_VALUE"""),0.99)</f>
        <v>0.99</v>
      </c>
      <c r="O288" s="54"/>
      <c r="P288" s="49" t="str">
        <f>IFERROR(__xludf.DUMMYFUNCTION("""COMPUTED_VALUE"""),"na")</f>
        <v>na</v>
      </c>
      <c r="Q288" s="49" t="str">
        <f>IFERROR(__xludf.DUMMYFUNCTION("""COMPUTED_VALUE"""),"na")</f>
        <v>na</v>
      </c>
      <c r="R288" s="49"/>
      <c r="S288" s="49"/>
      <c r="T288" s="49"/>
      <c r="U288" s="49"/>
      <c r="V288" s="49"/>
      <c r="W288" s="49"/>
      <c r="X288" s="49"/>
      <c r="Y288" s="49"/>
      <c r="Z288" s="49"/>
    </row>
    <row r="289">
      <c r="A289" s="49" t="str">
        <f>IFERROR(__xludf.DUMMYFUNCTION("""COMPUTED_VALUE"""),"---")</f>
        <v>---</v>
      </c>
      <c r="B289" s="49" t="str">
        <f>IFERROR(__xludf.DUMMYFUNCTION("""COMPUTED_VALUE"""),"---")</f>
        <v>---</v>
      </c>
      <c r="C289" s="50" t="str">
        <f>IFERROR(__xludf.DUMMYFUNCTION("""COMPUTED_VALUE"""),"Stock")</f>
        <v>Stock</v>
      </c>
      <c r="D289" s="49"/>
      <c r="E289" s="49"/>
      <c r="F289" s="49"/>
      <c r="G289" s="49" t="str">
        <f>IFERROR(__xludf.DUMMYFUNCTION("""COMPUTED_VALUE"""),"TG blue 41")</f>
        <v>TG blue 41</v>
      </c>
      <c r="H289" s="52"/>
      <c r="I289" s="49"/>
      <c r="J289" s="51">
        <f>IFERROR(__xludf.DUMMYFUNCTION("""COMPUTED_VALUE"""),46083.0)</f>
        <v>46083</v>
      </c>
      <c r="K289" s="52"/>
      <c r="L289" s="49" t="str">
        <f>IFERROR(__xludf.DUMMYFUNCTION("""COMPUTED_VALUE"""),"Ace")</f>
        <v>Ace</v>
      </c>
      <c r="M289" s="49">
        <f>IFERROR(__xludf.DUMMYFUNCTION("""COMPUTED_VALUE"""),5.00315055E8)</f>
        <v>500315055</v>
      </c>
      <c r="N289" s="53">
        <f>IFERROR(__xludf.DUMMYFUNCTION("""COMPUTED_VALUE"""),0.99)</f>
        <v>0.99</v>
      </c>
      <c r="O289" s="54"/>
      <c r="P289" s="49" t="str">
        <f>IFERROR(__xludf.DUMMYFUNCTION("""COMPUTED_VALUE"""),"na")</f>
        <v>na</v>
      </c>
      <c r="Q289" s="49" t="str">
        <f>IFERROR(__xludf.DUMMYFUNCTION("""COMPUTED_VALUE"""),"na")</f>
        <v>na</v>
      </c>
      <c r="R289" s="49"/>
      <c r="S289" s="49"/>
      <c r="T289" s="49"/>
      <c r="U289" s="49"/>
      <c r="V289" s="49"/>
      <c r="W289" s="49"/>
      <c r="X289" s="49"/>
      <c r="Y289" s="49"/>
      <c r="Z289" s="49"/>
    </row>
    <row r="290">
      <c r="A290" s="49" t="str">
        <f>IFERROR(__xludf.DUMMYFUNCTION("""COMPUTED_VALUE"""),"---")</f>
        <v>---</v>
      </c>
      <c r="B290" s="49" t="str">
        <f>IFERROR(__xludf.DUMMYFUNCTION("""COMPUTED_VALUE"""),"---")</f>
        <v>---</v>
      </c>
      <c r="C290" s="50" t="str">
        <f>IFERROR(__xludf.DUMMYFUNCTION("""COMPUTED_VALUE"""),"Stock")</f>
        <v>Stock</v>
      </c>
      <c r="D290" s="49"/>
      <c r="E290" s="49"/>
      <c r="F290" s="49"/>
      <c r="G290" s="49" t="str">
        <f>IFERROR(__xludf.DUMMYFUNCTION("""COMPUTED_VALUE"""),"TG blue 45")</f>
        <v>TG blue 45</v>
      </c>
      <c r="H290" s="52"/>
      <c r="I290" s="49"/>
      <c r="J290" s="51">
        <f>IFERROR(__xludf.DUMMYFUNCTION("""COMPUTED_VALUE"""),46083.0)</f>
        <v>46083</v>
      </c>
      <c r="K290" s="52"/>
      <c r="L290" s="49" t="str">
        <f>IFERROR(__xludf.DUMMYFUNCTION("""COMPUTED_VALUE"""),"Ace")</f>
        <v>Ace</v>
      </c>
      <c r="M290" s="49">
        <f>IFERROR(__xludf.DUMMYFUNCTION("""COMPUTED_VALUE"""),5.00315055E8)</f>
        <v>500315055</v>
      </c>
      <c r="N290" s="53">
        <f>IFERROR(__xludf.DUMMYFUNCTION("""COMPUTED_VALUE"""),0.99)</f>
        <v>0.99</v>
      </c>
      <c r="O290" s="54"/>
      <c r="P290" s="49" t="str">
        <f>IFERROR(__xludf.DUMMYFUNCTION("""COMPUTED_VALUE"""),"na")</f>
        <v>na</v>
      </c>
      <c r="Q290" s="49" t="str">
        <f>IFERROR(__xludf.DUMMYFUNCTION("""COMPUTED_VALUE"""),"na")</f>
        <v>na</v>
      </c>
      <c r="R290" s="49"/>
      <c r="S290" s="49"/>
      <c r="T290" s="49"/>
      <c r="U290" s="49"/>
      <c r="V290" s="49"/>
      <c r="W290" s="49"/>
      <c r="X290" s="49"/>
      <c r="Y290" s="49"/>
      <c r="Z290" s="49"/>
    </row>
    <row r="291">
      <c r="A291" s="49" t="str">
        <f>IFERROR(__xludf.DUMMYFUNCTION("""COMPUTED_VALUE"""),"---")</f>
        <v>---</v>
      </c>
      <c r="B291" s="49" t="str">
        <f>IFERROR(__xludf.DUMMYFUNCTION("""COMPUTED_VALUE"""),"---")</f>
        <v>---</v>
      </c>
      <c r="C291" s="50" t="str">
        <f>IFERROR(__xludf.DUMMYFUNCTION("""COMPUTED_VALUE"""),"Stock")</f>
        <v>Stock</v>
      </c>
      <c r="D291" s="49"/>
      <c r="E291" s="49"/>
      <c r="F291" s="49"/>
      <c r="G291" s="49" t="str">
        <f>IFERROR(__xludf.DUMMYFUNCTION("""COMPUTED_VALUE"""),"TG orange 47")</f>
        <v>TG orange 47</v>
      </c>
      <c r="H291" s="52"/>
      <c r="I291" s="49"/>
      <c r="J291" s="51">
        <f>IFERROR(__xludf.DUMMYFUNCTION("""COMPUTED_VALUE"""),46083.0)</f>
        <v>46083</v>
      </c>
      <c r="K291" s="52"/>
      <c r="L291" s="49" t="str">
        <f>IFERROR(__xludf.DUMMYFUNCTION("""COMPUTED_VALUE"""),"Ace")</f>
        <v>Ace</v>
      </c>
      <c r="M291" s="49">
        <f>IFERROR(__xludf.DUMMYFUNCTION("""COMPUTED_VALUE"""),5.00315055E8)</f>
        <v>500315055</v>
      </c>
      <c r="N291" s="53">
        <f>IFERROR(__xludf.DUMMYFUNCTION("""COMPUTED_VALUE"""),0.99)</f>
        <v>0.99</v>
      </c>
      <c r="O291" s="54"/>
      <c r="P291" s="49" t="str">
        <f>IFERROR(__xludf.DUMMYFUNCTION("""COMPUTED_VALUE"""),"na")</f>
        <v>na</v>
      </c>
      <c r="Q291" s="49" t="str">
        <f>IFERROR(__xludf.DUMMYFUNCTION("""COMPUTED_VALUE"""),"na")</f>
        <v>na</v>
      </c>
      <c r="R291" s="49"/>
      <c r="S291" s="49"/>
      <c r="T291" s="49"/>
      <c r="U291" s="49"/>
      <c r="V291" s="49"/>
      <c r="W291" s="49"/>
      <c r="X291" s="49"/>
      <c r="Y291" s="49"/>
      <c r="Z291" s="49"/>
    </row>
    <row r="292">
      <c r="A292" s="49" t="str">
        <f>IFERROR(__xludf.DUMMYFUNCTION("""COMPUTED_VALUE"""),"---")</f>
        <v>---</v>
      </c>
      <c r="B292" s="49" t="str">
        <f>IFERROR(__xludf.DUMMYFUNCTION("""COMPUTED_VALUE"""),"---")</f>
        <v>---</v>
      </c>
      <c r="C292" s="50" t="str">
        <f>IFERROR(__xludf.DUMMYFUNCTION("""COMPUTED_VALUE"""),"Stock")</f>
        <v>Stock</v>
      </c>
      <c r="D292" s="49"/>
      <c r="E292" s="49"/>
      <c r="F292" s="49"/>
      <c r="G292" s="49" t="str">
        <f>IFERROR(__xludf.DUMMYFUNCTION("""COMPUTED_VALUE"""),"TG purple 23")</f>
        <v>TG purple 23</v>
      </c>
      <c r="H292" s="52"/>
      <c r="I292" s="49"/>
      <c r="J292" s="51">
        <f>IFERROR(__xludf.DUMMYFUNCTION("""COMPUTED_VALUE"""),46083.0)</f>
        <v>46083</v>
      </c>
      <c r="K292" s="52"/>
      <c r="L292" s="49" t="str">
        <f>IFERROR(__xludf.DUMMYFUNCTION("""COMPUTED_VALUE"""),"Ace")</f>
        <v>Ace</v>
      </c>
      <c r="M292" s="49">
        <f>IFERROR(__xludf.DUMMYFUNCTION("""COMPUTED_VALUE"""),5.00315055E8)</f>
        <v>500315055</v>
      </c>
      <c r="N292" s="53">
        <f>IFERROR(__xludf.DUMMYFUNCTION("""COMPUTED_VALUE"""),0.99)</f>
        <v>0.99</v>
      </c>
      <c r="O292" s="54"/>
      <c r="P292" s="49" t="str">
        <f>IFERROR(__xludf.DUMMYFUNCTION("""COMPUTED_VALUE"""),"na")</f>
        <v>na</v>
      </c>
      <c r="Q292" s="49" t="str">
        <f>IFERROR(__xludf.DUMMYFUNCTION("""COMPUTED_VALUE"""),"na")</f>
        <v>na</v>
      </c>
      <c r="R292" s="49"/>
      <c r="S292" s="49"/>
      <c r="T292" s="49"/>
      <c r="U292" s="49"/>
      <c r="V292" s="49"/>
      <c r="W292" s="49"/>
      <c r="X292" s="49"/>
      <c r="Y292" s="49"/>
      <c r="Z292" s="49"/>
    </row>
    <row r="293">
      <c r="A293" s="49" t="str">
        <f>IFERROR(__xludf.DUMMYFUNCTION("""COMPUTED_VALUE"""),"---")</f>
        <v>---</v>
      </c>
      <c r="B293" s="49" t="str">
        <f>IFERROR(__xludf.DUMMYFUNCTION("""COMPUTED_VALUE"""),"---")</f>
        <v>---</v>
      </c>
      <c r="C293" s="50" t="str">
        <f>IFERROR(__xludf.DUMMYFUNCTION("""COMPUTED_VALUE"""),"Stock")</f>
        <v>Stock</v>
      </c>
      <c r="D293" s="49"/>
      <c r="E293" s="49"/>
      <c r="F293" s="49"/>
      <c r="G293" s="49" t="str">
        <f>IFERROR(__xludf.DUMMYFUNCTION("""COMPUTED_VALUE"""),"TG purple 25")</f>
        <v>TG purple 25</v>
      </c>
      <c r="H293" s="52"/>
      <c r="I293" s="49"/>
      <c r="J293" s="51">
        <f>IFERROR(__xludf.DUMMYFUNCTION("""COMPUTED_VALUE"""),46083.0)</f>
        <v>46083</v>
      </c>
      <c r="K293" s="52"/>
      <c r="L293" s="49" t="str">
        <f>IFERROR(__xludf.DUMMYFUNCTION("""COMPUTED_VALUE"""),"Ace")</f>
        <v>Ace</v>
      </c>
      <c r="M293" s="49">
        <f>IFERROR(__xludf.DUMMYFUNCTION("""COMPUTED_VALUE"""),5.00315055E8)</f>
        <v>500315055</v>
      </c>
      <c r="N293" s="53">
        <f>IFERROR(__xludf.DUMMYFUNCTION("""COMPUTED_VALUE"""),0.99)</f>
        <v>0.99</v>
      </c>
      <c r="O293" s="54"/>
      <c r="P293" s="49" t="str">
        <f>IFERROR(__xludf.DUMMYFUNCTION("""COMPUTED_VALUE"""),"na")</f>
        <v>na</v>
      </c>
      <c r="Q293" s="49" t="str">
        <f>IFERROR(__xludf.DUMMYFUNCTION("""COMPUTED_VALUE"""),"na")</f>
        <v>na</v>
      </c>
      <c r="R293" s="49"/>
      <c r="S293" s="49"/>
      <c r="T293" s="49"/>
      <c r="U293" s="49"/>
      <c r="V293" s="49"/>
      <c r="W293" s="49"/>
      <c r="X293" s="49"/>
      <c r="Y293" s="49"/>
      <c r="Z293" s="49"/>
    </row>
    <row r="294">
      <c r="A294" s="49" t="str">
        <f>IFERROR(__xludf.DUMMYFUNCTION("""COMPUTED_VALUE"""),"---")</f>
        <v>---</v>
      </c>
      <c r="B294" s="49" t="str">
        <f>IFERROR(__xludf.DUMMYFUNCTION("""COMPUTED_VALUE"""),"---")</f>
        <v>---</v>
      </c>
      <c r="C294" s="50" t="str">
        <f>IFERROR(__xludf.DUMMYFUNCTION("""COMPUTED_VALUE"""),"Stock")</f>
        <v>Stock</v>
      </c>
      <c r="D294" s="49"/>
      <c r="E294" s="49"/>
      <c r="F294" s="49"/>
      <c r="G294" s="49" t="str">
        <f>IFERROR(__xludf.DUMMYFUNCTION("""COMPUTED_VALUE"""),"TG yellow 21")</f>
        <v>TG yellow 21</v>
      </c>
      <c r="H294" s="52"/>
      <c r="I294" s="49"/>
      <c r="J294" s="51">
        <f>IFERROR(__xludf.DUMMYFUNCTION("""COMPUTED_VALUE"""),46083.0)</f>
        <v>46083</v>
      </c>
      <c r="K294" s="52"/>
      <c r="L294" s="49" t="str">
        <f>IFERROR(__xludf.DUMMYFUNCTION("""COMPUTED_VALUE"""),"Ace")</f>
        <v>Ace</v>
      </c>
      <c r="M294" s="49">
        <f>IFERROR(__xludf.DUMMYFUNCTION("""COMPUTED_VALUE"""),5.00315055E8)</f>
        <v>500315055</v>
      </c>
      <c r="N294" s="53">
        <f>IFERROR(__xludf.DUMMYFUNCTION("""COMPUTED_VALUE"""),0.99)</f>
        <v>0.99</v>
      </c>
      <c r="O294" s="54"/>
      <c r="P294" s="49" t="str">
        <f>IFERROR(__xludf.DUMMYFUNCTION("""COMPUTED_VALUE"""),"na")</f>
        <v>na</v>
      </c>
      <c r="Q294" s="49" t="str">
        <f>IFERROR(__xludf.DUMMYFUNCTION("""COMPUTED_VALUE"""),"na")</f>
        <v>na</v>
      </c>
      <c r="R294" s="49"/>
      <c r="S294" s="49"/>
      <c r="T294" s="49"/>
      <c r="U294" s="49"/>
      <c r="V294" s="49"/>
      <c r="W294" s="49"/>
      <c r="X294" s="49"/>
      <c r="Y294" s="49"/>
      <c r="Z294" s="49"/>
    </row>
    <row r="295">
      <c r="A295" s="49" t="str">
        <f>IFERROR(__xludf.DUMMYFUNCTION("""COMPUTED_VALUE"""),"---")</f>
        <v>---</v>
      </c>
      <c r="B295" s="49" t="str">
        <f>IFERROR(__xludf.DUMMYFUNCTION("""COMPUTED_VALUE"""),"---")</f>
        <v>---</v>
      </c>
      <c r="C295" s="50" t="str">
        <f>IFERROR(__xludf.DUMMYFUNCTION("""COMPUTED_VALUE"""),"Stock")</f>
        <v>Stock</v>
      </c>
      <c r="D295" s="49"/>
      <c r="E295" s="49"/>
      <c r="F295" s="49"/>
      <c r="G295" s="49" t="str">
        <f>IFERROR(__xludf.DUMMYFUNCTION("""COMPUTED_VALUE"""),"TG yellow 43")</f>
        <v>TG yellow 43</v>
      </c>
      <c r="H295" s="52"/>
      <c r="I295" s="49"/>
      <c r="J295" s="51">
        <f>IFERROR(__xludf.DUMMYFUNCTION("""COMPUTED_VALUE"""),46083.0)</f>
        <v>46083</v>
      </c>
      <c r="K295" s="52"/>
      <c r="L295" s="49" t="str">
        <f>IFERROR(__xludf.DUMMYFUNCTION("""COMPUTED_VALUE"""),"Ace")</f>
        <v>Ace</v>
      </c>
      <c r="M295" s="49">
        <f>IFERROR(__xludf.DUMMYFUNCTION("""COMPUTED_VALUE"""),5.00315055E8)</f>
        <v>500315055</v>
      </c>
      <c r="N295" s="53">
        <f>IFERROR(__xludf.DUMMYFUNCTION("""COMPUTED_VALUE"""),0.99)</f>
        <v>0.99</v>
      </c>
      <c r="O295" s="54"/>
      <c r="P295" s="49" t="str">
        <f>IFERROR(__xludf.DUMMYFUNCTION("""COMPUTED_VALUE"""),"na")</f>
        <v>na</v>
      </c>
      <c r="Q295" s="49" t="str">
        <f>IFERROR(__xludf.DUMMYFUNCTION("""COMPUTED_VALUE"""),"na")</f>
        <v>na</v>
      </c>
      <c r="R295" s="49"/>
      <c r="S295" s="49"/>
      <c r="T295" s="49"/>
      <c r="U295" s="49"/>
      <c r="V295" s="49"/>
      <c r="W295" s="49"/>
      <c r="X295" s="49"/>
      <c r="Y295" s="49"/>
      <c r="Z295" s="49"/>
    </row>
    <row r="296">
      <c r="A296" s="49" t="str">
        <f>IFERROR(__xludf.DUMMYFUNCTION("""COMPUTED_VALUE"""),"---")</f>
        <v>---</v>
      </c>
      <c r="B296" s="49" t="str">
        <f>IFERROR(__xludf.DUMMYFUNCTION("""COMPUTED_VALUE"""),"---")</f>
        <v>---</v>
      </c>
      <c r="C296" s="50" t="str">
        <f>IFERROR(__xludf.DUMMYFUNCTION("""COMPUTED_VALUE"""),"Stock")</f>
        <v>Stock</v>
      </c>
      <c r="D296" s="49"/>
      <c r="E296" s="49"/>
      <c r="F296" s="49"/>
      <c r="G296" s="49" t="str">
        <f>IFERROR(__xludf.DUMMYFUNCTION("""COMPUTED_VALUE"""),"TG red 3")</f>
        <v>TG red 3</v>
      </c>
      <c r="H296" s="52"/>
      <c r="I296" s="49"/>
      <c r="J296" s="51">
        <f>IFERROR(__xludf.DUMMYFUNCTION("""COMPUTED_VALUE"""),46083.0)</f>
        <v>46083</v>
      </c>
      <c r="K296" s="52"/>
      <c r="L296" s="49" t="str">
        <f>IFERROR(__xludf.DUMMYFUNCTION("""COMPUTED_VALUE"""),"Ace")</f>
        <v>Ace</v>
      </c>
      <c r="M296" s="49">
        <f>IFERROR(__xludf.DUMMYFUNCTION("""COMPUTED_VALUE"""),5.00315055E8)</f>
        <v>500315055</v>
      </c>
      <c r="N296" s="53">
        <f>IFERROR(__xludf.DUMMYFUNCTION("""COMPUTED_VALUE"""),0.99)</f>
        <v>0.99</v>
      </c>
      <c r="O296" s="54"/>
      <c r="P296" s="49" t="str">
        <f>IFERROR(__xludf.DUMMYFUNCTION("""COMPUTED_VALUE"""),"na")</f>
        <v>na</v>
      </c>
      <c r="Q296" s="49" t="str">
        <f>IFERROR(__xludf.DUMMYFUNCTION("""COMPUTED_VALUE"""),"na")</f>
        <v>na</v>
      </c>
      <c r="R296" s="49"/>
      <c r="S296" s="49"/>
      <c r="T296" s="49"/>
      <c r="U296" s="49"/>
      <c r="V296" s="49"/>
      <c r="W296" s="49"/>
      <c r="X296" s="49"/>
      <c r="Y296" s="49"/>
      <c r="Z296" s="49"/>
    </row>
    <row r="297">
      <c r="A297" s="49" t="str">
        <f>IFERROR(__xludf.DUMMYFUNCTION("""COMPUTED_VALUE"""),"---")</f>
        <v>---</v>
      </c>
      <c r="B297" s="49" t="str">
        <f>IFERROR(__xludf.DUMMYFUNCTION("""COMPUTED_VALUE"""),"---")</f>
        <v>---</v>
      </c>
      <c r="C297" s="50" t="str">
        <f>IFERROR(__xludf.DUMMYFUNCTION("""COMPUTED_VALUE"""),"Stock")</f>
        <v>Stock</v>
      </c>
      <c r="D297" s="49"/>
      <c r="E297" s="49"/>
      <c r="F297" s="49"/>
      <c r="G297" s="49" t="str">
        <f>IFERROR(__xludf.DUMMYFUNCTION("""COMPUTED_VALUE"""),"TG red 45")</f>
        <v>TG red 45</v>
      </c>
      <c r="H297" s="52"/>
      <c r="I297" s="49"/>
      <c r="J297" s="51">
        <f>IFERROR(__xludf.DUMMYFUNCTION("""COMPUTED_VALUE"""),46083.0)</f>
        <v>46083</v>
      </c>
      <c r="K297" s="52"/>
      <c r="L297" s="49" t="str">
        <f>IFERROR(__xludf.DUMMYFUNCTION("""COMPUTED_VALUE"""),"Ace")</f>
        <v>Ace</v>
      </c>
      <c r="M297" s="49">
        <f>IFERROR(__xludf.DUMMYFUNCTION("""COMPUTED_VALUE"""),5.00315055E8)</f>
        <v>500315055</v>
      </c>
      <c r="N297" s="53">
        <f>IFERROR(__xludf.DUMMYFUNCTION("""COMPUTED_VALUE"""),0.99)</f>
        <v>0.99</v>
      </c>
      <c r="O297" s="54"/>
      <c r="P297" s="49" t="str">
        <f>IFERROR(__xludf.DUMMYFUNCTION("""COMPUTED_VALUE"""),"na")</f>
        <v>na</v>
      </c>
      <c r="Q297" s="49" t="str">
        <f>IFERROR(__xludf.DUMMYFUNCTION("""COMPUTED_VALUE"""),"na")</f>
        <v>na</v>
      </c>
      <c r="R297" s="49"/>
      <c r="S297" s="49"/>
      <c r="T297" s="49"/>
      <c r="U297" s="49"/>
      <c r="V297" s="49"/>
      <c r="W297" s="49"/>
      <c r="X297" s="49"/>
      <c r="Y297" s="49"/>
      <c r="Z297" s="49"/>
    </row>
    <row r="298">
      <c r="A298" s="49" t="str">
        <f>IFERROR(__xludf.DUMMYFUNCTION("""COMPUTED_VALUE"""),"---")</f>
        <v>---</v>
      </c>
      <c r="B298" s="49" t="str">
        <f>IFERROR(__xludf.DUMMYFUNCTION("""COMPUTED_VALUE"""),"---")</f>
        <v>---</v>
      </c>
      <c r="C298" s="50" t="str">
        <f>IFERROR(__xludf.DUMMYFUNCTION("""COMPUTED_VALUE"""),"Stock")</f>
        <v>Stock</v>
      </c>
      <c r="D298" s="49"/>
      <c r="E298" s="49"/>
      <c r="F298" s="49"/>
      <c r="G298" s="49" t="str">
        <f>IFERROR(__xludf.DUMMYFUNCTION("""COMPUTED_VALUE"""),"TG red 21")</f>
        <v>TG red 21</v>
      </c>
      <c r="H298" s="52"/>
      <c r="I298" s="49"/>
      <c r="J298" s="51">
        <f>IFERROR(__xludf.DUMMYFUNCTION("""COMPUTED_VALUE"""),46083.0)</f>
        <v>46083</v>
      </c>
      <c r="K298" s="52"/>
      <c r="L298" s="49" t="str">
        <f>IFERROR(__xludf.DUMMYFUNCTION("""COMPUTED_VALUE"""),"Ace")</f>
        <v>Ace</v>
      </c>
      <c r="M298" s="49">
        <f>IFERROR(__xludf.DUMMYFUNCTION("""COMPUTED_VALUE"""),5.00315055E8)</f>
        <v>500315055</v>
      </c>
      <c r="N298" s="53">
        <f>IFERROR(__xludf.DUMMYFUNCTION("""COMPUTED_VALUE"""),0.99)</f>
        <v>0.99</v>
      </c>
      <c r="O298" s="54"/>
      <c r="P298" s="49" t="str">
        <f>IFERROR(__xludf.DUMMYFUNCTION("""COMPUTED_VALUE"""),"na")</f>
        <v>na</v>
      </c>
      <c r="Q298" s="49" t="str">
        <f>IFERROR(__xludf.DUMMYFUNCTION("""COMPUTED_VALUE"""),"na")</f>
        <v>na</v>
      </c>
      <c r="R298" s="49"/>
      <c r="S298" s="49"/>
      <c r="T298" s="49"/>
      <c r="U298" s="49"/>
      <c r="V298" s="49"/>
      <c r="W298" s="49"/>
      <c r="X298" s="49"/>
      <c r="Y298" s="49"/>
      <c r="Z298" s="49"/>
    </row>
    <row r="299">
      <c r="A299" s="49" t="str">
        <f>IFERROR(__xludf.DUMMYFUNCTION("""COMPUTED_VALUE"""),"---")</f>
        <v>---</v>
      </c>
      <c r="B299" s="49" t="str">
        <f>IFERROR(__xludf.DUMMYFUNCTION("""COMPUTED_VALUE"""),"---")</f>
        <v>---</v>
      </c>
      <c r="C299" s="50" t="str">
        <f>IFERROR(__xludf.DUMMYFUNCTION("""COMPUTED_VALUE"""),"Stock")</f>
        <v>Stock</v>
      </c>
      <c r="D299" s="49"/>
      <c r="E299" s="49"/>
      <c r="F299" s="49"/>
      <c r="G299" s="49" t="str">
        <f>IFERROR(__xludf.DUMMYFUNCTION("""COMPUTED_VALUE"""),"TG red 25")</f>
        <v>TG red 25</v>
      </c>
      <c r="H299" s="52"/>
      <c r="I299" s="49"/>
      <c r="J299" s="51">
        <f>IFERROR(__xludf.DUMMYFUNCTION("""COMPUTED_VALUE"""),46083.0)</f>
        <v>46083</v>
      </c>
      <c r="K299" s="52"/>
      <c r="L299" s="49" t="str">
        <f>IFERROR(__xludf.DUMMYFUNCTION("""COMPUTED_VALUE"""),"Ace")</f>
        <v>Ace</v>
      </c>
      <c r="M299" s="49">
        <f>IFERROR(__xludf.DUMMYFUNCTION("""COMPUTED_VALUE"""),5.00315055E8)</f>
        <v>500315055</v>
      </c>
      <c r="N299" s="53">
        <f>IFERROR(__xludf.DUMMYFUNCTION("""COMPUTED_VALUE"""),0.99)</f>
        <v>0.99</v>
      </c>
      <c r="O299" s="54"/>
      <c r="P299" s="49" t="str">
        <f>IFERROR(__xludf.DUMMYFUNCTION("""COMPUTED_VALUE"""),"na")</f>
        <v>na</v>
      </c>
      <c r="Q299" s="49" t="str">
        <f>IFERROR(__xludf.DUMMYFUNCTION("""COMPUTED_VALUE"""),"na")</f>
        <v>na</v>
      </c>
      <c r="R299" s="49"/>
      <c r="S299" s="49"/>
      <c r="T299" s="49"/>
      <c r="U299" s="49"/>
      <c r="V299" s="49"/>
      <c r="W299" s="49"/>
      <c r="X299" s="49"/>
      <c r="Y299" s="49"/>
      <c r="Z299" s="49"/>
    </row>
    <row r="300">
      <c r="A300" s="49" t="str">
        <f>IFERROR(__xludf.DUMMYFUNCTION("""COMPUTED_VALUE"""),"---")</f>
        <v>---</v>
      </c>
      <c r="B300" s="49" t="str">
        <f>IFERROR(__xludf.DUMMYFUNCTION("""COMPUTED_VALUE"""),"---")</f>
        <v>---</v>
      </c>
      <c r="C300" s="50" t="str">
        <f>IFERROR(__xludf.DUMMYFUNCTION("""COMPUTED_VALUE"""),"Stock")</f>
        <v>Stock</v>
      </c>
      <c r="D300" s="49"/>
      <c r="E300" s="49"/>
      <c r="F300" s="49"/>
      <c r="G300" s="49" t="str">
        <f>IFERROR(__xludf.DUMMYFUNCTION("""COMPUTED_VALUE"""),"TG red 27")</f>
        <v>TG red 27</v>
      </c>
      <c r="H300" s="52"/>
      <c r="I300" s="49"/>
      <c r="J300" s="51">
        <f>IFERROR(__xludf.DUMMYFUNCTION("""COMPUTED_VALUE"""),46083.0)</f>
        <v>46083</v>
      </c>
      <c r="K300" s="52"/>
      <c r="L300" s="49" t="str">
        <f>IFERROR(__xludf.DUMMYFUNCTION("""COMPUTED_VALUE"""),"Ace")</f>
        <v>Ace</v>
      </c>
      <c r="M300" s="49">
        <f>IFERROR(__xludf.DUMMYFUNCTION("""COMPUTED_VALUE"""),5.00315055E8)</f>
        <v>500315055</v>
      </c>
      <c r="N300" s="53">
        <f>IFERROR(__xludf.DUMMYFUNCTION("""COMPUTED_VALUE"""),0.99)</f>
        <v>0.99</v>
      </c>
      <c r="O300" s="54"/>
      <c r="P300" s="49" t="str">
        <f>IFERROR(__xludf.DUMMYFUNCTION("""COMPUTED_VALUE"""),"na")</f>
        <v>na</v>
      </c>
      <c r="Q300" s="49" t="str">
        <f>IFERROR(__xludf.DUMMYFUNCTION("""COMPUTED_VALUE"""),"na")</f>
        <v>na</v>
      </c>
      <c r="R300" s="49"/>
      <c r="S300" s="49"/>
      <c r="T300" s="49"/>
      <c r="U300" s="49"/>
      <c r="V300" s="49"/>
      <c r="W300" s="49"/>
      <c r="X300" s="49"/>
      <c r="Y300" s="49"/>
      <c r="Z300" s="49"/>
    </row>
    <row r="301">
      <c r="A301" s="49" t="str">
        <f>IFERROR(__xludf.DUMMYFUNCTION("""COMPUTED_VALUE"""),"---")</f>
        <v>---</v>
      </c>
      <c r="B301" s="49" t="str">
        <f>IFERROR(__xludf.DUMMYFUNCTION("""COMPUTED_VALUE"""),"---")</f>
        <v>---</v>
      </c>
      <c r="C301" s="50" t="str">
        <f>IFERROR(__xludf.DUMMYFUNCTION("""COMPUTED_VALUE"""),"Stock")</f>
        <v>Stock</v>
      </c>
      <c r="D301" s="49"/>
      <c r="E301" s="49"/>
      <c r="F301" s="49"/>
      <c r="G301" s="49" t="str">
        <f>IFERROR(__xludf.DUMMYFUNCTION("""COMPUTED_VALUE"""),"TG black 21")</f>
        <v>TG black 21</v>
      </c>
      <c r="H301" s="52"/>
      <c r="I301" s="49"/>
      <c r="J301" s="51">
        <f>IFERROR(__xludf.DUMMYFUNCTION("""COMPUTED_VALUE"""),46083.0)</f>
        <v>46083</v>
      </c>
      <c r="K301" s="52"/>
      <c r="L301" s="49" t="str">
        <f>IFERROR(__xludf.DUMMYFUNCTION("""COMPUTED_VALUE"""),"Ace")</f>
        <v>Ace</v>
      </c>
      <c r="M301" s="49">
        <f>IFERROR(__xludf.DUMMYFUNCTION("""COMPUTED_VALUE"""),5.00315055E8)</f>
        <v>500315055</v>
      </c>
      <c r="N301" s="53">
        <f>IFERROR(__xludf.DUMMYFUNCTION("""COMPUTED_VALUE"""),0.99)</f>
        <v>0.99</v>
      </c>
      <c r="O301" s="54"/>
      <c r="P301" s="49" t="str">
        <f>IFERROR(__xludf.DUMMYFUNCTION("""COMPUTED_VALUE"""),"na")</f>
        <v>na</v>
      </c>
      <c r="Q301" s="49" t="str">
        <f>IFERROR(__xludf.DUMMYFUNCTION("""COMPUTED_VALUE"""),"na")</f>
        <v>na</v>
      </c>
      <c r="R301" s="49"/>
      <c r="S301" s="49"/>
      <c r="T301" s="49"/>
      <c r="U301" s="49"/>
      <c r="V301" s="49"/>
      <c r="W301" s="49"/>
      <c r="X301" s="49"/>
      <c r="Y301" s="49"/>
      <c r="Z301" s="49"/>
    </row>
    <row r="302">
      <c r="A302" s="49" t="str">
        <f>IFERROR(__xludf.DUMMYFUNCTION("""COMPUTED_VALUE"""),"---")</f>
        <v>---</v>
      </c>
      <c r="B302" s="49" t="str">
        <f>IFERROR(__xludf.DUMMYFUNCTION("""COMPUTED_VALUE"""),"---")</f>
        <v>---</v>
      </c>
      <c r="C302" s="50" t="str">
        <f>IFERROR(__xludf.DUMMYFUNCTION("""COMPUTED_VALUE"""),"Stock")</f>
        <v>Stock</v>
      </c>
      <c r="D302" s="49"/>
      <c r="E302" s="49"/>
      <c r="F302" s="49"/>
      <c r="G302" s="49" t="str">
        <f>IFERROR(__xludf.DUMMYFUNCTION("""COMPUTED_VALUE"""),"TG black 39")</f>
        <v>TG black 39</v>
      </c>
      <c r="H302" s="52"/>
      <c r="I302" s="49"/>
      <c r="J302" s="51">
        <f>IFERROR(__xludf.DUMMYFUNCTION("""COMPUTED_VALUE"""),46083.0)</f>
        <v>46083</v>
      </c>
      <c r="K302" s="52"/>
      <c r="L302" s="49" t="str">
        <f>IFERROR(__xludf.DUMMYFUNCTION("""COMPUTED_VALUE"""),"Ace")</f>
        <v>Ace</v>
      </c>
      <c r="M302" s="49">
        <f>IFERROR(__xludf.DUMMYFUNCTION("""COMPUTED_VALUE"""),5.00315055E8)</f>
        <v>500315055</v>
      </c>
      <c r="N302" s="53">
        <f>IFERROR(__xludf.DUMMYFUNCTION("""COMPUTED_VALUE"""),0.99)</f>
        <v>0.99</v>
      </c>
      <c r="O302" s="54"/>
      <c r="P302" s="49" t="str">
        <f>IFERROR(__xludf.DUMMYFUNCTION("""COMPUTED_VALUE"""),"na")</f>
        <v>na</v>
      </c>
      <c r="Q302" s="49" t="str">
        <f>IFERROR(__xludf.DUMMYFUNCTION("""COMPUTED_VALUE"""),"na")</f>
        <v>na</v>
      </c>
      <c r="R302" s="49"/>
      <c r="S302" s="49"/>
      <c r="T302" s="49"/>
      <c r="U302" s="49"/>
      <c r="V302" s="49"/>
      <c r="W302" s="49"/>
      <c r="X302" s="49"/>
      <c r="Y302" s="49"/>
      <c r="Z302" s="49"/>
    </row>
    <row r="303">
      <c r="A303" s="49" t="str">
        <f>IFERROR(__xludf.DUMMYFUNCTION("""COMPUTED_VALUE"""),"---")</f>
        <v>---</v>
      </c>
      <c r="B303" s="49" t="str">
        <f>IFERROR(__xludf.DUMMYFUNCTION("""COMPUTED_VALUE"""),"---")</f>
        <v>---</v>
      </c>
      <c r="C303" s="50" t="str">
        <f>IFERROR(__xludf.DUMMYFUNCTION("""COMPUTED_VALUE"""),"Stock")</f>
        <v>Stock</v>
      </c>
      <c r="D303" s="49"/>
      <c r="E303" s="49"/>
      <c r="F303" s="49"/>
      <c r="G303" s="49" t="str">
        <f>IFERROR(__xludf.DUMMYFUNCTION("""COMPUTED_VALUE"""),"TG white 7")</f>
        <v>TG white 7</v>
      </c>
      <c r="H303" s="52"/>
      <c r="I303" s="49"/>
      <c r="J303" s="51">
        <f>IFERROR(__xludf.DUMMYFUNCTION("""COMPUTED_VALUE"""),46083.0)</f>
        <v>46083</v>
      </c>
      <c r="K303" s="52"/>
      <c r="L303" s="49" t="str">
        <f>IFERROR(__xludf.DUMMYFUNCTION("""COMPUTED_VALUE"""),"Ace")</f>
        <v>Ace</v>
      </c>
      <c r="M303" s="49">
        <f>IFERROR(__xludf.DUMMYFUNCTION("""COMPUTED_VALUE"""),5.00315055E8)</f>
        <v>500315055</v>
      </c>
      <c r="N303" s="53">
        <f>IFERROR(__xludf.DUMMYFUNCTION("""COMPUTED_VALUE"""),0.99)</f>
        <v>0.99</v>
      </c>
      <c r="O303" s="54"/>
      <c r="P303" s="49" t="str">
        <f>IFERROR(__xludf.DUMMYFUNCTION("""COMPUTED_VALUE"""),"na")</f>
        <v>na</v>
      </c>
      <c r="Q303" s="49" t="str">
        <f>IFERROR(__xludf.DUMMYFUNCTION("""COMPUTED_VALUE"""),"na")</f>
        <v>na</v>
      </c>
      <c r="R303" s="49"/>
      <c r="S303" s="49"/>
      <c r="T303" s="49"/>
      <c r="U303" s="49"/>
      <c r="V303" s="49"/>
      <c r="W303" s="49"/>
      <c r="X303" s="49"/>
      <c r="Y303" s="49"/>
      <c r="Z303" s="49"/>
    </row>
    <row r="304">
      <c r="A304" s="49" t="str">
        <f>IFERROR(__xludf.DUMMYFUNCTION("""COMPUTED_VALUE"""),"---")</f>
        <v>---</v>
      </c>
      <c r="B304" s="49" t="str">
        <f>IFERROR(__xludf.DUMMYFUNCTION("""COMPUTED_VALUE"""),"---")</f>
        <v>---</v>
      </c>
      <c r="C304" s="50" t="str">
        <f>IFERROR(__xludf.DUMMYFUNCTION("""COMPUTED_VALUE"""),"Stock")</f>
        <v>Stock</v>
      </c>
      <c r="D304" s="49"/>
      <c r="E304" s="49"/>
      <c r="F304" s="49"/>
      <c r="G304" s="49" t="str">
        <f>IFERROR(__xludf.DUMMYFUNCTION("""COMPUTED_VALUE"""),"TG white 21")</f>
        <v>TG white 21</v>
      </c>
      <c r="H304" s="52"/>
      <c r="I304" s="49"/>
      <c r="J304" s="51">
        <f>IFERROR(__xludf.DUMMYFUNCTION("""COMPUTED_VALUE"""),46083.0)</f>
        <v>46083</v>
      </c>
      <c r="K304" s="52"/>
      <c r="L304" s="49" t="str">
        <f>IFERROR(__xludf.DUMMYFUNCTION("""COMPUTED_VALUE"""),"Ace")</f>
        <v>Ace</v>
      </c>
      <c r="M304" s="49">
        <f>IFERROR(__xludf.DUMMYFUNCTION("""COMPUTED_VALUE"""),5.00315055E8)</f>
        <v>500315055</v>
      </c>
      <c r="N304" s="53">
        <f>IFERROR(__xludf.DUMMYFUNCTION("""COMPUTED_VALUE"""),0.99)</f>
        <v>0.99</v>
      </c>
      <c r="O304" s="54"/>
      <c r="P304" s="49" t="str">
        <f>IFERROR(__xludf.DUMMYFUNCTION("""COMPUTED_VALUE"""),"na")</f>
        <v>na</v>
      </c>
      <c r="Q304" s="49" t="str">
        <f>IFERROR(__xludf.DUMMYFUNCTION("""COMPUTED_VALUE"""),"na")</f>
        <v>na</v>
      </c>
      <c r="R304" s="49"/>
      <c r="S304" s="49"/>
      <c r="T304" s="49"/>
      <c r="U304" s="49"/>
      <c r="V304" s="49"/>
      <c r="W304" s="49"/>
      <c r="X304" s="49"/>
      <c r="Y304" s="49"/>
      <c r="Z304" s="49"/>
    </row>
    <row r="305">
      <c r="A305" s="49" t="str">
        <f>IFERROR(__xludf.DUMMYFUNCTION("""COMPUTED_VALUE"""),"---")</f>
        <v>---</v>
      </c>
      <c r="B305" s="49" t="str">
        <f>IFERROR(__xludf.DUMMYFUNCTION("""COMPUTED_VALUE"""),"---")</f>
        <v>---</v>
      </c>
      <c r="C305" s="50" t="str">
        <f>IFERROR(__xludf.DUMMYFUNCTION("""COMPUTED_VALUE"""),"Stock")</f>
        <v>Stock</v>
      </c>
      <c r="D305" s="49"/>
      <c r="E305" s="49"/>
      <c r="F305" s="49"/>
      <c r="G305" s="49" t="str">
        <f>IFERROR(__xludf.DUMMYFUNCTION("""COMPUTED_VALUE"""),"TG white 23")</f>
        <v>TG white 23</v>
      </c>
      <c r="H305" s="52"/>
      <c r="I305" s="49"/>
      <c r="J305" s="51">
        <f>IFERROR(__xludf.DUMMYFUNCTION("""COMPUTED_VALUE"""),46083.0)</f>
        <v>46083</v>
      </c>
      <c r="K305" s="52"/>
      <c r="L305" s="49" t="str">
        <f>IFERROR(__xludf.DUMMYFUNCTION("""COMPUTED_VALUE"""),"Ace")</f>
        <v>Ace</v>
      </c>
      <c r="M305" s="49">
        <f>IFERROR(__xludf.DUMMYFUNCTION("""COMPUTED_VALUE"""),5.00315055E8)</f>
        <v>500315055</v>
      </c>
      <c r="N305" s="53">
        <f>IFERROR(__xludf.DUMMYFUNCTION("""COMPUTED_VALUE"""),0.99)</f>
        <v>0.99</v>
      </c>
      <c r="O305" s="54"/>
      <c r="P305" s="49" t="str">
        <f>IFERROR(__xludf.DUMMYFUNCTION("""COMPUTED_VALUE"""),"na")</f>
        <v>na</v>
      </c>
      <c r="Q305" s="49" t="str">
        <f>IFERROR(__xludf.DUMMYFUNCTION("""COMPUTED_VALUE"""),"na")</f>
        <v>na</v>
      </c>
      <c r="R305" s="49"/>
      <c r="S305" s="49"/>
      <c r="T305" s="49"/>
      <c r="U305" s="49"/>
      <c r="V305" s="49"/>
      <c r="W305" s="49"/>
      <c r="X305" s="49"/>
      <c r="Y305" s="49"/>
      <c r="Z305" s="49"/>
    </row>
    <row r="306">
      <c r="A306" s="49" t="str">
        <f>IFERROR(__xludf.DUMMYFUNCTION("""COMPUTED_VALUE"""),"---")</f>
        <v>---</v>
      </c>
      <c r="B306" s="49" t="str">
        <f>IFERROR(__xludf.DUMMYFUNCTION("""COMPUTED_VALUE"""),"---")</f>
        <v>---</v>
      </c>
      <c r="C306" s="50" t="str">
        <f>IFERROR(__xludf.DUMMYFUNCTION("""COMPUTED_VALUE"""),"Stock")</f>
        <v>Stock</v>
      </c>
      <c r="D306" s="49"/>
      <c r="E306" s="49"/>
      <c r="F306" s="49"/>
      <c r="G306" s="49" t="str">
        <f>IFERROR(__xludf.DUMMYFUNCTION("""COMPUTED_VALUE"""),"TG white 45")</f>
        <v>TG white 45</v>
      </c>
      <c r="H306" s="52"/>
      <c r="I306" s="49"/>
      <c r="J306" s="51">
        <f>IFERROR(__xludf.DUMMYFUNCTION("""COMPUTED_VALUE"""),46083.0)</f>
        <v>46083</v>
      </c>
      <c r="K306" s="52"/>
      <c r="L306" s="49" t="str">
        <f>IFERROR(__xludf.DUMMYFUNCTION("""COMPUTED_VALUE"""),"Ace")</f>
        <v>Ace</v>
      </c>
      <c r="M306" s="49">
        <f>IFERROR(__xludf.DUMMYFUNCTION("""COMPUTED_VALUE"""),5.00315055E8)</f>
        <v>500315055</v>
      </c>
      <c r="N306" s="53">
        <f>IFERROR(__xludf.DUMMYFUNCTION("""COMPUTED_VALUE"""),0.99)</f>
        <v>0.99</v>
      </c>
      <c r="O306" s="54"/>
      <c r="P306" s="49" t="str">
        <f>IFERROR(__xludf.DUMMYFUNCTION("""COMPUTED_VALUE"""),"na")</f>
        <v>na</v>
      </c>
      <c r="Q306" s="49" t="str">
        <f>IFERROR(__xludf.DUMMYFUNCTION("""COMPUTED_VALUE"""),"na")</f>
        <v>na</v>
      </c>
      <c r="R306" s="49"/>
      <c r="S306" s="49"/>
      <c r="T306" s="49"/>
      <c r="U306" s="49"/>
      <c r="V306" s="49"/>
      <c r="W306" s="49"/>
      <c r="X306" s="49"/>
      <c r="Y306" s="49"/>
      <c r="Z306" s="49"/>
    </row>
    <row r="307">
      <c r="A307" s="49" t="str">
        <f>IFERROR(__xludf.DUMMYFUNCTION("""COMPUTED_VALUE"""),"---")</f>
        <v>---</v>
      </c>
      <c r="B307" s="49" t="str">
        <f>IFERROR(__xludf.DUMMYFUNCTION("""COMPUTED_VALUE"""),"---")</f>
        <v>---</v>
      </c>
      <c r="C307" s="50" t="str">
        <f>IFERROR(__xludf.DUMMYFUNCTION("""COMPUTED_VALUE"""),"Stock")</f>
        <v>Stock</v>
      </c>
      <c r="D307" s="49"/>
      <c r="E307" s="49"/>
      <c r="F307" s="49"/>
      <c r="G307" s="49" t="str">
        <f>IFERROR(__xludf.DUMMYFUNCTION("""COMPUTED_VALUE"""),"TG white 49")</f>
        <v>TG white 49</v>
      </c>
      <c r="H307" s="52"/>
      <c r="I307" s="49"/>
      <c r="J307" s="51">
        <f>IFERROR(__xludf.DUMMYFUNCTION("""COMPUTED_VALUE"""),46083.0)</f>
        <v>46083</v>
      </c>
      <c r="K307" s="52"/>
      <c r="L307" s="49" t="str">
        <f>IFERROR(__xludf.DUMMYFUNCTION("""COMPUTED_VALUE"""),"Ace")</f>
        <v>Ace</v>
      </c>
      <c r="M307" s="49">
        <f>IFERROR(__xludf.DUMMYFUNCTION("""COMPUTED_VALUE"""),5.00315055E8)</f>
        <v>500315055</v>
      </c>
      <c r="N307" s="53">
        <f>IFERROR(__xludf.DUMMYFUNCTION("""COMPUTED_VALUE"""),0.99)</f>
        <v>0.99</v>
      </c>
      <c r="O307" s="54"/>
      <c r="P307" s="49" t="str">
        <f>IFERROR(__xludf.DUMMYFUNCTION("""COMPUTED_VALUE"""),"na")</f>
        <v>na</v>
      </c>
      <c r="Q307" s="49" t="str">
        <f>IFERROR(__xludf.DUMMYFUNCTION("""COMPUTED_VALUE"""),"na")</f>
        <v>na</v>
      </c>
      <c r="R307" s="49"/>
      <c r="S307" s="49"/>
      <c r="T307" s="49"/>
      <c r="U307" s="49"/>
      <c r="V307" s="49"/>
      <c r="W307" s="49"/>
      <c r="X307" s="49"/>
      <c r="Y307" s="49"/>
      <c r="Z307" s="49"/>
    </row>
    <row r="308">
      <c r="A308" s="49" t="str">
        <f>IFERROR(__xludf.DUMMYFUNCTION("""COMPUTED_VALUE"""),"---")</f>
        <v>---</v>
      </c>
      <c r="B308" s="49" t="str">
        <f>IFERROR(__xludf.DUMMYFUNCTION("""COMPUTED_VALUE"""),"---")</f>
        <v>---</v>
      </c>
      <c r="C308" s="50" t="str">
        <f>IFERROR(__xludf.DUMMYFUNCTION("""COMPUTED_VALUE"""),"Stock")</f>
        <v>Stock</v>
      </c>
      <c r="D308" s="49"/>
      <c r="E308" s="49" t="str">
        <f>IFERROR(__xludf.DUMMYFUNCTION("""COMPUTED_VALUE"""),"Valley")</f>
        <v>Valley</v>
      </c>
      <c r="F308" s="49" t="str">
        <f>IFERROR(__xludf.DUMMYFUNCTION("""COMPUTED_VALUE"""),"Valley")</f>
        <v>Valley</v>
      </c>
      <c r="G308" s="49" t="str">
        <f>IFERROR(__xludf.DUMMYFUNCTION("""COMPUTED_VALUE"""),"Wristmaster II RH M")</f>
        <v>Wristmaster II RH M</v>
      </c>
      <c r="H308" s="52"/>
      <c r="I308" s="49"/>
      <c r="J308" s="51">
        <f>IFERROR(__xludf.DUMMYFUNCTION("""COMPUTED_VALUE"""),46083.0)</f>
        <v>46083</v>
      </c>
      <c r="K308" s="52"/>
      <c r="L308" s="49" t="str">
        <f>IFERROR(__xludf.DUMMYFUNCTION("""COMPUTED_VALUE"""),"Ace")</f>
        <v>Ace</v>
      </c>
      <c r="M308" s="49">
        <f>IFERROR(__xludf.DUMMYFUNCTION("""COMPUTED_VALUE"""),5.00315055E8)</f>
        <v>500315055</v>
      </c>
      <c r="N308" s="53">
        <f>IFERROR(__xludf.DUMMYFUNCTION("""COMPUTED_VALUE"""),16.92)</f>
        <v>16.92</v>
      </c>
      <c r="O308" s="54"/>
      <c r="P308" s="49" t="str">
        <f>IFERROR(__xludf.DUMMYFUNCTION("""COMPUTED_VALUE"""),"na")</f>
        <v>na</v>
      </c>
      <c r="Q308" s="49" t="str">
        <f>IFERROR(__xludf.DUMMYFUNCTION("""COMPUTED_VALUE"""),"na")</f>
        <v>na</v>
      </c>
      <c r="R308" s="49"/>
      <c r="S308" s="49"/>
      <c r="T308" s="49"/>
      <c r="U308" s="49"/>
      <c r="V308" s="49"/>
      <c r="W308" s="49"/>
      <c r="X308" s="49"/>
      <c r="Y308" s="49"/>
      <c r="Z308" s="49"/>
    </row>
    <row r="309">
      <c r="A309" s="49" t="str">
        <f>IFERROR(__xludf.DUMMYFUNCTION("""COMPUTED_VALUE"""),"---")</f>
        <v>---</v>
      </c>
      <c r="B309" s="49" t="str">
        <f>IFERROR(__xludf.DUMMYFUNCTION("""COMPUTED_VALUE"""),"---")</f>
        <v>---</v>
      </c>
      <c r="C309" s="50" t="str">
        <f>IFERROR(__xludf.DUMMYFUNCTION("""COMPUTED_VALUE"""),"Stock")</f>
        <v>Stock</v>
      </c>
      <c r="D309" s="49"/>
      <c r="E309" s="49"/>
      <c r="F309" s="49"/>
      <c r="G309" s="49" t="str">
        <f>IFERROR(__xludf.DUMMYFUNCTION("""COMPUTED_VALUE"""),"JoPo removal tool")</f>
        <v>JoPo removal tool</v>
      </c>
      <c r="H309" s="52"/>
      <c r="I309" s="49"/>
      <c r="J309" s="51">
        <f>IFERROR(__xludf.DUMMYFUNCTION("""COMPUTED_VALUE"""),46083.0)</f>
        <v>46083</v>
      </c>
      <c r="K309" s="52"/>
      <c r="L309" s="49" t="str">
        <f>IFERROR(__xludf.DUMMYFUNCTION("""COMPUTED_VALUE"""),"Ace")</f>
        <v>Ace</v>
      </c>
      <c r="M309" s="49">
        <f>IFERROR(__xludf.DUMMYFUNCTION("""COMPUTED_VALUE"""),5.00315055E8)</f>
        <v>500315055</v>
      </c>
      <c r="N309" s="53">
        <f>IFERROR(__xludf.DUMMYFUNCTION("""COMPUTED_VALUE"""),9.86)</f>
        <v>9.86</v>
      </c>
      <c r="O309" s="54"/>
      <c r="P309" s="49" t="str">
        <f>IFERROR(__xludf.DUMMYFUNCTION("""COMPUTED_VALUE"""),"na")</f>
        <v>na</v>
      </c>
      <c r="Q309" s="49" t="str">
        <f>IFERROR(__xludf.DUMMYFUNCTION("""COMPUTED_VALUE"""),"na")</f>
        <v>na</v>
      </c>
      <c r="R309" s="49"/>
      <c r="S309" s="49"/>
      <c r="T309" s="49"/>
      <c r="U309" s="49"/>
      <c r="V309" s="49"/>
      <c r="W309" s="49"/>
      <c r="X309" s="49"/>
      <c r="Y309" s="49"/>
      <c r="Z309" s="49"/>
    </row>
    <row r="310">
      <c r="A310" s="49" t="str">
        <f>IFERROR(__xludf.DUMMYFUNCTION("""COMPUTED_VALUE"""),"---")</f>
        <v>---</v>
      </c>
      <c r="B310" s="49" t="str">
        <f>IFERROR(__xludf.DUMMYFUNCTION("""COMPUTED_VALUE"""),"---")</f>
        <v>---</v>
      </c>
      <c r="C310" s="50" t="str">
        <f>IFERROR(__xludf.DUMMYFUNCTION("""COMPUTED_VALUE"""),"Stock")</f>
        <v>Stock</v>
      </c>
      <c r="D310" s="49"/>
      <c r="E310" s="49"/>
      <c r="F310" s="49"/>
      <c r="G310" s="49" t="str">
        <f>IFERROR(__xludf.DUMMYFUNCTION("""COMPUTED_VALUE"""),"JoPo Outer sleeves")</f>
        <v>JoPo Outer sleeves</v>
      </c>
      <c r="H310" s="52"/>
      <c r="I310" s="49"/>
      <c r="J310" s="51">
        <f>IFERROR(__xludf.DUMMYFUNCTION("""COMPUTED_VALUE"""),46083.0)</f>
        <v>46083</v>
      </c>
      <c r="K310" s="52"/>
      <c r="L310" s="49" t="str">
        <f>IFERROR(__xludf.DUMMYFUNCTION("""COMPUTED_VALUE"""),"Ace")</f>
        <v>Ace</v>
      </c>
      <c r="M310" s="49">
        <f>IFERROR(__xludf.DUMMYFUNCTION("""COMPUTED_VALUE"""),5.00315055E8)</f>
        <v>500315055</v>
      </c>
      <c r="N310" s="53">
        <f>IFERROR(__xludf.DUMMYFUNCTION("""COMPUTED_VALUE"""),8.04)</f>
        <v>8.04</v>
      </c>
      <c r="O310" s="54"/>
      <c r="P310" s="49" t="str">
        <f>IFERROR(__xludf.DUMMYFUNCTION("""COMPUTED_VALUE"""),"na")</f>
        <v>na</v>
      </c>
      <c r="Q310" s="49" t="str">
        <f>IFERROR(__xludf.DUMMYFUNCTION("""COMPUTED_VALUE"""),"na")</f>
        <v>na</v>
      </c>
      <c r="R310" s="49"/>
      <c r="S310" s="49"/>
      <c r="T310" s="49"/>
      <c r="U310" s="49"/>
      <c r="V310" s="49"/>
      <c r="W310" s="49"/>
      <c r="X310" s="49"/>
      <c r="Y310" s="49"/>
      <c r="Z310" s="49"/>
    </row>
    <row r="311">
      <c r="A311" s="49" t="str">
        <f>IFERROR(__xludf.DUMMYFUNCTION("""COMPUTED_VALUE"""),"---")</f>
        <v>---</v>
      </c>
      <c r="B311" s="49" t="str">
        <f>IFERROR(__xludf.DUMMYFUNCTION("""COMPUTED_VALUE"""),"---")</f>
        <v>---</v>
      </c>
      <c r="C311" s="50" t="str">
        <f>IFERROR(__xludf.DUMMYFUNCTION("""COMPUTED_VALUE"""),"Richie lei")</f>
        <v>Richie lei</v>
      </c>
      <c r="D311" s="49"/>
      <c r="E311" s="49"/>
      <c r="F311" s="49"/>
      <c r="G311" s="49" t="str">
        <f>IFERROR(__xludf.DUMMYFUNCTION("""COMPUTED_VALUE"""),"Storm Bionic 15 lb")</f>
        <v>Storm Bionic 15 lb</v>
      </c>
      <c r="H311" s="52"/>
      <c r="I311" s="49"/>
      <c r="J311" s="51">
        <f>IFERROR(__xludf.DUMMYFUNCTION("""COMPUTED_VALUE"""),46083.0)</f>
        <v>46083</v>
      </c>
      <c r="K311" s="52"/>
      <c r="L311" s="49" t="str">
        <f>IFERROR(__xludf.DUMMYFUNCTION("""COMPUTED_VALUE"""),"B Supply")</f>
        <v>B Supply</v>
      </c>
      <c r="M311" s="49">
        <f>IFERROR(__xludf.DUMMYFUNCTION("""COMPUTED_VALUE"""),525240.0)</f>
        <v>525240</v>
      </c>
      <c r="N311" s="53">
        <f>IFERROR(__xludf.DUMMYFUNCTION("""COMPUTED_VALUE"""),144.35)</f>
        <v>144.35</v>
      </c>
      <c r="O311" s="54">
        <f>IFERROR(__xludf.DUMMYFUNCTION("""COMPUTED_VALUE"""),672726.0)</f>
        <v>672726</v>
      </c>
      <c r="P311" s="49" t="str">
        <f>IFERROR(__xludf.DUMMYFUNCTION("""COMPUTED_VALUE"""),"Y")</f>
        <v>Y</v>
      </c>
      <c r="Q311" s="49" t="str">
        <f>IFERROR(__xludf.DUMMYFUNCTION("""COMPUTED_VALUE"""),"Y")</f>
        <v>Y</v>
      </c>
      <c r="R311" s="49"/>
      <c r="S311" s="49"/>
      <c r="T311" s="49"/>
      <c r="U311" s="49"/>
      <c r="V311" s="49"/>
      <c r="W311" s="49"/>
      <c r="X311" s="49"/>
      <c r="Y311" s="49"/>
      <c r="Z311" s="49"/>
    </row>
    <row r="312">
      <c r="A312" s="49" t="str">
        <f>IFERROR(__xludf.DUMMYFUNCTION("""COMPUTED_VALUE"""),"---")</f>
        <v>---</v>
      </c>
      <c r="B312" s="49" t="str">
        <f>IFERROR(__xludf.DUMMYFUNCTION("""COMPUTED_VALUE"""),"---")</f>
        <v>---</v>
      </c>
      <c r="C312" s="50" t="str">
        <f>IFERROR(__xludf.DUMMYFUNCTION("""COMPUTED_VALUE"""),"Debra Barno")</f>
        <v>Debra Barno</v>
      </c>
      <c r="D312" s="49"/>
      <c r="E312" s="49" t="str">
        <f>IFERROR(__xludf.DUMMYFUNCTION("""COMPUTED_VALUE"""),"Valley")</f>
        <v>Valley</v>
      </c>
      <c r="F312" s="49" t="str">
        <f>IFERROR(__xludf.DUMMYFUNCTION("""COMPUTED_VALUE"""),"Valley")</f>
        <v>Valley</v>
      </c>
      <c r="G312" s="49" t="str">
        <f>IFERROR(__xludf.DUMMYFUNCTION("""COMPUTED_VALUE"""),"Brunswick Twist sky blue/pink/snow 10 lb")</f>
        <v>Brunswick Twist sky blue/pink/snow 10 lb</v>
      </c>
      <c r="H312" s="52"/>
      <c r="I312" s="49"/>
      <c r="J312" s="51">
        <f>IFERROR(__xludf.DUMMYFUNCTION("""COMPUTED_VALUE"""),46083.0)</f>
        <v>46083</v>
      </c>
      <c r="K312" s="52"/>
      <c r="L312" s="49" t="str">
        <f>IFERROR(__xludf.DUMMYFUNCTION("""COMPUTED_VALUE"""),"B Supply")</f>
        <v>B Supply</v>
      </c>
      <c r="M312" s="49">
        <f>IFERROR(__xludf.DUMMYFUNCTION("""COMPUTED_VALUE"""),525240.0)</f>
        <v>525240</v>
      </c>
      <c r="N312" s="53">
        <f>IFERROR(__xludf.DUMMYFUNCTION("""COMPUTED_VALUE"""),60.8)</f>
        <v>60.8</v>
      </c>
      <c r="O312" s="54">
        <f>IFERROR(__xludf.DUMMYFUNCTION("""COMPUTED_VALUE"""),672726.0)</f>
        <v>672726</v>
      </c>
      <c r="P312" s="49" t="str">
        <f>IFERROR(__xludf.DUMMYFUNCTION("""COMPUTED_VALUE"""),"Y")</f>
        <v>Y</v>
      </c>
      <c r="Q312" s="49" t="str">
        <f>IFERROR(__xludf.DUMMYFUNCTION("""COMPUTED_VALUE"""),"Y")</f>
        <v>Y</v>
      </c>
      <c r="R312" s="49"/>
      <c r="S312" s="49"/>
      <c r="T312" s="49"/>
      <c r="U312" s="49"/>
      <c r="V312" s="49"/>
      <c r="W312" s="49"/>
      <c r="X312" s="49"/>
      <c r="Y312" s="49"/>
      <c r="Z312" s="49"/>
    </row>
    <row r="313">
      <c r="A313" s="49" t="str">
        <f>IFERROR(__xludf.DUMMYFUNCTION("""COMPUTED_VALUE"""),"---")</f>
        <v>---</v>
      </c>
      <c r="B313" s="49" t="str">
        <f>IFERROR(__xludf.DUMMYFUNCTION("""COMPUTED_VALUE"""),"---")</f>
        <v>---</v>
      </c>
      <c r="C313" s="50" t="str">
        <f>IFERROR(__xludf.DUMMYFUNCTION("""COMPUTED_VALUE"""),"Michael Dinning")</f>
        <v>Michael Dinning</v>
      </c>
      <c r="D313" s="49">
        <f>IFERROR(__xludf.DUMMYFUNCTION("""COMPUTED_VALUE"""),5.707024266E9)</f>
        <v>5707024266</v>
      </c>
      <c r="E313" s="49" t="str">
        <f>IFERROR(__xludf.DUMMYFUNCTION("""COMPUTED_VALUE"""),"Valley")</f>
        <v>Valley</v>
      </c>
      <c r="F313" s="49" t="str">
        <f>IFERROR(__xludf.DUMMYFUNCTION("""COMPUTED_VALUE"""),"Valley")</f>
        <v>Valley</v>
      </c>
      <c r="G313" s="49" t="str">
        <f>IFERROR(__xludf.DUMMYFUNCTION("""COMPUTED_VALUE"""),"Storm Concept - 15 lbs")</f>
        <v>Storm Concept - 15 lbs</v>
      </c>
      <c r="H313" s="52"/>
      <c r="I313" s="49"/>
      <c r="J313" s="51">
        <f>IFERROR(__xludf.DUMMYFUNCTION("""COMPUTED_VALUE"""),46083.0)</f>
        <v>46083</v>
      </c>
      <c r="K313" s="52"/>
      <c r="L313" s="49" t="str">
        <f>IFERROR(__xludf.DUMMYFUNCTION("""COMPUTED_VALUE"""),"B Supply")</f>
        <v>B Supply</v>
      </c>
      <c r="M313" s="49">
        <f>IFERROR(__xludf.DUMMYFUNCTION("""COMPUTED_VALUE"""),525240.0)</f>
        <v>525240</v>
      </c>
      <c r="N313" s="53">
        <f>IFERROR(__xludf.DUMMYFUNCTION("""COMPUTED_VALUE"""),150.01)</f>
        <v>150.01</v>
      </c>
      <c r="O313" s="54">
        <f>IFERROR(__xludf.DUMMYFUNCTION("""COMPUTED_VALUE"""),672726.0)</f>
        <v>672726</v>
      </c>
      <c r="P313" s="49" t="str">
        <f>IFERROR(__xludf.DUMMYFUNCTION("""COMPUTED_VALUE"""),"Y")</f>
        <v>Y</v>
      </c>
      <c r="Q313" s="49" t="str">
        <f>IFERROR(__xludf.DUMMYFUNCTION("""COMPUTED_VALUE"""),"Y")</f>
        <v>Y</v>
      </c>
      <c r="R313" s="49"/>
      <c r="S313" s="49"/>
      <c r="T313" s="49"/>
      <c r="U313" s="49"/>
      <c r="V313" s="49"/>
      <c r="W313" s="49"/>
      <c r="X313" s="49"/>
      <c r="Y313" s="49"/>
      <c r="Z313" s="49"/>
    </row>
    <row r="314">
      <c r="A314" s="49" t="str">
        <f>IFERROR(__xludf.DUMMYFUNCTION("""COMPUTED_VALUE"""),"---")</f>
        <v>---</v>
      </c>
      <c r="B314" s="49" t="str">
        <f>IFERROR(__xludf.DUMMYFUNCTION("""COMPUTED_VALUE"""),"---")</f>
        <v>---</v>
      </c>
      <c r="C314" s="50" t="str">
        <f>IFERROR(__xludf.DUMMYFUNCTION("""COMPUTED_VALUE"""),"Stock")</f>
        <v>Stock</v>
      </c>
      <c r="D314" s="49"/>
      <c r="E314" s="49" t="str">
        <f>IFERROR(__xludf.DUMMYFUNCTION("""COMPUTED_VALUE"""),"Valley")</f>
        <v>Valley</v>
      </c>
      <c r="F314" s="49" t="str">
        <f>IFERROR(__xludf.DUMMYFUNCTION("""COMPUTED_VALUE"""),"Valley")</f>
        <v>Valley</v>
      </c>
      <c r="G314" s="49" t="str">
        <f>IFERROR(__xludf.DUMMYFUNCTION("""COMPUTED_VALUE"""),"Brunswick Move size 8.5")</f>
        <v>Brunswick Move size 8.5</v>
      </c>
      <c r="H314" s="52"/>
      <c r="I314" s="49"/>
      <c r="J314" s="51">
        <f>IFERROR(__xludf.DUMMYFUNCTION("""COMPUTED_VALUE"""),46083.0)</f>
        <v>46083</v>
      </c>
      <c r="K314" s="52"/>
      <c r="L314" s="49" t="str">
        <f>IFERROR(__xludf.DUMMYFUNCTION("""COMPUTED_VALUE"""),"B Supply")</f>
        <v>B Supply</v>
      </c>
      <c r="M314" s="49">
        <f>IFERROR(__xludf.DUMMYFUNCTION("""COMPUTED_VALUE"""),525240.0)</f>
        <v>525240</v>
      </c>
      <c r="N314" s="53">
        <f>IFERROR(__xludf.DUMMYFUNCTION("""COMPUTED_VALUE"""),42.47)</f>
        <v>42.47</v>
      </c>
      <c r="O314" s="54">
        <f>IFERROR(__xludf.DUMMYFUNCTION("""COMPUTED_VALUE"""),672726.0)</f>
        <v>672726</v>
      </c>
      <c r="P314" s="49" t="str">
        <f>IFERROR(__xludf.DUMMYFUNCTION("""COMPUTED_VALUE"""),"na")</f>
        <v>na</v>
      </c>
      <c r="Q314" s="49" t="str">
        <f>IFERROR(__xludf.DUMMYFUNCTION("""COMPUTED_VALUE"""),"na")</f>
        <v>na</v>
      </c>
      <c r="R314" s="49"/>
      <c r="S314" s="49"/>
      <c r="T314" s="49"/>
      <c r="U314" s="49"/>
      <c r="V314" s="49"/>
      <c r="W314" s="49"/>
      <c r="X314" s="49"/>
      <c r="Y314" s="49"/>
      <c r="Z314" s="49"/>
    </row>
    <row r="315">
      <c r="A315" s="49" t="str">
        <f>IFERROR(__xludf.DUMMYFUNCTION("""COMPUTED_VALUE"""),"---")</f>
        <v>---</v>
      </c>
      <c r="B315" s="49" t="str">
        <f>IFERROR(__xludf.DUMMYFUNCTION("""COMPUTED_VALUE"""),"---")</f>
        <v>---</v>
      </c>
      <c r="C315" s="50" t="str">
        <f>IFERROR(__xludf.DUMMYFUNCTION("""COMPUTED_VALUE"""),"Stock")</f>
        <v>Stock</v>
      </c>
      <c r="D315" s="49"/>
      <c r="E315" s="49" t="str">
        <f>IFERROR(__xludf.DUMMYFUNCTION("""COMPUTED_VALUE"""),"South")</f>
        <v>South</v>
      </c>
      <c r="F315" s="49" t="str">
        <f>IFERROR(__xludf.DUMMYFUNCTION("""COMPUTED_VALUE"""),"South")</f>
        <v>South</v>
      </c>
      <c r="G315" s="49" t="str">
        <f>IFERROR(__xludf.DUMMYFUNCTION("""COMPUTED_VALUE"""),"Brunswick Prism size 13")</f>
        <v>Brunswick Prism size 13</v>
      </c>
      <c r="H315" s="52"/>
      <c r="I315" s="49"/>
      <c r="J315" s="51">
        <f>IFERROR(__xludf.DUMMYFUNCTION("""COMPUTED_VALUE"""),46083.0)</f>
        <v>46083</v>
      </c>
      <c r="K315" s="52"/>
      <c r="L315" s="49" t="str">
        <f>IFERROR(__xludf.DUMMYFUNCTION("""COMPUTED_VALUE"""),"B Supply")</f>
        <v>B Supply</v>
      </c>
      <c r="M315" s="49">
        <f>IFERROR(__xludf.DUMMYFUNCTION("""COMPUTED_VALUE"""),525240.0)</f>
        <v>525240</v>
      </c>
      <c r="N315" s="53">
        <f>IFERROR(__xludf.DUMMYFUNCTION("""COMPUTED_VALUE"""),42.47)</f>
        <v>42.47</v>
      </c>
      <c r="O315" s="54">
        <f>IFERROR(__xludf.DUMMYFUNCTION("""COMPUTED_VALUE"""),672726.0)</f>
        <v>672726</v>
      </c>
      <c r="P315" s="49" t="str">
        <f>IFERROR(__xludf.DUMMYFUNCTION("""COMPUTED_VALUE"""),"na")</f>
        <v>na</v>
      </c>
      <c r="Q315" s="49" t="str">
        <f>IFERROR(__xludf.DUMMYFUNCTION("""COMPUTED_VALUE"""),"na")</f>
        <v>na</v>
      </c>
      <c r="R315" s="49"/>
      <c r="S315" s="49"/>
      <c r="T315" s="49"/>
      <c r="U315" s="49"/>
      <c r="V315" s="49"/>
      <c r="W315" s="49"/>
      <c r="X315" s="49"/>
      <c r="Y315" s="49"/>
      <c r="Z315" s="49"/>
    </row>
    <row r="316">
      <c r="A316" s="49" t="str">
        <f>IFERROR(__xludf.DUMMYFUNCTION("""COMPUTED_VALUE"""),"---")</f>
        <v>---</v>
      </c>
      <c r="B316" s="49" t="str">
        <f>IFERROR(__xludf.DUMMYFUNCTION("""COMPUTED_VALUE"""),"---")</f>
        <v>---</v>
      </c>
      <c r="C316" s="50" t="str">
        <f>IFERROR(__xludf.DUMMYFUNCTION("""COMPUTED_VALUE"""),"Stock")</f>
        <v>Stock</v>
      </c>
      <c r="D316" s="49"/>
      <c r="E316" s="49" t="str">
        <f>IFERROR(__xludf.DUMMYFUNCTION("""COMPUTED_VALUE"""),"Valley")</f>
        <v>Valley</v>
      </c>
      <c r="F316" s="49" t="str">
        <f>IFERROR(__xludf.DUMMYFUNCTION("""COMPUTED_VALUE"""),"Valley")</f>
        <v>Valley</v>
      </c>
      <c r="G316" s="49" t="str">
        <f>IFERROR(__xludf.DUMMYFUNCTION("""COMPUTED_VALUE"""),"Brunswick Prism size 12")</f>
        <v>Brunswick Prism size 12</v>
      </c>
      <c r="H316" s="52"/>
      <c r="I316" s="49"/>
      <c r="J316" s="51">
        <f>IFERROR(__xludf.DUMMYFUNCTION("""COMPUTED_VALUE"""),46083.0)</f>
        <v>46083</v>
      </c>
      <c r="K316" s="52"/>
      <c r="L316" s="49" t="str">
        <f>IFERROR(__xludf.DUMMYFUNCTION("""COMPUTED_VALUE"""),"B Supply")</f>
        <v>B Supply</v>
      </c>
      <c r="M316" s="49">
        <f>IFERROR(__xludf.DUMMYFUNCTION("""COMPUTED_VALUE"""),525240.0)</f>
        <v>525240</v>
      </c>
      <c r="N316" s="53">
        <f>IFERROR(__xludf.DUMMYFUNCTION("""COMPUTED_VALUE"""),42.47)</f>
        <v>42.47</v>
      </c>
      <c r="O316" s="54">
        <f>IFERROR(__xludf.DUMMYFUNCTION("""COMPUTED_VALUE"""),672726.0)</f>
        <v>672726</v>
      </c>
      <c r="P316" s="49" t="str">
        <f>IFERROR(__xludf.DUMMYFUNCTION("""COMPUTED_VALUE"""),"na")</f>
        <v>na</v>
      </c>
      <c r="Q316" s="49" t="str">
        <f>IFERROR(__xludf.DUMMYFUNCTION("""COMPUTED_VALUE"""),"na")</f>
        <v>na</v>
      </c>
      <c r="R316" s="49"/>
      <c r="S316" s="49"/>
      <c r="T316" s="49"/>
      <c r="U316" s="49"/>
      <c r="V316" s="49"/>
      <c r="W316" s="49"/>
      <c r="X316" s="49"/>
      <c r="Y316" s="49"/>
      <c r="Z316" s="49"/>
    </row>
    <row r="317">
      <c r="A317" s="49" t="str">
        <f>IFERROR(__xludf.DUMMYFUNCTION("""COMPUTED_VALUE"""),"---")</f>
        <v>---</v>
      </c>
      <c r="B317" s="49" t="str">
        <f>IFERROR(__xludf.DUMMYFUNCTION("""COMPUTED_VALUE"""),"---")</f>
        <v>---</v>
      </c>
      <c r="C317" s="50" t="str">
        <f>IFERROR(__xludf.DUMMYFUNCTION("""COMPUTED_VALUE"""),"Stock")</f>
        <v>Stock</v>
      </c>
      <c r="D317" s="49"/>
      <c r="E317" s="49" t="str">
        <f>IFERROR(__xludf.DUMMYFUNCTION("""COMPUTED_VALUE"""),"South")</f>
        <v>South</v>
      </c>
      <c r="F317" s="49" t="str">
        <f>IFERROR(__xludf.DUMMYFUNCTION("""COMPUTED_VALUE"""),"South")</f>
        <v>South</v>
      </c>
      <c r="G317" s="49" t="str">
        <f>IFERROR(__xludf.DUMMYFUNCTION("""COMPUTED_VALUE"""),"Brunswick Prism size 11")</f>
        <v>Brunswick Prism size 11</v>
      </c>
      <c r="H317" s="52"/>
      <c r="I317" s="49"/>
      <c r="J317" s="51">
        <f>IFERROR(__xludf.DUMMYFUNCTION("""COMPUTED_VALUE"""),46083.0)</f>
        <v>46083</v>
      </c>
      <c r="K317" s="52"/>
      <c r="L317" s="49" t="str">
        <f>IFERROR(__xludf.DUMMYFUNCTION("""COMPUTED_VALUE"""),"B Supply")</f>
        <v>B Supply</v>
      </c>
      <c r="M317" s="49">
        <f>IFERROR(__xludf.DUMMYFUNCTION("""COMPUTED_VALUE"""),525240.0)</f>
        <v>525240</v>
      </c>
      <c r="N317" s="53">
        <f>IFERROR(__xludf.DUMMYFUNCTION("""COMPUTED_VALUE"""),42.47)</f>
        <v>42.47</v>
      </c>
      <c r="O317" s="54">
        <f>IFERROR(__xludf.DUMMYFUNCTION("""COMPUTED_VALUE"""),672726.0)</f>
        <v>672726</v>
      </c>
      <c r="P317" s="49" t="str">
        <f>IFERROR(__xludf.DUMMYFUNCTION("""COMPUTED_VALUE"""),"na")</f>
        <v>na</v>
      </c>
      <c r="Q317" s="49" t="str">
        <f>IFERROR(__xludf.DUMMYFUNCTION("""COMPUTED_VALUE"""),"na")</f>
        <v>na</v>
      </c>
      <c r="R317" s="49"/>
      <c r="S317" s="49"/>
      <c r="T317" s="49"/>
      <c r="U317" s="49"/>
      <c r="V317" s="49"/>
      <c r="W317" s="49"/>
      <c r="X317" s="49"/>
      <c r="Y317" s="49"/>
      <c r="Z317" s="49"/>
    </row>
    <row r="318">
      <c r="A318" s="49" t="str">
        <f>IFERROR(__xludf.DUMMYFUNCTION("""COMPUTED_VALUE"""),"---")</f>
        <v>---</v>
      </c>
      <c r="B318" s="49" t="str">
        <f>IFERROR(__xludf.DUMMYFUNCTION("""COMPUTED_VALUE"""),"---")</f>
        <v>---</v>
      </c>
      <c r="C318" s="50" t="str">
        <f>IFERROR(__xludf.DUMMYFUNCTION("""COMPUTED_VALUE"""),"Stock")</f>
        <v>Stock</v>
      </c>
      <c r="D318" s="49"/>
      <c r="E318" s="49" t="str">
        <f>IFERROR(__xludf.DUMMYFUNCTION("""COMPUTED_VALUE"""),"South")</f>
        <v>South</v>
      </c>
      <c r="F318" s="49" t="str">
        <f>IFERROR(__xludf.DUMMYFUNCTION("""COMPUTED_VALUE"""),"South")</f>
        <v>South</v>
      </c>
      <c r="G318" s="49" t="str">
        <f>IFERROR(__xludf.DUMMYFUNCTION("""COMPUTED_VALUE"""),"Brunswick Prism size 11.5")</f>
        <v>Brunswick Prism size 11.5</v>
      </c>
      <c r="H318" s="52"/>
      <c r="I318" s="49"/>
      <c r="J318" s="51">
        <f>IFERROR(__xludf.DUMMYFUNCTION("""COMPUTED_VALUE"""),46083.0)</f>
        <v>46083</v>
      </c>
      <c r="K318" s="52"/>
      <c r="L318" s="49" t="str">
        <f>IFERROR(__xludf.DUMMYFUNCTION("""COMPUTED_VALUE"""),"B Supply")</f>
        <v>B Supply</v>
      </c>
      <c r="M318" s="49">
        <f>IFERROR(__xludf.DUMMYFUNCTION("""COMPUTED_VALUE"""),525240.0)</f>
        <v>525240</v>
      </c>
      <c r="N318" s="53">
        <f>IFERROR(__xludf.DUMMYFUNCTION("""COMPUTED_VALUE"""),42.47)</f>
        <v>42.47</v>
      </c>
      <c r="O318" s="54">
        <f>IFERROR(__xludf.DUMMYFUNCTION("""COMPUTED_VALUE"""),672726.0)</f>
        <v>672726</v>
      </c>
      <c r="P318" s="49" t="str">
        <f>IFERROR(__xludf.DUMMYFUNCTION("""COMPUTED_VALUE"""),"na")</f>
        <v>na</v>
      </c>
      <c r="Q318" s="49" t="str">
        <f>IFERROR(__xludf.DUMMYFUNCTION("""COMPUTED_VALUE"""),"na")</f>
        <v>na</v>
      </c>
      <c r="R318" s="49"/>
      <c r="S318" s="49"/>
      <c r="T318" s="49"/>
      <c r="U318" s="49"/>
      <c r="V318" s="49"/>
      <c r="W318" s="49"/>
      <c r="X318" s="49"/>
      <c r="Y318" s="49"/>
      <c r="Z318" s="49"/>
    </row>
    <row r="319">
      <c r="A319" s="49" t="str">
        <f>IFERROR(__xludf.DUMMYFUNCTION("""COMPUTED_VALUE"""),"---")</f>
        <v>---</v>
      </c>
      <c r="B319" s="49" t="str">
        <f>IFERROR(__xludf.DUMMYFUNCTION("""COMPUTED_VALUE"""),"---")</f>
        <v>---</v>
      </c>
      <c r="C319" s="50" t="str">
        <f>IFERROR(__xludf.DUMMYFUNCTION("""COMPUTED_VALUE"""),"Stock")</f>
        <v>Stock</v>
      </c>
      <c r="D319" s="49"/>
      <c r="E319" s="49" t="str">
        <f>IFERROR(__xludf.DUMMYFUNCTION("""COMPUTED_VALUE"""),"South")</f>
        <v>South</v>
      </c>
      <c r="F319" s="49" t="str">
        <f>IFERROR(__xludf.DUMMYFUNCTION("""COMPUTED_VALUE"""),"South")</f>
        <v>South</v>
      </c>
      <c r="G319" s="49" t="str">
        <f>IFERROR(__xludf.DUMMYFUNCTION("""COMPUTED_VALUE"""),"Brunswick Prism size 10.5")</f>
        <v>Brunswick Prism size 10.5</v>
      </c>
      <c r="H319" s="52"/>
      <c r="I319" s="49"/>
      <c r="J319" s="51">
        <f>IFERROR(__xludf.DUMMYFUNCTION("""COMPUTED_VALUE"""),46083.0)</f>
        <v>46083</v>
      </c>
      <c r="K319" s="52"/>
      <c r="L319" s="49" t="str">
        <f>IFERROR(__xludf.DUMMYFUNCTION("""COMPUTED_VALUE"""),"B Supply")</f>
        <v>B Supply</v>
      </c>
      <c r="M319" s="49">
        <f>IFERROR(__xludf.DUMMYFUNCTION("""COMPUTED_VALUE"""),525240.0)</f>
        <v>525240</v>
      </c>
      <c r="N319" s="53">
        <f>IFERROR(__xludf.DUMMYFUNCTION("""COMPUTED_VALUE"""),42.47)</f>
        <v>42.47</v>
      </c>
      <c r="O319" s="54">
        <f>IFERROR(__xludf.DUMMYFUNCTION("""COMPUTED_VALUE"""),672726.0)</f>
        <v>672726</v>
      </c>
      <c r="P319" s="49" t="str">
        <f>IFERROR(__xludf.DUMMYFUNCTION("""COMPUTED_VALUE"""),"na")</f>
        <v>na</v>
      </c>
      <c r="Q319" s="49" t="str">
        <f>IFERROR(__xludf.DUMMYFUNCTION("""COMPUTED_VALUE"""),"na")</f>
        <v>na</v>
      </c>
      <c r="R319" s="49"/>
      <c r="S319" s="49"/>
      <c r="T319" s="49"/>
      <c r="U319" s="49"/>
      <c r="V319" s="49"/>
      <c r="W319" s="49"/>
      <c r="X319" s="49"/>
      <c r="Y319" s="49"/>
      <c r="Z319" s="49"/>
    </row>
    <row r="320">
      <c r="A320" s="49" t="str">
        <f>IFERROR(__xludf.DUMMYFUNCTION("""COMPUTED_VALUE"""),"---")</f>
        <v>---</v>
      </c>
      <c r="B320" s="49" t="str">
        <f>IFERROR(__xludf.DUMMYFUNCTION("""COMPUTED_VALUE"""),"---")</f>
        <v>---</v>
      </c>
      <c r="C320" s="50" t="str">
        <f>IFERROR(__xludf.DUMMYFUNCTION("""COMPUTED_VALUE"""),"Stock")</f>
        <v>Stock</v>
      </c>
      <c r="D320" s="49"/>
      <c r="E320" s="49" t="str">
        <f>IFERROR(__xludf.DUMMYFUNCTION("""COMPUTED_VALUE"""),"South")</f>
        <v>South</v>
      </c>
      <c r="F320" s="49" t="str">
        <f>IFERROR(__xludf.DUMMYFUNCTION("""COMPUTED_VALUE"""),"South")</f>
        <v>South</v>
      </c>
      <c r="G320" s="49" t="str">
        <f>IFERROR(__xludf.DUMMYFUNCTION("""COMPUTED_VALUE"""),"Master Giant Rosin Bag")</f>
        <v>Master Giant Rosin Bag</v>
      </c>
      <c r="H320" s="52"/>
      <c r="I320" s="49"/>
      <c r="J320" s="51">
        <f>IFERROR(__xludf.DUMMYFUNCTION("""COMPUTED_VALUE"""),46083.0)</f>
        <v>46083</v>
      </c>
      <c r="K320" s="52"/>
      <c r="L320" s="49" t="str">
        <f>IFERROR(__xludf.DUMMYFUNCTION("""COMPUTED_VALUE"""),"B Supply")</f>
        <v>B Supply</v>
      </c>
      <c r="M320" s="49">
        <f>IFERROR(__xludf.DUMMYFUNCTION("""COMPUTED_VALUE"""),525240.0)</f>
        <v>525240</v>
      </c>
      <c r="N320" s="53">
        <f>IFERROR(__xludf.DUMMYFUNCTION("""COMPUTED_VALUE"""),5.46)</f>
        <v>5.46</v>
      </c>
      <c r="O320" s="54">
        <f>IFERROR(__xludf.DUMMYFUNCTION("""COMPUTED_VALUE"""),672726.0)</f>
        <v>672726</v>
      </c>
      <c r="P320" s="49" t="str">
        <f>IFERROR(__xludf.DUMMYFUNCTION("""COMPUTED_VALUE"""),"na")</f>
        <v>na</v>
      </c>
      <c r="Q320" s="49" t="str">
        <f>IFERROR(__xludf.DUMMYFUNCTION("""COMPUTED_VALUE"""),"na")</f>
        <v>na</v>
      </c>
      <c r="R320" s="49"/>
      <c r="S320" s="49"/>
      <c r="T320" s="49"/>
      <c r="U320" s="49"/>
      <c r="V320" s="49"/>
      <c r="W320" s="49"/>
      <c r="X320" s="49"/>
      <c r="Y320" s="49"/>
      <c r="Z320" s="49"/>
    </row>
    <row r="321">
      <c r="A321" s="49" t="str">
        <f>IFERROR(__xludf.DUMMYFUNCTION("""COMPUTED_VALUE"""),"---")</f>
        <v>---</v>
      </c>
      <c r="B321" s="49" t="str">
        <f>IFERROR(__xludf.DUMMYFUNCTION("""COMPUTED_VALUE"""),"---")</f>
        <v>---</v>
      </c>
      <c r="C321" s="50" t="str">
        <f>IFERROR(__xludf.DUMMYFUNCTION("""COMPUTED_VALUE"""),"Kenneth Petroziello")</f>
        <v>Kenneth Petroziello</v>
      </c>
      <c r="D321" s="49"/>
      <c r="E321" s="49" t="str">
        <f>IFERROR(__xludf.DUMMYFUNCTION("""COMPUTED_VALUE"""),"South")</f>
        <v>South</v>
      </c>
      <c r="F321" s="49" t="str">
        <f>IFERROR(__xludf.DUMMYFUNCTION("""COMPUTED_VALUE"""),"South")</f>
        <v>South</v>
      </c>
      <c r="G321" s="49" t="str">
        <f>IFERROR(__xludf.DUMMYFUNCTION("""COMPUTED_VALUE"""),"Hammer zero mercy pearl 14 lb")</f>
        <v>Hammer zero mercy pearl 14 lb</v>
      </c>
      <c r="H321" s="52"/>
      <c r="I321" s="49"/>
      <c r="J321" s="51">
        <f>IFERROR(__xludf.DUMMYFUNCTION("""COMPUTED_VALUE"""),46083.0)</f>
        <v>46083</v>
      </c>
      <c r="K321" s="52"/>
      <c r="L321" s="49" t="str">
        <f>IFERROR(__xludf.DUMMYFUNCTION("""COMPUTED_VALUE"""),"B Supply")</f>
        <v>B Supply</v>
      </c>
      <c r="M321" s="49">
        <f>IFERROR(__xludf.DUMMYFUNCTION("""COMPUTED_VALUE"""),525240.0)</f>
        <v>525240</v>
      </c>
      <c r="N321" s="53">
        <f>IFERROR(__xludf.DUMMYFUNCTION("""COMPUTED_VALUE"""),156.51)</f>
        <v>156.51</v>
      </c>
      <c r="O321" s="54">
        <f>IFERROR(__xludf.DUMMYFUNCTION("""COMPUTED_VALUE"""),672726.0)</f>
        <v>672726</v>
      </c>
      <c r="P321" s="49" t="str">
        <f>IFERROR(__xludf.DUMMYFUNCTION("""COMPUTED_VALUE"""),"Y")</f>
        <v>Y</v>
      </c>
      <c r="Q321" s="49" t="str">
        <f>IFERROR(__xludf.DUMMYFUNCTION("""COMPUTED_VALUE"""),"Y")</f>
        <v>Y</v>
      </c>
      <c r="R321" s="49"/>
      <c r="S321" s="49"/>
      <c r="T321" s="49"/>
      <c r="U321" s="49"/>
      <c r="V321" s="49"/>
      <c r="W321" s="49"/>
      <c r="X321" s="49"/>
      <c r="Y321" s="49"/>
      <c r="Z321" s="49"/>
    </row>
    <row r="322">
      <c r="A322" s="49" t="str">
        <f>IFERROR(__xludf.DUMMYFUNCTION("""COMPUTED_VALUE"""),"---")</f>
        <v>---</v>
      </c>
      <c r="B322" s="49" t="str">
        <f>IFERROR(__xludf.DUMMYFUNCTION("""COMPUTED_VALUE"""),"---")</f>
        <v>---</v>
      </c>
      <c r="C322" s="50" t="str">
        <f>IFERROR(__xludf.DUMMYFUNCTION("""COMPUTED_VALUE"""),"Stock")</f>
        <v>Stock</v>
      </c>
      <c r="D322" s="49"/>
      <c r="E322" s="49" t="str">
        <f>IFERROR(__xludf.DUMMYFUNCTION("""COMPUTED_VALUE"""),"South")</f>
        <v>South</v>
      </c>
      <c r="F322" s="49" t="str">
        <f>IFERROR(__xludf.DUMMYFUNCTION("""COMPUTED_VALUE"""),"South")</f>
        <v>South</v>
      </c>
      <c r="G322" s="49" t="str">
        <f>IFERROR(__xludf.DUMMYFUNCTION("""COMPUTED_VALUE"""),"C300 Piranha 15 lb")</f>
        <v>C300 Piranha 15 lb</v>
      </c>
      <c r="H322" s="52"/>
      <c r="I322" s="49"/>
      <c r="J322" s="51">
        <f>IFERROR(__xludf.DUMMYFUNCTION("""COMPUTED_VALUE"""),46083.0)</f>
        <v>46083</v>
      </c>
      <c r="K322" s="52"/>
      <c r="L322" s="49" t="str">
        <f>IFERROR(__xludf.DUMMYFUNCTION("""COMPUTED_VALUE"""),"B Supply")</f>
        <v>B Supply</v>
      </c>
      <c r="M322" s="49">
        <f>IFERROR(__xludf.DUMMYFUNCTION("""COMPUTED_VALUE"""),525240.0)</f>
        <v>525240</v>
      </c>
      <c r="N322" s="53">
        <f>IFERROR(__xludf.DUMMYFUNCTION("""COMPUTED_VALUE"""),124.88)</f>
        <v>124.88</v>
      </c>
      <c r="O322" s="54">
        <f>IFERROR(__xludf.DUMMYFUNCTION("""COMPUTED_VALUE"""),672726.0)</f>
        <v>672726</v>
      </c>
      <c r="P322" s="49" t="str">
        <f>IFERROR(__xludf.DUMMYFUNCTION("""COMPUTED_VALUE"""),"na")</f>
        <v>na</v>
      </c>
      <c r="Q322" s="49" t="str">
        <f>IFERROR(__xludf.DUMMYFUNCTION("""COMPUTED_VALUE"""),"na")</f>
        <v>na</v>
      </c>
      <c r="R322" s="49"/>
      <c r="S322" s="49"/>
      <c r="T322" s="49"/>
      <c r="U322" s="49"/>
      <c r="V322" s="49"/>
      <c r="W322" s="49"/>
      <c r="X322" s="49"/>
      <c r="Y322" s="49"/>
      <c r="Z322" s="49"/>
    </row>
    <row r="323">
      <c r="A323" s="49" t="str">
        <f>IFERROR(__xludf.DUMMYFUNCTION("""COMPUTED_VALUE"""),"---")</f>
        <v>---</v>
      </c>
      <c r="B323" s="49" t="str">
        <f>IFERROR(__xludf.DUMMYFUNCTION("""COMPUTED_VALUE"""),"---")</f>
        <v>---</v>
      </c>
      <c r="C323" s="50" t="str">
        <f>IFERROR(__xludf.DUMMYFUNCTION("""COMPUTED_VALUE"""),"Stock")</f>
        <v>Stock</v>
      </c>
      <c r="D323" s="49"/>
      <c r="E323" s="49" t="str">
        <f>IFERROR(__xludf.DUMMYFUNCTION("""COMPUTED_VALUE"""),"Valley")</f>
        <v>Valley</v>
      </c>
      <c r="F323" s="49" t="str">
        <f>IFERROR(__xludf.DUMMYFUNCTION("""COMPUTED_VALUE"""),"Valley")</f>
        <v>Valley</v>
      </c>
      <c r="G323" s="49" t="str">
        <f>IFERROR(__xludf.DUMMYFUNCTION("""COMPUTED_VALUE"""),"C300 Piranha 15 lb")</f>
        <v>C300 Piranha 15 lb</v>
      </c>
      <c r="H323" s="52"/>
      <c r="I323" s="49"/>
      <c r="J323" s="51">
        <f>IFERROR(__xludf.DUMMYFUNCTION("""COMPUTED_VALUE"""),46083.0)</f>
        <v>46083</v>
      </c>
      <c r="K323" s="52"/>
      <c r="L323" s="49" t="str">
        <f>IFERROR(__xludf.DUMMYFUNCTION("""COMPUTED_VALUE"""),"B Supply")</f>
        <v>B Supply</v>
      </c>
      <c r="M323" s="49">
        <f>IFERROR(__xludf.DUMMYFUNCTION("""COMPUTED_VALUE"""),525240.0)</f>
        <v>525240</v>
      </c>
      <c r="N323" s="53">
        <f>IFERROR(__xludf.DUMMYFUNCTION("""COMPUTED_VALUE"""),124.88)</f>
        <v>124.88</v>
      </c>
      <c r="O323" s="54">
        <f>IFERROR(__xludf.DUMMYFUNCTION("""COMPUTED_VALUE"""),672726.0)</f>
        <v>672726</v>
      </c>
      <c r="P323" s="49" t="str">
        <f>IFERROR(__xludf.DUMMYFUNCTION("""COMPUTED_VALUE"""),"na")</f>
        <v>na</v>
      </c>
      <c r="Q323" s="49" t="str">
        <f>IFERROR(__xludf.DUMMYFUNCTION("""COMPUTED_VALUE"""),"na")</f>
        <v>na</v>
      </c>
      <c r="R323" s="49"/>
      <c r="S323" s="49"/>
      <c r="T323" s="49"/>
      <c r="U323" s="49"/>
      <c r="V323" s="49"/>
      <c r="W323" s="49"/>
      <c r="X323" s="49"/>
      <c r="Y323" s="49"/>
      <c r="Z323" s="49"/>
    </row>
    <row r="324">
      <c r="A324" s="49" t="str">
        <f>IFERROR(__xludf.DUMMYFUNCTION("""COMPUTED_VALUE"""),"---")</f>
        <v>---</v>
      </c>
      <c r="B324" s="49" t="str">
        <f>IFERROR(__xludf.DUMMYFUNCTION("""COMPUTED_VALUE"""),"---")</f>
        <v>---</v>
      </c>
      <c r="C324" s="50" t="str">
        <f>IFERROR(__xludf.DUMMYFUNCTION("""COMPUTED_VALUE"""),"Stock")</f>
        <v>Stock</v>
      </c>
      <c r="D324" s="49"/>
      <c r="E324" s="49" t="str">
        <f>IFERROR(__xludf.DUMMYFUNCTION("""COMPUTED_VALUE"""),"Both")</f>
        <v>Both</v>
      </c>
      <c r="F324" s="49" t="str">
        <f>IFERROR(__xludf.DUMMYFUNCTION("""COMPUTED_VALUE"""),"Both")</f>
        <v>Both</v>
      </c>
      <c r="G324" s="49" t="str">
        <f>IFERROR(__xludf.DUMMYFUNCTION("""COMPUTED_VALUE"""),"Hammer Black Widow Dynasty 3.0 15 lb")</f>
        <v>Hammer Black Widow Dynasty 3.0 15 lb</v>
      </c>
      <c r="H324" s="52"/>
      <c r="I324" s="49"/>
      <c r="J324" s="51">
        <f>IFERROR(__xludf.DUMMYFUNCTION("""COMPUTED_VALUE"""),46083.0)</f>
        <v>46083</v>
      </c>
      <c r="K324" s="52"/>
      <c r="L324" s="49" t="str">
        <f>IFERROR(__xludf.DUMMYFUNCTION("""COMPUTED_VALUE"""),"B Supply")</f>
        <v>B Supply</v>
      </c>
      <c r="M324" s="49">
        <f>IFERROR(__xludf.DUMMYFUNCTION("""COMPUTED_VALUE"""),525240.0)</f>
        <v>525240</v>
      </c>
      <c r="N324" s="53">
        <f>IFERROR(__xludf.DUMMYFUNCTION("""COMPUTED_VALUE"""),132.15)</f>
        <v>132.15</v>
      </c>
      <c r="O324" s="54">
        <f>IFERROR(__xludf.DUMMYFUNCTION("""COMPUTED_VALUE"""),672726.0)</f>
        <v>672726</v>
      </c>
      <c r="P324" s="49" t="str">
        <f>IFERROR(__xludf.DUMMYFUNCTION("""COMPUTED_VALUE"""),"na")</f>
        <v>na</v>
      </c>
      <c r="Q324" s="49" t="str">
        <f>IFERROR(__xludf.DUMMYFUNCTION("""COMPUTED_VALUE"""),"na")</f>
        <v>na</v>
      </c>
      <c r="R324" s="49"/>
      <c r="S324" s="49"/>
      <c r="T324" s="49"/>
      <c r="U324" s="49"/>
      <c r="V324" s="49"/>
      <c r="W324" s="49"/>
      <c r="X324" s="49"/>
      <c r="Y324" s="49"/>
      <c r="Z324" s="49"/>
    </row>
    <row r="325">
      <c r="A325" s="49" t="str">
        <f>IFERROR(__xludf.DUMMYFUNCTION("""COMPUTED_VALUE"""),"---")</f>
        <v>---</v>
      </c>
      <c r="B325" s="49" t="str">
        <f>IFERROR(__xludf.DUMMYFUNCTION("""COMPUTED_VALUE"""),"---")</f>
        <v>---</v>
      </c>
      <c r="C325" s="50" t="str">
        <f>IFERROR(__xludf.DUMMYFUNCTION("""COMPUTED_VALUE"""),"Steven Furiosi")</f>
        <v>Steven Furiosi</v>
      </c>
      <c r="D325" s="49">
        <f>IFERROR(__xludf.DUMMYFUNCTION("""COMPUTED_VALUE"""),5.703165316E9)</f>
        <v>5703165316</v>
      </c>
      <c r="E325" s="49" t="str">
        <f>IFERROR(__xludf.DUMMYFUNCTION("""COMPUTED_VALUE"""),"South")</f>
        <v>South</v>
      </c>
      <c r="F325" s="49" t="str">
        <f>IFERROR(__xludf.DUMMYFUNCTION("""COMPUTED_VALUE"""),"South")</f>
        <v>South</v>
      </c>
      <c r="G325" s="49" t="str">
        <f>IFERROR(__xludf.DUMMYFUNCTION("""COMPUTED_VALUE"""),"Hammer Black Widow Dynasty 3.0 14 lb")</f>
        <v>Hammer Black Widow Dynasty 3.0 14 lb</v>
      </c>
      <c r="H325" s="52"/>
      <c r="I325" s="49"/>
      <c r="J325" s="51">
        <f>IFERROR(__xludf.DUMMYFUNCTION("""COMPUTED_VALUE"""),46083.0)</f>
        <v>46083</v>
      </c>
      <c r="K325" s="52"/>
      <c r="L325" s="49" t="str">
        <f>IFERROR(__xludf.DUMMYFUNCTION("""COMPUTED_VALUE"""),"B Supply")</f>
        <v>B Supply</v>
      </c>
      <c r="M325" s="49">
        <f>IFERROR(__xludf.DUMMYFUNCTION("""COMPUTED_VALUE"""),525240.0)</f>
        <v>525240</v>
      </c>
      <c r="N325" s="53">
        <f>IFERROR(__xludf.DUMMYFUNCTION("""COMPUTED_VALUE"""),132.15)</f>
        <v>132.15</v>
      </c>
      <c r="O325" s="54">
        <f>IFERROR(__xludf.DUMMYFUNCTION("""COMPUTED_VALUE"""),672726.0)</f>
        <v>672726</v>
      </c>
      <c r="P325" s="49" t="str">
        <f>IFERROR(__xludf.DUMMYFUNCTION("""COMPUTED_VALUE"""),"Y")</f>
        <v>Y</v>
      </c>
      <c r="Q325" s="49" t="str">
        <f>IFERROR(__xludf.DUMMYFUNCTION("""COMPUTED_VALUE"""),"Y")</f>
        <v>Y</v>
      </c>
      <c r="R325" s="49"/>
      <c r="S325" s="49"/>
      <c r="T325" s="49"/>
      <c r="U325" s="49"/>
      <c r="V325" s="49"/>
      <c r="W325" s="49"/>
      <c r="X325" s="49"/>
      <c r="Y325" s="49"/>
      <c r="Z325" s="49"/>
    </row>
    <row r="326">
      <c r="A326" s="49" t="str">
        <f>IFERROR(__xludf.DUMMYFUNCTION("""COMPUTED_VALUE"""),"---")</f>
        <v>---</v>
      </c>
      <c r="B326" s="49" t="str">
        <f>IFERROR(__xludf.DUMMYFUNCTION("""COMPUTED_VALUE"""),"---")</f>
        <v>---</v>
      </c>
      <c r="C326" s="50" t="str">
        <f>IFERROR(__xludf.DUMMYFUNCTION("""COMPUTED_VALUE"""),"Ed Slick")</f>
        <v>Ed Slick</v>
      </c>
      <c r="D326" s="49"/>
      <c r="E326" s="49" t="str">
        <f>IFERROR(__xludf.DUMMYFUNCTION("""COMPUTED_VALUE"""),"Valley")</f>
        <v>Valley</v>
      </c>
      <c r="F326" s="49" t="str">
        <f>IFERROR(__xludf.DUMMYFUNCTION("""COMPUTED_VALUE"""),"Valley")</f>
        <v>Valley</v>
      </c>
      <c r="G326" s="49" t="str">
        <f>IFERROR(__xludf.DUMMYFUNCTION("""COMPUTED_VALUE"""),"Brunswick Crown Victory Pearl 15 lb")</f>
        <v>Brunswick Crown Victory Pearl 15 lb</v>
      </c>
      <c r="H326" s="52"/>
      <c r="I326" s="49"/>
      <c r="J326" s="51">
        <f>IFERROR(__xludf.DUMMYFUNCTION("""COMPUTED_VALUE"""),46083.0)</f>
        <v>46083</v>
      </c>
      <c r="K326" s="52"/>
      <c r="L326" s="49" t="str">
        <f>IFERROR(__xludf.DUMMYFUNCTION("""COMPUTED_VALUE"""),"B Supply")</f>
        <v>B Supply</v>
      </c>
      <c r="M326" s="49">
        <f>IFERROR(__xludf.DUMMYFUNCTION("""COMPUTED_VALUE"""),525240.0)</f>
        <v>525240</v>
      </c>
      <c r="N326" s="53">
        <f>IFERROR(__xludf.DUMMYFUNCTION("""COMPUTED_VALUE"""),113.91)</f>
        <v>113.91</v>
      </c>
      <c r="O326" s="54">
        <f>IFERROR(__xludf.DUMMYFUNCTION("""COMPUTED_VALUE"""),672726.0)</f>
        <v>672726</v>
      </c>
      <c r="P326" s="49" t="str">
        <f>IFERROR(__xludf.DUMMYFUNCTION("""COMPUTED_VALUE"""),"Y")</f>
        <v>Y</v>
      </c>
      <c r="Q326" s="49" t="str">
        <f>IFERROR(__xludf.DUMMYFUNCTION("""COMPUTED_VALUE"""),"Y")</f>
        <v>Y</v>
      </c>
      <c r="R326" s="49"/>
      <c r="S326" s="49"/>
      <c r="T326" s="49"/>
      <c r="U326" s="49"/>
      <c r="V326" s="49"/>
      <c r="W326" s="49"/>
      <c r="X326" s="49"/>
      <c r="Y326" s="49"/>
      <c r="Z326" s="49"/>
    </row>
    <row r="327">
      <c r="A327" s="49" t="str">
        <f>IFERROR(__xludf.DUMMYFUNCTION("""COMPUTED_VALUE"""),"---")</f>
        <v>---</v>
      </c>
      <c r="B327" s="49" t="str">
        <f>IFERROR(__xludf.DUMMYFUNCTION("""COMPUTED_VALUE"""),"---")</f>
        <v>---</v>
      </c>
      <c r="C327" s="50" t="str">
        <f>IFERROR(__xludf.DUMMYFUNCTION("""COMPUTED_VALUE"""),"Gary Ladomirak Jr")</f>
        <v>Gary Ladomirak Jr</v>
      </c>
      <c r="D327" s="49"/>
      <c r="E327" s="49" t="str">
        <f>IFERROR(__xludf.DUMMYFUNCTION("""COMPUTED_VALUE"""),"Valley")</f>
        <v>Valley</v>
      </c>
      <c r="F327" s="49" t="str">
        <f>IFERROR(__xludf.DUMMYFUNCTION("""COMPUTED_VALUE"""),"Valley")</f>
        <v>Valley</v>
      </c>
      <c r="G327" s="49" t="str">
        <f>IFERROR(__xludf.DUMMYFUNCTION("""COMPUTED_VALUE"""),"Storm Bionic 15 lb")</f>
        <v>Storm Bionic 15 lb</v>
      </c>
      <c r="H327" s="52"/>
      <c r="I327" s="49"/>
      <c r="J327" s="51">
        <f>IFERROR(__xludf.DUMMYFUNCTION("""COMPUTED_VALUE"""),46083.0)</f>
        <v>46083</v>
      </c>
      <c r="K327" s="52"/>
      <c r="L327" s="49" t="str">
        <f>IFERROR(__xludf.DUMMYFUNCTION("""COMPUTED_VALUE"""),"B Supply")</f>
        <v>B Supply</v>
      </c>
      <c r="M327" s="49">
        <f>IFERROR(__xludf.DUMMYFUNCTION("""COMPUTED_VALUE"""),525240.0)</f>
        <v>525240</v>
      </c>
      <c r="N327" s="53">
        <f>IFERROR(__xludf.DUMMYFUNCTION("""COMPUTED_VALUE"""),144.35)</f>
        <v>144.35</v>
      </c>
      <c r="O327" s="54">
        <f>IFERROR(__xludf.DUMMYFUNCTION("""COMPUTED_VALUE"""),672726.0)</f>
        <v>672726</v>
      </c>
      <c r="P327" s="49" t="str">
        <f>IFERROR(__xludf.DUMMYFUNCTION("""COMPUTED_VALUE"""),"Y")</f>
        <v>Y</v>
      </c>
      <c r="Q327" s="49" t="str">
        <f>IFERROR(__xludf.DUMMYFUNCTION("""COMPUTED_VALUE"""),"Y")</f>
        <v>Y</v>
      </c>
      <c r="R327" s="49"/>
      <c r="S327" s="49"/>
      <c r="T327" s="49"/>
      <c r="U327" s="49"/>
      <c r="V327" s="49"/>
      <c r="W327" s="49"/>
      <c r="X327" s="49"/>
      <c r="Y327" s="49"/>
      <c r="Z327" s="49"/>
    </row>
    <row r="328">
      <c r="A328" s="49" t="str">
        <f>IFERROR(__xludf.DUMMYFUNCTION("""COMPUTED_VALUE"""),"---")</f>
        <v>---</v>
      </c>
      <c r="B328" s="49" t="str">
        <f>IFERROR(__xludf.DUMMYFUNCTION("""COMPUTED_VALUE"""),"---")</f>
        <v>---</v>
      </c>
      <c r="C328" s="50" t="str">
        <f>IFERROR(__xludf.DUMMYFUNCTION("""COMPUTED_VALUE"""),"Stephanie Sheridan")</f>
        <v>Stephanie Sheridan</v>
      </c>
      <c r="D328" s="49"/>
      <c r="E328" s="49" t="str">
        <f>IFERROR(__xludf.DUMMYFUNCTION("""COMPUTED_VALUE"""),"South")</f>
        <v>South</v>
      </c>
      <c r="F328" s="49" t="str">
        <f>IFERROR(__xludf.DUMMYFUNCTION("""COMPUTED_VALUE"""),"South")</f>
        <v>South</v>
      </c>
      <c r="G328" s="49" t="str">
        <f>IFERROR(__xludf.DUMMYFUNCTION("""COMPUTED_VALUE"""),"Hammer Dye Sub Triple Tote Pink Arrows")</f>
        <v>Hammer Dye Sub Triple Tote Pink Arrows</v>
      </c>
      <c r="H328" s="52"/>
      <c r="I328" s="49"/>
      <c r="J328" s="51">
        <f>IFERROR(__xludf.DUMMYFUNCTION("""COMPUTED_VALUE"""),46083.0)</f>
        <v>46083</v>
      </c>
      <c r="K328" s="52"/>
      <c r="L328" s="49" t="str">
        <f>IFERROR(__xludf.DUMMYFUNCTION("""COMPUTED_VALUE"""),"B Supply")</f>
        <v>B Supply</v>
      </c>
      <c r="M328" s="49">
        <f>IFERROR(__xludf.DUMMYFUNCTION("""COMPUTED_VALUE"""),525240.0)</f>
        <v>525240</v>
      </c>
      <c r="N328" s="53">
        <f>IFERROR(__xludf.DUMMYFUNCTION("""COMPUTED_VALUE"""),81.08)</f>
        <v>81.08</v>
      </c>
      <c r="O328" s="54">
        <f>IFERROR(__xludf.DUMMYFUNCTION("""COMPUTED_VALUE"""),672726.0)</f>
        <v>672726</v>
      </c>
      <c r="P328" s="49" t="str">
        <f>IFERROR(__xludf.DUMMYFUNCTION("""COMPUTED_VALUE"""),"Y")</f>
        <v>Y</v>
      </c>
      <c r="Q328" s="49" t="str">
        <f>IFERROR(__xludf.DUMMYFUNCTION("""COMPUTED_VALUE"""),"Y")</f>
        <v>Y</v>
      </c>
      <c r="R328" s="49"/>
      <c r="S328" s="49"/>
      <c r="T328" s="49"/>
      <c r="U328" s="49"/>
      <c r="V328" s="49"/>
      <c r="W328" s="49"/>
      <c r="X328" s="49"/>
      <c r="Y328" s="49"/>
      <c r="Z328" s="49"/>
    </row>
    <row r="329">
      <c r="A329" s="49" t="str">
        <f>IFERROR(__xludf.DUMMYFUNCTION("""COMPUTED_VALUE"""),"---")</f>
        <v>---</v>
      </c>
      <c r="B329" s="49" t="str">
        <f>IFERROR(__xludf.DUMMYFUNCTION("""COMPUTED_VALUE"""),"---")</f>
        <v>---</v>
      </c>
      <c r="C329" s="50" t="str">
        <f>IFERROR(__xludf.DUMMYFUNCTION("""COMPUTED_VALUE"""),"Stock")</f>
        <v>Stock</v>
      </c>
      <c r="D329" s="49"/>
      <c r="E329" s="49" t="str">
        <f>IFERROR(__xludf.DUMMYFUNCTION("""COMPUTED_VALUE"""),"South")</f>
        <v>South</v>
      </c>
      <c r="F329" s="49" t="str">
        <f>IFERROR(__xludf.DUMMYFUNCTION("""COMPUTED_VALUE"""),"South")</f>
        <v>South</v>
      </c>
      <c r="G329" s="49" t="str">
        <f>IFERROR(__xludf.DUMMYFUNCTION("""COMPUTED_VALUE"""),"Storm Phaze II Pearl 15 lb")</f>
        <v>Storm Phaze II Pearl 15 lb</v>
      </c>
      <c r="H329" s="52"/>
      <c r="I329" s="49"/>
      <c r="J329" s="51">
        <f>IFERROR(__xludf.DUMMYFUNCTION("""COMPUTED_VALUE"""),46083.0)</f>
        <v>46083</v>
      </c>
      <c r="K329" s="52"/>
      <c r="L329" s="49" t="str">
        <f>IFERROR(__xludf.DUMMYFUNCTION("""COMPUTED_VALUE"""),"B Supply")</f>
        <v>B Supply</v>
      </c>
      <c r="M329" s="49">
        <f>IFERROR(__xludf.DUMMYFUNCTION("""COMPUTED_VALUE"""),525240.0)</f>
        <v>525240</v>
      </c>
      <c r="N329" s="53">
        <f>IFERROR(__xludf.DUMMYFUNCTION("""COMPUTED_VALUE"""),144.35)</f>
        <v>144.35</v>
      </c>
      <c r="O329" s="54">
        <f>IFERROR(__xludf.DUMMYFUNCTION("""COMPUTED_VALUE"""),672726.0)</f>
        <v>672726</v>
      </c>
      <c r="P329" s="49" t="str">
        <f>IFERROR(__xludf.DUMMYFUNCTION("""COMPUTED_VALUE"""),"na")</f>
        <v>na</v>
      </c>
      <c r="Q329" s="49" t="str">
        <f>IFERROR(__xludf.DUMMYFUNCTION("""COMPUTED_VALUE"""),"na")</f>
        <v>na</v>
      </c>
      <c r="R329" s="49"/>
      <c r="S329" s="49"/>
      <c r="T329" s="49"/>
      <c r="U329" s="49"/>
      <c r="V329" s="49"/>
      <c r="W329" s="49"/>
      <c r="X329" s="49"/>
      <c r="Y329" s="49"/>
      <c r="Z329" s="49"/>
    </row>
    <row r="330">
      <c r="A330" s="49" t="str">
        <f>IFERROR(__xludf.DUMMYFUNCTION("""COMPUTED_VALUE"""),"---")</f>
        <v>---</v>
      </c>
      <c r="B330" s="49" t="str">
        <f>IFERROR(__xludf.DUMMYFUNCTION("""COMPUTED_VALUE"""),"---")</f>
        <v>---</v>
      </c>
      <c r="C330" s="50" t="str">
        <f>IFERROR(__xludf.DUMMYFUNCTION("""COMPUTED_VALUE"""),"Mike Roberts")</f>
        <v>Mike Roberts</v>
      </c>
      <c r="D330" s="49"/>
      <c r="E330" s="49" t="str">
        <f>IFERROR(__xludf.DUMMYFUNCTION("""COMPUTED_VALUE"""),"South")</f>
        <v>South</v>
      </c>
      <c r="F330" s="49" t="str">
        <f>IFERROR(__xludf.DUMMYFUNCTION("""COMPUTED_VALUE"""),"South")</f>
        <v>South</v>
      </c>
      <c r="G330" s="49" t="str">
        <f>IFERROR(__xludf.DUMMYFUNCTION("""COMPUTED_VALUE"""),"Hammer NU 2.0 16 lb")</f>
        <v>Hammer NU 2.0 16 lb</v>
      </c>
      <c r="H330" s="52"/>
      <c r="I330" s="49"/>
      <c r="J330" s="51">
        <f>IFERROR(__xludf.DUMMYFUNCTION("""COMPUTED_VALUE"""),46083.0)</f>
        <v>46083</v>
      </c>
      <c r="K330" s="52"/>
      <c r="L330" s="49" t="str">
        <f>IFERROR(__xludf.DUMMYFUNCTION("""COMPUTED_VALUE"""),"B Supply")</f>
        <v>B Supply</v>
      </c>
      <c r="M330" s="49">
        <f>IFERROR(__xludf.DUMMYFUNCTION("""COMPUTED_VALUE"""),525240.0)</f>
        <v>525240</v>
      </c>
      <c r="N330" s="53">
        <f>IFERROR(__xludf.DUMMYFUNCTION("""COMPUTED_VALUE"""),114.0)</f>
        <v>114</v>
      </c>
      <c r="O330" s="54">
        <f>IFERROR(__xludf.DUMMYFUNCTION("""COMPUTED_VALUE"""),672726.0)</f>
        <v>672726</v>
      </c>
      <c r="P330" s="49" t="str">
        <f>IFERROR(__xludf.DUMMYFUNCTION("""COMPUTED_VALUE"""),"Y")</f>
        <v>Y</v>
      </c>
      <c r="Q330" s="49" t="str">
        <f>IFERROR(__xludf.DUMMYFUNCTION("""COMPUTED_VALUE"""),"Y")</f>
        <v>Y</v>
      </c>
      <c r="R330" s="49"/>
      <c r="S330" s="49"/>
      <c r="T330" s="49"/>
      <c r="U330" s="49"/>
      <c r="V330" s="49"/>
      <c r="W330" s="49"/>
      <c r="X330" s="49"/>
      <c r="Y330" s="49"/>
      <c r="Z330" s="49"/>
    </row>
    <row r="331">
      <c r="A331" s="49" t="str">
        <f>IFERROR(__xludf.DUMMYFUNCTION("""COMPUTED_VALUE"""),"---")</f>
        <v>---</v>
      </c>
      <c r="B331" s="49" t="str">
        <f>IFERROR(__xludf.DUMMYFUNCTION("""COMPUTED_VALUE"""),"---")</f>
        <v>---</v>
      </c>
      <c r="C331" s="50" t="str">
        <f>IFERROR(__xludf.DUMMYFUNCTION("""COMPUTED_VALUE"""),"Vito Mecca")</f>
        <v>Vito Mecca</v>
      </c>
      <c r="D331" s="49"/>
      <c r="E331" s="49" t="str">
        <f>IFERROR(__xludf.DUMMYFUNCTION("""COMPUTED_VALUE"""),"South")</f>
        <v>South</v>
      </c>
      <c r="F331" s="49" t="str">
        <f>IFERROR(__xludf.DUMMYFUNCTION("""COMPUTED_VALUE"""),"South")</f>
        <v>South</v>
      </c>
      <c r="G331" s="49" t="str">
        <f>IFERROR(__xludf.DUMMYFUNCTION("""COMPUTED_VALUE"""),"Hammer NU 2.0 14 lb")</f>
        <v>Hammer NU 2.0 14 lb</v>
      </c>
      <c r="H331" s="52"/>
      <c r="I331" s="49"/>
      <c r="J331" s="51">
        <f>IFERROR(__xludf.DUMMYFUNCTION("""COMPUTED_VALUE"""),46083.0)</f>
        <v>46083</v>
      </c>
      <c r="K331" s="52"/>
      <c r="L331" s="49" t="str">
        <f>IFERROR(__xludf.DUMMYFUNCTION("""COMPUTED_VALUE"""),"B Supply")</f>
        <v>B Supply</v>
      </c>
      <c r="M331" s="49">
        <f>IFERROR(__xludf.DUMMYFUNCTION("""COMPUTED_VALUE"""),525240.0)</f>
        <v>525240</v>
      </c>
      <c r="N331" s="53">
        <f>IFERROR(__xludf.DUMMYFUNCTION("""COMPUTED_VALUE"""),114.0)</f>
        <v>114</v>
      </c>
      <c r="O331" s="54">
        <f>IFERROR(__xludf.DUMMYFUNCTION("""COMPUTED_VALUE"""),672726.0)</f>
        <v>672726</v>
      </c>
      <c r="P331" s="49" t="str">
        <f>IFERROR(__xludf.DUMMYFUNCTION("""COMPUTED_VALUE"""),"Y")</f>
        <v>Y</v>
      </c>
      <c r="Q331" s="49" t="str">
        <f>IFERROR(__xludf.DUMMYFUNCTION("""COMPUTED_VALUE"""),"Y")</f>
        <v>Y</v>
      </c>
      <c r="R331" s="49"/>
      <c r="S331" s="49"/>
      <c r="T331" s="49"/>
      <c r="U331" s="49"/>
      <c r="V331" s="49"/>
      <c r="W331" s="49"/>
      <c r="X331" s="49"/>
      <c r="Y331" s="49"/>
      <c r="Z331" s="49"/>
    </row>
    <row r="332">
      <c r="A332" s="49" t="str">
        <f>IFERROR(__xludf.DUMMYFUNCTION("""COMPUTED_VALUE"""),"---")</f>
        <v>---</v>
      </c>
      <c r="B332" s="49" t="str">
        <f>IFERROR(__xludf.DUMMYFUNCTION("""COMPUTED_VALUE"""),"---")</f>
        <v>---</v>
      </c>
      <c r="C332" s="50" t="str">
        <f>IFERROR(__xludf.DUMMYFUNCTION("""COMPUTED_VALUE"""),"Stock")</f>
        <v>Stock</v>
      </c>
      <c r="D332" s="49"/>
      <c r="E332" s="49" t="str">
        <f>IFERROR(__xludf.DUMMYFUNCTION("""COMPUTED_VALUE"""),"South")</f>
        <v>South</v>
      </c>
      <c r="F332" s="49" t="str">
        <f>IFERROR(__xludf.DUMMYFUNCTION("""COMPUTED_VALUE"""),"South")</f>
        <v>South</v>
      </c>
      <c r="G332" s="49" t="str">
        <f>IFERROR(__xludf.DUMMYFUNCTION("""COMPUTED_VALUE"""),"Brunswick Sidekick Tote")</f>
        <v>Brunswick Sidekick Tote</v>
      </c>
      <c r="H332" s="52"/>
      <c r="I332" s="49"/>
      <c r="J332" s="51">
        <f>IFERROR(__xludf.DUMMYFUNCTION("""COMPUTED_VALUE"""),46083.0)</f>
        <v>46083</v>
      </c>
      <c r="K332" s="52"/>
      <c r="L332" s="49" t="str">
        <f>IFERROR(__xludf.DUMMYFUNCTION("""COMPUTED_VALUE"""),"B Supply")</f>
        <v>B Supply</v>
      </c>
      <c r="M332" s="49">
        <f>IFERROR(__xludf.DUMMYFUNCTION("""COMPUTED_VALUE"""),525240.0)</f>
        <v>525240</v>
      </c>
      <c r="N332" s="53">
        <f>IFERROR(__xludf.DUMMYFUNCTION("""COMPUTED_VALUE"""),20.9)</f>
        <v>20.9</v>
      </c>
      <c r="O332" s="54">
        <f>IFERROR(__xludf.DUMMYFUNCTION("""COMPUTED_VALUE"""),672726.0)</f>
        <v>672726</v>
      </c>
      <c r="P332" s="49" t="str">
        <f>IFERROR(__xludf.DUMMYFUNCTION("""COMPUTED_VALUE"""),"na")</f>
        <v>na</v>
      </c>
      <c r="Q332" s="49" t="str">
        <f>IFERROR(__xludf.DUMMYFUNCTION("""COMPUTED_VALUE"""),"na")</f>
        <v>na</v>
      </c>
      <c r="R332" s="49"/>
      <c r="S332" s="49"/>
      <c r="T332" s="49"/>
      <c r="U332" s="49"/>
      <c r="V332" s="49"/>
      <c r="W332" s="49"/>
      <c r="X332" s="49"/>
      <c r="Y332" s="49"/>
      <c r="Z332" s="49"/>
    </row>
    <row r="333">
      <c r="A333" s="49" t="str">
        <f>IFERROR(__xludf.DUMMYFUNCTION("""COMPUTED_VALUE"""),"---")</f>
        <v>---</v>
      </c>
      <c r="B333" s="49" t="str">
        <f>IFERROR(__xludf.DUMMYFUNCTION("""COMPUTED_VALUE"""),"---")</f>
        <v>---</v>
      </c>
      <c r="C333" s="50" t="str">
        <f>IFERROR(__xludf.DUMMYFUNCTION("""COMPUTED_VALUE"""),"Austin Bicking")</f>
        <v>Austin Bicking</v>
      </c>
      <c r="D333" s="49"/>
      <c r="E333" s="49" t="str">
        <f>IFERROR(__xludf.DUMMYFUNCTION("""COMPUTED_VALUE"""),"South")</f>
        <v>South</v>
      </c>
      <c r="F333" s="49" t="str">
        <f>IFERROR(__xludf.DUMMYFUNCTION("""COMPUTED_VALUE"""),"South")</f>
        <v>South</v>
      </c>
      <c r="G333" s="49" t="str">
        <f>IFERROR(__xludf.DUMMYFUNCTION("""COMPUTED_VALUE"""),"Storm Phaze II Pearl 15 lb")</f>
        <v>Storm Phaze II Pearl 15 lb</v>
      </c>
      <c r="H333" s="52"/>
      <c r="I333" s="49"/>
      <c r="J333" s="51">
        <f>IFERROR(__xludf.DUMMYFUNCTION("""COMPUTED_VALUE"""),46083.0)</f>
        <v>46083</v>
      </c>
      <c r="K333" s="52"/>
      <c r="L333" s="49" t="str">
        <f>IFERROR(__xludf.DUMMYFUNCTION("""COMPUTED_VALUE"""),"B Supply")</f>
        <v>B Supply</v>
      </c>
      <c r="M333" s="49">
        <f>IFERROR(__xludf.DUMMYFUNCTION("""COMPUTED_VALUE"""),525240.0)</f>
        <v>525240</v>
      </c>
      <c r="N333" s="53">
        <f>IFERROR(__xludf.DUMMYFUNCTION("""COMPUTED_VALUE"""),144.35)</f>
        <v>144.35</v>
      </c>
      <c r="O333" s="54">
        <f>IFERROR(__xludf.DUMMYFUNCTION("""COMPUTED_VALUE"""),672726.0)</f>
        <v>672726</v>
      </c>
      <c r="P333" s="49" t="str">
        <f>IFERROR(__xludf.DUMMYFUNCTION("""COMPUTED_VALUE"""),"Y")</f>
        <v>Y</v>
      </c>
      <c r="Q333" s="49" t="str">
        <f>IFERROR(__xludf.DUMMYFUNCTION("""COMPUTED_VALUE"""),"Y")</f>
        <v>Y</v>
      </c>
      <c r="R333" s="49"/>
      <c r="S333" s="49"/>
      <c r="T333" s="49"/>
      <c r="U333" s="49"/>
      <c r="V333" s="49"/>
      <c r="W333" s="49"/>
      <c r="X333" s="49"/>
      <c r="Y333" s="49"/>
      <c r="Z333" s="49"/>
    </row>
    <row r="334">
      <c r="A334" s="49" t="str">
        <f>IFERROR(__xludf.DUMMYFUNCTION("""COMPUTED_VALUE"""),"---")</f>
        <v>---</v>
      </c>
      <c r="B334" s="49" t="str">
        <f>IFERROR(__xludf.DUMMYFUNCTION("""COMPUTED_VALUE"""),"---")</f>
        <v>---</v>
      </c>
      <c r="C334" s="50" t="str">
        <f>IFERROR(__xludf.DUMMYFUNCTION("""COMPUTED_VALUE"""),"Stock")</f>
        <v>Stock</v>
      </c>
      <c r="D334" s="49"/>
      <c r="E334" s="49"/>
      <c r="F334" s="49"/>
      <c r="G334" s="49" t="str">
        <f>IFERROR(__xludf.DUMMYFUNCTION("""COMPUTED_VALUE"""),"Hammer Full Effect 14 lb")</f>
        <v>Hammer Full Effect 14 lb</v>
      </c>
      <c r="H334" s="52"/>
      <c r="I334" s="49"/>
      <c r="J334" s="51">
        <f>IFERROR(__xludf.DUMMYFUNCTION("""COMPUTED_VALUE"""),46083.0)</f>
        <v>46083</v>
      </c>
      <c r="K334" s="52"/>
      <c r="L334" s="49" t="str">
        <f>IFERROR(__xludf.DUMMYFUNCTION("""COMPUTED_VALUE"""),"Brunswick")</f>
        <v>Brunswick</v>
      </c>
      <c r="M334" s="49"/>
      <c r="N334" s="53">
        <f>IFERROR(__xludf.DUMMYFUNCTION("""COMPUTED_VALUE"""),95.4)</f>
        <v>95.4</v>
      </c>
      <c r="O334" s="54"/>
      <c r="P334" s="49" t="str">
        <f>IFERROR(__xludf.DUMMYFUNCTION("""COMPUTED_VALUE"""),"na")</f>
        <v>na</v>
      </c>
      <c r="Q334" s="49" t="str">
        <f>IFERROR(__xludf.DUMMYFUNCTION("""COMPUTED_VALUE"""),"na")</f>
        <v>na</v>
      </c>
      <c r="R334" s="49"/>
      <c r="S334" s="49"/>
      <c r="T334" s="49"/>
      <c r="U334" s="49"/>
      <c r="V334" s="49"/>
      <c r="W334" s="49"/>
      <c r="X334" s="49"/>
      <c r="Y334" s="49"/>
      <c r="Z334" s="49"/>
    </row>
    <row r="335">
      <c r="A335" s="49" t="str">
        <f>IFERROR(__xludf.DUMMYFUNCTION("""COMPUTED_VALUE"""),"---")</f>
        <v>---</v>
      </c>
      <c r="B335" s="49" t="str">
        <f>IFERROR(__xludf.DUMMYFUNCTION("""COMPUTED_VALUE"""),"---")</f>
        <v>---</v>
      </c>
      <c r="C335" s="50" t="str">
        <f>IFERROR(__xludf.DUMMYFUNCTION("""COMPUTED_VALUE"""),"Billy Bernavage")</f>
        <v>Billy Bernavage</v>
      </c>
      <c r="D335" s="49"/>
      <c r="E335" s="49"/>
      <c r="F335" s="49"/>
      <c r="G335" s="49" t="str">
        <f>IFERROR(__xludf.DUMMYFUNCTION("""COMPUTED_VALUE"""),"Hammer Full Effect 15 lb")</f>
        <v>Hammer Full Effect 15 lb</v>
      </c>
      <c r="H335" s="52"/>
      <c r="I335" s="49"/>
      <c r="J335" s="51">
        <f>IFERROR(__xludf.DUMMYFUNCTION("""COMPUTED_VALUE"""),46083.0)</f>
        <v>46083</v>
      </c>
      <c r="K335" s="52"/>
      <c r="L335" s="49" t="str">
        <f>IFERROR(__xludf.DUMMYFUNCTION("""COMPUTED_VALUE"""),"Brunswick")</f>
        <v>Brunswick</v>
      </c>
      <c r="M335" s="49"/>
      <c r="N335" s="53">
        <f>IFERROR(__xludf.DUMMYFUNCTION("""COMPUTED_VALUE"""),95.4)</f>
        <v>95.4</v>
      </c>
      <c r="O335" s="54"/>
      <c r="P335" s="49" t="str">
        <f>IFERROR(__xludf.DUMMYFUNCTION("""COMPUTED_VALUE"""),"Y")</f>
        <v>Y</v>
      </c>
      <c r="Q335" s="49" t="str">
        <f>IFERROR(__xludf.DUMMYFUNCTION("""COMPUTED_VALUE"""),"Y")</f>
        <v>Y</v>
      </c>
      <c r="R335" s="49"/>
      <c r="S335" s="49"/>
      <c r="T335" s="49"/>
      <c r="U335" s="49"/>
      <c r="V335" s="49"/>
      <c r="W335" s="49"/>
      <c r="X335" s="49"/>
      <c r="Y335" s="49"/>
      <c r="Z335" s="49"/>
    </row>
    <row r="336">
      <c r="A336" s="49" t="str">
        <f>IFERROR(__xludf.DUMMYFUNCTION("""COMPUTED_VALUE"""),"---")</f>
        <v>---</v>
      </c>
      <c r="B336" s="49" t="str">
        <f>IFERROR(__xludf.DUMMYFUNCTION("""COMPUTED_VALUE"""),"---")</f>
        <v>---</v>
      </c>
      <c r="C336" s="50" t="str">
        <f>IFERROR(__xludf.DUMMYFUNCTION("""COMPUTED_VALUE"""),"Stock")</f>
        <v>Stock</v>
      </c>
      <c r="D336" s="49"/>
      <c r="E336" s="49"/>
      <c r="F336" s="49"/>
      <c r="G336" s="49" t="str">
        <f>IFERROR(__xludf.DUMMYFUNCTION("""COMPUTED_VALUE"""),"Hammer Purple Pearl Urethane 78D 14 lb")</f>
        <v>Hammer Purple Pearl Urethane 78D 14 lb</v>
      </c>
      <c r="H336" s="52"/>
      <c r="I336" s="49"/>
      <c r="J336" s="51">
        <f>IFERROR(__xludf.DUMMYFUNCTION("""COMPUTED_VALUE"""),46083.0)</f>
        <v>46083</v>
      </c>
      <c r="K336" s="52"/>
      <c r="L336" s="49" t="str">
        <f>IFERROR(__xludf.DUMMYFUNCTION("""COMPUTED_VALUE"""),"Brunswick")</f>
        <v>Brunswick</v>
      </c>
      <c r="M336" s="49"/>
      <c r="N336" s="53">
        <f>IFERROR(__xludf.DUMMYFUNCTION("""COMPUTED_VALUE"""),95.4)</f>
        <v>95.4</v>
      </c>
      <c r="O336" s="54"/>
      <c r="P336" s="49" t="str">
        <f>IFERROR(__xludf.DUMMYFUNCTION("""COMPUTED_VALUE"""),"na")</f>
        <v>na</v>
      </c>
      <c r="Q336" s="49" t="str">
        <f>IFERROR(__xludf.DUMMYFUNCTION("""COMPUTED_VALUE"""),"na")</f>
        <v>na</v>
      </c>
      <c r="R336" s="49"/>
      <c r="S336" s="49"/>
      <c r="T336" s="49"/>
      <c r="U336" s="49"/>
      <c r="V336" s="49"/>
      <c r="W336" s="49"/>
      <c r="X336" s="49"/>
      <c r="Y336" s="49"/>
      <c r="Z336" s="49"/>
    </row>
    <row r="337">
      <c r="A337" s="49" t="str">
        <f>IFERROR(__xludf.DUMMYFUNCTION("""COMPUTED_VALUE"""),"---")</f>
        <v>---</v>
      </c>
      <c r="B337" s="49" t="str">
        <f>IFERROR(__xludf.DUMMYFUNCTION("""COMPUTED_VALUE"""),"---")</f>
        <v>---</v>
      </c>
      <c r="C337" s="50" t="str">
        <f>IFERROR(__xludf.DUMMYFUNCTION("""COMPUTED_VALUE"""),"Stock")</f>
        <v>Stock</v>
      </c>
      <c r="D337" s="49"/>
      <c r="E337" s="49"/>
      <c r="F337" s="49"/>
      <c r="G337" s="49" t="str">
        <f>IFERROR(__xludf.DUMMYFUNCTION("""COMPUTED_VALUE"""),"Hammer Purple Pearl Urethane 78D 15 lb")</f>
        <v>Hammer Purple Pearl Urethane 78D 15 lb</v>
      </c>
      <c r="H337" s="52"/>
      <c r="I337" s="49"/>
      <c r="J337" s="51">
        <f>IFERROR(__xludf.DUMMYFUNCTION("""COMPUTED_VALUE"""),46083.0)</f>
        <v>46083</v>
      </c>
      <c r="K337" s="52"/>
      <c r="L337" s="49" t="str">
        <f>IFERROR(__xludf.DUMMYFUNCTION("""COMPUTED_VALUE"""),"Brunswick")</f>
        <v>Brunswick</v>
      </c>
      <c r="M337" s="49"/>
      <c r="N337" s="53">
        <f>IFERROR(__xludf.DUMMYFUNCTION("""COMPUTED_VALUE"""),95.4)</f>
        <v>95.4</v>
      </c>
      <c r="O337" s="54"/>
      <c r="P337" s="49" t="str">
        <f>IFERROR(__xludf.DUMMYFUNCTION("""COMPUTED_VALUE"""),"na")</f>
        <v>na</v>
      </c>
      <c r="Q337" s="49" t="str">
        <f>IFERROR(__xludf.DUMMYFUNCTION("""COMPUTED_VALUE"""),"na")</f>
        <v>na</v>
      </c>
      <c r="R337" s="49"/>
      <c r="S337" s="49"/>
      <c r="T337" s="49"/>
      <c r="U337" s="49"/>
      <c r="V337" s="49"/>
      <c r="W337" s="49"/>
      <c r="X337" s="49"/>
      <c r="Y337" s="49"/>
      <c r="Z337" s="49"/>
    </row>
    <row r="338">
      <c r="A338" s="49" t="str">
        <f>IFERROR(__xludf.DUMMYFUNCTION("""COMPUTED_VALUE"""),"---")</f>
        <v>---</v>
      </c>
      <c r="B338" s="49" t="str">
        <f>IFERROR(__xludf.DUMMYFUNCTION("""COMPUTED_VALUE"""),"---")</f>
        <v>---</v>
      </c>
      <c r="C338" s="50" t="str">
        <f>IFERROR(__xludf.DUMMYFUNCTION("""COMPUTED_VALUE"""),"Stock")</f>
        <v>Stock</v>
      </c>
      <c r="D338" s="49"/>
      <c r="E338" s="49"/>
      <c r="F338" s="49"/>
      <c r="G338" s="49" t="str">
        <f>IFERROR(__xludf.DUMMYFUNCTION("""COMPUTED_VALUE"""),"C300 Piranha 15 lb")</f>
        <v>C300 Piranha 15 lb</v>
      </c>
      <c r="H338" s="52"/>
      <c r="I338" s="49" t="str">
        <f>IFERROR(__xludf.DUMMYFUNCTION("""COMPUTED_VALUE"""),"free with 8 balls")</f>
        <v>free with 8 balls</v>
      </c>
      <c r="J338" s="51">
        <f>IFERROR(__xludf.DUMMYFUNCTION("""COMPUTED_VALUE"""),46084.0)</f>
        <v>46084</v>
      </c>
      <c r="K338" s="52"/>
      <c r="L338" s="49" t="str">
        <f>IFERROR(__xludf.DUMMYFUNCTION("""COMPUTED_VALUE"""),"Brunswick")</f>
        <v>Brunswick</v>
      </c>
      <c r="M338" s="49"/>
      <c r="N338" s="53">
        <f>IFERROR(__xludf.DUMMYFUNCTION("""COMPUTED_VALUE"""),0.0)</f>
        <v>0</v>
      </c>
      <c r="O338" s="54"/>
      <c r="P338" s="49" t="str">
        <f>IFERROR(__xludf.DUMMYFUNCTION("""COMPUTED_VALUE"""),"na")</f>
        <v>na</v>
      </c>
      <c r="Q338" s="49" t="str">
        <f>IFERROR(__xludf.DUMMYFUNCTION("""COMPUTED_VALUE"""),"na")</f>
        <v>na</v>
      </c>
      <c r="R338" s="49"/>
      <c r="S338" s="49"/>
      <c r="T338" s="49"/>
      <c r="U338" s="49"/>
      <c r="V338" s="49"/>
      <c r="W338" s="49"/>
      <c r="X338" s="49"/>
      <c r="Y338" s="49"/>
      <c r="Z338" s="49"/>
    </row>
    <row r="339">
      <c r="A339" s="49" t="str">
        <f>IFERROR(__xludf.DUMMYFUNCTION("""COMPUTED_VALUE"""),"---")</f>
        <v>---</v>
      </c>
      <c r="B339" s="49" t="str">
        <f>IFERROR(__xludf.DUMMYFUNCTION("""COMPUTED_VALUE"""),"---")</f>
        <v>---</v>
      </c>
      <c r="C339" s="50" t="str">
        <f>IFERROR(__xludf.DUMMYFUNCTION("""COMPUTED_VALUE"""),"Stock")</f>
        <v>Stock</v>
      </c>
      <c r="D339" s="49"/>
      <c r="E339" s="49" t="str">
        <f>IFERROR(__xludf.DUMMYFUNCTION("""COMPUTED_VALUE"""),"South")</f>
        <v>South</v>
      </c>
      <c r="F339" s="49" t="str">
        <f>IFERROR(__xludf.DUMMYFUNCTION("""COMPUTED_VALUE"""),"South")</f>
        <v>South</v>
      </c>
      <c r="G339" s="49" t="str">
        <f>IFERROR(__xludf.DUMMYFUNCTION("""COMPUTED_VALUE"""),"Motiv Supra 15 lb")</f>
        <v>Motiv Supra 15 lb</v>
      </c>
      <c r="H339" s="52"/>
      <c r="I339" s="49"/>
      <c r="J339" s="51">
        <f>IFERROR(__xludf.DUMMYFUNCTION("""COMPUTED_VALUE"""),46084.0)</f>
        <v>46084</v>
      </c>
      <c r="K339" s="52"/>
      <c r="L339" s="49" t="str">
        <f>IFERROR(__xludf.DUMMYFUNCTION("""COMPUTED_VALUE"""),"Motiv")</f>
        <v>Motiv</v>
      </c>
      <c r="M339" s="49"/>
      <c r="N339" s="53">
        <f>IFERROR(__xludf.DUMMYFUNCTION("""COMPUTED_VALUE"""),125.0)</f>
        <v>125</v>
      </c>
      <c r="O339" s="54"/>
      <c r="P339" s="49" t="str">
        <f>IFERROR(__xludf.DUMMYFUNCTION("""COMPUTED_VALUE"""),"na")</f>
        <v>na</v>
      </c>
      <c r="Q339" s="49" t="str">
        <f>IFERROR(__xludf.DUMMYFUNCTION("""COMPUTED_VALUE"""),"na")</f>
        <v>na</v>
      </c>
      <c r="R339" s="49"/>
      <c r="S339" s="49"/>
      <c r="T339" s="49"/>
      <c r="U339" s="49"/>
      <c r="V339" s="49"/>
      <c r="W339" s="49"/>
      <c r="X339" s="49"/>
      <c r="Y339" s="49"/>
      <c r="Z339" s="49"/>
    </row>
    <row r="340">
      <c r="A340" s="49" t="str">
        <f>IFERROR(__xludf.DUMMYFUNCTION("""COMPUTED_VALUE"""),"---")</f>
        <v>---</v>
      </c>
      <c r="B340" s="49" t="str">
        <f>IFERROR(__xludf.DUMMYFUNCTION("""COMPUTED_VALUE"""),"---")</f>
        <v>---</v>
      </c>
      <c r="C340" s="50" t="str">
        <f>IFERROR(__xludf.DUMMYFUNCTION("""COMPUTED_VALUE"""),"Stock")</f>
        <v>Stock</v>
      </c>
      <c r="D340" s="49"/>
      <c r="E340" s="49" t="str">
        <f>IFERROR(__xludf.DUMMYFUNCTION("""COMPUTED_VALUE"""),"South")</f>
        <v>South</v>
      </c>
      <c r="F340" s="49" t="str">
        <f>IFERROR(__xludf.DUMMYFUNCTION("""COMPUTED_VALUE"""),"South")</f>
        <v>South</v>
      </c>
      <c r="G340" s="49" t="str">
        <f>IFERROR(__xludf.DUMMYFUNCTION("""COMPUTED_VALUE"""),"Motiv Nebula 15 lb")</f>
        <v>Motiv Nebula 15 lb</v>
      </c>
      <c r="H340" s="52"/>
      <c r="I340" s="49"/>
      <c r="J340" s="51">
        <f>IFERROR(__xludf.DUMMYFUNCTION("""COMPUTED_VALUE"""),46084.0)</f>
        <v>46084</v>
      </c>
      <c r="K340" s="52"/>
      <c r="L340" s="49" t="str">
        <f>IFERROR(__xludf.DUMMYFUNCTION("""COMPUTED_VALUE"""),"Motiv")</f>
        <v>Motiv</v>
      </c>
      <c r="M340" s="49"/>
      <c r="N340" s="53">
        <f>IFERROR(__xludf.DUMMYFUNCTION("""COMPUTED_VALUE"""),125.0)</f>
        <v>125</v>
      </c>
      <c r="O340" s="54"/>
      <c r="P340" s="49" t="str">
        <f>IFERROR(__xludf.DUMMYFUNCTION("""COMPUTED_VALUE"""),"na")</f>
        <v>na</v>
      </c>
      <c r="Q340" s="49" t="str">
        <f>IFERROR(__xludf.DUMMYFUNCTION("""COMPUTED_VALUE"""),"na")</f>
        <v>na</v>
      </c>
      <c r="R340" s="49"/>
      <c r="S340" s="49"/>
      <c r="T340" s="49"/>
      <c r="U340" s="49"/>
      <c r="V340" s="49"/>
      <c r="W340" s="49"/>
      <c r="X340" s="49"/>
      <c r="Y340" s="49"/>
      <c r="Z340" s="49"/>
    </row>
    <row r="341">
      <c r="A341" s="49" t="str">
        <f>IFERROR(__xludf.DUMMYFUNCTION("""COMPUTED_VALUE"""),"---")</f>
        <v>---</v>
      </c>
      <c r="B341" s="49" t="str">
        <f>IFERROR(__xludf.DUMMYFUNCTION("""COMPUTED_VALUE"""),"---")</f>
        <v>---</v>
      </c>
      <c r="C341" s="50" t="str">
        <f>IFERROR(__xludf.DUMMYFUNCTION("""COMPUTED_VALUE"""),"Stock")</f>
        <v>Stock</v>
      </c>
      <c r="D341" s="49"/>
      <c r="E341" s="49" t="str">
        <f>IFERROR(__xludf.DUMMYFUNCTION("""COMPUTED_VALUE"""),"South")</f>
        <v>South</v>
      </c>
      <c r="F341" s="49" t="str">
        <f>IFERROR(__xludf.DUMMYFUNCTION("""COMPUTED_VALUE"""),"South")</f>
        <v>South</v>
      </c>
      <c r="G341" s="49" t="str">
        <f>IFERROR(__xludf.DUMMYFUNCTION("""COMPUTED_VALUE"""),"Motiv Hyper Venom 15 lm")</f>
        <v>Motiv Hyper Venom 15 lm</v>
      </c>
      <c r="H341" s="52"/>
      <c r="I341" s="49"/>
      <c r="J341" s="51">
        <f>IFERROR(__xludf.DUMMYFUNCTION("""COMPUTED_VALUE"""),46084.0)</f>
        <v>46084</v>
      </c>
      <c r="K341" s="52"/>
      <c r="L341" s="49" t="str">
        <f>IFERROR(__xludf.DUMMYFUNCTION("""COMPUTED_VALUE"""),"Motiv")</f>
        <v>Motiv</v>
      </c>
      <c r="M341" s="49"/>
      <c r="N341" s="53">
        <f>IFERROR(__xludf.DUMMYFUNCTION("""COMPUTED_VALUE"""),125.0)</f>
        <v>125</v>
      </c>
      <c r="O341" s="54"/>
      <c r="P341" s="49" t="str">
        <f>IFERROR(__xludf.DUMMYFUNCTION("""COMPUTED_VALUE"""),"na")</f>
        <v>na</v>
      </c>
      <c r="Q341" s="49" t="str">
        <f>IFERROR(__xludf.DUMMYFUNCTION("""COMPUTED_VALUE"""),"na")</f>
        <v>na</v>
      </c>
      <c r="R341" s="49"/>
      <c r="S341" s="49"/>
      <c r="T341" s="49"/>
      <c r="U341" s="49"/>
      <c r="V341" s="49"/>
      <c r="W341" s="49"/>
      <c r="X341" s="49"/>
      <c r="Y341" s="49"/>
      <c r="Z341" s="49"/>
    </row>
    <row r="342">
      <c r="A342" s="49" t="str">
        <f>IFERROR(__xludf.DUMMYFUNCTION("""COMPUTED_VALUE"""),"---")</f>
        <v>---</v>
      </c>
      <c r="B342" s="49" t="str">
        <f>IFERROR(__xludf.DUMMYFUNCTION("""COMPUTED_VALUE"""),"---")</f>
        <v>---</v>
      </c>
      <c r="C342" s="50" t="str">
        <f>IFERROR(__xludf.DUMMYFUNCTION("""COMPUTED_VALUE"""),"Stock")</f>
        <v>Stock</v>
      </c>
      <c r="D342" s="49"/>
      <c r="E342" s="49" t="str">
        <f>IFERROR(__xludf.DUMMYFUNCTION("""COMPUTED_VALUE"""),"South")</f>
        <v>South</v>
      </c>
      <c r="F342" s="49" t="str">
        <f>IFERROR(__xludf.DUMMYFUNCTION("""COMPUTED_VALUE"""),"South")</f>
        <v>South</v>
      </c>
      <c r="G342" s="49" t="str">
        <f>IFERROR(__xludf.DUMMYFUNCTION("""COMPUTED_VALUE"""),"Motiv Max Thrill Hybrid 15 lb")</f>
        <v>Motiv Max Thrill Hybrid 15 lb</v>
      </c>
      <c r="H342" s="52"/>
      <c r="I342" s="49"/>
      <c r="J342" s="51">
        <f>IFERROR(__xludf.DUMMYFUNCTION("""COMPUTED_VALUE"""),46084.0)</f>
        <v>46084</v>
      </c>
      <c r="K342" s="52"/>
      <c r="L342" s="49" t="str">
        <f>IFERROR(__xludf.DUMMYFUNCTION("""COMPUTED_VALUE"""),"Motiv")</f>
        <v>Motiv</v>
      </c>
      <c r="M342" s="49"/>
      <c r="N342" s="53">
        <f>IFERROR(__xludf.DUMMYFUNCTION("""COMPUTED_VALUE"""),125.0)</f>
        <v>125</v>
      </c>
      <c r="O342" s="54"/>
      <c r="P342" s="49" t="str">
        <f>IFERROR(__xludf.DUMMYFUNCTION("""COMPUTED_VALUE"""),"na")</f>
        <v>na</v>
      </c>
      <c r="Q342" s="49" t="str">
        <f>IFERROR(__xludf.DUMMYFUNCTION("""COMPUTED_VALUE"""),"na")</f>
        <v>na</v>
      </c>
      <c r="R342" s="49"/>
      <c r="S342" s="49"/>
      <c r="T342" s="49"/>
      <c r="U342" s="49"/>
      <c r="V342" s="49"/>
      <c r="W342" s="49"/>
      <c r="X342" s="49"/>
      <c r="Y342" s="49"/>
      <c r="Z342" s="49"/>
    </row>
    <row r="343">
      <c r="A343" s="49" t="str">
        <f>IFERROR(__xludf.DUMMYFUNCTION("""COMPUTED_VALUE"""),"---")</f>
        <v>---</v>
      </c>
      <c r="B343" s="49" t="str">
        <f>IFERROR(__xludf.DUMMYFUNCTION("""COMPUTED_VALUE"""),"---")</f>
        <v>---</v>
      </c>
      <c r="C343" s="50" t="str">
        <f>IFERROR(__xludf.DUMMYFUNCTION("""COMPUTED_VALUE"""),"Stock")</f>
        <v>Stock</v>
      </c>
      <c r="D343" s="49"/>
      <c r="E343" s="49"/>
      <c r="F343" s="49"/>
      <c r="G343" s="49" t="str">
        <f>IFERROR(__xludf.DUMMYFUNCTION("""COMPUTED_VALUE"""),"TG orange 45")</f>
        <v>TG orange 45</v>
      </c>
      <c r="H343" s="52"/>
      <c r="I343" s="49"/>
      <c r="J343" s="51">
        <f>IFERROR(__xludf.DUMMYFUNCTION("""COMPUTED_VALUE"""),46090.0)</f>
        <v>46090</v>
      </c>
      <c r="K343" s="52"/>
      <c r="L343" s="49" t="str">
        <f>IFERROR(__xludf.DUMMYFUNCTION("""COMPUTED_VALUE"""),"B Supply")</f>
        <v>B Supply</v>
      </c>
      <c r="M343" s="49">
        <f>IFERROR(__xludf.DUMMYFUNCTION("""COMPUTED_VALUE"""),527198.0)</f>
        <v>527198</v>
      </c>
      <c r="N343" s="53">
        <f>IFERROR(__xludf.DUMMYFUNCTION("""COMPUTED_VALUE"""),1.14)</f>
        <v>1.14</v>
      </c>
      <c r="O343" s="54">
        <f>IFERROR(__xludf.DUMMYFUNCTION("""COMPUTED_VALUE"""),674905.0)</f>
        <v>674905</v>
      </c>
      <c r="P343" s="49" t="str">
        <f>IFERROR(__xludf.DUMMYFUNCTION("""COMPUTED_VALUE"""),"na")</f>
        <v>na</v>
      </c>
      <c r="Q343" s="49" t="str">
        <f>IFERROR(__xludf.DUMMYFUNCTION("""COMPUTED_VALUE"""),"na")</f>
        <v>na</v>
      </c>
      <c r="R343" s="49"/>
      <c r="S343" s="49"/>
      <c r="T343" s="49"/>
      <c r="U343" s="49"/>
      <c r="V343" s="49"/>
      <c r="W343" s="49"/>
      <c r="X343" s="49"/>
      <c r="Y343" s="49"/>
      <c r="Z343" s="49"/>
    </row>
    <row r="344">
      <c r="A344" s="49" t="str">
        <f>IFERROR(__xludf.DUMMYFUNCTION("""COMPUTED_VALUE"""),"---")</f>
        <v>---</v>
      </c>
      <c r="B344" s="49" t="str">
        <f>IFERROR(__xludf.DUMMYFUNCTION("""COMPUTED_VALUE"""),"---")</f>
        <v>---</v>
      </c>
      <c r="C344" s="50" t="str">
        <f>IFERROR(__xludf.DUMMYFUNCTION("""COMPUTED_VALUE"""),"Cody Wilcox")</f>
        <v>Cody Wilcox</v>
      </c>
      <c r="D344" s="49"/>
      <c r="E344" s="49" t="str">
        <f>IFERROR(__xludf.DUMMYFUNCTION("""COMPUTED_VALUE"""),"Valley")</f>
        <v>Valley</v>
      </c>
      <c r="F344" s="49" t="str">
        <f>IFERROR(__xludf.DUMMYFUNCTION("""COMPUTED_VALUE"""),"Valley")</f>
        <v>Valley</v>
      </c>
      <c r="G344" s="49" t="str">
        <f>IFERROR(__xludf.DUMMYFUNCTION("""COMPUTED_VALUE"""),"Roto Grip Gremlin Tour X 15lbs")</f>
        <v>Roto Grip Gremlin Tour X 15lbs</v>
      </c>
      <c r="H344" s="52"/>
      <c r="I344" s="49"/>
      <c r="J344" s="51">
        <f>IFERROR(__xludf.DUMMYFUNCTION("""COMPUTED_VALUE"""),46090.0)</f>
        <v>46090</v>
      </c>
      <c r="K344" s="52"/>
      <c r="L344" s="49" t="str">
        <f>IFERROR(__xludf.DUMMYFUNCTION("""COMPUTED_VALUE"""),"B Supply")</f>
        <v>B Supply</v>
      </c>
      <c r="M344" s="49">
        <f>IFERROR(__xludf.DUMMYFUNCTION("""COMPUTED_VALUE"""),527198.0)</f>
        <v>527198</v>
      </c>
      <c r="N344" s="53">
        <f>IFERROR(__xludf.DUMMYFUNCTION("""COMPUTED_VALUE"""),132.15)</f>
        <v>132.15</v>
      </c>
      <c r="O344" s="54">
        <f>IFERROR(__xludf.DUMMYFUNCTION("""COMPUTED_VALUE"""),674905.0)</f>
        <v>674905</v>
      </c>
      <c r="P344" s="49" t="str">
        <f>IFERROR(__xludf.DUMMYFUNCTION("""COMPUTED_VALUE"""),"Y")</f>
        <v>Y</v>
      </c>
      <c r="Q344" s="49" t="str">
        <f>IFERROR(__xludf.DUMMYFUNCTION("""COMPUTED_VALUE"""),"Y")</f>
        <v>Y</v>
      </c>
      <c r="R344" s="49"/>
      <c r="S344" s="49"/>
      <c r="T344" s="49"/>
      <c r="U344" s="49"/>
      <c r="V344" s="49"/>
      <c r="W344" s="49"/>
      <c r="X344" s="49"/>
      <c r="Y344" s="49"/>
      <c r="Z344" s="49"/>
    </row>
    <row r="345">
      <c r="A345" s="49" t="str">
        <f>IFERROR(__xludf.DUMMYFUNCTION("""COMPUTED_VALUE"""),"---")</f>
        <v>---</v>
      </c>
      <c r="B345" s="49" t="str">
        <f>IFERROR(__xludf.DUMMYFUNCTION("""COMPUTED_VALUE"""),"---")</f>
        <v>---</v>
      </c>
      <c r="C345" s="50" t="str">
        <f>IFERROR(__xludf.DUMMYFUNCTION("""COMPUTED_VALUE"""),"Gail Thomas")</f>
        <v>Gail Thomas</v>
      </c>
      <c r="D345" s="49"/>
      <c r="E345" s="49" t="str">
        <f>IFERROR(__xludf.DUMMYFUNCTION("""COMPUTED_VALUE"""),"South")</f>
        <v>South</v>
      </c>
      <c r="F345" s="49" t="str">
        <f>IFERROR(__xludf.DUMMYFUNCTION("""COMPUTED_VALUE"""),"South")</f>
        <v>South</v>
      </c>
      <c r="G345" s="49" t="str">
        <f>IFERROR(__xludf.DUMMYFUNCTION("""COMPUTED_VALUE"""),"KR Hybrid single roller pink")</f>
        <v>KR Hybrid single roller pink</v>
      </c>
      <c r="H345" s="52"/>
      <c r="I345" s="49"/>
      <c r="J345" s="51">
        <f>IFERROR(__xludf.DUMMYFUNCTION("""COMPUTED_VALUE"""),46090.0)</f>
        <v>46090</v>
      </c>
      <c r="K345" s="52"/>
      <c r="L345" s="49" t="str">
        <f>IFERROR(__xludf.DUMMYFUNCTION("""COMPUTED_VALUE"""),"B Supply")</f>
        <v>B Supply</v>
      </c>
      <c r="M345" s="49">
        <f>IFERROR(__xludf.DUMMYFUNCTION("""COMPUTED_VALUE"""),527198.0)</f>
        <v>527198</v>
      </c>
      <c r="N345" s="53">
        <f>IFERROR(__xludf.DUMMYFUNCTION("""COMPUTED_VALUE"""),58.43)</f>
        <v>58.43</v>
      </c>
      <c r="O345" s="54">
        <f>IFERROR(__xludf.DUMMYFUNCTION("""COMPUTED_VALUE"""),674905.0)</f>
        <v>674905</v>
      </c>
      <c r="P345" s="49" t="str">
        <f>IFERROR(__xludf.DUMMYFUNCTION("""COMPUTED_VALUE"""),"na")</f>
        <v>na</v>
      </c>
      <c r="Q345" s="49" t="str">
        <f>IFERROR(__xludf.DUMMYFUNCTION("""COMPUTED_VALUE"""),"na")</f>
        <v>na</v>
      </c>
      <c r="R345" s="49"/>
      <c r="S345" s="49"/>
      <c r="T345" s="49"/>
      <c r="U345" s="49"/>
      <c r="V345" s="49"/>
      <c r="W345" s="49"/>
      <c r="X345" s="49"/>
      <c r="Y345" s="49"/>
      <c r="Z345" s="49"/>
    </row>
    <row r="346">
      <c r="A346" s="49" t="str">
        <f>IFERROR(__xludf.DUMMYFUNCTION("""COMPUTED_VALUE"""),"---")</f>
        <v>---</v>
      </c>
      <c r="B346" s="49" t="str">
        <f>IFERROR(__xludf.DUMMYFUNCTION("""COMPUTED_VALUE"""),"---")</f>
        <v>---</v>
      </c>
      <c r="C346" s="50" t="str">
        <f>IFERROR(__xludf.DUMMYFUNCTION("""COMPUTED_VALUE"""),"Emily Reklaitis")</f>
        <v>Emily Reklaitis</v>
      </c>
      <c r="D346" s="49">
        <f>IFERROR(__xludf.DUMMYFUNCTION("""COMPUTED_VALUE"""),5.709058743E9)</f>
        <v>5709058743</v>
      </c>
      <c r="E346" s="49" t="str">
        <f>IFERROR(__xludf.DUMMYFUNCTION("""COMPUTED_VALUE"""),"South")</f>
        <v>South</v>
      </c>
      <c r="F346" s="49" t="str">
        <f>IFERROR(__xludf.DUMMYFUNCTION("""COMPUTED_VALUE"""),"South")</f>
        <v>South</v>
      </c>
      <c r="G346" s="49" t="str">
        <f>IFERROR(__xludf.DUMMYFUNCTION("""COMPUTED_VALUE"""),"C300 White Dot wild orchid 10 lbs")</f>
        <v>C300 White Dot wild orchid 10 lbs</v>
      </c>
      <c r="H346" s="52"/>
      <c r="I346" s="49"/>
      <c r="J346" s="51">
        <f>IFERROR(__xludf.DUMMYFUNCTION("""COMPUTED_VALUE"""),46090.0)</f>
        <v>46090</v>
      </c>
      <c r="K346" s="52"/>
      <c r="L346" s="49" t="str">
        <f>IFERROR(__xludf.DUMMYFUNCTION("""COMPUTED_VALUE"""),"B Supply")</f>
        <v>B Supply</v>
      </c>
      <c r="M346" s="49">
        <f>IFERROR(__xludf.DUMMYFUNCTION("""COMPUTED_VALUE"""),527198.0)</f>
        <v>527198</v>
      </c>
      <c r="N346" s="53">
        <f>IFERROR(__xludf.DUMMYFUNCTION("""COMPUTED_VALUE"""),50.11)</f>
        <v>50.11</v>
      </c>
      <c r="O346" s="54">
        <f>IFERROR(__xludf.DUMMYFUNCTION("""COMPUTED_VALUE"""),674905.0)</f>
        <v>674905</v>
      </c>
      <c r="P346" s="49" t="str">
        <f>IFERROR(__xludf.DUMMYFUNCTION("""COMPUTED_VALUE"""),"Y")</f>
        <v>Y</v>
      </c>
      <c r="Q346" s="49" t="str">
        <f>IFERROR(__xludf.DUMMYFUNCTION("""COMPUTED_VALUE"""),"Y")</f>
        <v>Y</v>
      </c>
      <c r="R346" s="49"/>
      <c r="S346" s="49"/>
      <c r="T346" s="49"/>
      <c r="U346" s="49"/>
      <c r="V346" s="49"/>
      <c r="W346" s="49"/>
      <c r="X346" s="49"/>
      <c r="Y346" s="49"/>
      <c r="Z346" s="49"/>
    </row>
    <row r="347">
      <c r="A347" s="49" t="str">
        <f>IFERROR(__xludf.DUMMYFUNCTION("""COMPUTED_VALUE"""),"---")</f>
        <v>---</v>
      </c>
      <c r="B347" s="49" t="str">
        <f>IFERROR(__xludf.DUMMYFUNCTION("""COMPUTED_VALUE"""),"---")</f>
        <v>---</v>
      </c>
      <c r="C347" s="50" t="str">
        <f>IFERROR(__xludf.DUMMYFUNCTION("""COMPUTED_VALUE"""),"Stock")</f>
        <v>Stock</v>
      </c>
      <c r="D347" s="49"/>
      <c r="E347" s="49" t="str">
        <f>IFERROR(__xludf.DUMMYFUNCTION("""COMPUTED_VALUE"""),"South")</f>
        <v>South</v>
      </c>
      <c r="F347" s="49" t="str">
        <f>IFERROR(__xludf.DUMMYFUNCTION("""COMPUTED_VALUE"""),"South")</f>
        <v>South</v>
      </c>
      <c r="G347" s="49" t="str">
        <f>IFERROR(__xludf.DUMMYFUNCTION("""COMPUTED_VALUE"""),"Brunswick Prism 8.5")</f>
        <v>Brunswick Prism 8.5</v>
      </c>
      <c r="H347" s="52"/>
      <c r="I347" s="49"/>
      <c r="J347" s="51">
        <f>IFERROR(__xludf.DUMMYFUNCTION("""COMPUTED_VALUE"""),46090.0)</f>
        <v>46090</v>
      </c>
      <c r="K347" s="52"/>
      <c r="L347" s="49" t="str">
        <f>IFERROR(__xludf.DUMMYFUNCTION("""COMPUTED_VALUE"""),"B Supply")</f>
        <v>B Supply</v>
      </c>
      <c r="M347" s="49">
        <f>IFERROR(__xludf.DUMMYFUNCTION("""COMPUTED_VALUE"""),527198.0)</f>
        <v>527198</v>
      </c>
      <c r="N347" s="53">
        <f>IFERROR(__xludf.DUMMYFUNCTION("""COMPUTED_VALUE"""),42.27)</f>
        <v>42.27</v>
      </c>
      <c r="O347" s="54">
        <f>IFERROR(__xludf.DUMMYFUNCTION("""COMPUTED_VALUE"""),674905.0)</f>
        <v>674905</v>
      </c>
      <c r="P347" s="49" t="str">
        <f>IFERROR(__xludf.DUMMYFUNCTION("""COMPUTED_VALUE"""),"na")</f>
        <v>na</v>
      </c>
      <c r="Q347" s="49" t="str">
        <f>IFERROR(__xludf.DUMMYFUNCTION("""COMPUTED_VALUE"""),"na")</f>
        <v>na</v>
      </c>
      <c r="R347" s="49"/>
      <c r="S347" s="49"/>
      <c r="T347" s="49"/>
      <c r="U347" s="49"/>
      <c r="V347" s="49"/>
      <c r="W347" s="49"/>
      <c r="X347" s="49"/>
      <c r="Y347" s="49"/>
      <c r="Z347" s="49"/>
    </row>
    <row r="348">
      <c r="A348" s="49" t="str">
        <f>IFERROR(__xludf.DUMMYFUNCTION("""COMPUTED_VALUE"""),"---")</f>
        <v>---</v>
      </c>
      <c r="B348" s="49" t="str">
        <f>IFERROR(__xludf.DUMMYFUNCTION("""COMPUTED_VALUE"""),"---")</f>
        <v>---</v>
      </c>
      <c r="C348" s="50" t="str">
        <f>IFERROR(__xludf.DUMMYFUNCTION("""COMPUTED_VALUE"""),"Stock")</f>
        <v>Stock</v>
      </c>
      <c r="D348" s="49"/>
      <c r="E348" s="49" t="str">
        <f>IFERROR(__xludf.DUMMYFUNCTION("""COMPUTED_VALUE"""),"South")</f>
        <v>South</v>
      </c>
      <c r="F348" s="49" t="str">
        <f>IFERROR(__xludf.DUMMYFUNCTION("""COMPUTED_VALUE"""),"South")</f>
        <v>South</v>
      </c>
      <c r="G348" s="49" t="str">
        <f>IFERROR(__xludf.DUMMYFUNCTION("""COMPUTED_VALUE"""),"Brunswick Prism 12")</f>
        <v>Brunswick Prism 12</v>
      </c>
      <c r="H348" s="52"/>
      <c r="I348" s="49"/>
      <c r="J348" s="51">
        <f>IFERROR(__xludf.DUMMYFUNCTION("""COMPUTED_VALUE"""),46090.0)</f>
        <v>46090</v>
      </c>
      <c r="K348" s="52"/>
      <c r="L348" s="49" t="str">
        <f>IFERROR(__xludf.DUMMYFUNCTION("""COMPUTED_VALUE"""),"B Supply")</f>
        <v>B Supply</v>
      </c>
      <c r="M348" s="49">
        <f>IFERROR(__xludf.DUMMYFUNCTION("""COMPUTED_VALUE"""),527198.0)</f>
        <v>527198</v>
      </c>
      <c r="N348" s="53">
        <f>IFERROR(__xludf.DUMMYFUNCTION("""COMPUTED_VALUE"""),42.27)</f>
        <v>42.27</v>
      </c>
      <c r="O348" s="54">
        <f>IFERROR(__xludf.DUMMYFUNCTION("""COMPUTED_VALUE"""),674905.0)</f>
        <v>674905</v>
      </c>
      <c r="P348" s="49" t="str">
        <f>IFERROR(__xludf.DUMMYFUNCTION("""COMPUTED_VALUE"""),"na")</f>
        <v>na</v>
      </c>
      <c r="Q348" s="49" t="str">
        <f>IFERROR(__xludf.DUMMYFUNCTION("""COMPUTED_VALUE"""),"na")</f>
        <v>na</v>
      </c>
      <c r="R348" s="49"/>
      <c r="S348" s="49"/>
      <c r="T348" s="49"/>
      <c r="U348" s="49"/>
      <c r="V348" s="49"/>
      <c r="W348" s="49"/>
      <c r="X348" s="49"/>
      <c r="Y348" s="49"/>
      <c r="Z348" s="49"/>
    </row>
    <row r="349">
      <c r="A349" s="49" t="str">
        <f>IFERROR(__xludf.DUMMYFUNCTION("""COMPUTED_VALUE"""),"---")</f>
        <v>---</v>
      </c>
      <c r="B349" s="49" t="str">
        <f>IFERROR(__xludf.DUMMYFUNCTION("""COMPUTED_VALUE"""),"---")</f>
        <v>---</v>
      </c>
      <c r="C349" s="50" t="str">
        <f>IFERROR(__xludf.DUMMYFUNCTION("""COMPUTED_VALUE"""),"Stock")</f>
        <v>Stock</v>
      </c>
      <c r="D349" s="49"/>
      <c r="E349" s="49" t="str">
        <f>IFERROR(__xludf.DUMMYFUNCTION("""COMPUTED_VALUE"""),"Valley")</f>
        <v>Valley</v>
      </c>
      <c r="F349" s="49" t="str">
        <f>IFERROR(__xludf.DUMMYFUNCTION("""COMPUTED_VALUE"""),"Valley")</f>
        <v>Valley</v>
      </c>
      <c r="G349" s="49" t="str">
        <f>IFERROR(__xludf.DUMMYFUNCTION("""COMPUTED_VALUE"""),"Storm arc ruler")</f>
        <v>Storm arc ruler</v>
      </c>
      <c r="H349" s="52"/>
      <c r="I349" s="49"/>
      <c r="J349" s="51">
        <f>IFERROR(__xludf.DUMMYFUNCTION("""COMPUTED_VALUE"""),46090.0)</f>
        <v>46090</v>
      </c>
      <c r="K349" s="52"/>
      <c r="L349" s="49" t="str">
        <f>IFERROR(__xludf.DUMMYFUNCTION("""COMPUTED_VALUE"""),"B Supply")</f>
        <v>B Supply</v>
      </c>
      <c r="M349" s="49">
        <f>IFERROR(__xludf.DUMMYFUNCTION("""COMPUTED_VALUE"""),527198.0)</f>
        <v>527198</v>
      </c>
      <c r="N349" s="53">
        <f>IFERROR(__xludf.DUMMYFUNCTION("""COMPUTED_VALUE"""),11.16)</f>
        <v>11.16</v>
      </c>
      <c r="O349" s="54">
        <f>IFERROR(__xludf.DUMMYFUNCTION("""COMPUTED_VALUE"""),674905.0)</f>
        <v>674905</v>
      </c>
      <c r="P349" s="49" t="str">
        <f>IFERROR(__xludf.DUMMYFUNCTION("""COMPUTED_VALUE"""),"na")</f>
        <v>na</v>
      </c>
      <c r="Q349" s="49" t="str">
        <f>IFERROR(__xludf.DUMMYFUNCTION("""COMPUTED_VALUE"""),"na")</f>
        <v>na</v>
      </c>
      <c r="R349" s="49"/>
      <c r="S349" s="49"/>
      <c r="T349" s="49"/>
      <c r="U349" s="49"/>
      <c r="V349" s="49"/>
      <c r="W349" s="49"/>
      <c r="X349" s="49"/>
      <c r="Y349" s="49"/>
      <c r="Z349" s="49"/>
    </row>
    <row r="350">
      <c r="A350" s="49" t="str">
        <f>IFERROR(__xludf.DUMMYFUNCTION("""COMPUTED_VALUE"""),"---")</f>
        <v>---</v>
      </c>
      <c r="B350" s="49" t="str">
        <f>IFERROR(__xludf.DUMMYFUNCTION("""COMPUTED_VALUE"""),"---")</f>
        <v>---</v>
      </c>
      <c r="C350" s="50" t="str">
        <f>IFERROR(__xludf.DUMMYFUNCTION("""COMPUTED_VALUE"""),"Stock")</f>
        <v>Stock</v>
      </c>
      <c r="D350" s="49"/>
      <c r="E350" s="49" t="str">
        <f>IFERROR(__xludf.DUMMYFUNCTION("""COMPUTED_VALUE"""),"Valley")</f>
        <v>Valley</v>
      </c>
      <c r="F350" s="49" t="str">
        <f>IFERROR(__xludf.DUMMYFUNCTION("""COMPUTED_VALUE"""),"Valley")</f>
        <v>Valley</v>
      </c>
      <c r="G350" s="49" t="str">
        <f>IFERROR(__xludf.DUMMYFUNCTION("""COMPUTED_VALUE"""),"Hammer Zero Mercy Solid 15 lb")</f>
        <v>Hammer Zero Mercy Solid 15 lb</v>
      </c>
      <c r="H350" s="52"/>
      <c r="I350" s="49"/>
      <c r="J350" s="51">
        <f>IFERROR(__xludf.DUMMYFUNCTION("""COMPUTED_VALUE"""),46090.0)</f>
        <v>46090</v>
      </c>
      <c r="K350" s="52"/>
      <c r="L350" s="49" t="str">
        <f>IFERROR(__xludf.DUMMYFUNCTION("""COMPUTED_VALUE"""),"B Supply")</f>
        <v>B Supply</v>
      </c>
      <c r="M350" s="49">
        <f>IFERROR(__xludf.DUMMYFUNCTION("""COMPUTED_VALUE"""),527198.0)</f>
        <v>527198</v>
      </c>
      <c r="N350" s="53">
        <f>IFERROR(__xludf.DUMMYFUNCTION("""COMPUTED_VALUE"""),156.51)</f>
        <v>156.51</v>
      </c>
      <c r="O350" s="54">
        <f>IFERROR(__xludf.DUMMYFUNCTION("""COMPUTED_VALUE"""),674905.0)</f>
        <v>674905</v>
      </c>
      <c r="P350" s="49" t="str">
        <f>IFERROR(__xludf.DUMMYFUNCTION("""COMPUTED_VALUE"""),"na")</f>
        <v>na</v>
      </c>
      <c r="Q350" s="49" t="str">
        <f>IFERROR(__xludf.DUMMYFUNCTION("""COMPUTED_VALUE"""),"na")</f>
        <v>na</v>
      </c>
      <c r="R350" s="49"/>
      <c r="S350" s="49"/>
      <c r="T350" s="49"/>
      <c r="U350" s="49"/>
      <c r="V350" s="49"/>
      <c r="W350" s="49"/>
      <c r="X350" s="49"/>
      <c r="Y350" s="49"/>
      <c r="Z350" s="49"/>
    </row>
    <row r="351">
      <c r="A351" s="49" t="str">
        <f>IFERROR(__xludf.DUMMYFUNCTION("""COMPUTED_VALUE"""),"---")</f>
        <v>---</v>
      </c>
      <c r="B351" s="49" t="str">
        <f>IFERROR(__xludf.DUMMYFUNCTION("""COMPUTED_VALUE"""),"---")</f>
        <v>---</v>
      </c>
      <c r="C351" s="50" t="str">
        <f>IFERROR(__xludf.DUMMYFUNCTION("""COMPUTED_VALUE"""),"Stock")</f>
        <v>Stock</v>
      </c>
      <c r="D351" s="49"/>
      <c r="E351" s="49" t="str">
        <f>IFERROR(__xludf.DUMMYFUNCTION("""COMPUTED_VALUE"""),"South")</f>
        <v>South</v>
      </c>
      <c r="F351" s="49" t="str">
        <f>IFERROR(__xludf.DUMMYFUNCTION("""COMPUTED_VALUE"""),"South")</f>
        <v>South</v>
      </c>
      <c r="G351" s="49" t="str">
        <f>IFERROR(__xludf.DUMMYFUNCTION("""COMPUTED_VALUE"""),"Hammer Zero Mercy Pearl 15 lb")</f>
        <v>Hammer Zero Mercy Pearl 15 lb</v>
      </c>
      <c r="H351" s="52"/>
      <c r="I351" s="49"/>
      <c r="J351" s="51">
        <f>IFERROR(__xludf.DUMMYFUNCTION("""COMPUTED_VALUE"""),46090.0)</f>
        <v>46090</v>
      </c>
      <c r="K351" s="52"/>
      <c r="L351" s="49" t="str">
        <f>IFERROR(__xludf.DUMMYFUNCTION("""COMPUTED_VALUE"""),"B Supply")</f>
        <v>B Supply</v>
      </c>
      <c r="M351" s="49">
        <f>IFERROR(__xludf.DUMMYFUNCTION("""COMPUTED_VALUE"""),527198.0)</f>
        <v>527198</v>
      </c>
      <c r="N351" s="53">
        <f>IFERROR(__xludf.DUMMYFUNCTION("""COMPUTED_VALUE"""),156.51)</f>
        <v>156.51</v>
      </c>
      <c r="O351" s="54">
        <f>IFERROR(__xludf.DUMMYFUNCTION("""COMPUTED_VALUE"""),674905.0)</f>
        <v>674905</v>
      </c>
      <c r="P351" s="49" t="str">
        <f>IFERROR(__xludf.DUMMYFUNCTION("""COMPUTED_VALUE"""),"na")</f>
        <v>na</v>
      </c>
      <c r="Q351" s="49" t="str">
        <f>IFERROR(__xludf.DUMMYFUNCTION("""COMPUTED_VALUE"""),"na")</f>
        <v>na</v>
      </c>
      <c r="R351" s="49"/>
      <c r="S351" s="49"/>
      <c r="T351" s="49"/>
      <c r="U351" s="49"/>
      <c r="V351" s="49"/>
      <c r="W351" s="49"/>
      <c r="X351" s="49"/>
      <c r="Y351" s="49"/>
      <c r="Z351" s="49"/>
    </row>
    <row r="352">
      <c r="A352" s="49" t="str">
        <f>IFERROR(__xludf.DUMMYFUNCTION("""COMPUTED_VALUE"""),"---")</f>
        <v>---</v>
      </c>
      <c r="B352" s="49" t="str">
        <f>IFERROR(__xludf.DUMMYFUNCTION("""COMPUTED_VALUE"""),"---")</f>
        <v>---</v>
      </c>
      <c r="C352" s="50" t="str">
        <f>IFERROR(__xludf.DUMMYFUNCTION("""COMPUTED_VALUE"""),"Hector Cruz")</f>
        <v>Hector Cruz</v>
      </c>
      <c r="D352" s="49"/>
      <c r="E352" s="49" t="str">
        <f>IFERROR(__xludf.DUMMYFUNCTION("""COMPUTED_VALUE"""),"South")</f>
        <v>South</v>
      </c>
      <c r="F352" s="49" t="str">
        <f>IFERROR(__xludf.DUMMYFUNCTION("""COMPUTED_VALUE"""),"South")</f>
        <v>South</v>
      </c>
      <c r="G352" s="49" t="str">
        <f>IFERROR(__xludf.DUMMYFUNCTION("""COMPUTED_VALUE"""),"Brunswick Move black size 9")</f>
        <v>Brunswick Move black size 9</v>
      </c>
      <c r="H352" s="52"/>
      <c r="I352" s="49"/>
      <c r="J352" s="51">
        <f>IFERROR(__xludf.DUMMYFUNCTION("""COMPUTED_VALUE"""),46090.0)</f>
        <v>46090</v>
      </c>
      <c r="K352" s="52"/>
      <c r="L352" s="49" t="str">
        <f>IFERROR(__xludf.DUMMYFUNCTION("""COMPUTED_VALUE"""),"B Supply")</f>
        <v>B Supply</v>
      </c>
      <c r="M352" s="49">
        <f>IFERROR(__xludf.DUMMYFUNCTION("""COMPUTED_VALUE"""),527198.0)</f>
        <v>527198</v>
      </c>
      <c r="N352" s="53">
        <f>IFERROR(__xludf.DUMMYFUNCTION("""COMPUTED_VALUE"""),42.47)</f>
        <v>42.47</v>
      </c>
      <c r="O352" s="54">
        <f>IFERROR(__xludf.DUMMYFUNCTION("""COMPUTED_VALUE"""),674905.0)</f>
        <v>674905</v>
      </c>
      <c r="P352" s="49" t="str">
        <f>IFERROR(__xludf.DUMMYFUNCTION("""COMPUTED_VALUE"""),"Y")</f>
        <v>Y</v>
      </c>
      <c r="Q352" s="49" t="str">
        <f>IFERROR(__xludf.DUMMYFUNCTION("""COMPUTED_VALUE"""),"Y")</f>
        <v>Y</v>
      </c>
      <c r="R352" s="49"/>
      <c r="S352" s="49"/>
      <c r="T352" s="49"/>
      <c r="U352" s="49"/>
      <c r="V352" s="49"/>
      <c r="W352" s="49"/>
      <c r="X352" s="49"/>
      <c r="Y352" s="49"/>
      <c r="Z352" s="49"/>
    </row>
    <row r="353">
      <c r="A353" s="49" t="str">
        <f>IFERROR(__xludf.DUMMYFUNCTION("""COMPUTED_VALUE"""),"---")</f>
        <v>---</v>
      </c>
      <c r="B353" s="49" t="str">
        <f>IFERROR(__xludf.DUMMYFUNCTION("""COMPUTED_VALUE"""),"---")</f>
        <v>---</v>
      </c>
      <c r="C353" s="50" t="str">
        <f>IFERROR(__xludf.DUMMYFUNCTION("""COMPUTED_VALUE"""),"Stock")</f>
        <v>Stock</v>
      </c>
      <c r="D353" s="49"/>
      <c r="E353" s="49" t="str">
        <f>IFERROR(__xludf.DUMMYFUNCTION("""COMPUTED_VALUE"""),"Valley")</f>
        <v>Valley</v>
      </c>
      <c r="F353" s="49" t="str">
        <f>IFERROR(__xludf.DUMMYFUNCTION("""COMPUTED_VALUE"""),"Valley")</f>
        <v>Valley</v>
      </c>
      <c r="G353" s="49" t="str">
        <f>IFERROR(__xludf.DUMMYFUNCTION("""COMPUTED_VALUE"""),"Brunswick Move periwinkle size 7")</f>
        <v>Brunswick Move periwinkle size 7</v>
      </c>
      <c r="H353" s="52"/>
      <c r="I353" s="49"/>
      <c r="J353" s="51">
        <f>IFERROR(__xludf.DUMMYFUNCTION("""COMPUTED_VALUE"""),46090.0)</f>
        <v>46090</v>
      </c>
      <c r="K353" s="52"/>
      <c r="L353" s="49" t="str">
        <f>IFERROR(__xludf.DUMMYFUNCTION("""COMPUTED_VALUE"""),"B Supply")</f>
        <v>B Supply</v>
      </c>
      <c r="M353" s="49">
        <f>IFERROR(__xludf.DUMMYFUNCTION("""COMPUTED_VALUE"""),527198.0)</f>
        <v>527198</v>
      </c>
      <c r="N353" s="53">
        <f>IFERROR(__xludf.DUMMYFUNCTION("""COMPUTED_VALUE"""),42.47)</f>
        <v>42.47</v>
      </c>
      <c r="O353" s="54">
        <f>IFERROR(__xludf.DUMMYFUNCTION("""COMPUTED_VALUE"""),674905.0)</f>
        <v>674905</v>
      </c>
      <c r="P353" s="49" t="str">
        <f>IFERROR(__xludf.DUMMYFUNCTION("""COMPUTED_VALUE"""),"na")</f>
        <v>na</v>
      </c>
      <c r="Q353" s="49" t="str">
        <f>IFERROR(__xludf.DUMMYFUNCTION("""COMPUTED_VALUE"""),"na")</f>
        <v>na</v>
      </c>
      <c r="R353" s="49"/>
      <c r="S353" s="49"/>
      <c r="T353" s="49"/>
      <c r="U353" s="49"/>
      <c r="V353" s="49"/>
      <c r="W353" s="49"/>
      <c r="X353" s="49"/>
      <c r="Y353" s="49"/>
      <c r="Z353" s="49"/>
    </row>
    <row r="354">
      <c r="A354" s="49" t="str">
        <f>IFERROR(__xludf.DUMMYFUNCTION("""COMPUTED_VALUE"""),"---")</f>
        <v>---</v>
      </c>
      <c r="B354" s="49" t="str">
        <f>IFERROR(__xludf.DUMMYFUNCTION("""COMPUTED_VALUE"""),"---")</f>
        <v>---</v>
      </c>
      <c r="C354" s="50" t="str">
        <f>IFERROR(__xludf.DUMMYFUNCTION("""COMPUTED_VALUE"""),"Stock")</f>
        <v>Stock</v>
      </c>
      <c r="D354" s="49"/>
      <c r="E354" s="49" t="str">
        <f>IFERROR(__xludf.DUMMYFUNCTION("""COMPUTED_VALUE"""),"Valley")</f>
        <v>Valley</v>
      </c>
      <c r="F354" s="49" t="str">
        <f>IFERROR(__xludf.DUMMYFUNCTION("""COMPUTED_VALUE"""),"Valley")</f>
        <v>Valley</v>
      </c>
      <c r="G354" s="49" t="str">
        <f>IFERROR(__xludf.DUMMYFUNCTION("""COMPUTED_VALUE"""),"Dexter #6 sole")</f>
        <v>Dexter #6 sole</v>
      </c>
      <c r="H354" s="52"/>
      <c r="I354" s="49"/>
      <c r="J354" s="51">
        <f>IFERROR(__xludf.DUMMYFUNCTION("""COMPUTED_VALUE"""),46090.0)</f>
        <v>46090</v>
      </c>
      <c r="K354" s="52"/>
      <c r="L354" s="49" t="str">
        <f>IFERROR(__xludf.DUMMYFUNCTION("""COMPUTED_VALUE"""),"B Supply")</f>
        <v>B Supply</v>
      </c>
      <c r="M354" s="49">
        <f>IFERROR(__xludf.DUMMYFUNCTION("""COMPUTED_VALUE"""),527198.0)</f>
        <v>527198</v>
      </c>
      <c r="N354" s="53">
        <f>IFERROR(__xludf.DUMMYFUNCTION("""COMPUTED_VALUE"""),14.25)</f>
        <v>14.25</v>
      </c>
      <c r="O354" s="54">
        <f>IFERROR(__xludf.DUMMYFUNCTION("""COMPUTED_VALUE"""),674905.0)</f>
        <v>674905</v>
      </c>
      <c r="P354" s="49" t="str">
        <f>IFERROR(__xludf.DUMMYFUNCTION("""COMPUTED_VALUE"""),"na")</f>
        <v>na</v>
      </c>
      <c r="Q354" s="49" t="str">
        <f>IFERROR(__xludf.DUMMYFUNCTION("""COMPUTED_VALUE"""),"na")</f>
        <v>na</v>
      </c>
      <c r="R354" s="49"/>
      <c r="S354" s="49"/>
      <c r="T354" s="49"/>
      <c r="U354" s="49"/>
      <c r="V354" s="49"/>
      <c r="W354" s="49"/>
      <c r="X354" s="49"/>
      <c r="Y354" s="49"/>
      <c r="Z354" s="49"/>
    </row>
    <row r="355">
      <c r="A355" s="49" t="str">
        <f>IFERROR(__xludf.DUMMYFUNCTION("""COMPUTED_VALUE"""),"---")</f>
        <v>---</v>
      </c>
      <c r="B355" s="49" t="str">
        <f>IFERROR(__xludf.DUMMYFUNCTION("""COMPUTED_VALUE"""),"---")</f>
        <v>---</v>
      </c>
      <c r="C355" s="50" t="str">
        <f>IFERROR(__xludf.DUMMYFUNCTION("""COMPUTED_VALUE"""),"Mackenzie Celuck")</f>
        <v>Mackenzie Celuck</v>
      </c>
      <c r="D355" s="49">
        <f>IFERROR(__xludf.DUMMYFUNCTION("""COMPUTED_VALUE"""),5.703603973E9)</f>
        <v>5703603973</v>
      </c>
      <c r="E355" s="49" t="str">
        <f>IFERROR(__xludf.DUMMYFUNCTION("""COMPUTED_VALUE"""),"South")</f>
        <v>South</v>
      </c>
      <c r="F355" s="49" t="str">
        <f>IFERROR(__xludf.DUMMYFUNCTION("""COMPUTED_VALUE"""),"South")</f>
        <v>South</v>
      </c>
      <c r="G355" s="49" t="str">
        <f>IFERROR(__xludf.DUMMYFUNCTION("""COMPUTED_VALUE"""),"Hammer Black Widow Dynasty 3.0 12 lb")</f>
        <v>Hammer Black Widow Dynasty 3.0 12 lb</v>
      </c>
      <c r="H355" s="52"/>
      <c r="I355" s="49"/>
      <c r="J355" s="51">
        <f>IFERROR(__xludf.DUMMYFUNCTION("""COMPUTED_VALUE"""),46090.0)</f>
        <v>46090</v>
      </c>
      <c r="K355" s="52"/>
      <c r="L355" s="49" t="str">
        <f>IFERROR(__xludf.DUMMYFUNCTION("""COMPUTED_VALUE"""),"B Supply")</f>
        <v>B Supply</v>
      </c>
      <c r="M355" s="49">
        <f>IFERROR(__xludf.DUMMYFUNCTION("""COMPUTED_VALUE"""),527198.0)</f>
        <v>527198</v>
      </c>
      <c r="N355" s="53">
        <f>IFERROR(__xludf.DUMMYFUNCTION("""COMPUTED_VALUE"""),132.15)</f>
        <v>132.15</v>
      </c>
      <c r="O355" s="54">
        <f>IFERROR(__xludf.DUMMYFUNCTION("""COMPUTED_VALUE"""),674905.0)</f>
        <v>674905</v>
      </c>
      <c r="P355" s="49" t="str">
        <f>IFERROR(__xludf.DUMMYFUNCTION("""COMPUTED_VALUE"""),"Y")</f>
        <v>Y</v>
      </c>
      <c r="Q355" s="49" t="str">
        <f>IFERROR(__xludf.DUMMYFUNCTION("""COMPUTED_VALUE"""),"Y")</f>
        <v>Y</v>
      </c>
      <c r="R355" s="49"/>
      <c r="S355" s="49"/>
      <c r="T355" s="49"/>
      <c r="U355" s="49"/>
      <c r="V355" s="49"/>
      <c r="W355" s="49"/>
      <c r="X355" s="49"/>
      <c r="Y355" s="49"/>
      <c r="Z355" s="49"/>
    </row>
    <row r="356">
      <c r="A356" s="49" t="str">
        <f>IFERROR(__xludf.DUMMYFUNCTION("""COMPUTED_VALUE"""),"---")</f>
        <v>---</v>
      </c>
      <c r="B356" s="49" t="str">
        <f>IFERROR(__xludf.DUMMYFUNCTION("""COMPUTED_VALUE"""),"---")</f>
        <v>---</v>
      </c>
      <c r="C356" s="50" t="str">
        <f>IFERROR(__xludf.DUMMYFUNCTION("""COMPUTED_VALUE"""),"Stock")</f>
        <v>Stock</v>
      </c>
      <c r="D356" s="49"/>
      <c r="E356" s="49" t="str">
        <f>IFERROR(__xludf.DUMMYFUNCTION("""COMPUTED_VALUE"""),"Valley")</f>
        <v>Valley</v>
      </c>
      <c r="F356" s="49" t="str">
        <f>IFERROR(__xludf.DUMMYFUNCTION("""COMPUTED_VALUE"""),"Valley")</f>
        <v>Valley</v>
      </c>
      <c r="G356" s="49" t="str">
        <f>IFERROR(__xludf.DUMMYFUNCTION("""COMPUTED_VALUE"""),"Hammer Zero Mercy Solid 15 lb")</f>
        <v>Hammer Zero Mercy Solid 15 lb</v>
      </c>
      <c r="H356" s="52"/>
      <c r="I356" s="49"/>
      <c r="J356" s="51">
        <f>IFERROR(__xludf.DUMMYFUNCTION("""COMPUTED_VALUE"""),46090.0)</f>
        <v>46090</v>
      </c>
      <c r="K356" s="52"/>
      <c r="L356" s="49" t="str">
        <f>IFERROR(__xludf.DUMMYFUNCTION("""COMPUTED_VALUE"""),"B Supply")</f>
        <v>B Supply</v>
      </c>
      <c r="M356" s="49">
        <f>IFERROR(__xludf.DUMMYFUNCTION("""COMPUTED_VALUE"""),527198.0)</f>
        <v>527198</v>
      </c>
      <c r="N356" s="53">
        <f>IFERROR(__xludf.DUMMYFUNCTION("""COMPUTED_VALUE"""),156.51)</f>
        <v>156.51</v>
      </c>
      <c r="O356" s="54">
        <f>IFERROR(__xludf.DUMMYFUNCTION("""COMPUTED_VALUE"""),674905.0)</f>
        <v>674905</v>
      </c>
      <c r="P356" s="49" t="str">
        <f>IFERROR(__xludf.DUMMYFUNCTION("""COMPUTED_VALUE"""),"na")</f>
        <v>na</v>
      </c>
      <c r="Q356" s="49" t="str">
        <f>IFERROR(__xludf.DUMMYFUNCTION("""COMPUTED_VALUE"""),"na")</f>
        <v>na</v>
      </c>
      <c r="R356" s="49"/>
      <c r="S356" s="49"/>
      <c r="T356" s="49"/>
      <c r="U356" s="49"/>
      <c r="V356" s="49"/>
      <c r="W356" s="49"/>
      <c r="X356" s="49"/>
      <c r="Y356" s="49"/>
      <c r="Z356" s="49"/>
    </row>
    <row r="357">
      <c r="A357" s="49" t="str">
        <f>IFERROR(__xludf.DUMMYFUNCTION("""COMPUTED_VALUE"""),"---")</f>
        <v>---</v>
      </c>
      <c r="B357" s="49" t="str">
        <f>IFERROR(__xludf.DUMMYFUNCTION("""COMPUTED_VALUE"""),"---")</f>
        <v>---</v>
      </c>
      <c r="C357" s="50" t="str">
        <f>IFERROR(__xludf.DUMMYFUNCTION("""COMPUTED_VALUE"""),"Kevin Davis")</f>
        <v>Kevin Davis</v>
      </c>
      <c r="D357" s="49"/>
      <c r="E357" s="49" t="str">
        <f>IFERROR(__xludf.DUMMYFUNCTION("""COMPUTED_VALUE"""),"Valley")</f>
        <v>Valley</v>
      </c>
      <c r="F357" s="49" t="str">
        <f>IFERROR(__xludf.DUMMYFUNCTION("""COMPUTED_VALUE"""),"Valley")</f>
        <v>Valley</v>
      </c>
      <c r="G357" s="49" t="str">
        <f>IFERROR(__xludf.DUMMYFUNCTION("""COMPUTED_VALUE"""),"Hammer Zero Mercy Pearl 15 lbs")</f>
        <v>Hammer Zero Mercy Pearl 15 lbs</v>
      </c>
      <c r="H357" s="52"/>
      <c r="I357" s="49"/>
      <c r="J357" s="51">
        <f>IFERROR(__xludf.DUMMYFUNCTION("""COMPUTED_VALUE"""),46090.0)</f>
        <v>46090</v>
      </c>
      <c r="K357" s="52"/>
      <c r="L357" s="49" t="str">
        <f>IFERROR(__xludf.DUMMYFUNCTION("""COMPUTED_VALUE"""),"B Supply")</f>
        <v>B Supply</v>
      </c>
      <c r="M357" s="49">
        <f>IFERROR(__xludf.DUMMYFUNCTION("""COMPUTED_VALUE"""),527198.0)</f>
        <v>527198</v>
      </c>
      <c r="N357" s="53">
        <f>IFERROR(__xludf.DUMMYFUNCTION("""COMPUTED_VALUE"""),156.51)</f>
        <v>156.51</v>
      </c>
      <c r="O357" s="54">
        <f>IFERROR(__xludf.DUMMYFUNCTION("""COMPUTED_VALUE"""),674905.0)</f>
        <v>674905</v>
      </c>
      <c r="P357" s="49" t="str">
        <f>IFERROR(__xludf.DUMMYFUNCTION("""COMPUTED_VALUE"""),"Y")</f>
        <v>Y</v>
      </c>
      <c r="Q357" s="49" t="str">
        <f>IFERROR(__xludf.DUMMYFUNCTION("""COMPUTED_VALUE"""),"Y")</f>
        <v>Y</v>
      </c>
      <c r="R357" s="49"/>
      <c r="S357" s="49"/>
      <c r="T357" s="49"/>
      <c r="U357" s="49"/>
      <c r="V357" s="49"/>
      <c r="W357" s="49"/>
      <c r="X357" s="49"/>
      <c r="Y357" s="49"/>
      <c r="Z357" s="49"/>
    </row>
    <row r="358">
      <c r="A358" s="49" t="str">
        <f>IFERROR(__xludf.DUMMYFUNCTION("""COMPUTED_VALUE"""),"---")</f>
        <v>---</v>
      </c>
      <c r="B358" s="49" t="str">
        <f>IFERROR(__xludf.DUMMYFUNCTION("""COMPUTED_VALUE"""),"---")</f>
        <v>---</v>
      </c>
      <c r="C358" s="50" t="str">
        <f>IFERROR(__xludf.DUMMYFUNCTION("""COMPUTED_VALUE"""),"Christopher Fallon")</f>
        <v>Christopher Fallon</v>
      </c>
      <c r="D358" s="49"/>
      <c r="E358" s="49" t="str">
        <f>IFERROR(__xludf.DUMMYFUNCTION("""COMPUTED_VALUE"""),"Valley")</f>
        <v>Valley</v>
      </c>
      <c r="F358" s="49" t="str">
        <f>IFERROR(__xludf.DUMMYFUNCTION("""COMPUTED_VALUE"""),"Valley")</f>
        <v>Valley</v>
      </c>
      <c r="G358" s="49" t="str">
        <f>IFERROR(__xludf.DUMMYFUNCTION("""COMPUTED_VALUE"""),"Rhino Red Black Gold 14 lb.")</f>
        <v>Rhino Red Black Gold 14 lb.</v>
      </c>
      <c r="H358" s="52"/>
      <c r="I358" s="49"/>
      <c r="J358" s="51">
        <f>IFERROR(__xludf.DUMMYFUNCTION("""COMPUTED_VALUE"""),46090.0)</f>
        <v>46090</v>
      </c>
      <c r="K358" s="52"/>
      <c r="L358" s="49" t="str">
        <f>IFERROR(__xludf.DUMMYFUNCTION("""COMPUTED_VALUE"""),"B Supply")</f>
        <v>B Supply</v>
      </c>
      <c r="M358" s="49">
        <f>IFERROR(__xludf.DUMMYFUNCTION("""COMPUTED_VALUE"""),527198.0)</f>
        <v>527198</v>
      </c>
      <c r="N358" s="53">
        <f>IFERROR(__xludf.DUMMYFUNCTION("""COMPUTED_VALUE"""),70.16)</f>
        <v>70.16</v>
      </c>
      <c r="O358" s="54">
        <f>IFERROR(__xludf.DUMMYFUNCTION("""COMPUTED_VALUE"""),674905.0)</f>
        <v>674905</v>
      </c>
      <c r="P358" s="49" t="str">
        <f>IFERROR(__xludf.DUMMYFUNCTION("""COMPUTED_VALUE"""),"Y")</f>
        <v>Y</v>
      </c>
      <c r="Q358" s="49" t="str">
        <f>IFERROR(__xludf.DUMMYFUNCTION("""COMPUTED_VALUE"""),"Y")</f>
        <v>Y</v>
      </c>
      <c r="R358" s="49"/>
      <c r="S358" s="49"/>
      <c r="T358" s="49"/>
      <c r="U358" s="49"/>
      <c r="V358" s="49"/>
      <c r="W358" s="49"/>
      <c r="X358" s="49"/>
      <c r="Y358" s="49"/>
      <c r="Z358" s="49"/>
    </row>
    <row r="359">
      <c r="A359" s="49" t="str">
        <f>IFERROR(__xludf.DUMMYFUNCTION("""COMPUTED_VALUE"""),"---")</f>
        <v>---</v>
      </c>
      <c r="B359" s="49" t="str">
        <f>IFERROR(__xludf.DUMMYFUNCTION("""COMPUTED_VALUE"""),"---")</f>
        <v>---</v>
      </c>
      <c r="C359" s="50" t="str">
        <f>IFERROR(__xludf.DUMMYFUNCTION("""COMPUTED_VALUE"""),"Stock")</f>
        <v>Stock</v>
      </c>
      <c r="D359" s="49"/>
      <c r="E359" s="49" t="str">
        <f>IFERROR(__xludf.DUMMYFUNCTION("""COMPUTED_VALUE"""),"Valley")</f>
        <v>Valley</v>
      </c>
      <c r="F359" s="49" t="str">
        <f>IFERROR(__xludf.DUMMYFUNCTION("""COMPUTED_VALUE"""),"Valley")</f>
        <v>Valley</v>
      </c>
      <c r="G359" s="49" t="str">
        <f>IFERROR(__xludf.DUMMYFUNCTION("""COMPUTED_VALUE"""),"Hammer Zero Mercy Pearl 15 lb")</f>
        <v>Hammer Zero Mercy Pearl 15 lb</v>
      </c>
      <c r="H359" s="52"/>
      <c r="I359" s="49"/>
      <c r="J359" s="51">
        <f>IFERROR(__xludf.DUMMYFUNCTION("""COMPUTED_VALUE"""),46090.0)</f>
        <v>46090</v>
      </c>
      <c r="K359" s="52"/>
      <c r="L359" s="49" t="str">
        <f>IFERROR(__xludf.DUMMYFUNCTION("""COMPUTED_VALUE"""),"B Supply")</f>
        <v>B Supply</v>
      </c>
      <c r="M359" s="49">
        <f>IFERROR(__xludf.DUMMYFUNCTION("""COMPUTED_VALUE"""),527198.0)</f>
        <v>527198</v>
      </c>
      <c r="N359" s="53">
        <f>IFERROR(__xludf.DUMMYFUNCTION("""COMPUTED_VALUE"""),156.51)</f>
        <v>156.51</v>
      </c>
      <c r="O359" s="54">
        <f>IFERROR(__xludf.DUMMYFUNCTION("""COMPUTED_VALUE"""),674905.0)</f>
        <v>674905</v>
      </c>
      <c r="P359" s="49" t="str">
        <f>IFERROR(__xludf.DUMMYFUNCTION("""COMPUTED_VALUE"""),"na")</f>
        <v>na</v>
      </c>
      <c r="Q359" s="49" t="str">
        <f>IFERROR(__xludf.DUMMYFUNCTION("""COMPUTED_VALUE"""),"na")</f>
        <v>na</v>
      </c>
      <c r="R359" s="49"/>
      <c r="S359" s="49"/>
      <c r="T359" s="49"/>
      <c r="U359" s="49"/>
      <c r="V359" s="49"/>
      <c r="W359" s="49"/>
      <c r="X359" s="49"/>
      <c r="Y359" s="49"/>
      <c r="Z359" s="49"/>
    </row>
    <row r="360">
      <c r="A360" s="49" t="str">
        <f>IFERROR(__xludf.DUMMYFUNCTION("""COMPUTED_VALUE"""),"---")</f>
        <v>---</v>
      </c>
      <c r="B360" s="49" t="str">
        <f>IFERROR(__xludf.DUMMYFUNCTION("""COMPUTED_VALUE"""),"---")</f>
        <v>---</v>
      </c>
      <c r="C360" s="50" t="str">
        <f>IFERROR(__xludf.DUMMYFUNCTION("""COMPUTED_VALUE"""),"Stock")</f>
        <v>Stock</v>
      </c>
      <c r="D360" s="49"/>
      <c r="E360" s="49" t="str">
        <f>IFERROR(__xludf.DUMMYFUNCTION("""COMPUTED_VALUE"""),"Valley")</f>
        <v>Valley</v>
      </c>
      <c r="F360" s="49" t="str">
        <f>IFERROR(__xludf.DUMMYFUNCTION("""COMPUTED_VALUE"""),"Valley")</f>
        <v>Valley</v>
      </c>
      <c r="G360" s="49" t="str">
        <f>IFERROR(__xludf.DUMMYFUNCTION("""COMPUTED_VALUE"""),"C300 Piranha 15 lb")</f>
        <v>C300 Piranha 15 lb</v>
      </c>
      <c r="H360" s="52"/>
      <c r="I360" s="49"/>
      <c r="J360" s="51">
        <f>IFERROR(__xludf.DUMMYFUNCTION("""COMPUTED_VALUE"""),46090.0)</f>
        <v>46090</v>
      </c>
      <c r="K360" s="52"/>
      <c r="L360" s="49" t="str">
        <f>IFERROR(__xludf.DUMMYFUNCTION("""COMPUTED_VALUE"""),"B Supply")</f>
        <v>B Supply</v>
      </c>
      <c r="M360" s="49">
        <f>IFERROR(__xludf.DUMMYFUNCTION("""COMPUTED_VALUE"""),527198.0)</f>
        <v>527198</v>
      </c>
      <c r="N360" s="53">
        <f>IFERROR(__xludf.DUMMYFUNCTION("""COMPUTED_VALUE"""),124.88)</f>
        <v>124.88</v>
      </c>
      <c r="O360" s="54">
        <f>IFERROR(__xludf.DUMMYFUNCTION("""COMPUTED_VALUE"""),674905.0)</f>
        <v>674905</v>
      </c>
      <c r="P360" s="49" t="str">
        <f>IFERROR(__xludf.DUMMYFUNCTION("""COMPUTED_VALUE"""),"na")</f>
        <v>na</v>
      </c>
      <c r="Q360" s="49" t="str">
        <f>IFERROR(__xludf.DUMMYFUNCTION("""COMPUTED_VALUE"""),"na")</f>
        <v>na</v>
      </c>
      <c r="R360" s="49"/>
      <c r="S360" s="49"/>
      <c r="T360" s="49"/>
      <c r="U360" s="49"/>
      <c r="V360" s="49"/>
      <c r="W360" s="49"/>
      <c r="X360" s="49"/>
      <c r="Y360" s="49"/>
      <c r="Z360" s="49"/>
    </row>
    <row r="361">
      <c r="A361" s="49" t="str">
        <f>IFERROR(__xludf.DUMMYFUNCTION("""COMPUTED_VALUE"""),"---")</f>
        <v>---</v>
      </c>
      <c r="B361" s="49" t="str">
        <f>IFERROR(__xludf.DUMMYFUNCTION("""COMPUTED_VALUE"""),"---")</f>
        <v>---</v>
      </c>
      <c r="C361" s="50" t="str">
        <f>IFERROR(__xludf.DUMMYFUNCTION("""COMPUTED_VALUE"""),"Stock")</f>
        <v>Stock</v>
      </c>
      <c r="D361" s="49"/>
      <c r="E361" s="49"/>
      <c r="F361" s="49"/>
      <c r="G361" s="49" t="str">
        <f>IFERROR(__xludf.DUMMYFUNCTION("""COMPUTED_VALUE"""),"Brunswick Big B ball cleaner")</f>
        <v>Brunswick Big B ball cleaner</v>
      </c>
      <c r="H361" s="52"/>
      <c r="I361" s="49"/>
      <c r="J361" s="51">
        <f>IFERROR(__xludf.DUMMYFUNCTION("""COMPUTED_VALUE"""),46090.0)</f>
        <v>46090</v>
      </c>
      <c r="K361" s="52"/>
      <c r="L361" s="49" t="str">
        <f>IFERROR(__xludf.DUMMYFUNCTION("""COMPUTED_VALUE"""),"B Supply")</f>
        <v>B Supply</v>
      </c>
      <c r="M361" s="49">
        <f>IFERROR(__xludf.DUMMYFUNCTION("""COMPUTED_VALUE"""),527198.0)</f>
        <v>527198</v>
      </c>
      <c r="N361" s="53">
        <f>IFERROR(__xludf.DUMMYFUNCTION("""COMPUTED_VALUE"""),5.23)</f>
        <v>5.23</v>
      </c>
      <c r="O361" s="54">
        <f>IFERROR(__xludf.DUMMYFUNCTION("""COMPUTED_VALUE"""),674905.0)</f>
        <v>674905</v>
      </c>
      <c r="P361" s="49" t="str">
        <f>IFERROR(__xludf.DUMMYFUNCTION("""COMPUTED_VALUE"""),"na")</f>
        <v>na</v>
      </c>
      <c r="Q361" s="49" t="str">
        <f>IFERROR(__xludf.DUMMYFUNCTION("""COMPUTED_VALUE"""),"na")</f>
        <v>na</v>
      </c>
      <c r="R361" s="49"/>
      <c r="S361" s="49"/>
      <c r="T361" s="49"/>
      <c r="U361" s="49"/>
      <c r="V361" s="49"/>
      <c r="W361" s="49"/>
      <c r="X361" s="49"/>
      <c r="Y361" s="49"/>
      <c r="Z361" s="49"/>
    </row>
    <row r="362">
      <c r="A362" s="49" t="str">
        <f>IFERROR(__xludf.DUMMYFUNCTION("""COMPUTED_VALUE"""),"---")</f>
        <v>---</v>
      </c>
      <c r="B362" s="49" t="str">
        <f>IFERROR(__xludf.DUMMYFUNCTION("""COMPUTED_VALUE"""),"---")</f>
        <v>---</v>
      </c>
      <c r="C362" s="50" t="str">
        <f>IFERROR(__xludf.DUMMYFUNCTION("""COMPUTED_VALUE"""),"Stock")</f>
        <v>Stock</v>
      </c>
      <c r="D362" s="49"/>
      <c r="E362" s="49"/>
      <c r="F362" s="49"/>
      <c r="G362" s="49" t="str">
        <f>IFERROR(__xludf.DUMMYFUNCTION("""COMPUTED_VALUE"""),"KR shoe cover L")</f>
        <v>KR shoe cover L</v>
      </c>
      <c r="H362" s="52"/>
      <c r="I362" s="49"/>
      <c r="J362" s="51">
        <f>IFERROR(__xludf.DUMMYFUNCTION("""COMPUTED_VALUE"""),46090.0)</f>
        <v>46090</v>
      </c>
      <c r="K362" s="52"/>
      <c r="L362" s="49" t="str">
        <f>IFERROR(__xludf.DUMMYFUNCTION("""COMPUTED_VALUE"""),"B Supply")</f>
        <v>B Supply</v>
      </c>
      <c r="M362" s="49">
        <f>IFERROR(__xludf.DUMMYFUNCTION("""COMPUTED_VALUE"""),527198.0)</f>
        <v>527198</v>
      </c>
      <c r="N362" s="53">
        <f>IFERROR(__xludf.DUMMYFUNCTION("""COMPUTED_VALUE"""),8.98)</f>
        <v>8.98</v>
      </c>
      <c r="O362" s="54">
        <f>IFERROR(__xludf.DUMMYFUNCTION("""COMPUTED_VALUE"""),674905.0)</f>
        <v>674905</v>
      </c>
      <c r="P362" s="49" t="str">
        <f>IFERROR(__xludf.DUMMYFUNCTION("""COMPUTED_VALUE"""),"na")</f>
        <v>na</v>
      </c>
      <c r="Q362" s="49" t="str">
        <f>IFERROR(__xludf.DUMMYFUNCTION("""COMPUTED_VALUE"""),"na")</f>
        <v>na</v>
      </c>
      <c r="R362" s="49"/>
      <c r="S362" s="49"/>
      <c r="T362" s="49"/>
      <c r="U362" s="49"/>
      <c r="V362" s="49"/>
      <c r="W362" s="49"/>
      <c r="X362" s="49"/>
      <c r="Y362" s="49"/>
      <c r="Z362" s="49"/>
    </row>
    <row r="363">
      <c r="A363" s="49" t="str">
        <f>IFERROR(__xludf.DUMMYFUNCTION("""COMPUTED_VALUE"""),"---")</f>
        <v>---</v>
      </c>
      <c r="B363" s="49" t="str">
        <f>IFERROR(__xludf.DUMMYFUNCTION("""COMPUTED_VALUE"""),"---")</f>
        <v>---</v>
      </c>
      <c r="C363" s="50" t="str">
        <f>IFERROR(__xludf.DUMMYFUNCTION("""COMPUTED_VALUE"""),"Joe Pica")</f>
        <v>Joe Pica</v>
      </c>
      <c r="D363" s="49"/>
      <c r="E363" s="49"/>
      <c r="F363" s="49"/>
      <c r="G363" s="49" t="str">
        <f>IFERROR(__xludf.DUMMYFUNCTION("""COMPUTED_VALUE"""),"KR shoe cover XXL")</f>
        <v>KR shoe cover XXL</v>
      </c>
      <c r="H363" s="52"/>
      <c r="I363" s="49"/>
      <c r="J363" s="51">
        <f>IFERROR(__xludf.DUMMYFUNCTION("""COMPUTED_VALUE"""),46090.0)</f>
        <v>46090</v>
      </c>
      <c r="K363" s="52"/>
      <c r="L363" s="49" t="str">
        <f>IFERROR(__xludf.DUMMYFUNCTION("""COMPUTED_VALUE"""),"B Supply")</f>
        <v>B Supply</v>
      </c>
      <c r="M363" s="49">
        <f>IFERROR(__xludf.DUMMYFUNCTION("""COMPUTED_VALUE"""),527198.0)</f>
        <v>527198</v>
      </c>
      <c r="N363" s="53">
        <f>IFERROR(__xludf.DUMMYFUNCTION("""COMPUTED_VALUE"""),8.98)</f>
        <v>8.98</v>
      </c>
      <c r="O363" s="54">
        <f>IFERROR(__xludf.DUMMYFUNCTION("""COMPUTED_VALUE"""),674905.0)</f>
        <v>674905</v>
      </c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>
      <c r="A364" s="49" t="str">
        <f>IFERROR(__xludf.DUMMYFUNCTION("""COMPUTED_VALUE"""),"---")</f>
        <v>---</v>
      </c>
      <c r="B364" s="49" t="str">
        <f>IFERROR(__xludf.DUMMYFUNCTION("""COMPUTED_VALUE"""),"---")</f>
        <v>---</v>
      </c>
      <c r="C364" s="50" t="str">
        <f>IFERROR(__xludf.DUMMYFUNCTION("""COMPUTED_VALUE"""),"Stock")</f>
        <v>Stock</v>
      </c>
      <c r="D364" s="49"/>
      <c r="E364" s="49"/>
      <c r="F364" s="49"/>
      <c r="G364" s="49" t="str">
        <f>IFERROR(__xludf.DUMMYFUNCTION("""COMPUTED_VALUE"""),"wrist support M")</f>
        <v>wrist support M</v>
      </c>
      <c r="H364" s="52"/>
      <c r="I364" s="49"/>
      <c r="J364" s="51">
        <f>IFERROR(__xludf.DUMMYFUNCTION("""COMPUTED_VALUE"""),46090.0)</f>
        <v>46090</v>
      </c>
      <c r="K364" s="52"/>
      <c r="L364" s="49" t="str">
        <f>IFERROR(__xludf.DUMMYFUNCTION("""COMPUTED_VALUE"""),"B Supply")</f>
        <v>B Supply</v>
      </c>
      <c r="M364" s="49">
        <f>IFERROR(__xludf.DUMMYFUNCTION("""COMPUTED_VALUE"""),527198.0)</f>
        <v>527198</v>
      </c>
      <c r="N364" s="53">
        <f>IFERROR(__xludf.DUMMYFUNCTION("""COMPUTED_VALUE"""),9.12)</f>
        <v>9.12</v>
      </c>
      <c r="O364" s="54">
        <f>IFERROR(__xludf.DUMMYFUNCTION("""COMPUTED_VALUE"""),674905.0)</f>
        <v>674905</v>
      </c>
      <c r="P364" s="49" t="str">
        <f>IFERROR(__xludf.DUMMYFUNCTION("""COMPUTED_VALUE"""),"na")</f>
        <v>na</v>
      </c>
      <c r="Q364" s="49" t="str">
        <f>IFERROR(__xludf.DUMMYFUNCTION("""COMPUTED_VALUE"""),"na")</f>
        <v>na</v>
      </c>
      <c r="R364" s="49"/>
      <c r="S364" s="49"/>
      <c r="T364" s="49"/>
      <c r="U364" s="49"/>
      <c r="V364" s="49"/>
      <c r="W364" s="49"/>
      <c r="X364" s="49"/>
      <c r="Y364" s="49"/>
      <c r="Z364" s="49"/>
    </row>
    <row r="365">
      <c r="A365" s="49" t="str">
        <f>IFERROR(__xludf.DUMMYFUNCTION("""COMPUTED_VALUE"""),"---")</f>
        <v>---</v>
      </c>
      <c r="B365" s="49" t="str">
        <f>IFERROR(__xludf.DUMMYFUNCTION("""COMPUTED_VALUE"""),"---")</f>
        <v>---</v>
      </c>
      <c r="C365" s="50" t="str">
        <f>IFERROR(__xludf.DUMMYFUNCTION("""COMPUTED_VALUE"""),"Debra")</f>
        <v>Debra</v>
      </c>
      <c r="D365" s="49"/>
      <c r="E365" s="49" t="str">
        <f>IFERROR(__xludf.DUMMYFUNCTION("""COMPUTED_VALUE"""),"Valley")</f>
        <v>Valley</v>
      </c>
      <c r="F365" s="49" t="str">
        <f>IFERROR(__xludf.DUMMYFUNCTION("""COMPUTED_VALUE"""),"Valley")</f>
        <v>Valley</v>
      </c>
      <c r="G365" s="49" t="str">
        <f>IFERROR(__xludf.DUMMYFUNCTION("""COMPUTED_VALUE"""),"Brunswick T-zone indigo swirl 11 lb")</f>
        <v>Brunswick T-zone indigo swirl 11 lb</v>
      </c>
      <c r="H365" s="52"/>
      <c r="I365" s="49"/>
      <c r="J365" s="51">
        <f>IFERROR(__xludf.DUMMYFUNCTION("""COMPUTED_VALUE"""),46090.0)</f>
        <v>46090</v>
      </c>
      <c r="K365" s="52"/>
      <c r="L365" s="49" t="str">
        <f>IFERROR(__xludf.DUMMYFUNCTION("""COMPUTED_VALUE"""),"B Supply")</f>
        <v>B Supply</v>
      </c>
      <c r="M365" s="49">
        <f>IFERROR(__xludf.DUMMYFUNCTION("""COMPUTED_VALUE"""),527198.0)</f>
        <v>527198</v>
      </c>
      <c r="N365" s="53">
        <f>IFERROR(__xludf.DUMMYFUNCTION("""COMPUTED_VALUE"""),50.11)</f>
        <v>50.11</v>
      </c>
      <c r="O365" s="54">
        <f>IFERROR(__xludf.DUMMYFUNCTION("""COMPUTED_VALUE"""),674905.0)</f>
        <v>674905</v>
      </c>
      <c r="P365" s="49" t="str">
        <f>IFERROR(__xludf.DUMMYFUNCTION("""COMPUTED_VALUE"""),"Y")</f>
        <v>Y</v>
      </c>
      <c r="Q365" s="49" t="str">
        <f>IFERROR(__xludf.DUMMYFUNCTION("""COMPUTED_VALUE"""),"Y")</f>
        <v>Y</v>
      </c>
      <c r="R365" s="49"/>
      <c r="S365" s="49"/>
      <c r="T365" s="49"/>
      <c r="U365" s="49"/>
      <c r="V365" s="49"/>
      <c r="W365" s="49"/>
      <c r="X365" s="49"/>
      <c r="Y365" s="49"/>
      <c r="Z365" s="49"/>
    </row>
    <row r="366">
      <c r="A366" s="49" t="str">
        <f>IFERROR(__xludf.DUMMYFUNCTION("""COMPUTED_VALUE"""),"---")</f>
        <v>---</v>
      </c>
      <c r="B366" s="49" t="str">
        <f>IFERROR(__xludf.DUMMYFUNCTION("""COMPUTED_VALUE"""),"---")</f>
        <v>---</v>
      </c>
      <c r="C366" s="50" t="str">
        <f>IFERROR(__xludf.DUMMYFUNCTION("""COMPUTED_VALUE"""),"Stephanie Kemmerer")</f>
        <v>Stephanie Kemmerer</v>
      </c>
      <c r="D366" s="49"/>
      <c r="E366" s="49" t="str">
        <f>IFERROR(__xludf.DUMMYFUNCTION("""COMPUTED_VALUE"""),"Valley")</f>
        <v>Valley</v>
      </c>
      <c r="F366" s="49" t="str">
        <f>IFERROR(__xludf.DUMMYFUNCTION("""COMPUTED_VALUE"""),"Valley")</f>
        <v>Valley</v>
      </c>
      <c r="G366" s="49" t="str">
        <f>IFERROR(__xludf.DUMMYFUNCTION("""COMPUTED_VALUE"""),"C300 White Dot black/purple/silver 11 lb")</f>
        <v>C300 White Dot black/purple/silver 11 lb</v>
      </c>
      <c r="H366" s="52"/>
      <c r="I366" s="49"/>
      <c r="J366" s="51">
        <f>IFERROR(__xludf.DUMMYFUNCTION("""COMPUTED_VALUE"""),46090.0)</f>
        <v>46090</v>
      </c>
      <c r="K366" s="52"/>
      <c r="L366" s="49" t="str">
        <f>IFERROR(__xludf.DUMMYFUNCTION("""COMPUTED_VALUE"""),"B Supply")</f>
        <v>B Supply</v>
      </c>
      <c r="M366" s="49">
        <f>IFERROR(__xludf.DUMMYFUNCTION("""COMPUTED_VALUE"""),527198.0)</f>
        <v>527198</v>
      </c>
      <c r="N366" s="53">
        <f>IFERROR(__xludf.DUMMYFUNCTION("""COMPUTED_VALUE"""),50.11)</f>
        <v>50.11</v>
      </c>
      <c r="O366" s="54">
        <f>IFERROR(__xludf.DUMMYFUNCTION("""COMPUTED_VALUE"""),674905.0)</f>
        <v>674905</v>
      </c>
      <c r="P366" s="49" t="str">
        <f>IFERROR(__xludf.DUMMYFUNCTION("""COMPUTED_VALUE"""),"Y")</f>
        <v>Y</v>
      </c>
      <c r="Q366" s="49" t="str">
        <f>IFERROR(__xludf.DUMMYFUNCTION("""COMPUTED_VALUE"""),"Y")</f>
        <v>Y</v>
      </c>
      <c r="R366" s="49"/>
      <c r="S366" s="49"/>
      <c r="T366" s="49"/>
      <c r="U366" s="49"/>
      <c r="V366" s="49"/>
      <c r="W366" s="49"/>
      <c r="X366" s="49"/>
      <c r="Y366" s="49"/>
      <c r="Z366" s="49"/>
    </row>
    <row r="367">
      <c r="A367" s="49" t="str">
        <f>IFERROR(__xludf.DUMMYFUNCTION("""COMPUTED_VALUE"""),"---")</f>
        <v>---</v>
      </c>
      <c r="B367" s="49" t="str">
        <f>IFERROR(__xludf.DUMMYFUNCTION("""COMPUTED_VALUE"""),"---")</f>
        <v>---</v>
      </c>
      <c r="C367" s="50" t="str">
        <f>IFERROR(__xludf.DUMMYFUNCTION("""COMPUTED_VALUE"""),"Nicole Schott")</f>
        <v>Nicole Schott</v>
      </c>
      <c r="D367" s="49"/>
      <c r="E367" s="49" t="str">
        <f>IFERROR(__xludf.DUMMYFUNCTION("""COMPUTED_VALUE"""),"Valley")</f>
        <v>Valley</v>
      </c>
      <c r="F367" s="49" t="str">
        <f>IFERROR(__xludf.DUMMYFUNCTION("""COMPUTED_VALUE"""),"Valley")</f>
        <v>Valley</v>
      </c>
      <c r="G367" s="49" t="str">
        <f>IFERROR(__xludf.DUMMYFUNCTION("""COMPUTED_VALUE"""),"Synthesis Track - 15lbs")</f>
        <v>Synthesis Track - 15lbs</v>
      </c>
      <c r="H367" s="52"/>
      <c r="I367" s="49"/>
      <c r="J367" s="51">
        <f>IFERROR(__xludf.DUMMYFUNCTION("""COMPUTED_VALUE"""),46090.0)</f>
        <v>46090</v>
      </c>
      <c r="K367" s="52"/>
      <c r="L367" s="49" t="str">
        <f>IFERROR(__xludf.DUMMYFUNCTION("""COMPUTED_VALUE"""),"B Supply")</f>
        <v>B Supply</v>
      </c>
      <c r="M367" s="49">
        <f>IFERROR(__xludf.DUMMYFUNCTION("""COMPUTED_VALUE"""),527198.0)</f>
        <v>527198</v>
      </c>
      <c r="N367" s="53">
        <f>IFERROR(__xludf.DUMMYFUNCTION("""COMPUTED_VALUE"""),150.43)</f>
        <v>150.43</v>
      </c>
      <c r="O367" s="54">
        <f>IFERROR(__xludf.DUMMYFUNCTION("""COMPUTED_VALUE"""),674905.0)</f>
        <v>674905</v>
      </c>
      <c r="P367" s="49" t="str">
        <f>IFERROR(__xludf.DUMMYFUNCTION("""COMPUTED_VALUE"""),"Y")</f>
        <v>Y</v>
      </c>
      <c r="Q367" s="49" t="str">
        <f>IFERROR(__xludf.DUMMYFUNCTION("""COMPUTED_VALUE"""),"Y")</f>
        <v>Y</v>
      </c>
      <c r="R367" s="49"/>
      <c r="S367" s="49"/>
      <c r="T367" s="49"/>
      <c r="U367" s="49"/>
      <c r="V367" s="49"/>
      <c r="W367" s="49"/>
      <c r="X367" s="49"/>
      <c r="Y367" s="49"/>
      <c r="Z367" s="49"/>
    </row>
    <row r="368">
      <c r="A368" s="49" t="str">
        <f>IFERROR(__xludf.DUMMYFUNCTION("""COMPUTED_VALUE"""),"3/15/2026 19:13:37")</f>
        <v>3/15/2026 19:13:37</v>
      </c>
      <c r="B368" s="49" t="str">
        <f>IFERROR(__xludf.DUMMYFUNCTION("""COMPUTED_VALUE"""),"osterhoutalex@gmail.com")</f>
        <v>osterhoutalex@gmail.com</v>
      </c>
      <c r="C368" s="50" t="str">
        <f>IFERROR(__xludf.DUMMYFUNCTION("""COMPUTED_VALUE"""),"Alex osterhaut")</f>
        <v>Alex osterhaut</v>
      </c>
      <c r="D368" s="49"/>
      <c r="E368" s="49" t="str">
        <f>IFERROR(__xludf.DUMMYFUNCTION("""COMPUTED_VALUE"""),"Valley")</f>
        <v>Valley</v>
      </c>
      <c r="F368" s="49" t="str">
        <f>IFERROR(__xludf.DUMMYFUNCTION("""COMPUTED_VALUE"""),"Valley")</f>
        <v>Valley</v>
      </c>
      <c r="G368" s="49" t="str">
        <f>IFERROR(__xludf.DUMMYFUNCTION("""COMPUTED_VALUE"""),"Storm Concept 15 lb")</f>
        <v>Storm Concept 15 lb</v>
      </c>
      <c r="H368" s="52"/>
      <c r="I368" s="49" t="str">
        <f>IFERROR(__xludf.DUMMYFUNCTION("""COMPUTED_VALUE"""),"paid")</f>
        <v>paid</v>
      </c>
      <c r="J368" s="51">
        <f>IFERROR(__xludf.DUMMYFUNCTION("""COMPUTED_VALUE"""),46090.0)</f>
        <v>46090</v>
      </c>
      <c r="K368" s="52"/>
      <c r="L368" s="49" t="str">
        <f>IFERROR(__xludf.DUMMYFUNCTION("""COMPUTED_VALUE"""),"Storm")</f>
        <v>Storm</v>
      </c>
      <c r="M368" s="49"/>
      <c r="N368" s="53">
        <f>IFERROR(__xludf.DUMMYFUNCTION("""COMPUTED_VALUE"""),108.25)</f>
        <v>108.25</v>
      </c>
      <c r="O368" s="54"/>
      <c r="P368" s="49" t="str">
        <f>IFERROR(__xludf.DUMMYFUNCTION("""COMPUTED_VALUE"""),"Y")</f>
        <v>Y</v>
      </c>
      <c r="Q368" s="49" t="str">
        <f>IFERROR(__xludf.DUMMYFUNCTION("""COMPUTED_VALUE"""),"Y")</f>
        <v>Y</v>
      </c>
      <c r="R368" s="49"/>
      <c r="S368" s="49"/>
      <c r="T368" s="49"/>
      <c r="U368" s="49"/>
      <c r="V368" s="49"/>
      <c r="W368" s="49"/>
      <c r="X368" s="49"/>
      <c r="Y368" s="49"/>
      <c r="Z368" s="49"/>
    </row>
    <row r="369">
      <c r="A369" s="49" t="str">
        <f>IFERROR(__xludf.DUMMYFUNCTION("""COMPUTED_VALUE"""),"3/15/2026 20:45:02")</f>
        <v>3/15/2026 20:45:02</v>
      </c>
      <c r="B369" s="49" t="str">
        <f>IFERROR(__xludf.DUMMYFUNCTION("""COMPUTED_VALUE"""),"christian.halliday@icloud.com")</f>
        <v>christian.halliday@icloud.com</v>
      </c>
      <c r="C369" s="50" t="str">
        <f>IFERROR(__xludf.DUMMYFUNCTION("""COMPUTED_VALUE"""),"Christian Halliday")</f>
        <v>Christian Halliday</v>
      </c>
      <c r="D369" s="49">
        <f>IFERROR(__xludf.DUMMYFUNCTION("""COMPUTED_VALUE"""),5.705783108E9)</f>
        <v>5705783108</v>
      </c>
      <c r="E369" s="49" t="str">
        <f>IFERROR(__xludf.DUMMYFUNCTION("""COMPUTED_VALUE"""),"South")</f>
        <v>South</v>
      </c>
      <c r="F369" s="49" t="str">
        <f>IFERROR(__xludf.DUMMYFUNCTION("""COMPUTED_VALUE"""),"South")</f>
        <v>South</v>
      </c>
      <c r="G369" s="49" t="str">
        <f>IFERROR(__xludf.DUMMYFUNCTION("""COMPUTED_VALUE"""),"Roto Grip Transformer 15 lb")</f>
        <v>Roto Grip Transformer 15 lb</v>
      </c>
      <c r="H369" s="52"/>
      <c r="I369" s="49"/>
      <c r="J369" s="51">
        <f>IFERROR(__xludf.DUMMYFUNCTION("""COMPUTED_VALUE"""),46090.0)</f>
        <v>46090</v>
      </c>
      <c r="K369" s="52"/>
      <c r="L369" s="49" t="str">
        <f>IFERROR(__xludf.DUMMYFUNCTION("""COMPUTED_VALUE"""),"Storm")</f>
        <v>Storm</v>
      </c>
      <c r="M369" s="49"/>
      <c r="N369" s="53">
        <f>IFERROR(__xludf.DUMMYFUNCTION("""COMPUTED_VALUE"""),108.25)</f>
        <v>108.25</v>
      </c>
      <c r="O369" s="54"/>
      <c r="P369" s="49" t="str">
        <f>IFERROR(__xludf.DUMMYFUNCTION("""COMPUTED_VALUE"""),"Y")</f>
        <v>Y</v>
      </c>
      <c r="Q369" s="49" t="str">
        <f>IFERROR(__xludf.DUMMYFUNCTION("""COMPUTED_VALUE"""),"Y")</f>
        <v>Y</v>
      </c>
      <c r="R369" s="49"/>
      <c r="S369" s="49"/>
      <c r="T369" s="49"/>
      <c r="U369" s="49"/>
      <c r="V369" s="49"/>
      <c r="W369" s="49"/>
      <c r="X369" s="49"/>
      <c r="Y369" s="49"/>
      <c r="Z369" s="49"/>
    </row>
    <row r="370">
      <c r="A370" s="49" t="str">
        <f>IFERROR(__xludf.DUMMYFUNCTION("""COMPUTED_VALUE"""),"3/9/2026 12:48:04")</f>
        <v>3/9/2026 12:48:04</v>
      </c>
      <c r="B370" s="49" t="str">
        <f>IFERROR(__xludf.DUMMYFUNCTION("""COMPUTED_VALUE"""),"tomknierim@hotmail.com")</f>
        <v>tomknierim@hotmail.com</v>
      </c>
      <c r="C370" s="50" t="str">
        <f>IFERROR(__xludf.DUMMYFUNCTION("""COMPUTED_VALUE"""),"Thomas Knierim")</f>
        <v>Thomas Knierim</v>
      </c>
      <c r="D370" s="49"/>
      <c r="E370" s="49" t="str">
        <f>IFERROR(__xludf.DUMMYFUNCTION("""COMPUTED_VALUE"""),"South")</f>
        <v>South</v>
      </c>
      <c r="F370" s="49" t="str">
        <f>IFERROR(__xludf.DUMMYFUNCTION("""COMPUTED_VALUE"""),"South")</f>
        <v>South</v>
      </c>
      <c r="G370" s="49" t="str">
        <f>IFERROR(__xludf.DUMMYFUNCTION("""COMPUTED_VALUE"""),"Ball: Storm Bionic 14 lb. ")</f>
        <v>Ball: Storm Bionic 14 lb. </v>
      </c>
      <c r="H370" s="52"/>
      <c r="I370" s="49"/>
      <c r="J370" s="51">
        <f>IFERROR(__xludf.DUMMYFUNCTION("""COMPUTED_VALUE"""),46090.0)</f>
        <v>46090</v>
      </c>
      <c r="K370" s="52"/>
      <c r="L370" s="49" t="str">
        <f>IFERROR(__xludf.DUMMYFUNCTION("""COMPUTED_VALUE"""),"B Supply")</f>
        <v>B Supply</v>
      </c>
      <c r="M370" s="49">
        <f>IFERROR(__xludf.DUMMYFUNCTION("""COMPUTED_VALUE"""),527198.0)</f>
        <v>527198</v>
      </c>
      <c r="N370" s="53">
        <f>IFERROR(__xludf.DUMMYFUNCTION("""COMPUTED_VALUE"""),144.35)</f>
        <v>144.35</v>
      </c>
      <c r="O370" s="54">
        <f>IFERROR(__xludf.DUMMYFUNCTION("""COMPUTED_VALUE"""),674905.0)</f>
        <v>674905</v>
      </c>
      <c r="P370" s="49" t="str">
        <f>IFERROR(__xludf.DUMMYFUNCTION("""COMPUTED_VALUE"""),"Y")</f>
        <v>Y</v>
      </c>
      <c r="Q370" s="49" t="str">
        <f>IFERROR(__xludf.DUMMYFUNCTION("""COMPUTED_VALUE"""),"Y")</f>
        <v>Y</v>
      </c>
      <c r="R370" s="49"/>
      <c r="S370" s="49"/>
      <c r="T370" s="49"/>
      <c r="U370" s="49"/>
      <c r="V370" s="49"/>
      <c r="W370" s="49"/>
      <c r="X370" s="49"/>
      <c r="Y370" s="49"/>
      <c r="Z370" s="49"/>
    </row>
    <row r="371">
      <c r="A371" s="49" t="str">
        <f>IFERROR(__xludf.DUMMYFUNCTION("""COMPUTED_VALUE"""),"---")</f>
        <v>---</v>
      </c>
      <c r="B371" s="49" t="str">
        <f>IFERROR(__xludf.DUMMYFUNCTION("""COMPUTED_VALUE"""),"---")</f>
        <v>---</v>
      </c>
      <c r="C371" s="50" t="str">
        <f>IFERROR(__xludf.DUMMYFUNCTION("""COMPUTED_VALUE"""),"Stock")</f>
        <v>Stock</v>
      </c>
      <c r="D371" s="49"/>
      <c r="E371" s="49" t="str">
        <f>IFERROR(__xludf.DUMMYFUNCTION("""COMPUTED_VALUE"""),"Valley")</f>
        <v>Valley</v>
      </c>
      <c r="F371" s="49" t="str">
        <f>IFERROR(__xludf.DUMMYFUNCTION("""COMPUTED_VALUE"""),"Valley")</f>
        <v>Valley</v>
      </c>
      <c r="G371" s="49" t="str">
        <f>IFERROR(__xludf.DUMMYFUNCTION("""COMPUTED_VALUE"""),"Storm accessory bag")</f>
        <v>Storm accessory bag</v>
      </c>
      <c r="H371" s="52"/>
      <c r="I371" s="49"/>
      <c r="J371" s="51">
        <f>IFERROR(__xludf.DUMMYFUNCTION("""COMPUTED_VALUE"""),46097.0)</f>
        <v>46097</v>
      </c>
      <c r="K371" s="52"/>
      <c r="L371" s="49" t="str">
        <f>IFERROR(__xludf.DUMMYFUNCTION("""COMPUTED_VALUE"""),"B Supply")</f>
        <v>B Supply</v>
      </c>
      <c r="M371" s="49">
        <f>IFERROR(__xludf.DUMMYFUNCTION("""COMPUTED_VALUE"""),528880.0)</f>
        <v>528880</v>
      </c>
      <c r="N371" s="53">
        <f>IFERROR(__xludf.DUMMYFUNCTION("""COMPUTED_VALUE"""),15.53)</f>
        <v>15.53</v>
      </c>
      <c r="O371" s="54">
        <f>IFERROR(__xludf.DUMMYFUNCTION("""COMPUTED_VALUE"""),676848.0)</f>
        <v>676848</v>
      </c>
      <c r="P371" s="49" t="str">
        <f>IFERROR(__xludf.DUMMYFUNCTION("""COMPUTED_VALUE"""),"na")</f>
        <v>na</v>
      </c>
      <c r="Q371" s="49" t="str">
        <f>IFERROR(__xludf.DUMMYFUNCTION("""COMPUTED_VALUE"""),"na")</f>
        <v>na</v>
      </c>
      <c r="R371" s="49"/>
      <c r="S371" s="49"/>
      <c r="T371" s="49"/>
      <c r="U371" s="49"/>
      <c r="V371" s="49"/>
      <c r="W371" s="49"/>
      <c r="X371" s="49"/>
      <c r="Y371" s="49"/>
      <c r="Z371" s="49"/>
    </row>
    <row r="372">
      <c r="A372" s="49" t="str">
        <f>IFERROR(__xludf.DUMMYFUNCTION("""COMPUTED_VALUE"""),"3/14/2026 13:23:40")</f>
        <v>3/14/2026 13:23:40</v>
      </c>
      <c r="B372" s="49" t="str">
        <f>IFERROR(__xludf.DUMMYFUNCTION("""COMPUTED_VALUE"""),"atthelanes@outlook.com")</f>
        <v>atthelanes@outlook.com</v>
      </c>
      <c r="C372" s="50" t="str">
        <f>IFERROR(__xludf.DUMMYFUNCTION("""COMPUTED_VALUE"""),"Michael Marinelli")</f>
        <v>Michael Marinelli</v>
      </c>
      <c r="D372" s="49">
        <f>IFERROR(__xludf.DUMMYFUNCTION("""COMPUTED_VALUE"""),5.706909747E9)</f>
        <v>5706909747</v>
      </c>
      <c r="E372" s="49" t="str">
        <f>IFERROR(__xludf.DUMMYFUNCTION("""COMPUTED_VALUE"""),"Valley Lanes")</f>
        <v>Valley Lanes</v>
      </c>
      <c r="F372" s="49" t="str">
        <f>IFERROR(__xludf.DUMMYFUNCTION("""COMPUTED_VALUE"""),"Valley Lanes")</f>
        <v>Valley Lanes</v>
      </c>
      <c r="G372" s="49" t="str">
        <f>IFERROR(__xludf.DUMMYFUNCTION("""COMPUTED_VALUE"""),"Storm Bionic 14 LB")</f>
        <v>Storm Bionic 14 LB</v>
      </c>
      <c r="H372" s="52"/>
      <c r="I372" s="49" t="str">
        <f>IFERROR(__xludf.DUMMYFUNCTION("""COMPUTED_VALUE"""),"paid")</f>
        <v>paid</v>
      </c>
      <c r="J372" s="51">
        <f>IFERROR(__xludf.DUMMYFUNCTION("""COMPUTED_VALUE"""),46097.0)</f>
        <v>46097</v>
      </c>
      <c r="K372" s="52"/>
      <c r="L372" s="49" t="str">
        <f>IFERROR(__xludf.DUMMYFUNCTION("""COMPUTED_VALUE"""),"B Supply")</f>
        <v>B Supply</v>
      </c>
      <c r="M372" s="49">
        <f>IFERROR(__xludf.DUMMYFUNCTION("""COMPUTED_VALUE"""),528880.0)</f>
        <v>528880</v>
      </c>
      <c r="N372" s="53">
        <f>IFERROR(__xludf.DUMMYFUNCTION("""COMPUTED_VALUE"""),144.35)</f>
        <v>144.35</v>
      </c>
      <c r="O372" s="54">
        <f>IFERROR(__xludf.DUMMYFUNCTION("""COMPUTED_VALUE"""),676848.0)</f>
        <v>676848</v>
      </c>
      <c r="P372" s="49" t="str">
        <f>IFERROR(__xludf.DUMMYFUNCTION("""COMPUTED_VALUE"""),"Y")</f>
        <v>Y</v>
      </c>
      <c r="Q372" s="49" t="str">
        <f>IFERROR(__xludf.DUMMYFUNCTION("""COMPUTED_VALUE"""),"Y")</f>
        <v>Y</v>
      </c>
      <c r="R372" s="49"/>
      <c r="S372" s="49"/>
      <c r="T372" s="49"/>
      <c r="U372" s="49"/>
      <c r="V372" s="49"/>
      <c r="W372" s="49"/>
      <c r="X372" s="49"/>
      <c r="Y372" s="49"/>
      <c r="Z372" s="49"/>
    </row>
    <row r="373">
      <c r="A373" s="49" t="str">
        <f>IFERROR(__xludf.DUMMYFUNCTION("""COMPUTED_VALUE"""),"3/14/2026 13:39:16")</f>
        <v>3/14/2026 13:39:16</v>
      </c>
      <c r="B373" s="49" t="str">
        <f>IFERROR(__xludf.DUMMYFUNCTION("""COMPUTED_VALUE"""),"gattoa864@gmail.com")</f>
        <v>gattoa864@gmail.com</v>
      </c>
      <c r="C373" s="50" t="str">
        <f>IFERROR(__xludf.DUMMYFUNCTION("""COMPUTED_VALUE"""),"Andrew Gatto")</f>
        <v>Andrew Gatto</v>
      </c>
      <c r="D373" s="49"/>
      <c r="E373" s="49" t="str">
        <f>IFERROR(__xludf.DUMMYFUNCTION("""COMPUTED_VALUE"""),"Valley Lanes")</f>
        <v>Valley Lanes</v>
      </c>
      <c r="F373" s="49" t="str">
        <f>IFERROR(__xludf.DUMMYFUNCTION("""COMPUTED_VALUE"""),"Valley Lanes")</f>
        <v>Valley Lanes</v>
      </c>
      <c r="G373" s="49" t="str">
        <f>IFERROR(__xludf.DUMMYFUNCTION("""COMPUTED_VALUE"""),"Storm Concept 14lbs")</f>
        <v>Storm Concept 14lbs</v>
      </c>
      <c r="H373" s="52"/>
      <c r="I373" s="49" t="str">
        <f>IFERROR(__xludf.DUMMYFUNCTION("""COMPUTED_VALUE"""),"paid")</f>
        <v>paid</v>
      </c>
      <c r="J373" s="51">
        <f>IFERROR(__xludf.DUMMYFUNCTION("""COMPUTED_VALUE"""),46097.0)</f>
        <v>46097</v>
      </c>
      <c r="K373" s="52"/>
      <c r="L373" s="49" t="str">
        <f>IFERROR(__xludf.DUMMYFUNCTION("""COMPUTED_VALUE"""),"B Supply")</f>
        <v>B Supply</v>
      </c>
      <c r="M373" s="49">
        <f>IFERROR(__xludf.DUMMYFUNCTION("""COMPUTED_VALUE"""),528880.0)</f>
        <v>528880</v>
      </c>
      <c r="N373" s="53">
        <f>IFERROR(__xludf.DUMMYFUNCTION("""COMPUTED_VALUE"""),150.01)</f>
        <v>150.01</v>
      </c>
      <c r="O373" s="54">
        <f>IFERROR(__xludf.DUMMYFUNCTION("""COMPUTED_VALUE"""),676848.0)</f>
        <v>676848</v>
      </c>
      <c r="P373" s="49" t="str">
        <f>IFERROR(__xludf.DUMMYFUNCTION("""COMPUTED_VALUE"""),"Y")</f>
        <v>Y</v>
      </c>
      <c r="Q373" s="49" t="str">
        <f>IFERROR(__xludf.DUMMYFUNCTION("""COMPUTED_VALUE"""),"Y")</f>
        <v>Y</v>
      </c>
      <c r="R373" s="49"/>
      <c r="S373" s="49"/>
      <c r="T373" s="49"/>
      <c r="U373" s="49"/>
      <c r="V373" s="49"/>
      <c r="W373" s="49"/>
      <c r="X373" s="49"/>
      <c r="Y373" s="49"/>
      <c r="Z373" s="49"/>
    </row>
    <row r="374">
      <c r="A374" s="49" t="str">
        <f>IFERROR(__xludf.DUMMYFUNCTION("""COMPUTED_VALUE"""),"3/14/2026 14:09:40")</f>
        <v>3/14/2026 14:09:40</v>
      </c>
      <c r="B374" s="49" t="str">
        <f>IFERROR(__xludf.DUMMYFUNCTION("""COMPUTED_VALUE"""),"chaseeva2345@yahoo.com")</f>
        <v>chaseeva2345@yahoo.com</v>
      </c>
      <c r="C374" s="50" t="str">
        <f>IFERROR(__xludf.DUMMYFUNCTION("""COMPUTED_VALUE"""),"Chase Evangelista ")</f>
        <v>Chase Evangelista </v>
      </c>
      <c r="D374" s="49"/>
      <c r="E374" s="49" t="str">
        <f>IFERROR(__xludf.DUMMYFUNCTION("""COMPUTED_VALUE"""),"Valley Lanes")</f>
        <v>Valley Lanes</v>
      </c>
      <c r="F374" s="49" t="str">
        <f>IFERROR(__xludf.DUMMYFUNCTION("""COMPUTED_VALUE"""),"Idle Hours South")</f>
        <v>Idle Hours South</v>
      </c>
      <c r="G374" s="49" t="str">
        <f>IFERROR(__xludf.DUMMYFUNCTION("""COMPUTED_VALUE"""),"Roto Gremlin Tour X 14 lb")</f>
        <v>Roto Gremlin Tour X 14 lb</v>
      </c>
      <c r="H374" s="52"/>
      <c r="I374" s="49" t="str">
        <f>IFERROR(__xludf.DUMMYFUNCTION("""COMPUTED_VALUE"""),"paid")</f>
        <v>paid</v>
      </c>
      <c r="J374" s="51">
        <f>IFERROR(__xludf.DUMMYFUNCTION("""COMPUTED_VALUE"""),46097.0)</f>
        <v>46097</v>
      </c>
      <c r="K374" s="52"/>
      <c r="L374" s="49" t="str">
        <f>IFERROR(__xludf.DUMMYFUNCTION("""COMPUTED_VALUE"""),"B Supply")</f>
        <v>B Supply</v>
      </c>
      <c r="M374" s="49">
        <f>IFERROR(__xludf.DUMMYFUNCTION("""COMPUTED_VALUE"""),528880.0)</f>
        <v>528880</v>
      </c>
      <c r="N374" s="53">
        <f>IFERROR(__xludf.DUMMYFUNCTION("""COMPUTED_VALUE"""),132.15)</f>
        <v>132.15</v>
      </c>
      <c r="O374" s="54">
        <f>IFERROR(__xludf.DUMMYFUNCTION("""COMPUTED_VALUE"""),676848.0)</f>
        <v>676848</v>
      </c>
      <c r="P374" s="49" t="str">
        <f>IFERROR(__xludf.DUMMYFUNCTION("""COMPUTED_VALUE"""),"Y")</f>
        <v>Y</v>
      </c>
      <c r="Q374" s="49" t="str">
        <f>IFERROR(__xludf.DUMMYFUNCTION("""COMPUTED_VALUE"""),"Y")</f>
        <v>Y</v>
      </c>
      <c r="R374" s="49"/>
      <c r="S374" s="49"/>
      <c r="T374" s="49"/>
      <c r="U374" s="49"/>
      <c r="V374" s="49"/>
      <c r="W374" s="49"/>
      <c r="X374" s="49"/>
      <c r="Y374" s="49"/>
      <c r="Z374" s="49"/>
    </row>
    <row r="375">
      <c r="A375" s="49" t="str">
        <f>IFERROR(__xludf.DUMMYFUNCTION("""COMPUTED_VALUE"""),"3/15/2026 12:15:34")</f>
        <v>3/15/2026 12:15:34</v>
      </c>
      <c r="B375" s="49" t="str">
        <f>IFERROR(__xludf.DUMMYFUNCTION("""COMPUTED_VALUE"""),"kim.mecca@gmail.com")</f>
        <v>kim.mecca@gmail.com</v>
      </c>
      <c r="C375" s="50" t="str">
        <f>IFERROR(__xludf.DUMMYFUNCTION("""COMPUTED_VALUE"""),"Kim Mecca ")</f>
        <v>Kim Mecca </v>
      </c>
      <c r="D375" s="49"/>
      <c r="E375" s="49" t="str">
        <f>IFERROR(__xludf.DUMMYFUNCTION("""COMPUTED_VALUE"""),"Idle Hours South")</f>
        <v>Idle Hours South</v>
      </c>
      <c r="F375" s="49" t="str">
        <f>IFERROR(__xludf.DUMMYFUNCTION("""COMPUTED_VALUE"""),"Idle Hours South")</f>
        <v>Idle Hours South</v>
      </c>
      <c r="G375" s="49" t="str">
        <f>IFERROR(__xludf.DUMMYFUNCTION("""COMPUTED_VALUE"""),"Motiv VENOM SHOCK 14lb")</f>
        <v>Motiv VENOM SHOCK 14lb</v>
      </c>
      <c r="H375" s="52"/>
      <c r="I375" s="49" t="str">
        <f>IFERROR(__xludf.DUMMYFUNCTION("""COMPUTED_VALUE"""),"paid")</f>
        <v>paid</v>
      </c>
      <c r="J375" s="51">
        <f>IFERROR(__xludf.DUMMYFUNCTION("""COMPUTED_VALUE"""),46097.0)</f>
        <v>46097</v>
      </c>
      <c r="K375" s="52"/>
      <c r="L375" s="49" t="str">
        <f>IFERROR(__xludf.DUMMYFUNCTION("""COMPUTED_VALUE"""),"B Supply")</f>
        <v>B Supply</v>
      </c>
      <c r="M375" s="49">
        <f>IFERROR(__xludf.DUMMYFUNCTION("""COMPUTED_VALUE"""),528880.0)</f>
        <v>528880</v>
      </c>
      <c r="N375" s="53">
        <f>IFERROR(__xludf.DUMMYFUNCTION("""COMPUTED_VALUE"""),131.43)</f>
        <v>131.43</v>
      </c>
      <c r="O375" s="54">
        <f>IFERROR(__xludf.DUMMYFUNCTION("""COMPUTED_VALUE"""),676848.0)</f>
        <v>676848</v>
      </c>
      <c r="P375" s="49" t="str">
        <f>IFERROR(__xludf.DUMMYFUNCTION("""COMPUTED_VALUE"""),"Y")</f>
        <v>Y</v>
      </c>
      <c r="Q375" s="49" t="str">
        <f>IFERROR(__xludf.DUMMYFUNCTION("""COMPUTED_VALUE"""),"Y")</f>
        <v>Y</v>
      </c>
      <c r="R375" s="49"/>
      <c r="S375" s="49"/>
      <c r="T375" s="49"/>
      <c r="U375" s="49"/>
      <c r="V375" s="49"/>
      <c r="W375" s="49"/>
      <c r="X375" s="49"/>
      <c r="Y375" s="49"/>
      <c r="Z375" s="49"/>
    </row>
    <row r="376">
      <c r="A376" s="49" t="str">
        <f>IFERROR(__xludf.DUMMYFUNCTION("""COMPUTED_VALUE"""),"3/15/2026 19:57:02")</f>
        <v>3/15/2026 19:57:02</v>
      </c>
      <c r="B376" s="49" t="str">
        <f>IFERROR(__xludf.DUMMYFUNCTION("""COMPUTED_VALUE"""),"tfarrell1381@gmail.com")</f>
        <v>tfarrell1381@gmail.com</v>
      </c>
      <c r="C376" s="50" t="str">
        <f>IFERROR(__xludf.DUMMYFUNCTION("""COMPUTED_VALUE"""),"Tim Farrell")</f>
        <v>Tim Farrell</v>
      </c>
      <c r="D376" s="49"/>
      <c r="E376" s="49" t="str">
        <f>IFERROR(__xludf.DUMMYFUNCTION("""COMPUTED_VALUE"""),"Valley")</f>
        <v>Valley</v>
      </c>
      <c r="F376" s="49" t="str">
        <f>IFERROR(__xludf.DUMMYFUNCTION("""COMPUTED_VALUE"""),"Valley")</f>
        <v>Valley</v>
      </c>
      <c r="G376" s="49" t="str">
        <f>IFERROR(__xludf.DUMMYFUNCTION("""COMPUTED_VALUE"""),"Storm bionic 16 lb")</f>
        <v>Storm bionic 16 lb</v>
      </c>
      <c r="H376" s="52"/>
      <c r="I376" s="49" t="str">
        <f>IFERROR(__xludf.DUMMYFUNCTION("""COMPUTED_VALUE"""),"paid")</f>
        <v>paid</v>
      </c>
      <c r="J376" s="51">
        <f>IFERROR(__xludf.DUMMYFUNCTION("""COMPUTED_VALUE"""),46097.0)</f>
        <v>46097</v>
      </c>
      <c r="K376" s="52"/>
      <c r="L376" s="49" t="str">
        <f>IFERROR(__xludf.DUMMYFUNCTION("""COMPUTED_VALUE"""),"B Supply")</f>
        <v>B Supply</v>
      </c>
      <c r="M376" s="49">
        <f>IFERROR(__xludf.DUMMYFUNCTION("""COMPUTED_VALUE"""),528880.0)</f>
        <v>528880</v>
      </c>
      <c r="N376" s="53">
        <f>IFERROR(__xludf.DUMMYFUNCTION("""COMPUTED_VALUE"""),144.35)</f>
        <v>144.35</v>
      </c>
      <c r="O376" s="54">
        <f>IFERROR(__xludf.DUMMYFUNCTION("""COMPUTED_VALUE"""),676848.0)</f>
        <v>676848</v>
      </c>
      <c r="P376" s="49" t="str">
        <f>IFERROR(__xludf.DUMMYFUNCTION("""COMPUTED_VALUE"""),"Y")</f>
        <v>Y</v>
      </c>
      <c r="Q376" s="49" t="str">
        <f>IFERROR(__xludf.DUMMYFUNCTION("""COMPUTED_VALUE"""),"Y")</f>
        <v>Y</v>
      </c>
      <c r="R376" s="49"/>
      <c r="S376" s="49"/>
      <c r="T376" s="49"/>
      <c r="U376" s="49"/>
      <c r="V376" s="49"/>
      <c r="W376" s="49"/>
      <c r="X376" s="49"/>
      <c r="Y376" s="49"/>
      <c r="Z376" s="49"/>
    </row>
    <row r="377">
      <c r="A377" s="49" t="str">
        <f>IFERROR(__xludf.DUMMYFUNCTION("""COMPUTED_VALUE"""),"3/9/2026 18:07:57")</f>
        <v>3/9/2026 18:07:57</v>
      </c>
      <c r="B377" s="49" t="str">
        <f>IFERROR(__xludf.DUMMYFUNCTION("""COMPUTED_VALUE"""),"tsromovski@gmail.com")</f>
        <v>tsromovski@gmail.com</v>
      </c>
      <c r="C377" s="50" t="str">
        <f>IFERROR(__xludf.DUMMYFUNCTION("""COMPUTED_VALUE"""),"Anthony Sromovski")</f>
        <v>Anthony Sromovski</v>
      </c>
      <c r="D377" s="49">
        <f>IFERROR(__xludf.DUMMYFUNCTION("""COMPUTED_VALUE"""),5.704799148E9)</f>
        <v>5704799148</v>
      </c>
      <c r="E377" s="49" t="str">
        <f>IFERROR(__xludf.DUMMYFUNCTION("""COMPUTED_VALUE"""),"South")</f>
        <v>South</v>
      </c>
      <c r="F377" s="49" t="str">
        <f>IFERROR(__xludf.DUMMYFUNCTION("""COMPUTED_VALUE"""),"South")</f>
        <v>South</v>
      </c>
      <c r="G377" s="49" t="str">
        <f>IFERROR(__xludf.DUMMYFUNCTION("""COMPUTED_VALUE"""),"2 - 15 lb Phase 2 original balls.  I need one drilled for me and 1 drilled for Chloe.  ")</f>
        <v>2 - 15 lb Phase 2 original balls.  I need one drilled for me and 1 drilled for Chloe.  </v>
      </c>
      <c r="H377" s="52"/>
      <c r="I377" s="49"/>
      <c r="J377" s="51">
        <f>IFERROR(__xludf.DUMMYFUNCTION("""COMPUTED_VALUE"""),46097.0)</f>
        <v>46097</v>
      </c>
      <c r="K377" s="52"/>
      <c r="L377" s="49" t="str">
        <f>IFERROR(__xludf.DUMMYFUNCTION("""COMPUTED_VALUE"""),"B Supply")</f>
        <v>B Supply</v>
      </c>
      <c r="M377" s="49">
        <f>IFERROR(__xludf.DUMMYFUNCTION("""COMPUTED_VALUE"""),528880.0)</f>
        <v>528880</v>
      </c>
      <c r="N377" s="53">
        <f>IFERROR(__xludf.DUMMYFUNCTION("""COMPUTED_VALUE"""),144.35)</f>
        <v>144.35</v>
      </c>
      <c r="O377" s="54">
        <f>IFERROR(__xludf.DUMMYFUNCTION("""COMPUTED_VALUE"""),676848.0)</f>
        <v>676848</v>
      </c>
      <c r="P377" s="49" t="str">
        <f>IFERROR(__xludf.DUMMYFUNCTION("""COMPUTED_VALUE"""),"Y")</f>
        <v>Y</v>
      </c>
      <c r="Q377" s="49" t="str">
        <f>IFERROR(__xludf.DUMMYFUNCTION("""COMPUTED_VALUE"""),"Y")</f>
        <v>Y</v>
      </c>
      <c r="R377" s="49"/>
      <c r="S377" s="49"/>
      <c r="T377" s="49"/>
      <c r="U377" s="49"/>
      <c r="V377" s="49"/>
      <c r="W377" s="49"/>
      <c r="X377" s="49"/>
      <c r="Y377" s="49"/>
      <c r="Z377" s="49"/>
    </row>
    <row r="378">
      <c r="A378" s="49" t="str">
        <f>IFERROR(__xludf.DUMMYFUNCTION("""COMPUTED_VALUE"""),"3/14/2026 10:55:54")</f>
        <v>3/14/2026 10:55:54</v>
      </c>
      <c r="B378" s="49" t="str">
        <f>IFERROR(__xludf.DUMMYFUNCTION("""COMPUTED_VALUE"""),"christian.halliday@icloud.com")</f>
        <v>christian.halliday@icloud.com</v>
      </c>
      <c r="C378" s="50" t="str">
        <f>IFERROR(__xludf.DUMMYFUNCTION("""COMPUTED_VALUE"""),"Ryan Simon")</f>
        <v>Ryan Simon</v>
      </c>
      <c r="D378" s="49"/>
      <c r="E378" s="49" t="str">
        <f>IFERROR(__xludf.DUMMYFUNCTION("""COMPUTED_VALUE"""),"Idle Hours South")</f>
        <v>Idle Hours South</v>
      </c>
      <c r="F378" s="49" t="str">
        <f>IFERROR(__xludf.DUMMYFUNCTION("""COMPUTED_VALUE"""),"Idle Hours South")</f>
        <v>Idle Hours South</v>
      </c>
      <c r="G378" s="49" t="str">
        <f>IFERROR(__xludf.DUMMYFUNCTION("""COMPUTED_VALUE"""),"Hammer purple pearl 78D urethane 15lb")</f>
        <v>Hammer purple pearl 78D urethane 15lb</v>
      </c>
      <c r="H378" s="52"/>
      <c r="I378" s="49"/>
      <c r="J378" s="51">
        <f>IFERROR(__xludf.DUMMYFUNCTION("""COMPUTED_VALUE"""),46097.0)</f>
        <v>46097</v>
      </c>
      <c r="K378" s="52"/>
      <c r="L378" s="49" t="str">
        <f>IFERROR(__xludf.DUMMYFUNCTION("""COMPUTED_VALUE"""),"B Supply")</f>
        <v>B Supply</v>
      </c>
      <c r="M378" s="49">
        <f>IFERROR(__xludf.DUMMYFUNCTION("""COMPUTED_VALUE"""),528880.0)</f>
        <v>528880</v>
      </c>
      <c r="N378" s="53">
        <f>IFERROR(__xludf.DUMMYFUNCTION("""COMPUTED_VALUE"""),114.0)</f>
        <v>114</v>
      </c>
      <c r="O378" s="54">
        <f>IFERROR(__xludf.DUMMYFUNCTION("""COMPUTED_VALUE"""),676848.0)</f>
        <v>676848</v>
      </c>
      <c r="P378" s="49" t="str">
        <f>IFERROR(__xludf.DUMMYFUNCTION("""COMPUTED_VALUE"""),"Y")</f>
        <v>Y</v>
      </c>
      <c r="Q378" s="49" t="str">
        <f>IFERROR(__xludf.DUMMYFUNCTION("""COMPUTED_VALUE"""),"Y")</f>
        <v>Y</v>
      </c>
      <c r="R378" s="49"/>
      <c r="S378" s="49"/>
      <c r="T378" s="49"/>
      <c r="U378" s="49"/>
      <c r="V378" s="49"/>
      <c r="W378" s="49"/>
      <c r="X378" s="49"/>
      <c r="Y378" s="49"/>
      <c r="Z378" s="49"/>
    </row>
    <row r="379">
      <c r="A379" s="49" t="str">
        <f>IFERROR(__xludf.DUMMYFUNCTION("""COMPUTED_VALUE"""),"3/14/2026 14:10:19")</f>
        <v>3/14/2026 14:10:19</v>
      </c>
      <c r="B379" s="49" t="str">
        <f>IFERROR(__xludf.DUMMYFUNCTION("""COMPUTED_VALUE"""),"kyle.dittus@gmail.com")</f>
        <v>kyle.dittus@gmail.com</v>
      </c>
      <c r="C379" s="50" t="str">
        <f>IFERROR(__xludf.DUMMYFUNCTION("""COMPUTED_VALUE"""),"Kyle dittus")</f>
        <v>Kyle dittus</v>
      </c>
      <c r="D379" s="49"/>
      <c r="E379" s="49" t="str">
        <f>IFERROR(__xludf.DUMMYFUNCTION("""COMPUTED_VALUE"""),"Idle Hours South")</f>
        <v>Idle Hours South</v>
      </c>
      <c r="F379" s="49" t="str">
        <f>IFERROR(__xludf.DUMMYFUNCTION("""COMPUTED_VALUE"""),"Idle Hours South")</f>
        <v>Idle Hours South</v>
      </c>
      <c r="G379" s="49" t="str">
        <f>IFERROR(__xludf.DUMMYFUNCTION("""COMPUTED_VALUE"""),"Storm Bionic 14 LB")</f>
        <v>Storm Bionic 14 LB</v>
      </c>
      <c r="H379" s="52"/>
      <c r="I379" s="49"/>
      <c r="J379" s="51">
        <f>IFERROR(__xludf.DUMMYFUNCTION("""COMPUTED_VALUE"""),46097.0)</f>
        <v>46097</v>
      </c>
      <c r="K379" s="52"/>
      <c r="L379" s="49" t="str">
        <f>IFERROR(__xludf.DUMMYFUNCTION("""COMPUTED_VALUE"""),"B Supply")</f>
        <v>B Supply</v>
      </c>
      <c r="M379" s="49">
        <f>IFERROR(__xludf.DUMMYFUNCTION("""COMPUTED_VALUE"""),528880.0)</f>
        <v>528880</v>
      </c>
      <c r="N379" s="53">
        <f>IFERROR(__xludf.DUMMYFUNCTION("""COMPUTED_VALUE"""),144.35)</f>
        <v>144.35</v>
      </c>
      <c r="O379" s="54">
        <f>IFERROR(__xludf.DUMMYFUNCTION("""COMPUTED_VALUE"""),676848.0)</f>
        <v>676848</v>
      </c>
      <c r="P379" s="49" t="str">
        <f>IFERROR(__xludf.DUMMYFUNCTION("""COMPUTED_VALUE"""),"Y")</f>
        <v>Y</v>
      </c>
      <c r="Q379" s="49" t="str">
        <f>IFERROR(__xludf.DUMMYFUNCTION("""COMPUTED_VALUE"""),"Y")</f>
        <v>Y</v>
      </c>
      <c r="R379" s="49"/>
      <c r="S379" s="49"/>
      <c r="T379" s="49"/>
      <c r="U379" s="49"/>
      <c r="V379" s="49"/>
      <c r="W379" s="49"/>
      <c r="X379" s="49"/>
      <c r="Y379" s="49"/>
      <c r="Z379" s="49"/>
    </row>
    <row r="380">
      <c r="A380" s="49" t="str">
        <f>IFERROR(__xludf.DUMMYFUNCTION("""COMPUTED_VALUE"""),"3/14/2026 14:10:19")</f>
        <v>3/14/2026 14:10:19</v>
      </c>
      <c r="B380" s="49" t="str">
        <f>IFERROR(__xludf.DUMMYFUNCTION("""COMPUTED_VALUE"""),"kyle.dittus@gmail.com")</f>
        <v>kyle.dittus@gmail.com</v>
      </c>
      <c r="C380" s="50" t="str">
        <f>IFERROR(__xludf.DUMMYFUNCTION("""COMPUTED_VALUE"""),"Kyle dittus")</f>
        <v>Kyle dittus</v>
      </c>
      <c r="D380" s="49"/>
      <c r="E380" s="49" t="str">
        <f>IFERROR(__xludf.DUMMYFUNCTION("""COMPUTED_VALUE"""),"Idle Hours South")</f>
        <v>Idle Hours South</v>
      </c>
      <c r="F380" s="49" t="str">
        <f>IFERROR(__xludf.DUMMYFUNCTION("""COMPUTED_VALUE"""),"Idle Hours South")</f>
        <v>Idle Hours South</v>
      </c>
      <c r="G380" s="49" t="str">
        <f>IFERROR(__xludf.DUMMYFUNCTION("""COMPUTED_VALUE"""),"Storm Concept 14lbs")</f>
        <v>Storm Concept 14lbs</v>
      </c>
      <c r="H380" s="52"/>
      <c r="I380" s="49"/>
      <c r="J380" s="51">
        <f>IFERROR(__xludf.DUMMYFUNCTION("""COMPUTED_VALUE"""),46097.0)</f>
        <v>46097</v>
      </c>
      <c r="K380" s="52"/>
      <c r="L380" s="49" t="str">
        <f>IFERROR(__xludf.DUMMYFUNCTION("""COMPUTED_VALUE"""),"B Supply")</f>
        <v>B Supply</v>
      </c>
      <c r="M380" s="49">
        <f>IFERROR(__xludf.DUMMYFUNCTION("""COMPUTED_VALUE"""),528880.0)</f>
        <v>528880</v>
      </c>
      <c r="N380" s="53">
        <f>IFERROR(__xludf.DUMMYFUNCTION("""COMPUTED_VALUE"""),150.01)</f>
        <v>150.01</v>
      </c>
      <c r="O380" s="54">
        <f>IFERROR(__xludf.DUMMYFUNCTION("""COMPUTED_VALUE"""),676848.0)</f>
        <v>676848</v>
      </c>
      <c r="P380" s="49" t="str">
        <f>IFERROR(__xludf.DUMMYFUNCTION("""COMPUTED_VALUE"""),"Y")</f>
        <v>Y</v>
      </c>
      <c r="Q380" s="49" t="str">
        <f>IFERROR(__xludf.DUMMYFUNCTION("""COMPUTED_VALUE"""),"Y")</f>
        <v>Y</v>
      </c>
      <c r="R380" s="49"/>
      <c r="S380" s="49"/>
      <c r="T380" s="49"/>
      <c r="U380" s="49"/>
      <c r="V380" s="49"/>
      <c r="W380" s="49"/>
      <c r="X380" s="49"/>
      <c r="Y380" s="49"/>
      <c r="Z380" s="49"/>
    </row>
    <row r="381">
      <c r="A381" s="49" t="str">
        <f>IFERROR(__xludf.DUMMYFUNCTION("""COMPUTED_VALUE"""),"3/15/2026 19:49:13")</f>
        <v>3/15/2026 19:49:13</v>
      </c>
      <c r="B381" s="49" t="str">
        <f>IFERROR(__xludf.DUMMYFUNCTION("""COMPUTED_VALUE"""),"test@gmail.com")</f>
        <v>test@gmail.com</v>
      </c>
      <c r="C381" s="50" t="str">
        <f>IFERROR(__xludf.DUMMYFUNCTION("""COMPUTED_VALUE"""),"Ken Lillie")</f>
        <v>Ken Lillie</v>
      </c>
      <c r="D381" s="49"/>
      <c r="E381" s="49" t="str">
        <f>IFERROR(__xludf.DUMMYFUNCTION("""COMPUTED_VALUE"""),"Valley")</f>
        <v>Valley</v>
      </c>
      <c r="F381" s="49" t="str">
        <f>IFERROR(__xludf.DUMMYFUNCTION("""COMPUTED_VALUE"""),"Valley")</f>
        <v>Valley</v>
      </c>
      <c r="G381" s="49" t="str">
        <f>IFERROR(__xludf.DUMMYFUNCTION("""COMPUTED_VALUE"""),"Roto Grip Transformer - 15lbs")</f>
        <v>Roto Grip Transformer - 15lbs</v>
      </c>
      <c r="H381" s="52"/>
      <c r="I381" s="49"/>
      <c r="J381" s="51">
        <f>IFERROR(__xludf.DUMMYFUNCTION("""COMPUTED_VALUE"""),46097.0)</f>
        <v>46097</v>
      </c>
      <c r="K381" s="52"/>
      <c r="L381" s="49" t="str">
        <f>IFERROR(__xludf.DUMMYFUNCTION("""COMPUTED_VALUE"""),"B Supply")</f>
        <v>B Supply</v>
      </c>
      <c r="M381" s="49">
        <f>IFERROR(__xludf.DUMMYFUNCTION("""COMPUTED_VALUE"""),528880.0)</f>
        <v>528880</v>
      </c>
      <c r="N381" s="53">
        <f>IFERROR(__xludf.DUMMYFUNCTION("""COMPUTED_VALUE"""),158.94)</f>
        <v>158.94</v>
      </c>
      <c r="O381" s="54">
        <f>IFERROR(__xludf.DUMMYFUNCTION("""COMPUTED_VALUE"""),676848.0)</f>
        <v>676848</v>
      </c>
      <c r="P381" s="49" t="str">
        <f>IFERROR(__xludf.DUMMYFUNCTION("""COMPUTED_VALUE"""),"Y")</f>
        <v>Y</v>
      </c>
      <c r="Q381" s="49" t="str">
        <f>IFERROR(__xludf.DUMMYFUNCTION("""COMPUTED_VALUE"""),"Y")</f>
        <v>Y</v>
      </c>
      <c r="R381" s="49"/>
      <c r="S381" s="49"/>
      <c r="T381" s="49"/>
      <c r="U381" s="49"/>
      <c r="V381" s="49"/>
      <c r="W381" s="49"/>
      <c r="X381" s="49"/>
      <c r="Y381" s="49"/>
      <c r="Z381" s="49"/>
    </row>
    <row r="382">
      <c r="A382" s="49" t="str">
        <f>IFERROR(__xludf.DUMMYFUNCTION("""COMPUTED_VALUE"""),"3/15/2026 20:03:37")</f>
        <v>3/15/2026 20:03:37</v>
      </c>
      <c r="B382" s="49" t="str">
        <f>IFERROR(__xludf.DUMMYFUNCTION("""COMPUTED_VALUE"""),"ssorrells21@gmail.com")</f>
        <v>ssorrells21@gmail.com</v>
      </c>
      <c r="C382" s="50" t="str">
        <f>IFERROR(__xludf.DUMMYFUNCTION("""COMPUTED_VALUE"""),"Sarah Sorrells")</f>
        <v>Sarah Sorrells</v>
      </c>
      <c r="D382" s="49"/>
      <c r="E382" s="49" t="str">
        <f>IFERROR(__xludf.DUMMYFUNCTION("""COMPUTED_VALUE"""),"Valley")</f>
        <v>Valley</v>
      </c>
      <c r="F382" s="49" t="str">
        <f>IFERROR(__xludf.DUMMYFUNCTION("""COMPUTED_VALUE"""),"Valley")</f>
        <v>Valley</v>
      </c>
      <c r="G382" s="49" t="str">
        <f>IFERROR(__xludf.DUMMYFUNCTION("""COMPUTED_VALUE"""),"900 global viking 14 lb")</f>
        <v>900 global viking 14 lb</v>
      </c>
      <c r="H382" s="52"/>
      <c r="I382" s="49"/>
      <c r="J382" s="51">
        <f>IFERROR(__xludf.DUMMYFUNCTION("""COMPUTED_VALUE"""),46097.0)</f>
        <v>46097</v>
      </c>
      <c r="K382" s="52"/>
      <c r="L382" s="49" t="str">
        <f>IFERROR(__xludf.DUMMYFUNCTION("""COMPUTED_VALUE"""),"B Supply")</f>
        <v>B Supply</v>
      </c>
      <c r="M382" s="49">
        <f>IFERROR(__xludf.DUMMYFUNCTION("""COMPUTED_VALUE"""),528880.0)</f>
        <v>528880</v>
      </c>
      <c r="N382" s="53">
        <f>IFERROR(__xludf.DUMMYFUNCTION("""COMPUTED_VALUE"""),158.94)</f>
        <v>158.94</v>
      </c>
      <c r="O382" s="54">
        <f>IFERROR(__xludf.DUMMYFUNCTION("""COMPUTED_VALUE"""),676848.0)</f>
        <v>676848</v>
      </c>
      <c r="P382" s="49" t="str">
        <f>IFERROR(__xludf.DUMMYFUNCTION("""COMPUTED_VALUE"""),"Y")</f>
        <v>Y</v>
      </c>
      <c r="Q382" s="49" t="str">
        <f>IFERROR(__xludf.DUMMYFUNCTION("""COMPUTED_VALUE"""),"Y")</f>
        <v>Y</v>
      </c>
      <c r="R382" s="49"/>
      <c r="S382" s="49"/>
      <c r="T382" s="49"/>
      <c r="U382" s="49"/>
      <c r="V382" s="49"/>
      <c r="W382" s="49"/>
      <c r="X382" s="49"/>
      <c r="Y382" s="49"/>
      <c r="Z382" s="49"/>
    </row>
    <row r="383">
      <c r="A383" s="49" t="str">
        <f>IFERROR(__xludf.DUMMYFUNCTION("""COMPUTED_VALUE"""),"---")</f>
        <v>---</v>
      </c>
      <c r="B383" s="49" t="str">
        <f>IFERROR(__xludf.DUMMYFUNCTION("""COMPUTED_VALUE"""),"---")</f>
        <v>---</v>
      </c>
      <c r="C383" s="50" t="str">
        <f>IFERROR(__xludf.DUMMYFUNCTION("""COMPUTED_VALUE"""),"Stock")</f>
        <v>Stock</v>
      </c>
      <c r="D383" s="49"/>
      <c r="E383" s="49" t="str">
        <f>IFERROR(__xludf.DUMMYFUNCTION("""COMPUTED_VALUE"""),"South")</f>
        <v>South</v>
      </c>
      <c r="F383" s="49" t="str">
        <f>IFERROR(__xludf.DUMMYFUNCTION("""COMPUTED_VALUE"""),"South")</f>
        <v>South</v>
      </c>
      <c r="G383" s="49" t="str">
        <f>IFERROR(__xludf.DUMMYFUNCTION("""COMPUTED_VALUE"""),"Wristmaster II RH XL")</f>
        <v>Wristmaster II RH XL</v>
      </c>
      <c r="H383" s="52"/>
      <c r="I383" s="49"/>
      <c r="J383" s="51">
        <f>IFERROR(__xludf.DUMMYFUNCTION("""COMPUTED_VALUE"""),46097.0)</f>
        <v>46097</v>
      </c>
      <c r="K383" s="52"/>
      <c r="L383" s="49" t="str">
        <f>IFERROR(__xludf.DUMMYFUNCTION("""COMPUTED_VALUE"""),"Ace")</f>
        <v>Ace</v>
      </c>
      <c r="M383" s="49">
        <f>IFERROR(__xludf.DUMMYFUNCTION("""COMPUTED_VALUE"""),5.00321922E8)</f>
        <v>500321922</v>
      </c>
      <c r="N383" s="53">
        <f>IFERROR(__xludf.DUMMYFUNCTION("""COMPUTED_VALUE"""),16.92)</f>
        <v>16.92</v>
      </c>
      <c r="O383" s="54">
        <f>IFERROR(__xludf.DUMMYFUNCTION("""COMPUTED_VALUE"""),8.00054696E8)</f>
        <v>800054696</v>
      </c>
      <c r="P383" s="49" t="str">
        <f>IFERROR(__xludf.DUMMYFUNCTION("""COMPUTED_VALUE"""),"na")</f>
        <v>na</v>
      </c>
      <c r="Q383" s="49" t="str">
        <f>IFERROR(__xludf.DUMMYFUNCTION("""COMPUTED_VALUE"""),"na")</f>
        <v>na</v>
      </c>
      <c r="R383" s="49"/>
      <c r="S383" s="49"/>
      <c r="T383" s="49"/>
      <c r="U383" s="49"/>
      <c r="V383" s="49"/>
      <c r="W383" s="49"/>
      <c r="X383" s="49"/>
      <c r="Y383" s="49"/>
      <c r="Z383" s="49"/>
    </row>
    <row r="384">
      <c r="A384" s="49" t="str">
        <f>IFERROR(__xludf.DUMMYFUNCTION("""COMPUTED_VALUE"""),"---")</f>
        <v>---</v>
      </c>
      <c r="B384" s="49" t="str">
        <f>IFERROR(__xludf.DUMMYFUNCTION("""COMPUTED_VALUE"""),"---")</f>
        <v>---</v>
      </c>
      <c r="C384" s="50" t="str">
        <f>IFERROR(__xludf.DUMMYFUNCTION("""COMPUTED_VALUE"""),"Stock")</f>
        <v>Stock</v>
      </c>
      <c r="D384" s="49"/>
      <c r="E384" s="49"/>
      <c r="F384" s="49"/>
      <c r="G384" s="49" t="str">
        <f>IFERROR(__xludf.DUMMYFUNCTION("""COMPUTED_VALUE"""),"1 1/4"" thumb slug white/pink")</f>
        <v>1 1/4" thumb slug white/pink</v>
      </c>
      <c r="H384" s="52"/>
      <c r="I384" s="49"/>
      <c r="J384" s="51">
        <f>IFERROR(__xludf.DUMMYFUNCTION("""COMPUTED_VALUE"""),46097.0)</f>
        <v>46097</v>
      </c>
      <c r="K384" s="52"/>
      <c r="L384" s="49" t="str">
        <f>IFERROR(__xludf.DUMMYFUNCTION("""COMPUTED_VALUE"""),"Ace")</f>
        <v>Ace</v>
      </c>
      <c r="M384" s="49">
        <f>IFERROR(__xludf.DUMMYFUNCTION("""COMPUTED_VALUE"""),5.00321922E8)</f>
        <v>500321922</v>
      </c>
      <c r="N384" s="53">
        <f>IFERROR(__xludf.DUMMYFUNCTION("""COMPUTED_VALUE"""),3.07)</f>
        <v>3.07</v>
      </c>
      <c r="O384" s="54">
        <f>IFERROR(__xludf.DUMMYFUNCTION("""COMPUTED_VALUE"""),8.00054696E8)</f>
        <v>800054696</v>
      </c>
      <c r="P384" s="49" t="str">
        <f>IFERROR(__xludf.DUMMYFUNCTION("""COMPUTED_VALUE"""),"na")</f>
        <v>na</v>
      </c>
      <c r="Q384" s="49" t="str">
        <f>IFERROR(__xludf.DUMMYFUNCTION("""COMPUTED_VALUE"""),"na")</f>
        <v>na</v>
      </c>
      <c r="R384" s="49"/>
      <c r="S384" s="49"/>
      <c r="T384" s="49"/>
      <c r="U384" s="49"/>
      <c r="V384" s="49"/>
      <c r="W384" s="49"/>
      <c r="X384" s="49"/>
      <c r="Y384" s="49"/>
      <c r="Z384" s="49"/>
    </row>
    <row r="385">
      <c r="A385" s="49" t="str">
        <f>IFERROR(__xludf.DUMMYFUNCTION("""COMPUTED_VALUE"""),"---")</f>
        <v>---</v>
      </c>
      <c r="B385" s="49" t="str">
        <f>IFERROR(__xludf.DUMMYFUNCTION("""COMPUTED_VALUE"""),"---")</f>
        <v>---</v>
      </c>
      <c r="C385" s="50" t="str">
        <f>IFERROR(__xludf.DUMMYFUNCTION("""COMPUTED_VALUE"""),"Stock")</f>
        <v>Stock</v>
      </c>
      <c r="D385" s="49"/>
      <c r="E385" s="49"/>
      <c r="F385" s="49"/>
      <c r="G385" s="49" t="str">
        <f>IFERROR(__xludf.DUMMYFUNCTION("""COMPUTED_VALUE"""),"1 1/4"" thumb slug orange/yellow")</f>
        <v>1 1/4" thumb slug orange/yellow</v>
      </c>
      <c r="H385" s="52"/>
      <c r="I385" s="49"/>
      <c r="J385" s="51">
        <f>IFERROR(__xludf.DUMMYFUNCTION("""COMPUTED_VALUE"""),46097.0)</f>
        <v>46097</v>
      </c>
      <c r="K385" s="52"/>
      <c r="L385" s="49" t="str">
        <f>IFERROR(__xludf.DUMMYFUNCTION("""COMPUTED_VALUE"""),"Ace")</f>
        <v>Ace</v>
      </c>
      <c r="M385" s="49">
        <f>IFERROR(__xludf.DUMMYFUNCTION("""COMPUTED_VALUE"""),5.00321922E8)</f>
        <v>500321922</v>
      </c>
      <c r="N385" s="53">
        <f>IFERROR(__xludf.DUMMYFUNCTION("""COMPUTED_VALUE"""),3.07)</f>
        <v>3.07</v>
      </c>
      <c r="O385" s="54">
        <f>IFERROR(__xludf.DUMMYFUNCTION("""COMPUTED_VALUE"""),8.00054696E8)</f>
        <v>800054696</v>
      </c>
      <c r="P385" s="49" t="str">
        <f>IFERROR(__xludf.DUMMYFUNCTION("""COMPUTED_VALUE"""),"na")</f>
        <v>na</v>
      </c>
      <c r="Q385" s="49" t="str">
        <f>IFERROR(__xludf.DUMMYFUNCTION("""COMPUTED_VALUE"""),"na")</f>
        <v>na</v>
      </c>
      <c r="R385" s="49"/>
      <c r="S385" s="49"/>
      <c r="T385" s="49"/>
      <c r="U385" s="49"/>
      <c r="V385" s="49"/>
      <c r="W385" s="49"/>
      <c r="X385" s="49"/>
      <c r="Y385" s="49"/>
      <c r="Z385" s="49"/>
    </row>
    <row r="386">
      <c r="A386" s="49" t="str">
        <f>IFERROR(__xludf.DUMMYFUNCTION("""COMPUTED_VALUE"""),"3/17/2026 11:04:53")</f>
        <v>3/17/2026 11:04:53</v>
      </c>
      <c r="B386" s="49" t="str">
        <f>IFERROR(__xludf.DUMMYFUNCTION("""COMPUTED_VALUE"""),"millermike18@aol.com")</f>
        <v>millermike18@aol.com</v>
      </c>
      <c r="C386" s="50" t="str">
        <f>IFERROR(__xludf.DUMMYFUNCTION("""COMPUTED_VALUE"""),"Michael Miller")</f>
        <v>Michael Miller</v>
      </c>
      <c r="D386" s="49"/>
      <c r="E386" s="49" t="str">
        <f>IFERROR(__xludf.DUMMYFUNCTION("""COMPUTED_VALUE"""),"South")</f>
        <v>South</v>
      </c>
      <c r="F386" s="49" t="str">
        <f>IFERROR(__xludf.DUMMYFUNCTION("""COMPUTED_VALUE"""),"South")</f>
        <v>South</v>
      </c>
      <c r="G386" s="49" t="str">
        <f>IFERROR(__xludf.DUMMYFUNCTION("""COMPUTED_VALUE"""),"Hammer Full Effect 15Ib")</f>
        <v>Hammer Full Effect 15Ib</v>
      </c>
      <c r="H386" s="52"/>
      <c r="I386" s="49"/>
      <c r="J386" s="51">
        <f>IFERROR(__xludf.DUMMYFUNCTION("""COMPUTED_VALUE"""),46104.0)</f>
        <v>46104</v>
      </c>
      <c r="K386" s="52"/>
      <c r="L386" s="49" t="str">
        <f>IFERROR(__xludf.DUMMYFUNCTION("""COMPUTED_VALUE"""),"B Supply")</f>
        <v>B Supply</v>
      </c>
      <c r="M386" s="49">
        <f>IFERROR(__xludf.DUMMYFUNCTION("""COMPUTED_VALUE"""),530463.0)</f>
        <v>530463</v>
      </c>
      <c r="N386" s="53">
        <f>IFERROR(__xludf.DUMMYFUNCTION("""COMPUTED_VALUE"""),156.51)</f>
        <v>156.51</v>
      </c>
      <c r="O386" s="54">
        <f>IFERROR(__xludf.DUMMYFUNCTION("""COMPUTED_VALUE"""),678718.0)</f>
        <v>678718</v>
      </c>
      <c r="P386" s="49" t="str">
        <f>IFERROR(__xludf.DUMMYFUNCTION("""COMPUTED_VALUE"""),"Y")</f>
        <v>Y</v>
      </c>
      <c r="Q386" s="49" t="str">
        <f>IFERROR(__xludf.DUMMYFUNCTION("""COMPUTED_VALUE"""),"Y")</f>
        <v>Y</v>
      </c>
      <c r="R386" s="49"/>
      <c r="S386" s="49"/>
      <c r="T386" s="49"/>
      <c r="U386" s="49"/>
      <c r="V386" s="49"/>
      <c r="W386" s="49"/>
      <c r="X386" s="49"/>
      <c r="Y386" s="49"/>
      <c r="Z386" s="49"/>
    </row>
    <row r="387">
      <c r="A387" s="49" t="str">
        <f>IFERROR(__xludf.DUMMYFUNCTION("""COMPUTED_VALUE"""),"3/18/2026 21:00:37")</f>
        <v>3/18/2026 21:00:37</v>
      </c>
      <c r="B387" s="49" t="str">
        <f>IFERROR(__xludf.DUMMYFUNCTION("""COMPUTED_VALUE"""),"njckid84@gmail.com")</f>
        <v>njckid84@gmail.com</v>
      </c>
      <c r="C387" s="50" t="str">
        <f>IFERROR(__xludf.DUMMYFUNCTION("""COMPUTED_VALUE"""),"Chris Santopietro ")</f>
        <v>Chris Santopietro </v>
      </c>
      <c r="D387" s="49"/>
      <c r="E387" s="49" t="str">
        <f>IFERROR(__xludf.DUMMYFUNCTION("""COMPUTED_VALUE"""),"South")</f>
        <v>South</v>
      </c>
      <c r="F387" s="49" t="str">
        <f>IFERROR(__xludf.DUMMYFUNCTION("""COMPUTED_VALUE"""),"South")</f>
        <v>South</v>
      </c>
      <c r="G387" s="49" t="str">
        <f>IFERROR(__xludf.DUMMYFUNCTION("""COMPUTED_VALUE"""),"Hammer Full Effect 14 lb(for my dad)")</f>
        <v>Hammer Full Effect 14 lb(for my dad)</v>
      </c>
      <c r="H387" s="52"/>
      <c r="I387" s="49"/>
      <c r="J387" s="51">
        <f>IFERROR(__xludf.DUMMYFUNCTION("""COMPUTED_VALUE"""),46104.0)</f>
        <v>46104</v>
      </c>
      <c r="K387" s="52"/>
      <c r="L387" s="49" t="str">
        <f>IFERROR(__xludf.DUMMYFUNCTION("""COMPUTED_VALUE"""),"B Supply")</f>
        <v>B Supply</v>
      </c>
      <c r="M387" s="49">
        <f>IFERROR(__xludf.DUMMYFUNCTION("""COMPUTED_VALUE"""),530463.0)</f>
        <v>530463</v>
      </c>
      <c r="N387" s="53">
        <f>IFERROR(__xludf.DUMMYFUNCTION("""COMPUTED_VALUE"""),156.51)</f>
        <v>156.51</v>
      </c>
      <c r="O387" s="54">
        <f>IFERROR(__xludf.DUMMYFUNCTION("""COMPUTED_VALUE"""),678718.0)</f>
        <v>678718</v>
      </c>
      <c r="P387" s="49" t="str">
        <f>IFERROR(__xludf.DUMMYFUNCTION("""COMPUTED_VALUE"""),"Y")</f>
        <v>Y</v>
      </c>
      <c r="Q387" s="49" t="str">
        <f>IFERROR(__xludf.DUMMYFUNCTION("""COMPUTED_VALUE"""),"Y")</f>
        <v>Y</v>
      </c>
      <c r="R387" s="49"/>
      <c r="S387" s="49"/>
      <c r="T387" s="49"/>
      <c r="U387" s="49"/>
      <c r="V387" s="49"/>
      <c r="W387" s="49"/>
      <c r="X387" s="49"/>
      <c r="Y387" s="49"/>
      <c r="Z387" s="49"/>
    </row>
    <row r="388">
      <c r="A388" s="49" t="str">
        <f>IFERROR(__xludf.DUMMYFUNCTION("""COMPUTED_VALUE"""),"3/17/2026 12:00:21")</f>
        <v>3/17/2026 12:00:21</v>
      </c>
      <c r="B388" s="49" t="str">
        <f>IFERROR(__xludf.DUMMYFUNCTION("""COMPUTED_VALUE"""),"hpgen24@gmail.com")</f>
        <v>hpgen24@gmail.com</v>
      </c>
      <c r="C388" s="50" t="str">
        <f>IFERROR(__xludf.DUMMYFUNCTION("""COMPUTED_VALUE"""),"Ryan Richmond")</f>
        <v>Ryan Richmond</v>
      </c>
      <c r="D388" s="49">
        <f>IFERROR(__xludf.DUMMYFUNCTION("""COMPUTED_VALUE"""),2.019066445E9)</f>
        <v>2019066445</v>
      </c>
      <c r="E388" s="49" t="str">
        <f>IFERROR(__xludf.DUMMYFUNCTION("""COMPUTED_VALUE"""),"South")</f>
        <v>South</v>
      </c>
      <c r="F388" s="49" t="str">
        <f>IFERROR(__xludf.DUMMYFUNCTION("""COMPUTED_VALUE"""),"South")</f>
        <v>South</v>
      </c>
      <c r="G388" s="49" t="str">
        <f>IFERROR(__xludf.DUMMYFUNCTION("""COMPUTED_VALUE"""),"Storm concept 14lb.")</f>
        <v>Storm concept 14lb.</v>
      </c>
      <c r="H388" s="52"/>
      <c r="I388" s="49"/>
      <c r="J388" s="51">
        <f>IFERROR(__xludf.DUMMYFUNCTION("""COMPUTED_VALUE"""),46104.0)</f>
        <v>46104</v>
      </c>
      <c r="K388" s="52"/>
      <c r="L388" s="49" t="str">
        <f>IFERROR(__xludf.DUMMYFUNCTION("""COMPUTED_VALUE"""),"B Supply")</f>
        <v>B Supply</v>
      </c>
      <c r="M388" s="49">
        <f>IFERROR(__xludf.DUMMYFUNCTION("""COMPUTED_VALUE"""),530463.0)</f>
        <v>530463</v>
      </c>
      <c r="N388" s="53">
        <f>IFERROR(__xludf.DUMMYFUNCTION("""COMPUTED_VALUE"""),150.01)</f>
        <v>150.01</v>
      </c>
      <c r="O388" s="54">
        <f>IFERROR(__xludf.DUMMYFUNCTION("""COMPUTED_VALUE"""),678718.0)</f>
        <v>678718</v>
      </c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>
      <c r="A389" s="49" t="str">
        <f>IFERROR(__xludf.DUMMYFUNCTION("""COMPUTED_VALUE"""),"3/19/2026 18:53:51")</f>
        <v>3/19/2026 18:53:51</v>
      </c>
      <c r="B389" s="49" t="str">
        <f>IFERROR(__xludf.DUMMYFUNCTION("""COMPUTED_VALUE"""),"myamarie111303@icloud.com")</f>
        <v>myamarie111303@icloud.com</v>
      </c>
      <c r="C389" s="50" t="str">
        <f>IFERROR(__xludf.DUMMYFUNCTION("""COMPUTED_VALUE"""),"Mya Scintilla")</f>
        <v>Mya Scintilla</v>
      </c>
      <c r="D389" s="49">
        <f>IFERROR(__xludf.DUMMYFUNCTION("""COMPUTED_VALUE"""),5.705794933E9)</f>
        <v>5705794933</v>
      </c>
      <c r="E389" s="49" t="str">
        <f>IFERROR(__xludf.DUMMYFUNCTION("""COMPUTED_VALUE"""),"Valley")</f>
        <v>Valley</v>
      </c>
      <c r="F389" s="49" t="str">
        <f>IFERROR(__xludf.DUMMYFUNCTION("""COMPUTED_VALUE"""),"Valley")</f>
        <v>Valley</v>
      </c>
      <c r="G389" s="49" t="str">
        <f>IFERROR(__xludf.DUMMYFUNCTION("""COMPUTED_VALUE"""),"15lb Strikeforce polyester (blue/black/silver)  ")</f>
        <v>15lb Strikeforce polyester (blue/black/silver)  </v>
      </c>
      <c r="H389" s="52"/>
      <c r="I389" s="49"/>
      <c r="J389" s="51">
        <f>IFERROR(__xludf.DUMMYFUNCTION("""COMPUTED_VALUE"""),46104.0)</f>
        <v>46104</v>
      </c>
      <c r="K389" s="52"/>
      <c r="L389" s="49" t="str">
        <f>IFERROR(__xludf.DUMMYFUNCTION("""COMPUTED_VALUE"""),"B Supply")</f>
        <v>B Supply</v>
      </c>
      <c r="M389" s="49">
        <f>IFERROR(__xludf.DUMMYFUNCTION("""COMPUTED_VALUE"""),530463.0)</f>
        <v>530463</v>
      </c>
      <c r="N389" s="53">
        <f>IFERROR(__xludf.DUMMYFUNCTION("""COMPUTED_VALUE"""),51.78)</f>
        <v>51.78</v>
      </c>
      <c r="O389" s="54">
        <f>IFERROR(__xludf.DUMMYFUNCTION("""COMPUTED_VALUE"""),678718.0)</f>
        <v>678718</v>
      </c>
      <c r="P389" s="49" t="str">
        <f>IFERROR(__xludf.DUMMYFUNCTION("""COMPUTED_VALUE"""),"Y")</f>
        <v>Y</v>
      </c>
      <c r="Q389" s="49" t="str">
        <f>IFERROR(__xludf.DUMMYFUNCTION("""COMPUTED_VALUE"""),"Y")</f>
        <v>Y</v>
      </c>
      <c r="R389" s="49"/>
      <c r="S389" s="49"/>
      <c r="T389" s="49"/>
      <c r="U389" s="49"/>
      <c r="V389" s="49"/>
      <c r="W389" s="49"/>
      <c r="X389" s="49"/>
      <c r="Y389" s="49"/>
      <c r="Z389" s="49"/>
    </row>
    <row r="390">
      <c r="A390" s="49" t="str">
        <f>IFERROR(__xludf.DUMMYFUNCTION("""COMPUTED_VALUE"""),"3/19/2026 18:53:51")</f>
        <v>3/19/2026 18:53:51</v>
      </c>
      <c r="B390" s="49" t="str">
        <f>IFERROR(__xludf.DUMMYFUNCTION("""COMPUTED_VALUE"""),"myamarie111303@icloud.com")</f>
        <v>myamarie111303@icloud.com</v>
      </c>
      <c r="C390" s="50" t="str">
        <f>IFERROR(__xludf.DUMMYFUNCTION("""COMPUTED_VALUE"""),"Mya Scintilla")</f>
        <v>Mya Scintilla</v>
      </c>
      <c r="D390" s="49">
        <f>IFERROR(__xludf.DUMMYFUNCTION("""COMPUTED_VALUE"""),5.705794933E9)</f>
        <v>5705794933</v>
      </c>
      <c r="E390" s="49" t="str">
        <f>IFERROR(__xludf.DUMMYFUNCTION("""COMPUTED_VALUE"""),"Valley")</f>
        <v>Valley</v>
      </c>
      <c r="F390" s="49" t="str">
        <f>IFERROR(__xludf.DUMMYFUNCTION("""COMPUTED_VALUE"""),"Valley")</f>
        <v>Valley</v>
      </c>
      <c r="G390" s="49" t="str">
        <f>IFERROR(__xludf.DUMMYFUNCTION("""COMPUTED_VALUE"""),"15lb Strikeforce polyester (purple/royal/silver)")</f>
        <v>15lb Strikeforce polyester (purple/royal/silver)</v>
      </c>
      <c r="H390" s="52"/>
      <c r="I390" s="49"/>
      <c r="J390" s="51">
        <f>IFERROR(__xludf.DUMMYFUNCTION("""COMPUTED_VALUE"""),46104.0)</f>
        <v>46104</v>
      </c>
      <c r="K390" s="52"/>
      <c r="L390" s="49" t="str">
        <f>IFERROR(__xludf.DUMMYFUNCTION("""COMPUTED_VALUE"""),"B Supply")</f>
        <v>B Supply</v>
      </c>
      <c r="M390" s="49">
        <f>IFERROR(__xludf.DUMMYFUNCTION("""COMPUTED_VALUE"""),530463.0)</f>
        <v>530463</v>
      </c>
      <c r="N390" s="53">
        <f>IFERROR(__xludf.DUMMYFUNCTION("""COMPUTED_VALUE"""),51.78)</f>
        <v>51.78</v>
      </c>
      <c r="O390" s="54">
        <f>IFERROR(__xludf.DUMMYFUNCTION("""COMPUTED_VALUE"""),678718.0)</f>
        <v>678718</v>
      </c>
      <c r="P390" s="49" t="str">
        <f>IFERROR(__xludf.DUMMYFUNCTION("""COMPUTED_VALUE"""),"Y")</f>
        <v>Y</v>
      </c>
      <c r="Q390" s="49" t="str">
        <f>IFERROR(__xludf.DUMMYFUNCTION("""COMPUTED_VALUE"""),"Y")</f>
        <v>Y</v>
      </c>
      <c r="R390" s="49"/>
      <c r="S390" s="49"/>
      <c r="T390" s="49"/>
      <c r="U390" s="49"/>
      <c r="V390" s="49"/>
      <c r="W390" s="49"/>
      <c r="X390" s="49"/>
      <c r="Y390" s="49"/>
      <c r="Z390" s="49"/>
    </row>
    <row r="391">
      <c r="A391" s="49" t="str">
        <f>IFERROR(__xludf.DUMMYFUNCTION("""COMPUTED_VALUE"""),"3/21/2026 15:41:52")</f>
        <v>3/21/2026 15:41:52</v>
      </c>
      <c r="B391" s="49" t="str">
        <f>IFERROR(__xludf.DUMMYFUNCTION("""COMPUTED_VALUE"""),"Perfexxxxionproshop@gmail.com")</f>
        <v>Perfexxxxionproshop@gmail.com</v>
      </c>
      <c r="C391" s="50" t="str">
        <f>IFERROR(__xludf.DUMMYFUNCTION("""COMPUTED_VALUE"""),"Danielle Knittle")</f>
        <v>Danielle Knittle</v>
      </c>
      <c r="D391" s="49"/>
      <c r="E391" s="49" t="str">
        <f>IFERROR(__xludf.DUMMYFUNCTION("""COMPUTED_VALUE"""),"South")</f>
        <v>South</v>
      </c>
      <c r="F391" s="49" t="str">
        <f>IFERROR(__xludf.DUMMYFUNCTION("""COMPUTED_VALUE"""),"South")</f>
        <v>South</v>
      </c>
      <c r="G391" s="49" t="str">
        <f>IFERROR(__xludf.DUMMYFUNCTION("""COMPUTED_VALUE"""),"Stealth Mode Hybrid 14 lbs")</f>
        <v>Stealth Mode Hybrid 14 lbs</v>
      </c>
      <c r="H391" s="52"/>
      <c r="I391" s="49"/>
      <c r="J391" s="51">
        <f>IFERROR(__xludf.DUMMYFUNCTION("""COMPUTED_VALUE"""),46104.0)</f>
        <v>46104</v>
      </c>
      <c r="K391" s="52"/>
      <c r="L391" s="49" t="str">
        <f>IFERROR(__xludf.DUMMYFUNCTION("""COMPUTED_VALUE"""),"B Supply")</f>
        <v>B Supply</v>
      </c>
      <c r="M391" s="49">
        <f>IFERROR(__xludf.DUMMYFUNCTION("""COMPUTED_VALUE"""),530463.0)</f>
        <v>530463</v>
      </c>
      <c r="N391" s="53">
        <f>IFERROR(__xludf.DUMMYFUNCTION("""COMPUTED_VALUE"""),119.99)</f>
        <v>119.99</v>
      </c>
      <c r="O391" s="54">
        <f>IFERROR(__xludf.DUMMYFUNCTION("""COMPUTED_VALUE"""),678718.0)</f>
        <v>678718</v>
      </c>
      <c r="P391" s="49" t="str">
        <f>IFERROR(__xludf.DUMMYFUNCTION("""COMPUTED_VALUE"""),"Y")</f>
        <v>Y</v>
      </c>
      <c r="Q391" s="49" t="str">
        <f>IFERROR(__xludf.DUMMYFUNCTION("""COMPUTED_VALUE"""),"Y")</f>
        <v>Y</v>
      </c>
      <c r="R391" s="49"/>
      <c r="S391" s="49"/>
      <c r="T391" s="49"/>
      <c r="U391" s="49"/>
      <c r="V391" s="49"/>
      <c r="W391" s="49"/>
      <c r="X391" s="49"/>
      <c r="Y391" s="49"/>
      <c r="Z391" s="49"/>
    </row>
    <row r="392">
      <c r="A392" s="49" t="str">
        <f>IFERROR(__xludf.DUMMYFUNCTION("""COMPUTED_VALUE"""),"3/21/2026 15:41:52")</f>
        <v>3/21/2026 15:41:52</v>
      </c>
      <c r="B392" s="49" t="str">
        <f>IFERROR(__xludf.DUMMYFUNCTION("""COMPUTED_VALUE"""),"Perfexxxxionproshop@gmail.com")</f>
        <v>Perfexxxxionproshop@gmail.com</v>
      </c>
      <c r="C392" s="50" t="str">
        <f>IFERROR(__xludf.DUMMYFUNCTION("""COMPUTED_VALUE"""),"Danielle Knittle")</f>
        <v>Danielle Knittle</v>
      </c>
      <c r="D392" s="49"/>
      <c r="E392" s="49" t="str">
        <f>IFERROR(__xludf.DUMMYFUNCTION("""COMPUTED_VALUE"""),"South")</f>
        <v>South</v>
      </c>
      <c r="F392" s="49" t="str">
        <f>IFERROR(__xludf.DUMMYFUNCTION("""COMPUTED_VALUE"""),"South")</f>
        <v>South</v>
      </c>
      <c r="G392" s="49" t="str">
        <f>IFERROR(__xludf.DUMMYFUNCTION("""COMPUTED_VALUE"""),"Hammer HammerHead Pearl 14 lbs")</f>
        <v>Hammer HammerHead Pearl 14 lbs</v>
      </c>
      <c r="H392" s="52"/>
      <c r="I392" s="49"/>
      <c r="J392" s="51">
        <f>IFERROR(__xludf.DUMMYFUNCTION("""COMPUTED_VALUE"""),46104.0)</f>
        <v>46104</v>
      </c>
      <c r="K392" s="52"/>
      <c r="L392" s="49" t="str">
        <f>IFERROR(__xludf.DUMMYFUNCTION("""COMPUTED_VALUE"""),"B Supply")</f>
        <v>B Supply</v>
      </c>
      <c r="M392" s="49">
        <f>IFERROR(__xludf.DUMMYFUNCTION("""COMPUTED_VALUE"""),530463.0)</f>
        <v>530463</v>
      </c>
      <c r="N392" s="53">
        <f>IFERROR(__xludf.DUMMYFUNCTION("""COMPUTED_VALUE"""),113.91)</f>
        <v>113.91</v>
      </c>
      <c r="O392" s="54">
        <f>IFERROR(__xludf.DUMMYFUNCTION("""COMPUTED_VALUE"""),678718.0)</f>
        <v>678718</v>
      </c>
      <c r="P392" s="49" t="str">
        <f>IFERROR(__xludf.DUMMYFUNCTION("""COMPUTED_VALUE"""),"Y")</f>
        <v>Y</v>
      </c>
      <c r="Q392" s="49" t="str">
        <f>IFERROR(__xludf.DUMMYFUNCTION("""COMPUTED_VALUE"""),"Y")</f>
        <v>Y</v>
      </c>
      <c r="R392" s="49"/>
      <c r="S392" s="49"/>
      <c r="T392" s="49"/>
      <c r="U392" s="49"/>
      <c r="V392" s="49"/>
      <c r="W392" s="49"/>
      <c r="X392" s="49"/>
      <c r="Y392" s="49"/>
      <c r="Z392" s="49"/>
    </row>
    <row r="393">
      <c r="A393" s="49" t="str">
        <f>IFERROR(__xludf.DUMMYFUNCTION("""COMPUTED_VALUE"""),"3/22/2026 21:56:12")</f>
        <v>3/22/2026 21:56:12</v>
      </c>
      <c r="B393" s="49" t="str">
        <f>IFERROR(__xludf.DUMMYFUNCTION("""COMPUTED_VALUE"""),"Perfexxxxionproshop@gmail.com")</f>
        <v>Perfexxxxionproshop@gmail.com</v>
      </c>
      <c r="C393" s="50" t="str">
        <f>IFERROR(__xludf.DUMMYFUNCTION("""COMPUTED_VALUE"""),"Christian Halliday")</f>
        <v>Christian Halliday</v>
      </c>
      <c r="D393" s="49">
        <f>IFERROR(__xludf.DUMMYFUNCTION("""COMPUTED_VALUE"""),5.705783108E9)</f>
        <v>5705783108</v>
      </c>
      <c r="E393" s="49" t="str">
        <f>IFERROR(__xludf.DUMMYFUNCTION("""COMPUTED_VALUE"""),"South")</f>
        <v>South</v>
      </c>
      <c r="F393" s="49" t="str">
        <f>IFERROR(__xludf.DUMMYFUNCTION("""COMPUTED_VALUE"""),"South")</f>
        <v>South</v>
      </c>
      <c r="G393" s="49" t="str">
        <f>IFERROR(__xludf.DUMMYFUNCTION("""COMPUTED_VALUE"""),"Hammer purple 78d 15 lb")</f>
        <v>Hammer purple 78d 15 lb</v>
      </c>
      <c r="H393" s="52"/>
      <c r="I393" s="49"/>
      <c r="J393" s="51">
        <f>IFERROR(__xludf.DUMMYFUNCTION("""COMPUTED_VALUE"""),46104.0)</f>
        <v>46104</v>
      </c>
      <c r="K393" s="52"/>
      <c r="L393" s="49" t="str">
        <f>IFERROR(__xludf.DUMMYFUNCTION("""COMPUTED_VALUE"""),"B Supply")</f>
        <v>B Supply</v>
      </c>
      <c r="M393" s="49">
        <f>IFERROR(__xludf.DUMMYFUNCTION("""COMPUTED_VALUE"""),530463.0)</f>
        <v>530463</v>
      </c>
      <c r="N393" s="53">
        <f>IFERROR(__xludf.DUMMYFUNCTION("""COMPUTED_VALUE"""),114.0)</f>
        <v>114</v>
      </c>
      <c r="O393" s="54">
        <f>IFERROR(__xludf.DUMMYFUNCTION("""COMPUTED_VALUE"""),678718.0)</f>
        <v>678718</v>
      </c>
      <c r="P393" s="49" t="str">
        <f>IFERROR(__xludf.DUMMYFUNCTION("""COMPUTED_VALUE"""),"Y")</f>
        <v>Y</v>
      </c>
      <c r="Q393" s="49" t="str">
        <f>IFERROR(__xludf.DUMMYFUNCTION("""COMPUTED_VALUE"""),"Y")</f>
        <v>Y</v>
      </c>
      <c r="R393" s="49"/>
      <c r="S393" s="49"/>
      <c r="T393" s="49"/>
      <c r="U393" s="49"/>
      <c r="V393" s="49"/>
      <c r="W393" s="49"/>
      <c r="X393" s="49"/>
      <c r="Y393" s="49"/>
      <c r="Z393" s="49"/>
    </row>
    <row r="394">
      <c r="A394" s="49" t="str">
        <f>IFERROR(__xludf.DUMMYFUNCTION("""COMPUTED_VALUE"""),"3/22/2026 21:54:17")</f>
        <v>3/22/2026 21:54:17</v>
      </c>
      <c r="B394" s="49" t="str">
        <f>IFERROR(__xludf.DUMMYFUNCTION("""COMPUTED_VALUE"""),"Perfexxxxionproshop@gmail.com")</f>
        <v>Perfexxxxionproshop@gmail.com</v>
      </c>
      <c r="C394" s="50" t="str">
        <f>IFERROR(__xludf.DUMMYFUNCTION("""COMPUTED_VALUE"""),"Kevin Walsh")</f>
        <v>Kevin Walsh</v>
      </c>
      <c r="D394" s="49"/>
      <c r="E394" s="49" t="str">
        <f>IFERROR(__xludf.DUMMYFUNCTION("""COMPUTED_VALUE"""),"South")</f>
        <v>South</v>
      </c>
      <c r="F394" s="49" t="str">
        <f>IFERROR(__xludf.DUMMYFUNCTION("""COMPUTED_VALUE"""),"South")</f>
        <v>South</v>
      </c>
      <c r="G394" s="49" t="str">
        <f>IFERROR(__xludf.DUMMYFUNCTION("""COMPUTED_VALUE"""),"Motiv Max Thrill Hybrid 14 (blue purple)")</f>
        <v>Motiv Max Thrill Hybrid 14 (blue purple)</v>
      </c>
      <c r="H394" s="52"/>
      <c r="I394" s="49"/>
      <c r="J394" s="51">
        <f>IFERROR(__xludf.DUMMYFUNCTION("""COMPUTED_VALUE"""),46104.0)</f>
        <v>46104</v>
      </c>
      <c r="K394" s="52"/>
      <c r="L394" s="49" t="str">
        <f>IFERROR(__xludf.DUMMYFUNCTION("""COMPUTED_VALUE"""),"B Supply")</f>
        <v>B Supply</v>
      </c>
      <c r="M394" s="49">
        <f>IFERROR(__xludf.DUMMYFUNCTION("""COMPUTED_VALUE"""),530463.0)</f>
        <v>530463</v>
      </c>
      <c r="N394" s="53">
        <f>IFERROR(__xludf.DUMMYFUNCTION("""COMPUTED_VALUE"""),97.38)</f>
        <v>97.38</v>
      </c>
      <c r="O394" s="54">
        <f>IFERROR(__xludf.DUMMYFUNCTION("""COMPUTED_VALUE"""),678718.0)</f>
        <v>678718</v>
      </c>
      <c r="P394" s="49" t="str">
        <f>IFERROR(__xludf.DUMMYFUNCTION("""COMPUTED_VALUE"""),"Y")</f>
        <v>Y</v>
      </c>
      <c r="Q394" s="49" t="str">
        <f>IFERROR(__xludf.DUMMYFUNCTION("""COMPUTED_VALUE"""),"Y")</f>
        <v>Y</v>
      </c>
      <c r="R394" s="49"/>
      <c r="S394" s="49"/>
      <c r="T394" s="49"/>
      <c r="U394" s="49"/>
      <c r="V394" s="49"/>
      <c r="W394" s="49"/>
      <c r="X394" s="49"/>
      <c r="Y394" s="49"/>
      <c r="Z394" s="49"/>
    </row>
    <row r="395">
      <c r="A395" s="49" t="str">
        <f>IFERROR(__xludf.DUMMYFUNCTION("""COMPUTED_VALUE"""),"3/26/2026 19:09:35")</f>
        <v>3/26/2026 19:09:35</v>
      </c>
      <c r="B395" s="49" t="str">
        <f>IFERROR(__xludf.DUMMYFUNCTION("""COMPUTED_VALUE"""),"tcalpin@iw404.org")</f>
        <v>tcalpin@iw404.org</v>
      </c>
      <c r="C395" s="50" t="str">
        <f>IFERROR(__xludf.DUMMYFUNCTION("""COMPUTED_VALUE"""),"Tommy Calpin")</f>
        <v>Tommy Calpin</v>
      </c>
      <c r="D395" s="49">
        <f>IFERROR(__xludf.DUMMYFUNCTION("""COMPUTED_VALUE"""),5.706143078E9)</f>
        <v>5706143078</v>
      </c>
      <c r="E395" s="49" t="str">
        <f>IFERROR(__xludf.DUMMYFUNCTION("""COMPUTED_VALUE"""),"South")</f>
        <v>South</v>
      </c>
      <c r="F395" s="49" t="str">
        <f>IFERROR(__xludf.DUMMYFUNCTION("""COMPUTED_VALUE"""),"South")</f>
        <v>South</v>
      </c>
      <c r="G395" s="49" t="str">
        <f>IFERROR(__xludf.DUMMYFUNCTION("""COMPUTED_VALUE"""),"Hammer Effect Tour - 16 Pounds")</f>
        <v>Hammer Effect Tour - 16 Pounds</v>
      </c>
      <c r="H395" s="52"/>
      <c r="I395" s="49"/>
      <c r="J395" s="51">
        <f>IFERROR(__xludf.DUMMYFUNCTION("""COMPUTED_VALUE"""),46111.0)</f>
        <v>46111</v>
      </c>
      <c r="K395" s="52"/>
      <c r="L395" s="49" t="str">
        <f>IFERROR(__xludf.DUMMYFUNCTION("""COMPUTED_VALUE"""),"B Supply")</f>
        <v>B Supply</v>
      </c>
      <c r="M395" s="49">
        <f>IFERROR(__xludf.DUMMYFUNCTION("""COMPUTED_VALUE"""),532169.0)</f>
        <v>532169</v>
      </c>
      <c r="N395" s="53">
        <f>IFERROR(__xludf.DUMMYFUNCTION("""COMPUTED_VALUE"""),156.51)</f>
        <v>156.51</v>
      </c>
      <c r="O395" s="54">
        <f>IFERROR(__xludf.DUMMYFUNCTION("""COMPUTED_VALUE"""),680611.0)</f>
        <v>680611</v>
      </c>
      <c r="P395" s="49" t="str">
        <f>IFERROR(__xludf.DUMMYFUNCTION("""COMPUTED_VALUE"""),"Y")</f>
        <v>Y</v>
      </c>
      <c r="Q395" s="49" t="str">
        <f>IFERROR(__xludf.DUMMYFUNCTION("""COMPUTED_VALUE"""),"Y")</f>
        <v>Y</v>
      </c>
      <c r="R395" s="49"/>
      <c r="S395" s="49"/>
      <c r="T395" s="49"/>
      <c r="U395" s="49"/>
      <c r="V395" s="49"/>
      <c r="W395" s="49"/>
      <c r="X395" s="49"/>
      <c r="Y395" s="49"/>
      <c r="Z395" s="49"/>
    </row>
    <row r="396">
      <c r="A396" s="49" t="str">
        <f>IFERROR(__xludf.DUMMYFUNCTION("""COMPUTED_VALUE"""),"3/26/2026 19:11:19")</f>
        <v>3/26/2026 19:11:19</v>
      </c>
      <c r="B396" s="49" t="str">
        <f>IFERROR(__xludf.DUMMYFUNCTION("""COMPUTED_VALUE"""),"thepierced16987@gmail.com")</f>
        <v>thepierced16987@gmail.com</v>
      </c>
      <c r="C396" s="50" t="str">
        <f>IFERROR(__xludf.DUMMYFUNCTION("""COMPUTED_VALUE"""),"Brad dutter ")</f>
        <v>Brad dutter </v>
      </c>
      <c r="D396" s="49"/>
      <c r="E396" s="49" t="str">
        <f>IFERROR(__xludf.DUMMYFUNCTION("""COMPUTED_VALUE"""),"South")</f>
        <v>South</v>
      </c>
      <c r="F396" s="49" t="str">
        <f>IFERROR(__xludf.DUMMYFUNCTION("""COMPUTED_VALUE"""),"South")</f>
        <v>South</v>
      </c>
      <c r="G396" s="49" t="str">
        <f>IFERROR(__xludf.DUMMYFUNCTION("""COMPUTED_VALUE"""),"Black widow 3.0 dynasty 16lb")</f>
        <v>Black widow 3.0 dynasty 16lb</v>
      </c>
      <c r="H396" s="52"/>
      <c r="I396" s="49"/>
      <c r="J396" s="51">
        <f>IFERROR(__xludf.DUMMYFUNCTION("""COMPUTED_VALUE"""),46111.0)</f>
        <v>46111</v>
      </c>
      <c r="K396" s="52"/>
      <c r="L396" s="49" t="str">
        <f>IFERROR(__xludf.DUMMYFUNCTION("""COMPUTED_VALUE"""),"B Supply")</f>
        <v>B Supply</v>
      </c>
      <c r="M396" s="49">
        <f>IFERROR(__xludf.DUMMYFUNCTION("""COMPUTED_VALUE"""),532169.0)</f>
        <v>532169</v>
      </c>
      <c r="N396" s="53">
        <f>IFERROR(__xludf.DUMMYFUNCTION("""COMPUTED_VALUE"""),132.15)</f>
        <v>132.15</v>
      </c>
      <c r="O396" s="54">
        <f>IFERROR(__xludf.DUMMYFUNCTION("""COMPUTED_VALUE"""),680611.0)</f>
        <v>680611</v>
      </c>
      <c r="P396" s="49" t="str">
        <f>IFERROR(__xludf.DUMMYFUNCTION("""COMPUTED_VALUE"""),"Y")</f>
        <v>Y</v>
      </c>
      <c r="Q396" s="49" t="str">
        <f>IFERROR(__xludf.DUMMYFUNCTION("""COMPUTED_VALUE"""),"Y")</f>
        <v>Y</v>
      </c>
      <c r="R396" s="49"/>
      <c r="S396" s="49"/>
      <c r="T396" s="49"/>
      <c r="U396" s="49"/>
      <c r="V396" s="49"/>
      <c r="W396" s="49"/>
      <c r="X396" s="49"/>
      <c r="Y396" s="49"/>
      <c r="Z396" s="49"/>
    </row>
    <row r="397">
      <c r="A397" s="49" t="str">
        <f>IFERROR(__xludf.DUMMYFUNCTION("""COMPUTED_VALUE"""),"3/25/2026 18:28:12")</f>
        <v>3/25/2026 18:28:12</v>
      </c>
      <c r="B397" s="49" t="str">
        <f>IFERROR(__xludf.DUMMYFUNCTION("""COMPUTED_VALUE"""),"zcorum2012@gmail.com")</f>
        <v>zcorum2012@gmail.com</v>
      </c>
      <c r="C397" s="50" t="str">
        <f>IFERROR(__xludf.DUMMYFUNCTION("""COMPUTED_VALUE"""),"Zach Corum")</f>
        <v>Zach Corum</v>
      </c>
      <c r="D397" s="49">
        <f>IFERROR(__xludf.DUMMYFUNCTION("""COMPUTED_VALUE"""),5.704660924E9)</f>
        <v>5704660924</v>
      </c>
      <c r="E397" s="49" t="str">
        <f>IFERROR(__xludf.DUMMYFUNCTION("""COMPUTED_VALUE"""),"Valley")</f>
        <v>Valley</v>
      </c>
      <c r="F397" s="49" t="str">
        <f>IFERROR(__xludf.DUMMYFUNCTION("""COMPUTED_VALUE"""),"Valley")</f>
        <v>Valley</v>
      </c>
      <c r="G397" s="49" t="str">
        <f>IFERROR(__xludf.DUMMYFUNCTION("""COMPUTED_VALUE"""),"Tzone night sky 15lbs")</f>
        <v>Tzone night sky 15lbs</v>
      </c>
      <c r="H397" s="52"/>
      <c r="I397" s="49"/>
      <c r="J397" s="51">
        <f>IFERROR(__xludf.DUMMYFUNCTION("""COMPUTED_VALUE"""),46111.0)</f>
        <v>46111</v>
      </c>
      <c r="K397" s="52"/>
      <c r="L397" s="49" t="str">
        <f>IFERROR(__xludf.DUMMYFUNCTION("""COMPUTED_VALUE"""),"B Supply")</f>
        <v>B Supply</v>
      </c>
      <c r="M397" s="49">
        <f>IFERROR(__xludf.DUMMYFUNCTION("""COMPUTED_VALUE"""),532169.0)</f>
        <v>532169</v>
      </c>
      <c r="N397" s="53">
        <f>IFERROR(__xludf.DUMMYFUNCTION("""COMPUTED_VALUE"""),50.11)</f>
        <v>50.11</v>
      </c>
      <c r="O397" s="54">
        <f>IFERROR(__xludf.DUMMYFUNCTION("""COMPUTED_VALUE"""),680611.0)</f>
        <v>680611</v>
      </c>
      <c r="P397" s="49" t="str">
        <f>IFERROR(__xludf.DUMMYFUNCTION("""COMPUTED_VALUE"""),"Y")</f>
        <v>Y</v>
      </c>
      <c r="Q397" s="49" t="str">
        <f>IFERROR(__xludf.DUMMYFUNCTION("""COMPUTED_VALUE"""),"Y")</f>
        <v>Y</v>
      </c>
      <c r="R397" s="49"/>
      <c r="S397" s="49"/>
      <c r="T397" s="49"/>
      <c r="U397" s="49"/>
      <c r="V397" s="49"/>
      <c r="W397" s="49"/>
      <c r="X397" s="49"/>
      <c r="Y397" s="49"/>
      <c r="Z397" s="49"/>
    </row>
    <row r="398">
      <c r="A398" s="49" t="str">
        <f>IFERROR(__xludf.DUMMYFUNCTION("""COMPUTED_VALUE"""),"3/23/2026 15:56:23")</f>
        <v>3/23/2026 15:56:23</v>
      </c>
      <c r="B398" s="49" t="str">
        <f>IFERROR(__xludf.DUMMYFUNCTION("""COMPUTED_VALUE"""),"gregmaty@gmail.com")</f>
        <v>gregmaty@gmail.com</v>
      </c>
      <c r="C398" s="50" t="str">
        <f>IFERROR(__xludf.DUMMYFUNCTION("""COMPUTED_VALUE"""),"Greg Matyjevich")</f>
        <v>Greg Matyjevich</v>
      </c>
      <c r="D398" s="49"/>
      <c r="E398" s="49" t="str">
        <f>IFERROR(__xludf.DUMMYFUNCTION("""COMPUTED_VALUE"""),"South")</f>
        <v>South</v>
      </c>
      <c r="F398" s="49" t="str">
        <f>IFERROR(__xludf.DUMMYFUNCTION("""COMPUTED_VALUE"""),"South")</f>
        <v>South</v>
      </c>
      <c r="G398" s="49" t="str">
        <f>IFERROR(__xludf.DUMMYFUNCTION("""COMPUTED_VALUE"""),"Track Stealth Mode Hybrid 14lb")</f>
        <v>Track Stealth Mode Hybrid 14lb</v>
      </c>
      <c r="H398" s="52"/>
      <c r="I398" s="49"/>
      <c r="J398" s="51">
        <f>IFERROR(__xludf.DUMMYFUNCTION("""COMPUTED_VALUE"""),46111.0)</f>
        <v>46111</v>
      </c>
      <c r="K398" s="52"/>
      <c r="L398" s="49" t="str">
        <f>IFERROR(__xludf.DUMMYFUNCTION("""COMPUTED_VALUE"""),"B Supply")</f>
        <v>B Supply</v>
      </c>
      <c r="M398" s="49">
        <f>IFERROR(__xludf.DUMMYFUNCTION("""COMPUTED_VALUE"""),532169.0)</f>
        <v>532169</v>
      </c>
      <c r="N398" s="53">
        <f>IFERROR(__xludf.DUMMYFUNCTION("""COMPUTED_VALUE"""),119.99)</f>
        <v>119.99</v>
      </c>
      <c r="O398" s="54">
        <f>IFERROR(__xludf.DUMMYFUNCTION("""COMPUTED_VALUE"""),680611.0)</f>
        <v>680611</v>
      </c>
      <c r="P398" s="49" t="str">
        <f>IFERROR(__xludf.DUMMYFUNCTION("""COMPUTED_VALUE"""),"No")</f>
        <v>No</v>
      </c>
      <c r="Q398" s="49" t="str">
        <f>IFERROR(__xludf.DUMMYFUNCTION("""COMPUTED_VALUE"""),"Y")</f>
        <v>Y</v>
      </c>
      <c r="R398" s="49"/>
      <c r="S398" s="49"/>
      <c r="T398" s="49"/>
      <c r="U398" s="49"/>
      <c r="V398" s="49"/>
      <c r="W398" s="49"/>
      <c r="X398" s="49"/>
      <c r="Y398" s="49"/>
      <c r="Z398" s="49"/>
    </row>
    <row r="399">
      <c r="A399" s="49" t="str">
        <f>IFERROR(__xludf.DUMMYFUNCTION("""COMPUTED_VALUE"""),"3/28/2026 15:10:31")</f>
        <v>3/28/2026 15:10:31</v>
      </c>
      <c r="B399" s="49" t="str">
        <f>IFERROR(__xludf.DUMMYFUNCTION("""COMPUTED_VALUE"""),"twheeler@elitenepa.com")</f>
        <v>twheeler@elitenepa.com</v>
      </c>
      <c r="C399" s="50" t="str">
        <f>IFERROR(__xludf.DUMMYFUNCTION("""COMPUTED_VALUE"""),"Thomas Wheeler")</f>
        <v>Thomas Wheeler</v>
      </c>
      <c r="D399" s="49">
        <f>IFERROR(__xludf.DUMMYFUNCTION("""COMPUTED_VALUE"""),5.707802023E9)</f>
        <v>5707802023</v>
      </c>
      <c r="E399" s="49" t="str">
        <f>IFERROR(__xludf.DUMMYFUNCTION("""COMPUTED_VALUE"""),"South")</f>
        <v>South</v>
      </c>
      <c r="F399" s="49" t="str">
        <f>IFERROR(__xludf.DUMMYFUNCTION("""COMPUTED_VALUE"""),"South")</f>
        <v>South</v>
      </c>
      <c r="G399" s="49" t="str">
        <f>IFERROR(__xludf.DUMMYFUNCTION("""COMPUTED_VALUE"""),"Hammer tour v1 14lb")</f>
        <v>Hammer tour v1 14lb</v>
      </c>
      <c r="H399" s="52"/>
      <c r="I399" s="49"/>
      <c r="J399" s="51">
        <f>IFERROR(__xludf.DUMMYFUNCTION("""COMPUTED_VALUE"""),46111.0)</f>
        <v>46111</v>
      </c>
      <c r="K399" s="52"/>
      <c r="L399" s="49" t="str">
        <f>IFERROR(__xludf.DUMMYFUNCTION("""COMPUTED_VALUE"""),"B Supply")</f>
        <v>B Supply</v>
      </c>
      <c r="M399" s="49">
        <f>IFERROR(__xludf.DUMMYFUNCTION("""COMPUTED_VALUE"""),532169.0)</f>
        <v>532169</v>
      </c>
      <c r="N399" s="53">
        <f>IFERROR(__xludf.DUMMYFUNCTION("""COMPUTED_VALUE"""),132.15)</f>
        <v>132.15</v>
      </c>
      <c r="O399" s="54">
        <f>IFERROR(__xludf.DUMMYFUNCTION("""COMPUTED_VALUE"""),680611.0)</f>
        <v>680611</v>
      </c>
      <c r="P399" s="49" t="str">
        <f>IFERROR(__xludf.DUMMYFUNCTION("""COMPUTED_VALUE"""),"Y")</f>
        <v>Y</v>
      </c>
      <c r="Q399" s="49" t="str">
        <f>IFERROR(__xludf.DUMMYFUNCTION("""COMPUTED_VALUE"""),"Y")</f>
        <v>Y</v>
      </c>
      <c r="R399" s="49"/>
      <c r="S399" s="49"/>
      <c r="T399" s="49"/>
      <c r="U399" s="49"/>
      <c r="V399" s="49"/>
      <c r="W399" s="49"/>
      <c r="X399" s="49"/>
      <c r="Y399" s="49"/>
      <c r="Z399" s="49"/>
    </row>
    <row r="400">
      <c r="A400" s="49" t="str">
        <f>IFERROR(__xludf.DUMMYFUNCTION("""COMPUTED_VALUE"""),"3/29/2026 15:51:50")</f>
        <v>3/29/2026 15:51:50</v>
      </c>
      <c r="B400" s="49" t="str">
        <f>IFERROR(__xludf.DUMMYFUNCTION("""COMPUTED_VALUE"""),"keith.danielowski@gmail.com")</f>
        <v>keith.danielowski@gmail.com</v>
      </c>
      <c r="C400" s="50" t="str">
        <f>IFERROR(__xludf.DUMMYFUNCTION("""COMPUTED_VALUE"""),"Scott Holtzman")</f>
        <v>Scott Holtzman</v>
      </c>
      <c r="D400" s="49"/>
      <c r="E400" s="49" t="str">
        <f>IFERROR(__xludf.DUMMYFUNCTION("""COMPUTED_VALUE"""),"South")</f>
        <v>South</v>
      </c>
      <c r="F400" s="49" t="str">
        <f>IFERROR(__xludf.DUMMYFUNCTION("""COMPUTED_VALUE"""),"South")</f>
        <v>South</v>
      </c>
      <c r="G400" s="49" t="str">
        <f>IFERROR(__xludf.DUMMYFUNCTION("""COMPUTED_VALUE"""),"Hammer zero mercy pearl 14")</f>
        <v>Hammer zero mercy pearl 14</v>
      </c>
      <c r="H400" s="52"/>
      <c r="I400" s="49"/>
      <c r="J400" s="51">
        <f>IFERROR(__xludf.DUMMYFUNCTION("""COMPUTED_VALUE"""),46111.0)</f>
        <v>46111</v>
      </c>
      <c r="K400" s="52"/>
      <c r="L400" s="49" t="str">
        <f>IFERROR(__xludf.DUMMYFUNCTION("""COMPUTED_VALUE"""),"B Supply")</f>
        <v>B Supply</v>
      </c>
      <c r="M400" s="49">
        <f>IFERROR(__xludf.DUMMYFUNCTION("""COMPUTED_VALUE"""),532169.0)</f>
        <v>532169</v>
      </c>
      <c r="N400" s="53">
        <f>IFERROR(__xludf.DUMMYFUNCTION("""COMPUTED_VALUE"""),156.51)</f>
        <v>156.51</v>
      </c>
      <c r="O400" s="54">
        <f>IFERROR(__xludf.DUMMYFUNCTION("""COMPUTED_VALUE"""),680611.0)</f>
        <v>680611</v>
      </c>
      <c r="P400" s="49" t="str">
        <f>IFERROR(__xludf.DUMMYFUNCTION("""COMPUTED_VALUE"""),"Y")</f>
        <v>Y</v>
      </c>
      <c r="Q400" s="49" t="str">
        <f>IFERROR(__xludf.DUMMYFUNCTION("""COMPUTED_VALUE"""),"Y")</f>
        <v>Y</v>
      </c>
      <c r="R400" s="49"/>
      <c r="S400" s="49"/>
      <c r="T400" s="49"/>
      <c r="U400" s="49"/>
      <c r="V400" s="49"/>
      <c r="W400" s="49"/>
      <c r="X400" s="49"/>
      <c r="Y400" s="49"/>
      <c r="Z400" s="49"/>
    </row>
    <row r="401">
      <c r="A401" s="49" t="str">
        <f>IFERROR(__xludf.DUMMYFUNCTION("""COMPUTED_VALUE"""),"3/22/2026 21:49:48")</f>
        <v>3/22/2026 21:49:48</v>
      </c>
      <c r="B401" s="49" t="str">
        <f>IFERROR(__xludf.DUMMYFUNCTION("""COMPUTED_VALUE"""),"Perfexxxxionproshop@gmail.com")</f>
        <v>Perfexxxxionproshop@gmail.com</v>
      </c>
      <c r="C401" s="50" t="str">
        <f>IFERROR(__xludf.DUMMYFUNCTION("""COMPUTED_VALUE"""),"Richie Lei")</f>
        <v>Richie Lei</v>
      </c>
      <c r="D401" s="49"/>
      <c r="E401" s="49" t="str">
        <f>IFERROR(__xludf.DUMMYFUNCTION("""COMPUTED_VALUE"""),"Valley")</f>
        <v>Valley</v>
      </c>
      <c r="F401" s="49" t="str">
        <f>IFERROR(__xludf.DUMMYFUNCTION("""COMPUTED_VALUE"""),"Valley")</f>
        <v>Valley</v>
      </c>
      <c r="G401" s="49" t="str">
        <f>IFERROR(__xludf.DUMMYFUNCTION("""COMPUTED_VALUE"""),"Storm Concept 15 lbs")</f>
        <v>Storm Concept 15 lbs</v>
      </c>
      <c r="H401" s="52"/>
      <c r="I401" s="49"/>
      <c r="J401" s="51">
        <f>IFERROR(__xludf.DUMMYFUNCTION("""COMPUTED_VALUE"""),46111.0)</f>
        <v>46111</v>
      </c>
      <c r="K401" s="52"/>
      <c r="L401" s="49" t="str">
        <f>IFERROR(__xludf.DUMMYFUNCTION("""COMPUTED_VALUE"""),"Ace")</f>
        <v>Ace</v>
      </c>
      <c r="M401" s="49">
        <f>IFERROR(__xludf.DUMMYFUNCTION("""COMPUTED_VALUE"""),5.00327638E8)</f>
        <v>500327638</v>
      </c>
      <c r="N401" s="53">
        <f>IFERROR(__xludf.DUMMYFUNCTION("""COMPUTED_VALUE"""),152.47)</f>
        <v>152.47</v>
      </c>
      <c r="O401" s="54"/>
      <c r="P401" s="49" t="str">
        <f>IFERROR(__xludf.DUMMYFUNCTION("""COMPUTED_VALUE"""),"Y")</f>
        <v>Y</v>
      </c>
      <c r="Q401" s="49" t="str">
        <f>IFERROR(__xludf.DUMMYFUNCTION("""COMPUTED_VALUE"""),"Y")</f>
        <v>Y</v>
      </c>
      <c r="R401" s="49"/>
      <c r="S401" s="49"/>
      <c r="T401" s="49"/>
      <c r="U401" s="49"/>
      <c r="V401" s="49"/>
      <c r="W401" s="49"/>
      <c r="X401" s="49"/>
      <c r="Y401" s="49"/>
      <c r="Z401" s="49"/>
    </row>
    <row r="402">
      <c r="A402" s="49" t="str">
        <f>IFERROR(__xludf.DUMMYFUNCTION("""COMPUTED_VALUE"""),"3/29/2026 13:39:07")</f>
        <v>3/29/2026 13:39:07</v>
      </c>
      <c r="B402" s="49" t="str">
        <f>IFERROR(__xludf.DUMMYFUNCTION("""COMPUTED_VALUE"""),"marshallwrd@gmail.com")</f>
        <v>marshallwrd@gmail.com</v>
      </c>
      <c r="C402" s="50" t="str">
        <f>IFERROR(__xludf.DUMMYFUNCTION("""COMPUTED_VALUE"""),"Marshall Ward")</f>
        <v>Marshall Ward</v>
      </c>
      <c r="D402" s="49"/>
      <c r="E402" s="49" t="str">
        <f>IFERROR(__xludf.DUMMYFUNCTION("""COMPUTED_VALUE"""),"Valley")</f>
        <v>Valley</v>
      </c>
      <c r="F402" s="49" t="str">
        <f>IFERROR(__xludf.DUMMYFUNCTION("""COMPUTED_VALUE"""),"Valley")</f>
        <v>Valley</v>
      </c>
      <c r="G402" s="49" t="str">
        <f>IFERROR(__xludf.DUMMYFUNCTION("""COMPUTED_VALUE""")," Radical Snapshot Hybrid 14 lb")</f>
        <v> Radical Snapshot Hybrid 14 lb</v>
      </c>
      <c r="H402" s="52"/>
      <c r="I402" s="49"/>
      <c r="J402" s="51">
        <f>IFERROR(__xludf.DUMMYFUNCTION("""COMPUTED_VALUE"""),46111.0)</f>
        <v>46111</v>
      </c>
      <c r="K402" s="52"/>
      <c r="L402" s="49" t="str">
        <f>IFERROR(__xludf.DUMMYFUNCTION("""COMPUTED_VALUE"""),"Ace")</f>
        <v>Ace</v>
      </c>
      <c r="M402" s="49">
        <f>IFERROR(__xludf.DUMMYFUNCTION("""COMPUTED_VALUE"""),5.00327638E8)</f>
        <v>500327638</v>
      </c>
      <c r="N402" s="53">
        <f>IFERROR(__xludf.DUMMYFUNCTION("""COMPUTED_VALUE"""),99.0)</f>
        <v>99</v>
      </c>
      <c r="O402" s="54">
        <f>IFERROR(__xludf.DUMMYFUNCTION("""COMPUTED_VALUE"""),678718.0)</f>
        <v>678718</v>
      </c>
      <c r="P402" s="49" t="str">
        <f>IFERROR(__xludf.DUMMYFUNCTION("""COMPUTED_VALUE"""),"Y")</f>
        <v>Y</v>
      </c>
      <c r="Q402" s="49" t="str">
        <f>IFERROR(__xludf.DUMMYFUNCTION("""COMPUTED_VALUE"""),"Y")</f>
        <v>Y</v>
      </c>
      <c r="R402" s="49"/>
      <c r="S402" s="49"/>
      <c r="T402" s="49"/>
      <c r="U402" s="49"/>
      <c r="V402" s="49"/>
      <c r="W402" s="49"/>
      <c r="X402" s="49"/>
      <c r="Y402" s="49"/>
      <c r="Z402" s="49"/>
    </row>
    <row r="403">
      <c r="C403" s="50"/>
    </row>
    <row r="404">
      <c r="C404" s="50"/>
    </row>
    <row r="405">
      <c r="C405" s="50"/>
    </row>
    <row r="406">
      <c r="C406" s="50"/>
    </row>
    <row r="407">
      <c r="C407" s="50"/>
    </row>
    <row r="408">
      <c r="C408" s="50"/>
    </row>
    <row r="409">
      <c r="C409" s="50"/>
    </row>
    <row r="410">
      <c r="C410" s="50"/>
    </row>
    <row r="411">
      <c r="C411" s="50"/>
    </row>
    <row r="412">
      <c r="C412" s="50"/>
    </row>
    <row r="413">
      <c r="C413" s="50"/>
    </row>
    <row r="414">
      <c r="C414" s="50"/>
    </row>
    <row r="415">
      <c r="C415" s="50"/>
    </row>
    <row r="416">
      <c r="C416" s="50"/>
    </row>
    <row r="417">
      <c r="C417" s="50"/>
    </row>
    <row r="418">
      <c r="C418" s="50"/>
    </row>
    <row r="419">
      <c r="C419" s="50"/>
    </row>
    <row r="420">
      <c r="C420" s="50"/>
    </row>
    <row r="421">
      <c r="C421" s="50"/>
    </row>
    <row r="422">
      <c r="C422" s="50"/>
    </row>
    <row r="423">
      <c r="C423" s="50"/>
    </row>
    <row r="424">
      <c r="C424" s="50"/>
    </row>
    <row r="425">
      <c r="C425" s="50"/>
    </row>
    <row r="426">
      <c r="C426" s="50"/>
    </row>
    <row r="427">
      <c r="C427" s="50"/>
    </row>
    <row r="428">
      <c r="C428" s="50"/>
    </row>
    <row r="429">
      <c r="C429" s="50"/>
    </row>
    <row r="430">
      <c r="C430" s="50"/>
    </row>
    <row r="431">
      <c r="C431" s="50"/>
    </row>
    <row r="432">
      <c r="C432" s="50"/>
    </row>
    <row r="433">
      <c r="C433" s="50"/>
    </row>
    <row r="434">
      <c r="C434" s="50"/>
    </row>
    <row r="435">
      <c r="C435" s="50"/>
    </row>
    <row r="436">
      <c r="C436" s="50"/>
    </row>
    <row r="437">
      <c r="C437" s="50"/>
    </row>
    <row r="438">
      <c r="C438" s="50"/>
    </row>
    <row r="439">
      <c r="C439" s="50"/>
    </row>
    <row r="440">
      <c r="C440" s="50"/>
    </row>
    <row r="441">
      <c r="C441" s="50"/>
    </row>
    <row r="442">
      <c r="C442" s="50"/>
    </row>
    <row r="443">
      <c r="C443" s="50"/>
    </row>
    <row r="444">
      <c r="C444" s="50"/>
    </row>
    <row r="445">
      <c r="C445" s="50"/>
    </row>
    <row r="446">
      <c r="C446" s="50"/>
    </row>
    <row r="447">
      <c r="C447" s="50"/>
    </row>
    <row r="448">
      <c r="C448" s="50"/>
    </row>
    <row r="449">
      <c r="C449" s="50"/>
    </row>
    <row r="450">
      <c r="C450" s="50"/>
    </row>
    <row r="451">
      <c r="C451" s="50"/>
    </row>
    <row r="452">
      <c r="C452" s="50"/>
    </row>
    <row r="453">
      <c r="C453" s="50"/>
    </row>
    <row r="454">
      <c r="C454" s="50"/>
    </row>
    <row r="455">
      <c r="C455" s="50"/>
    </row>
    <row r="456">
      <c r="C456" s="50"/>
    </row>
    <row r="457">
      <c r="C457" s="50"/>
    </row>
    <row r="458">
      <c r="C458" s="50"/>
    </row>
    <row r="459">
      <c r="C459" s="50"/>
    </row>
    <row r="460">
      <c r="C460" s="50"/>
    </row>
    <row r="461">
      <c r="C461" s="50"/>
    </row>
    <row r="462">
      <c r="C462" s="50"/>
    </row>
    <row r="463">
      <c r="C463" s="50"/>
    </row>
    <row r="464">
      <c r="C464" s="50"/>
    </row>
    <row r="465">
      <c r="C465" s="50"/>
    </row>
    <row r="466">
      <c r="C466" s="50"/>
    </row>
    <row r="467">
      <c r="C467" s="50"/>
    </row>
    <row r="468">
      <c r="C468" s="50"/>
    </row>
    <row r="469">
      <c r="C469" s="50"/>
    </row>
    <row r="470">
      <c r="C470" s="50"/>
    </row>
    <row r="471">
      <c r="C471" s="50"/>
    </row>
    <row r="472">
      <c r="C472" s="50"/>
    </row>
    <row r="473">
      <c r="C473" s="50"/>
    </row>
    <row r="474">
      <c r="C474" s="50"/>
    </row>
    <row r="475">
      <c r="C475" s="50"/>
    </row>
    <row r="476">
      <c r="C476" s="50"/>
    </row>
    <row r="477">
      <c r="C477" s="50"/>
    </row>
    <row r="478">
      <c r="C478" s="50"/>
    </row>
    <row r="479">
      <c r="C479" s="50"/>
    </row>
    <row r="480">
      <c r="C480" s="50"/>
    </row>
    <row r="481">
      <c r="C481" s="50"/>
    </row>
    <row r="482">
      <c r="C482" s="50"/>
    </row>
    <row r="483">
      <c r="C483" s="50"/>
    </row>
    <row r="484">
      <c r="C484" s="50"/>
    </row>
    <row r="485">
      <c r="C485" s="50"/>
    </row>
    <row r="486">
      <c r="C486" s="50"/>
    </row>
    <row r="487">
      <c r="C487" s="50"/>
    </row>
    <row r="488">
      <c r="C488" s="50"/>
    </row>
    <row r="489">
      <c r="C489" s="50"/>
    </row>
    <row r="490">
      <c r="C490" s="50"/>
    </row>
    <row r="491">
      <c r="C491" s="50"/>
    </row>
    <row r="492">
      <c r="C492" s="50"/>
    </row>
    <row r="493">
      <c r="C493" s="50"/>
    </row>
    <row r="494">
      <c r="C494" s="50"/>
    </row>
    <row r="495">
      <c r="C495" s="50"/>
    </row>
    <row r="496">
      <c r="C496" s="50"/>
    </row>
    <row r="497">
      <c r="C497" s="50"/>
    </row>
    <row r="498">
      <c r="C498" s="50"/>
    </row>
    <row r="499">
      <c r="C499" s="50"/>
    </row>
    <row r="500">
      <c r="C500" s="50"/>
    </row>
    <row r="501">
      <c r="C501" s="50"/>
    </row>
    <row r="502">
      <c r="C502" s="50"/>
    </row>
    <row r="503">
      <c r="C503" s="50"/>
    </row>
    <row r="504">
      <c r="C504" s="50"/>
    </row>
    <row r="505">
      <c r="C505" s="50"/>
    </row>
    <row r="506">
      <c r="C506" s="50"/>
    </row>
    <row r="507">
      <c r="C507" s="50"/>
    </row>
    <row r="508">
      <c r="C508" s="50"/>
    </row>
    <row r="509">
      <c r="C509" s="50"/>
    </row>
    <row r="510">
      <c r="C510" s="50"/>
    </row>
    <row r="511">
      <c r="C511" s="50"/>
    </row>
    <row r="512">
      <c r="C512" s="50"/>
    </row>
    <row r="513">
      <c r="C513" s="50"/>
    </row>
    <row r="514">
      <c r="C514" s="50"/>
    </row>
    <row r="515">
      <c r="C515" s="50"/>
    </row>
    <row r="516">
      <c r="C516" s="50"/>
    </row>
    <row r="517">
      <c r="C517" s="50"/>
    </row>
    <row r="518">
      <c r="C518" s="50"/>
    </row>
    <row r="519">
      <c r="C519" s="50"/>
    </row>
    <row r="520">
      <c r="C520" s="50"/>
    </row>
    <row r="521">
      <c r="C521" s="50"/>
    </row>
    <row r="522">
      <c r="C522" s="50"/>
    </row>
    <row r="523">
      <c r="C523" s="50"/>
    </row>
    <row r="524">
      <c r="C524" s="50"/>
    </row>
    <row r="525">
      <c r="C525" s="50"/>
    </row>
    <row r="526">
      <c r="C526" s="50"/>
    </row>
    <row r="527">
      <c r="C527" s="50"/>
    </row>
    <row r="528">
      <c r="C528" s="50"/>
    </row>
    <row r="529">
      <c r="C529" s="50"/>
    </row>
    <row r="530">
      <c r="C530" s="50"/>
    </row>
    <row r="531">
      <c r="C531" s="50"/>
    </row>
    <row r="532">
      <c r="C532" s="50"/>
    </row>
    <row r="533">
      <c r="C533" s="50"/>
    </row>
    <row r="534">
      <c r="C534" s="50"/>
    </row>
    <row r="535">
      <c r="C535" s="50"/>
    </row>
    <row r="536">
      <c r="C536" s="50"/>
    </row>
    <row r="537">
      <c r="C537" s="50"/>
    </row>
    <row r="538">
      <c r="C538" s="50"/>
    </row>
    <row r="539">
      <c r="C539" s="50"/>
    </row>
    <row r="540">
      <c r="C540" s="50"/>
    </row>
    <row r="541">
      <c r="C541" s="50"/>
    </row>
    <row r="542">
      <c r="C542" s="50"/>
    </row>
    <row r="543">
      <c r="C543" s="50"/>
    </row>
    <row r="544">
      <c r="C544" s="50"/>
    </row>
    <row r="545">
      <c r="C545" s="50"/>
    </row>
    <row r="546">
      <c r="C546" s="50"/>
    </row>
    <row r="547">
      <c r="C547" s="50"/>
    </row>
    <row r="548">
      <c r="C548" s="50"/>
    </row>
    <row r="549">
      <c r="C549" s="50"/>
    </row>
    <row r="550">
      <c r="C550" s="50"/>
    </row>
    <row r="551">
      <c r="C551" s="50"/>
    </row>
    <row r="552">
      <c r="C552" s="50"/>
    </row>
    <row r="553">
      <c r="C553" s="50"/>
    </row>
    <row r="554">
      <c r="C554" s="50"/>
    </row>
    <row r="555">
      <c r="C555" s="50"/>
    </row>
    <row r="556">
      <c r="C556" s="50"/>
    </row>
    <row r="557">
      <c r="C557" s="50"/>
    </row>
    <row r="558">
      <c r="C558" s="50"/>
    </row>
    <row r="559">
      <c r="C559" s="50"/>
    </row>
    <row r="560">
      <c r="C560" s="50"/>
    </row>
    <row r="561">
      <c r="C561" s="50"/>
    </row>
    <row r="562">
      <c r="C562" s="50"/>
    </row>
    <row r="563">
      <c r="C563" s="50"/>
    </row>
    <row r="564">
      <c r="C564" s="50"/>
    </row>
    <row r="565">
      <c r="C565" s="50"/>
    </row>
    <row r="566">
      <c r="C566" s="50"/>
    </row>
    <row r="567">
      <c r="C567" s="50"/>
    </row>
    <row r="568">
      <c r="C568" s="50"/>
    </row>
    <row r="569">
      <c r="C569" s="50"/>
    </row>
    <row r="570">
      <c r="C570" s="50"/>
    </row>
    <row r="571">
      <c r="C571" s="50"/>
    </row>
    <row r="572">
      <c r="C572" s="50"/>
    </row>
    <row r="573">
      <c r="C573" s="50"/>
    </row>
    <row r="574">
      <c r="C574" s="50"/>
    </row>
    <row r="575">
      <c r="C575" s="50"/>
    </row>
    <row r="576">
      <c r="C576" s="50"/>
    </row>
    <row r="577">
      <c r="C577" s="50"/>
    </row>
    <row r="578">
      <c r="C578" s="50"/>
    </row>
    <row r="579">
      <c r="C579" s="50"/>
    </row>
    <row r="580">
      <c r="C580" s="50"/>
    </row>
    <row r="581">
      <c r="C581" s="50"/>
    </row>
    <row r="582">
      <c r="C582" s="50"/>
    </row>
    <row r="583">
      <c r="C583" s="50"/>
    </row>
    <row r="584">
      <c r="C584" s="50"/>
    </row>
    <row r="585">
      <c r="C585" s="50"/>
    </row>
    <row r="586">
      <c r="C586" s="50"/>
    </row>
    <row r="587">
      <c r="C587" s="50"/>
    </row>
    <row r="588">
      <c r="C588" s="50"/>
    </row>
    <row r="589">
      <c r="C589" s="50"/>
    </row>
    <row r="590">
      <c r="C590" s="50"/>
    </row>
    <row r="591">
      <c r="C591" s="50"/>
    </row>
    <row r="592">
      <c r="C592" s="50"/>
    </row>
    <row r="593">
      <c r="C593" s="50"/>
    </row>
    <row r="594">
      <c r="C594" s="50"/>
    </row>
    <row r="595">
      <c r="C595" s="50"/>
    </row>
    <row r="596">
      <c r="C596" s="50"/>
    </row>
    <row r="597">
      <c r="C597" s="50"/>
    </row>
    <row r="598">
      <c r="C598" s="50"/>
    </row>
    <row r="599">
      <c r="C599" s="50"/>
    </row>
    <row r="600">
      <c r="C600" s="50"/>
    </row>
    <row r="601">
      <c r="C601" s="50"/>
    </row>
    <row r="602">
      <c r="C602" s="50"/>
    </row>
    <row r="603">
      <c r="C603" s="50"/>
    </row>
    <row r="604">
      <c r="C604" s="50"/>
    </row>
    <row r="605">
      <c r="C605" s="50"/>
    </row>
    <row r="606">
      <c r="C606" s="50"/>
    </row>
    <row r="607">
      <c r="C607" s="50"/>
    </row>
    <row r="608">
      <c r="C608" s="50"/>
    </row>
    <row r="609">
      <c r="C609" s="50"/>
    </row>
    <row r="610">
      <c r="C610" s="50"/>
    </row>
    <row r="611">
      <c r="C611" s="50"/>
    </row>
    <row r="612">
      <c r="C612" s="50"/>
    </row>
    <row r="613">
      <c r="C613" s="50"/>
    </row>
    <row r="614">
      <c r="C614" s="50"/>
    </row>
    <row r="615">
      <c r="C615" s="50"/>
    </row>
    <row r="616">
      <c r="C616" s="50"/>
    </row>
    <row r="617">
      <c r="C617" s="50"/>
    </row>
    <row r="618">
      <c r="C618" s="50"/>
    </row>
    <row r="619">
      <c r="C619" s="50"/>
    </row>
    <row r="620">
      <c r="C620" s="50"/>
    </row>
    <row r="621">
      <c r="C621" s="50"/>
    </row>
    <row r="622">
      <c r="C622" s="50"/>
    </row>
    <row r="623">
      <c r="C623" s="50"/>
    </row>
    <row r="624">
      <c r="C624" s="50"/>
    </row>
    <row r="625">
      <c r="C625" s="50"/>
    </row>
    <row r="626">
      <c r="C626" s="50"/>
    </row>
    <row r="627">
      <c r="C627" s="50"/>
    </row>
    <row r="628">
      <c r="C628" s="50"/>
    </row>
    <row r="629">
      <c r="C629" s="50"/>
    </row>
    <row r="630">
      <c r="C630" s="50"/>
    </row>
    <row r="631">
      <c r="C631" s="50"/>
    </row>
    <row r="632">
      <c r="C632" s="50"/>
    </row>
    <row r="633">
      <c r="C633" s="50"/>
    </row>
    <row r="634">
      <c r="C634" s="50"/>
    </row>
    <row r="635">
      <c r="C635" s="50"/>
    </row>
    <row r="636">
      <c r="C636" s="50"/>
    </row>
    <row r="637">
      <c r="C637" s="50"/>
    </row>
    <row r="638">
      <c r="C638" s="50"/>
    </row>
    <row r="639">
      <c r="C639" s="50"/>
    </row>
    <row r="640">
      <c r="C640" s="50"/>
    </row>
    <row r="641">
      <c r="C641" s="50"/>
    </row>
    <row r="642">
      <c r="C642" s="50"/>
    </row>
    <row r="643">
      <c r="C643" s="50"/>
    </row>
    <row r="644">
      <c r="C644" s="50"/>
    </row>
    <row r="645">
      <c r="C645" s="50"/>
    </row>
    <row r="646">
      <c r="C646" s="50"/>
    </row>
    <row r="647">
      <c r="C647" s="50"/>
    </row>
    <row r="648">
      <c r="C648" s="50"/>
    </row>
    <row r="649">
      <c r="C649" s="50"/>
    </row>
    <row r="650">
      <c r="C650" s="50"/>
    </row>
    <row r="651">
      <c r="C651" s="50"/>
    </row>
    <row r="652">
      <c r="C652" s="50"/>
    </row>
    <row r="653">
      <c r="C653" s="50"/>
    </row>
    <row r="654">
      <c r="C654" s="50"/>
    </row>
    <row r="655">
      <c r="C655" s="50"/>
    </row>
    <row r="656">
      <c r="C656" s="50"/>
    </row>
    <row r="657">
      <c r="C657" s="50"/>
    </row>
    <row r="658">
      <c r="C658" s="50"/>
    </row>
    <row r="659">
      <c r="C659" s="50"/>
    </row>
    <row r="660">
      <c r="C660" s="50"/>
    </row>
    <row r="661">
      <c r="C661" s="50"/>
    </row>
    <row r="662">
      <c r="C662" s="50"/>
    </row>
    <row r="663">
      <c r="C663" s="50"/>
    </row>
    <row r="664">
      <c r="C664" s="50"/>
    </row>
    <row r="665">
      <c r="C665" s="50"/>
    </row>
    <row r="666">
      <c r="C666" s="50"/>
    </row>
    <row r="667">
      <c r="C667" s="50"/>
    </row>
    <row r="668">
      <c r="C668" s="50"/>
    </row>
    <row r="669">
      <c r="C669" s="50"/>
    </row>
    <row r="670">
      <c r="C670" s="50"/>
    </row>
    <row r="671">
      <c r="C671" s="50"/>
    </row>
    <row r="672">
      <c r="C672" s="50"/>
    </row>
    <row r="673">
      <c r="C673" s="50"/>
    </row>
    <row r="674">
      <c r="C674" s="50"/>
    </row>
    <row r="675">
      <c r="C675" s="50"/>
    </row>
    <row r="676">
      <c r="C676" s="50"/>
    </row>
    <row r="677">
      <c r="C677" s="50"/>
    </row>
    <row r="678">
      <c r="C678" s="50"/>
    </row>
    <row r="679">
      <c r="C679" s="50"/>
    </row>
    <row r="680">
      <c r="C680" s="50"/>
    </row>
    <row r="681">
      <c r="C681" s="50"/>
    </row>
    <row r="682">
      <c r="C682" s="50"/>
    </row>
    <row r="683">
      <c r="C683" s="50"/>
    </row>
    <row r="684">
      <c r="C684" s="50"/>
    </row>
    <row r="685">
      <c r="C685" s="50"/>
    </row>
    <row r="686">
      <c r="C686" s="50"/>
    </row>
    <row r="687">
      <c r="C687" s="50"/>
    </row>
    <row r="688">
      <c r="C688" s="50"/>
    </row>
    <row r="689">
      <c r="C689" s="50"/>
    </row>
    <row r="690">
      <c r="C690" s="50"/>
    </row>
    <row r="691">
      <c r="C691" s="50"/>
    </row>
    <row r="692">
      <c r="C692" s="50"/>
    </row>
    <row r="693">
      <c r="C693" s="50"/>
    </row>
    <row r="694">
      <c r="C694" s="50"/>
    </row>
    <row r="695">
      <c r="C695" s="50"/>
    </row>
    <row r="696">
      <c r="C696" s="50"/>
    </row>
    <row r="697">
      <c r="C697" s="50"/>
    </row>
    <row r="698">
      <c r="C698" s="50"/>
    </row>
    <row r="699">
      <c r="C699" s="50"/>
    </row>
    <row r="700">
      <c r="C700" s="50"/>
    </row>
    <row r="701">
      <c r="C701" s="50"/>
    </row>
    <row r="702">
      <c r="C702" s="50"/>
    </row>
    <row r="703">
      <c r="C703" s="50"/>
    </row>
    <row r="704">
      <c r="C704" s="50"/>
    </row>
    <row r="705">
      <c r="C705" s="50"/>
    </row>
    <row r="706">
      <c r="C706" s="50"/>
    </row>
    <row r="707">
      <c r="C707" s="50"/>
    </row>
    <row r="708">
      <c r="C708" s="50"/>
    </row>
    <row r="709">
      <c r="C709" s="50"/>
    </row>
    <row r="710">
      <c r="C710" s="50"/>
    </row>
    <row r="711">
      <c r="C711" s="50"/>
    </row>
    <row r="712">
      <c r="C712" s="50"/>
    </row>
    <row r="713">
      <c r="C713" s="50"/>
    </row>
    <row r="714">
      <c r="C714" s="50"/>
    </row>
    <row r="715">
      <c r="C715" s="50"/>
    </row>
    <row r="716">
      <c r="C716" s="50"/>
    </row>
    <row r="717">
      <c r="C717" s="50"/>
    </row>
    <row r="718">
      <c r="C718" s="50"/>
    </row>
    <row r="719">
      <c r="C719" s="50"/>
    </row>
    <row r="720">
      <c r="C720" s="50"/>
    </row>
    <row r="721">
      <c r="C721" s="50"/>
    </row>
    <row r="722">
      <c r="C722" s="50"/>
    </row>
    <row r="723">
      <c r="C723" s="50"/>
    </row>
    <row r="724">
      <c r="C724" s="50"/>
    </row>
    <row r="725">
      <c r="C725" s="50"/>
    </row>
    <row r="726">
      <c r="C726" s="50"/>
    </row>
    <row r="727">
      <c r="C727" s="50"/>
    </row>
    <row r="728">
      <c r="C728" s="50"/>
    </row>
    <row r="729">
      <c r="C729" s="50"/>
    </row>
    <row r="730">
      <c r="C730" s="50"/>
    </row>
    <row r="731">
      <c r="C731" s="50"/>
    </row>
    <row r="732">
      <c r="C732" s="50"/>
    </row>
    <row r="733">
      <c r="C733" s="50"/>
    </row>
    <row r="734">
      <c r="C734" s="50"/>
    </row>
    <row r="735">
      <c r="C735" s="50"/>
    </row>
    <row r="736">
      <c r="C736" s="50"/>
    </row>
    <row r="737">
      <c r="C737" s="50"/>
    </row>
    <row r="738">
      <c r="C738" s="50"/>
    </row>
    <row r="739">
      <c r="C739" s="50"/>
    </row>
    <row r="740">
      <c r="C740" s="50"/>
    </row>
    <row r="741">
      <c r="C741" s="50"/>
    </row>
    <row r="742">
      <c r="C742" s="50"/>
    </row>
    <row r="743">
      <c r="C743" s="50"/>
    </row>
    <row r="744">
      <c r="C744" s="50"/>
    </row>
    <row r="745">
      <c r="C745" s="50"/>
    </row>
    <row r="746">
      <c r="C746" s="50"/>
    </row>
    <row r="747">
      <c r="C747" s="50"/>
    </row>
    <row r="748">
      <c r="C748" s="50"/>
    </row>
    <row r="749">
      <c r="C749" s="50"/>
    </row>
    <row r="750">
      <c r="C750" s="50"/>
    </row>
    <row r="751">
      <c r="C751" s="50"/>
    </row>
    <row r="752">
      <c r="C752" s="50"/>
    </row>
    <row r="753">
      <c r="C753" s="50"/>
    </row>
    <row r="754">
      <c r="C754" s="50"/>
    </row>
    <row r="755">
      <c r="C755" s="50"/>
    </row>
    <row r="756">
      <c r="C756" s="50"/>
    </row>
    <row r="757">
      <c r="C757" s="50"/>
    </row>
    <row r="758">
      <c r="C758" s="50"/>
    </row>
    <row r="759">
      <c r="C759" s="50"/>
    </row>
    <row r="760">
      <c r="C760" s="50"/>
    </row>
    <row r="761">
      <c r="C761" s="50"/>
    </row>
    <row r="762">
      <c r="C762" s="50"/>
    </row>
    <row r="763">
      <c r="C763" s="50"/>
    </row>
    <row r="764">
      <c r="C764" s="50"/>
    </row>
    <row r="765">
      <c r="C765" s="50"/>
    </row>
    <row r="766">
      <c r="C766" s="50"/>
    </row>
    <row r="767">
      <c r="C767" s="50"/>
    </row>
    <row r="768">
      <c r="C768" s="50"/>
    </row>
    <row r="769">
      <c r="C769" s="50"/>
    </row>
    <row r="770">
      <c r="C770" s="50"/>
    </row>
    <row r="771">
      <c r="C771" s="50"/>
    </row>
    <row r="772">
      <c r="C772" s="50"/>
    </row>
    <row r="773">
      <c r="C773" s="50"/>
    </row>
    <row r="774">
      <c r="C774" s="50"/>
    </row>
    <row r="775">
      <c r="C775" s="50"/>
    </row>
    <row r="776">
      <c r="C776" s="50"/>
    </row>
    <row r="777">
      <c r="C777" s="50"/>
    </row>
    <row r="778">
      <c r="C778" s="50"/>
    </row>
    <row r="779">
      <c r="C779" s="50"/>
    </row>
    <row r="780">
      <c r="C780" s="50"/>
    </row>
    <row r="781">
      <c r="C781" s="50"/>
    </row>
    <row r="782">
      <c r="C782" s="50"/>
    </row>
    <row r="783">
      <c r="C783" s="50"/>
    </row>
    <row r="784">
      <c r="C784" s="50"/>
    </row>
    <row r="785">
      <c r="C785" s="50"/>
    </row>
    <row r="786">
      <c r="C786" s="50"/>
    </row>
    <row r="787">
      <c r="C787" s="50"/>
    </row>
    <row r="788">
      <c r="C788" s="50"/>
    </row>
    <row r="789">
      <c r="C789" s="50"/>
    </row>
    <row r="790">
      <c r="C790" s="50"/>
    </row>
    <row r="791">
      <c r="C791" s="50"/>
    </row>
    <row r="792">
      <c r="C792" s="50"/>
    </row>
    <row r="793">
      <c r="C793" s="50"/>
    </row>
    <row r="794">
      <c r="C794" s="50"/>
    </row>
    <row r="795">
      <c r="C795" s="50"/>
    </row>
    <row r="796">
      <c r="C796" s="50"/>
    </row>
    <row r="797">
      <c r="C797" s="50"/>
    </row>
    <row r="798">
      <c r="C798" s="50"/>
    </row>
    <row r="799">
      <c r="C799" s="50"/>
    </row>
    <row r="800">
      <c r="C800" s="50"/>
    </row>
    <row r="801">
      <c r="C801" s="50"/>
    </row>
    <row r="802">
      <c r="C802" s="50"/>
    </row>
    <row r="803">
      <c r="C803" s="50"/>
    </row>
    <row r="804">
      <c r="C804" s="50"/>
    </row>
    <row r="805">
      <c r="C805" s="50"/>
    </row>
    <row r="806">
      <c r="C806" s="50"/>
    </row>
    <row r="807">
      <c r="C807" s="50"/>
    </row>
    <row r="808">
      <c r="C808" s="50"/>
    </row>
    <row r="809">
      <c r="C809" s="50"/>
    </row>
    <row r="810">
      <c r="C810" s="50"/>
    </row>
    <row r="811">
      <c r="C811" s="50"/>
    </row>
    <row r="812">
      <c r="C812" s="50"/>
    </row>
    <row r="813">
      <c r="C813" s="50"/>
    </row>
    <row r="814">
      <c r="C814" s="50"/>
    </row>
    <row r="815">
      <c r="C815" s="50"/>
    </row>
    <row r="816">
      <c r="C816" s="50"/>
    </row>
    <row r="817">
      <c r="C817" s="50"/>
    </row>
    <row r="818">
      <c r="C818" s="50"/>
    </row>
    <row r="819">
      <c r="C819" s="50"/>
    </row>
    <row r="820">
      <c r="C820" s="50"/>
    </row>
    <row r="821">
      <c r="C821" s="50"/>
    </row>
    <row r="822">
      <c r="C822" s="50"/>
    </row>
    <row r="823">
      <c r="C823" s="50"/>
    </row>
    <row r="824">
      <c r="C824" s="50"/>
    </row>
    <row r="825">
      <c r="C825" s="50"/>
    </row>
    <row r="826">
      <c r="C826" s="50"/>
    </row>
    <row r="827">
      <c r="C827" s="50"/>
    </row>
    <row r="828">
      <c r="C828" s="50"/>
    </row>
    <row r="829">
      <c r="C829" s="50"/>
    </row>
    <row r="830">
      <c r="C830" s="50"/>
    </row>
    <row r="831">
      <c r="C831" s="50"/>
    </row>
    <row r="832">
      <c r="C832" s="50"/>
    </row>
    <row r="833">
      <c r="C833" s="50"/>
    </row>
    <row r="834">
      <c r="C834" s="50"/>
    </row>
    <row r="835">
      <c r="C835" s="50"/>
    </row>
    <row r="836">
      <c r="C836" s="50"/>
    </row>
    <row r="837">
      <c r="C837" s="50"/>
    </row>
    <row r="838">
      <c r="C838" s="50"/>
    </row>
    <row r="839">
      <c r="C839" s="50"/>
    </row>
    <row r="840">
      <c r="C840" s="50"/>
    </row>
    <row r="841">
      <c r="C841" s="50"/>
    </row>
    <row r="842">
      <c r="C842" s="50"/>
    </row>
    <row r="843">
      <c r="C843" s="50"/>
    </row>
    <row r="844">
      <c r="C844" s="50"/>
    </row>
    <row r="845">
      <c r="C845" s="50"/>
    </row>
    <row r="846">
      <c r="C846" s="50"/>
    </row>
    <row r="847">
      <c r="C847" s="50"/>
    </row>
    <row r="848">
      <c r="C848" s="50"/>
    </row>
    <row r="849">
      <c r="C849" s="50"/>
    </row>
    <row r="850">
      <c r="C850" s="50"/>
    </row>
    <row r="851">
      <c r="C851" s="50"/>
    </row>
    <row r="852">
      <c r="C852" s="50"/>
    </row>
    <row r="853">
      <c r="C853" s="50"/>
    </row>
    <row r="854">
      <c r="C854" s="50"/>
    </row>
    <row r="855">
      <c r="C855" s="50"/>
    </row>
    <row r="856">
      <c r="C856" s="50"/>
    </row>
    <row r="857">
      <c r="C857" s="50"/>
    </row>
    <row r="858">
      <c r="C858" s="50"/>
    </row>
    <row r="859">
      <c r="C859" s="50"/>
    </row>
    <row r="860">
      <c r="C860" s="50"/>
    </row>
    <row r="861">
      <c r="C861" s="50"/>
    </row>
    <row r="862">
      <c r="C862" s="50"/>
    </row>
    <row r="863">
      <c r="C863" s="50"/>
    </row>
    <row r="864">
      <c r="C864" s="50"/>
    </row>
    <row r="865">
      <c r="C865" s="50"/>
    </row>
    <row r="866">
      <c r="C866" s="50"/>
    </row>
    <row r="867">
      <c r="C867" s="50"/>
    </row>
    <row r="868">
      <c r="C868" s="50"/>
    </row>
    <row r="869">
      <c r="C869" s="50"/>
    </row>
    <row r="870">
      <c r="C870" s="50"/>
    </row>
    <row r="871">
      <c r="C871" s="50"/>
    </row>
    <row r="872">
      <c r="C872" s="50"/>
    </row>
    <row r="873">
      <c r="C873" s="50"/>
    </row>
    <row r="874">
      <c r="C874" s="50"/>
    </row>
    <row r="875">
      <c r="C875" s="50"/>
    </row>
    <row r="876">
      <c r="C876" s="50"/>
    </row>
    <row r="877">
      <c r="C877" s="50"/>
    </row>
    <row r="878">
      <c r="C878" s="50"/>
    </row>
    <row r="879">
      <c r="C879" s="50"/>
    </row>
    <row r="880">
      <c r="C880" s="50"/>
    </row>
    <row r="881">
      <c r="C881" s="50"/>
    </row>
    <row r="882">
      <c r="C882" s="50"/>
    </row>
    <row r="883">
      <c r="C883" s="50"/>
    </row>
    <row r="884">
      <c r="C884" s="50"/>
    </row>
    <row r="885">
      <c r="C885" s="50"/>
    </row>
    <row r="886">
      <c r="C886" s="50"/>
    </row>
    <row r="887">
      <c r="C887" s="50"/>
    </row>
    <row r="888">
      <c r="C888" s="50"/>
    </row>
    <row r="889">
      <c r="C889" s="50"/>
    </row>
    <row r="890">
      <c r="C890" s="50"/>
    </row>
    <row r="891">
      <c r="C891" s="50"/>
    </row>
    <row r="892">
      <c r="C892" s="50"/>
    </row>
    <row r="893">
      <c r="C893" s="50"/>
    </row>
    <row r="894">
      <c r="C894" s="50"/>
    </row>
    <row r="895">
      <c r="C895" s="50"/>
    </row>
    <row r="896">
      <c r="C896" s="50"/>
    </row>
    <row r="897">
      <c r="C897" s="50"/>
    </row>
    <row r="898">
      <c r="C898" s="50"/>
    </row>
    <row r="899">
      <c r="C899" s="50"/>
    </row>
    <row r="900">
      <c r="C900" s="50"/>
    </row>
    <row r="901">
      <c r="C901" s="50"/>
    </row>
    <row r="902">
      <c r="C902" s="50"/>
    </row>
    <row r="903">
      <c r="C903" s="50"/>
    </row>
    <row r="904">
      <c r="C904" s="50"/>
    </row>
    <row r="905">
      <c r="C905" s="50"/>
    </row>
    <row r="906">
      <c r="C906" s="50"/>
    </row>
    <row r="907">
      <c r="C907" s="50"/>
    </row>
    <row r="908">
      <c r="C908" s="50"/>
    </row>
    <row r="909">
      <c r="C909" s="50"/>
    </row>
    <row r="910">
      <c r="C910" s="50"/>
    </row>
    <row r="911">
      <c r="C911" s="50"/>
    </row>
    <row r="912">
      <c r="C912" s="50"/>
    </row>
    <row r="913">
      <c r="C913" s="50"/>
    </row>
    <row r="914">
      <c r="C914" s="50"/>
    </row>
    <row r="915">
      <c r="C915" s="50"/>
    </row>
    <row r="916">
      <c r="C916" s="50"/>
    </row>
    <row r="917">
      <c r="C917" s="50"/>
    </row>
    <row r="918">
      <c r="C918" s="50"/>
    </row>
    <row r="919">
      <c r="C919" s="50"/>
    </row>
    <row r="920">
      <c r="C920" s="50"/>
    </row>
    <row r="921">
      <c r="C921" s="50"/>
    </row>
    <row r="922">
      <c r="C922" s="50"/>
    </row>
    <row r="923">
      <c r="C923" s="50"/>
    </row>
    <row r="924">
      <c r="C924" s="50"/>
    </row>
    <row r="925">
      <c r="C925" s="50"/>
    </row>
    <row r="926">
      <c r="C926" s="50"/>
    </row>
    <row r="927">
      <c r="C927" s="50"/>
    </row>
    <row r="928">
      <c r="C928" s="50"/>
    </row>
    <row r="929">
      <c r="C929" s="50"/>
    </row>
    <row r="930">
      <c r="C930" s="50"/>
    </row>
    <row r="931">
      <c r="C931" s="50"/>
    </row>
    <row r="932">
      <c r="C932" s="50"/>
    </row>
    <row r="933">
      <c r="C933" s="50"/>
    </row>
    <row r="934">
      <c r="C934" s="50"/>
    </row>
    <row r="935">
      <c r="C935" s="50"/>
    </row>
    <row r="936">
      <c r="C936" s="50"/>
    </row>
    <row r="937">
      <c r="C937" s="50"/>
    </row>
    <row r="938">
      <c r="C938" s="50"/>
    </row>
    <row r="939">
      <c r="C939" s="50"/>
    </row>
    <row r="940">
      <c r="C940" s="50"/>
    </row>
    <row r="941">
      <c r="C941" s="50"/>
    </row>
    <row r="942">
      <c r="C942" s="50"/>
    </row>
    <row r="943">
      <c r="C943" s="50"/>
    </row>
    <row r="944">
      <c r="C944" s="50"/>
    </row>
    <row r="945">
      <c r="C945" s="50"/>
    </row>
    <row r="946">
      <c r="C946" s="50"/>
    </row>
    <row r="947">
      <c r="C947" s="50"/>
    </row>
    <row r="948">
      <c r="C948" s="50"/>
    </row>
    <row r="949">
      <c r="C949" s="50"/>
    </row>
    <row r="950">
      <c r="C950" s="50"/>
    </row>
    <row r="951">
      <c r="C951" s="50"/>
    </row>
    <row r="952">
      <c r="C952" s="50"/>
    </row>
    <row r="953">
      <c r="C953" s="50"/>
    </row>
    <row r="954">
      <c r="C954" s="50"/>
    </row>
    <row r="955">
      <c r="C955" s="50"/>
    </row>
    <row r="956">
      <c r="C956" s="50"/>
    </row>
    <row r="957">
      <c r="C957" s="50"/>
    </row>
    <row r="958">
      <c r="C958" s="50"/>
    </row>
    <row r="959">
      <c r="C959" s="50"/>
    </row>
    <row r="960">
      <c r="C960" s="50"/>
    </row>
    <row r="961">
      <c r="C961" s="50"/>
    </row>
    <row r="962">
      <c r="C962" s="50"/>
    </row>
    <row r="963">
      <c r="C963" s="50"/>
    </row>
    <row r="964">
      <c r="C964" s="50"/>
    </row>
    <row r="965">
      <c r="C965" s="50"/>
    </row>
    <row r="966">
      <c r="C966" s="50"/>
    </row>
    <row r="967">
      <c r="C967" s="50"/>
    </row>
    <row r="968">
      <c r="C968" s="50"/>
    </row>
    <row r="969">
      <c r="C969" s="50"/>
    </row>
    <row r="970">
      <c r="C970" s="50"/>
    </row>
    <row r="971">
      <c r="C971" s="50"/>
    </row>
    <row r="972">
      <c r="C972" s="50"/>
    </row>
    <row r="973">
      <c r="C973" s="50"/>
    </row>
    <row r="974">
      <c r="C974" s="50"/>
    </row>
    <row r="975">
      <c r="C975" s="50"/>
    </row>
    <row r="976">
      <c r="C976" s="50"/>
    </row>
    <row r="977">
      <c r="C977" s="50"/>
    </row>
    <row r="978">
      <c r="C978" s="50"/>
    </row>
    <row r="979">
      <c r="C979" s="50"/>
    </row>
    <row r="980">
      <c r="C980" s="50"/>
    </row>
  </sheetData>
  <conditionalFormatting sqref="A1:J1">
    <cfRule type="expression" dxfId="5" priority="1">
      <formula>AND($B1&lt;&gt;"", $K1="")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sheetData>
    <row r="7">
      <c r="E7" s="43" t="s">
        <v>533</v>
      </c>
    </row>
  </sheetData>
  <mergeCells count="1">
    <mergeCell ref="E7:N3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4" max="14" width="24.38"/>
  </cols>
  <sheetData>
    <row r="1" ht="15.0" customHeight="1">
      <c r="A1" s="42" t="s">
        <v>1</v>
      </c>
      <c r="B1" s="42" t="s">
        <v>2</v>
      </c>
      <c r="C1" s="44" t="s">
        <v>3</v>
      </c>
      <c r="D1" s="42" t="s">
        <v>535</v>
      </c>
      <c r="E1" s="42" t="s">
        <v>536</v>
      </c>
      <c r="F1" s="42" t="s">
        <v>22</v>
      </c>
      <c r="G1" s="42" t="s">
        <v>537</v>
      </c>
      <c r="H1" s="42" t="s">
        <v>538</v>
      </c>
      <c r="I1" s="42" t="s">
        <v>9</v>
      </c>
      <c r="J1" s="45" t="s">
        <v>25</v>
      </c>
      <c r="K1" s="45" t="s">
        <v>26</v>
      </c>
      <c r="L1" s="45" t="s">
        <v>27</v>
      </c>
      <c r="M1" s="45" t="s">
        <v>28</v>
      </c>
      <c r="N1" s="45" t="s">
        <v>539</v>
      </c>
      <c r="O1" s="42" t="s">
        <v>540</v>
      </c>
      <c r="P1" s="42" t="s">
        <v>541</v>
      </c>
      <c r="Q1" s="48"/>
      <c r="R1" s="47" t="s">
        <v>17</v>
      </c>
      <c r="S1" s="47" t="s">
        <v>19</v>
      </c>
      <c r="T1" s="48"/>
      <c r="U1" s="48"/>
      <c r="V1" s="48"/>
      <c r="W1" s="48"/>
      <c r="X1" s="48"/>
      <c r="Y1" s="48"/>
      <c r="Z1" s="48"/>
      <c r="AA1" s="48"/>
      <c r="AB1" s="48"/>
      <c r="AC1" s="48"/>
    </row>
    <row r="2">
      <c r="A2" s="56"/>
      <c r="B2" s="56" t="s">
        <v>554</v>
      </c>
      <c r="C2" s="57"/>
      <c r="D2" s="58">
        <v>1.0</v>
      </c>
      <c r="E2" s="59" t="s">
        <v>555</v>
      </c>
      <c r="F2" s="57"/>
      <c r="G2" s="60">
        <v>45753.0</v>
      </c>
      <c r="J2" s="61" t="s">
        <v>38</v>
      </c>
      <c r="K2" s="62" t="s">
        <v>556</v>
      </c>
      <c r="L2" s="63">
        <v>158.32</v>
      </c>
      <c r="M2" s="64">
        <v>587086.0</v>
      </c>
      <c r="N2" s="65"/>
      <c r="P2" s="66" t="s">
        <v>43</v>
      </c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</row>
    <row r="3">
      <c r="A3" s="56"/>
      <c r="B3" s="56" t="s">
        <v>459</v>
      </c>
      <c r="C3" s="57"/>
      <c r="D3" s="58">
        <v>1.0</v>
      </c>
      <c r="E3" s="59" t="s">
        <v>557</v>
      </c>
      <c r="F3" s="57"/>
      <c r="G3" s="60">
        <v>45753.0</v>
      </c>
      <c r="J3" s="61" t="s">
        <v>38</v>
      </c>
      <c r="K3" s="62" t="s">
        <v>556</v>
      </c>
      <c r="L3" s="63">
        <v>80.99</v>
      </c>
      <c r="M3" s="64">
        <v>587086.0</v>
      </c>
      <c r="N3" s="65"/>
      <c r="P3" s="66" t="s">
        <v>43</v>
      </c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</row>
    <row r="4">
      <c r="A4" s="56"/>
      <c r="B4" s="56" t="s">
        <v>76</v>
      </c>
      <c r="C4" s="57"/>
      <c r="D4" s="58">
        <v>1.0</v>
      </c>
      <c r="E4" s="59" t="s">
        <v>558</v>
      </c>
      <c r="F4" s="57"/>
      <c r="G4" s="60">
        <v>45753.0</v>
      </c>
      <c r="J4" s="61" t="s">
        <v>38</v>
      </c>
      <c r="K4" s="62" t="s">
        <v>556</v>
      </c>
      <c r="L4" s="63">
        <v>104.03</v>
      </c>
      <c r="M4" s="64">
        <v>591450.0</v>
      </c>
      <c r="N4" s="65"/>
      <c r="P4" s="66" t="s">
        <v>43</v>
      </c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</row>
    <row r="5">
      <c r="A5" s="56"/>
      <c r="B5" s="56" t="s">
        <v>53</v>
      </c>
      <c r="C5" s="57"/>
      <c r="D5" s="58">
        <v>1.0</v>
      </c>
      <c r="E5" s="59" t="s">
        <v>559</v>
      </c>
      <c r="F5" s="57"/>
      <c r="G5" s="60">
        <v>45753.0</v>
      </c>
      <c r="J5" s="61" t="s">
        <v>38</v>
      </c>
      <c r="K5" s="62" t="s">
        <v>556</v>
      </c>
      <c r="L5" s="63">
        <v>114.0</v>
      </c>
      <c r="M5" s="64">
        <v>587086.0</v>
      </c>
      <c r="N5" s="65"/>
      <c r="P5" s="6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</row>
    <row r="6">
      <c r="A6" s="56"/>
      <c r="B6" s="56" t="s">
        <v>560</v>
      </c>
      <c r="C6" s="57"/>
      <c r="D6" s="58">
        <v>1.0</v>
      </c>
      <c r="E6" s="59" t="s">
        <v>561</v>
      </c>
      <c r="F6" s="57"/>
      <c r="G6" s="60">
        <v>45753.0</v>
      </c>
      <c r="J6" s="61" t="s">
        <v>38</v>
      </c>
      <c r="K6" s="62" t="s">
        <v>556</v>
      </c>
      <c r="L6" s="63">
        <v>47.45</v>
      </c>
      <c r="M6" s="64">
        <v>587086.0</v>
      </c>
      <c r="N6" s="65"/>
      <c r="P6" s="66" t="s">
        <v>43</v>
      </c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</row>
    <row r="7">
      <c r="A7" s="56"/>
      <c r="B7" s="56" t="s">
        <v>53</v>
      </c>
      <c r="C7" s="57"/>
      <c r="D7" s="58">
        <v>10.0</v>
      </c>
      <c r="E7" s="59" t="s">
        <v>564</v>
      </c>
      <c r="F7" s="57"/>
      <c r="G7" s="60">
        <v>45753.0</v>
      </c>
      <c r="J7" s="61" t="s">
        <v>38</v>
      </c>
      <c r="K7" s="62" t="s">
        <v>556</v>
      </c>
      <c r="L7" s="63">
        <v>8.12</v>
      </c>
      <c r="M7" s="64">
        <v>587086.0</v>
      </c>
      <c r="N7" s="65"/>
      <c r="P7" s="6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</row>
    <row r="8">
      <c r="A8" s="56"/>
      <c r="B8" s="56" t="s">
        <v>53</v>
      </c>
      <c r="C8" s="57"/>
      <c r="D8" s="58">
        <v>1.0</v>
      </c>
      <c r="E8" s="59" t="s">
        <v>566</v>
      </c>
      <c r="F8" s="57"/>
      <c r="G8" s="60">
        <v>45753.0</v>
      </c>
      <c r="J8" s="61" t="s">
        <v>38</v>
      </c>
      <c r="K8" s="62" t="s">
        <v>556</v>
      </c>
      <c r="L8" s="63">
        <v>10.78</v>
      </c>
      <c r="M8" s="64">
        <v>587086.0</v>
      </c>
      <c r="N8" s="65"/>
      <c r="P8" s="6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</row>
    <row r="9">
      <c r="A9" s="56"/>
      <c r="B9" s="56" t="s">
        <v>53</v>
      </c>
      <c r="C9" s="57"/>
      <c r="D9" s="58">
        <v>5.0</v>
      </c>
      <c r="E9" s="59" t="s">
        <v>567</v>
      </c>
      <c r="F9" s="57"/>
      <c r="G9" s="60">
        <v>45753.0</v>
      </c>
      <c r="J9" s="61" t="s">
        <v>38</v>
      </c>
      <c r="K9" s="62" t="s">
        <v>556</v>
      </c>
      <c r="L9" s="63">
        <v>1.0</v>
      </c>
      <c r="M9" s="64">
        <v>587086.0</v>
      </c>
      <c r="N9" s="65"/>
      <c r="P9" s="6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</row>
    <row r="10">
      <c r="A10" s="56"/>
      <c r="B10" s="56" t="s">
        <v>53</v>
      </c>
      <c r="C10" s="57"/>
      <c r="D10" s="58">
        <v>5.0</v>
      </c>
      <c r="E10" s="59" t="s">
        <v>568</v>
      </c>
      <c r="F10" s="57"/>
      <c r="G10" s="60">
        <v>45753.0</v>
      </c>
      <c r="J10" s="61" t="s">
        <v>38</v>
      </c>
      <c r="K10" s="62" t="s">
        <v>556</v>
      </c>
      <c r="L10" s="63">
        <v>1.0</v>
      </c>
      <c r="M10" s="64">
        <v>587086.0</v>
      </c>
      <c r="N10" s="65"/>
      <c r="P10" s="6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</row>
    <row r="11">
      <c r="A11" s="56"/>
      <c r="B11" s="56" t="s">
        <v>53</v>
      </c>
      <c r="C11" s="57"/>
      <c r="D11" s="58">
        <v>5.0</v>
      </c>
      <c r="E11" s="59" t="s">
        <v>569</v>
      </c>
      <c r="F11" s="57"/>
      <c r="G11" s="60">
        <v>45753.0</v>
      </c>
      <c r="J11" s="61" t="s">
        <v>38</v>
      </c>
      <c r="K11" s="62" t="s">
        <v>556</v>
      </c>
      <c r="L11" s="63">
        <v>1.0</v>
      </c>
      <c r="M11" s="64">
        <v>587086.0</v>
      </c>
      <c r="N11" s="65"/>
      <c r="P11" s="6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</row>
    <row r="12">
      <c r="A12" s="56"/>
      <c r="B12" s="56" t="s">
        <v>53</v>
      </c>
      <c r="C12" s="57"/>
      <c r="D12" s="58">
        <v>5.0</v>
      </c>
      <c r="E12" s="59" t="s">
        <v>571</v>
      </c>
      <c r="F12" s="57"/>
      <c r="G12" s="60">
        <v>45753.0</v>
      </c>
      <c r="J12" s="61" t="s">
        <v>38</v>
      </c>
      <c r="K12" s="62" t="s">
        <v>556</v>
      </c>
      <c r="L12" s="63">
        <v>1.0</v>
      </c>
      <c r="M12" s="64">
        <v>587086.0</v>
      </c>
      <c r="N12" s="65"/>
      <c r="P12" s="6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</row>
    <row r="13">
      <c r="A13" s="56"/>
      <c r="B13" s="56" t="s">
        <v>53</v>
      </c>
      <c r="C13" s="57"/>
      <c r="D13" s="58">
        <v>3.0</v>
      </c>
      <c r="E13" s="59" t="s">
        <v>572</v>
      </c>
      <c r="F13" s="57"/>
      <c r="G13" s="60">
        <v>45753.0</v>
      </c>
      <c r="J13" s="61" t="s">
        <v>38</v>
      </c>
      <c r="K13" s="62" t="s">
        <v>556</v>
      </c>
      <c r="L13" s="63">
        <v>4.51</v>
      </c>
      <c r="M13" s="64">
        <v>587086.0</v>
      </c>
      <c r="N13" s="65"/>
      <c r="P13" s="6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</row>
    <row r="14">
      <c r="A14" s="56"/>
      <c r="B14" s="56" t="s">
        <v>573</v>
      </c>
      <c r="C14" s="57"/>
      <c r="D14" s="58">
        <v>1.0</v>
      </c>
      <c r="E14" s="59" t="s">
        <v>574</v>
      </c>
      <c r="F14" s="57"/>
      <c r="G14" s="60">
        <v>45754.0</v>
      </c>
      <c r="J14" s="61" t="s">
        <v>38</v>
      </c>
      <c r="K14" s="62" t="s">
        <v>575</v>
      </c>
      <c r="L14" s="63">
        <v>152.81</v>
      </c>
      <c r="M14" s="64">
        <v>587084.0</v>
      </c>
      <c r="N14" s="65"/>
      <c r="P14" s="66" t="s">
        <v>43</v>
      </c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</row>
    <row r="15">
      <c r="A15" s="56"/>
      <c r="B15" s="56" t="s">
        <v>576</v>
      </c>
      <c r="C15" s="57"/>
      <c r="D15" s="58">
        <v>1.0</v>
      </c>
      <c r="E15" s="59" t="s">
        <v>577</v>
      </c>
      <c r="F15" s="57"/>
      <c r="G15" s="60">
        <v>45754.0</v>
      </c>
      <c r="J15" s="61" t="s">
        <v>38</v>
      </c>
      <c r="K15" s="62" t="s">
        <v>575</v>
      </c>
      <c r="L15" s="63">
        <v>114.0</v>
      </c>
      <c r="M15" s="64">
        <v>587084.0</v>
      </c>
      <c r="N15" s="65"/>
      <c r="P15" s="66" t="s">
        <v>43</v>
      </c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</row>
    <row r="16">
      <c r="A16" s="56"/>
      <c r="B16" s="56" t="s">
        <v>578</v>
      </c>
      <c r="C16" s="57"/>
      <c r="D16" s="58">
        <v>1.0</v>
      </c>
      <c r="E16" s="59" t="s">
        <v>579</v>
      </c>
      <c r="F16" s="57"/>
      <c r="G16" s="60">
        <v>45754.0</v>
      </c>
      <c r="J16" s="61" t="s">
        <v>38</v>
      </c>
      <c r="K16" s="62" t="s">
        <v>575</v>
      </c>
      <c r="L16" s="63">
        <v>89.54</v>
      </c>
      <c r="M16" s="64">
        <v>587084.0</v>
      </c>
      <c r="N16" s="65"/>
      <c r="P16" s="66" t="s">
        <v>43</v>
      </c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</row>
    <row r="17">
      <c r="A17" s="56"/>
      <c r="B17" s="56" t="s">
        <v>580</v>
      </c>
      <c r="C17" s="57"/>
      <c r="D17" s="58">
        <v>1.0</v>
      </c>
      <c r="E17" s="59" t="s">
        <v>581</v>
      </c>
      <c r="F17" s="57"/>
      <c r="G17" s="60">
        <v>45760.0</v>
      </c>
      <c r="J17" s="61" t="s">
        <v>38</v>
      </c>
      <c r="K17" s="62" t="s">
        <v>582</v>
      </c>
      <c r="L17" s="63">
        <v>76.81</v>
      </c>
      <c r="M17" s="64">
        <v>588863.0</v>
      </c>
      <c r="N17" s="65"/>
      <c r="P17" s="6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</row>
    <row r="18">
      <c r="A18" s="56"/>
      <c r="B18" s="56" t="s">
        <v>53</v>
      </c>
      <c r="C18" s="57"/>
      <c r="D18" s="58">
        <v>1.0</v>
      </c>
      <c r="E18" s="59" t="s">
        <v>583</v>
      </c>
      <c r="F18" s="57"/>
      <c r="G18" s="60">
        <v>45760.0</v>
      </c>
      <c r="J18" s="61" t="s">
        <v>38</v>
      </c>
      <c r="K18" s="62" t="s">
        <v>582</v>
      </c>
      <c r="L18" s="63">
        <v>85.45</v>
      </c>
      <c r="M18" s="64">
        <v>588863.0</v>
      </c>
      <c r="N18" s="65"/>
      <c r="P18" s="6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</row>
    <row r="19">
      <c r="A19" s="56"/>
      <c r="B19" s="56" t="s">
        <v>53</v>
      </c>
      <c r="C19" s="57"/>
      <c r="D19" s="58">
        <v>1.0</v>
      </c>
      <c r="E19" s="59" t="s">
        <v>583</v>
      </c>
      <c r="F19" s="57"/>
      <c r="G19" s="60">
        <v>45760.0</v>
      </c>
      <c r="J19" s="61" t="s">
        <v>38</v>
      </c>
      <c r="K19" s="62" t="s">
        <v>582</v>
      </c>
      <c r="L19" s="63">
        <v>85.45</v>
      </c>
      <c r="M19" s="64">
        <v>588863.0</v>
      </c>
      <c r="N19" s="65"/>
      <c r="P19" s="6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</row>
    <row r="20">
      <c r="A20" s="56"/>
      <c r="B20" s="56" t="s">
        <v>584</v>
      </c>
      <c r="C20" s="62" t="s">
        <v>585</v>
      </c>
      <c r="D20" s="58">
        <v>1.0</v>
      </c>
      <c r="E20" s="59" t="s">
        <v>583</v>
      </c>
      <c r="F20" s="57"/>
      <c r="G20" s="60">
        <v>45760.0</v>
      </c>
      <c r="J20" s="61" t="s">
        <v>38</v>
      </c>
      <c r="K20" s="62" t="s">
        <v>582</v>
      </c>
      <c r="L20" s="63">
        <v>85.45</v>
      </c>
      <c r="M20" s="64">
        <v>588863.0</v>
      </c>
      <c r="N20" s="65"/>
      <c r="P20" s="6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</row>
    <row r="21">
      <c r="A21" s="56"/>
      <c r="B21" s="56" t="s">
        <v>53</v>
      </c>
      <c r="C21" s="57"/>
      <c r="D21" s="58">
        <v>1.0</v>
      </c>
      <c r="E21" s="59" t="s">
        <v>583</v>
      </c>
      <c r="F21" s="57"/>
      <c r="G21" s="60">
        <v>45760.0</v>
      </c>
      <c r="J21" s="61" t="s">
        <v>38</v>
      </c>
      <c r="K21" s="62" t="s">
        <v>582</v>
      </c>
      <c r="L21" s="63">
        <v>85.45</v>
      </c>
      <c r="M21" s="64">
        <v>588863.0</v>
      </c>
      <c r="N21" s="57"/>
      <c r="P21" s="6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</row>
    <row r="22">
      <c r="A22" s="56"/>
      <c r="B22" s="56" t="s">
        <v>587</v>
      </c>
      <c r="C22" s="62" t="s">
        <v>588</v>
      </c>
      <c r="D22" s="58">
        <v>1.0</v>
      </c>
      <c r="E22" s="59" t="s">
        <v>589</v>
      </c>
      <c r="F22" s="62" t="s">
        <v>590</v>
      </c>
      <c r="G22" s="60">
        <v>45760.0</v>
      </c>
      <c r="J22" s="61" t="s">
        <v>38</v>
      </c>
      <c r="K22" s="62" t="s">
        <v>582</v>
      </c>
      <c r="L22" s="63">
        <v>37.43</v>
      </c>
      <c r="M22" s="64">
        <v>590034.0</v>
      </c>
      <c r="N22" s="57"/>
      <c r="P22" s="66" t="s">
        <v>43</v>
      </c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</row>
    <row r="23">
      <c r="A23" s="56"/>
      <c r="B23" s="56" t="s">
        <v>53</v>
      </c>
      <c r="C23" s="57"/>
      <c r="D23" s="58">
        <v>10.0</v>
      </c>
      <c r="E23" s="59" t="s">
        <v>592</v>
      </c>
      <c r="F23" s="57"/>
      <c r="G23" s="60">
        <v>45760.0</v>
      </c>
      <c r="J23" s="61" t="s">
        <v>38</v>
      </c>
      <c r="K23" s="62" t="s">
        <v>582</v>
      </c>
      <c r="L23" s="63">
        <v>3.47</v>
      </c>
      <c r="M23" s="64">
        <v>588863.0</v>
      </c>
      <c r="N23" s="65"/>
      <c r="P23" s="6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</row>
    <row r="24">
      <c r="A24" s="56"/>
      <c r="B24" s="56" t="s">
        <v>53</v>
      </c>
      <c r="C24" s="57"/>
      <c r="D24" s="58">
        <v>10.0</v>
      </c>
      <c r="E24" s="59" t="s">
        <v>593</v>
      </c>
      <c r="F24" s="57"/>
      <c r="G24" s="60">
        <v>45760.0</v>
      </c>
      <c r="J24" s="61" t="s">
        <v>38</v>
      </c>
      <c r="K24" s="62" t="s">
        <v>582</v>
      </c>
      <c r="L24" s="63">
        <v>3.47</v>
      </c>
      <c r="M24" s="64">
        <v>588863.0</v>
      </c>
      <c r="N24" s="65"/>
      <c r="P24" s="6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</row>
    <row r="25">
      <c r="A25" s="56"/>
      <c r="B25" s="56" t="s">
        <v>594</v>
      </c>
      <c r="C25" s="57"/>
      <c r="D25" s="58">
        <v>1.0</v>
      </c>
      <c r="E25" s="59" t="s">
        <v>595</v>
      </c>
      <c r="F25" s="57"/>
      <c r="G25" s="60">
        <v>45760.0</v>
      </c>
      <c r="J25" s="61" t="s">
        <v>38</v>
      </c>
      <c r="K25" s="62" t="s">
        <v>582</v>
      </c>
      <c r="L25" s="63">
        <v>62.75</v>
      </c>
      <c r="M25" s="64">
        <v>588863.0</v>
      </c>
      <c r="N25" s="65"/>
      <c r="P25" s="66" t="s">
        <v>43</v>
      </c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</row>
    <row r="26">
      <c r="A26" s="56"/>
      <c r="B26" s="56" t="s">
        <v>596</v>
      </c>
      <c r="C26" s="57"/>
      <c r="D26" s="58">
        <v>1.0</v>
      </c>
      <c r="E26" s="59" t="s">
        <v>597</v>
      </c>
      <c r="F26" s="57"/>
      <c r="G26" s="60">
        <v>45760.0</v>
      </c>
      <c r="J26" s="61" t="s">
        <v>38</v>
      </c>
      <c r="K26" s="62" t="s">
        <v>582</v>
      </c>
      <c r="L26" s="63">
        <v>156.51</v>
      </c>
      <c r="M26" s="64">
        <v>588863.0</v>
      </c>
      <c r="N26" s="57"/>
      <c r="P26" s="66" t="s">
        <v>43</v>
      </c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</row>
    <row r="27">
      <c r="A27" s="56"/>
      <c r="B27" s="56" t="s">
        <v>596</v>
      </c>
      <c r="C27" s="57"/>
      <c r="D27" s="58">
        <v>1.0</v>
      </c>
      <c r="E27" s="59" t="s">
        <v>599</v>
      </c>
      <c r="F27" s="57"/>
      <c r="G27" s="60">
        <v>45760.0</v>
      </c>
      <c r="J27" s="61" t="s">
        <v>38</v>
      </c>
      <c r="K27" s="62" t="s">
        <v>582</v>
      </c>
      <c r="L27" s="63">
        <v>50.11</v>
      </c>
      <c r="M27" s="64">
        <v>588863.0</v>
      </c>
      <c r="N27" s="57"/>
      <c r="P27" s="66" t="s">
        <v>43</v>
      </c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</row>
    <row r="28">
      <c r="A28" s="56"/>
      <c r="B28" s="56" t="s">
        <v>53</v>
      </c>
      <c r="C28" s="57"/>
      <c r="D28" s="58">
        <v>5.0</v>
      </c>
      <c r="E28" s="59" t="s">
        <v>600</v>
      </c>
      <c r="F28" s="57"/>
      <c r="G28" s="60">
        <v>45760.0</v>
      </c>
      <c r="J28" s="61" t="s">
        <v>38</v>
      </c>
      <c r="K28" s="62" t="s">
        <v>582</v>
      </c>
      <c r="L28" s="63">
        <v>1.0</v>
      </c>
      <c r="M28" s="64">
        <v>588863.0</v>
      </c>
      <c r="N28" s="57"/>
      <c r="P28" s="6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</row>
    <row r="29">
      <c r="A29" s="56"/>
      <c r="B29" s="56" t="s">
        <v>53</v>
      </c>
      <c r="C29" s="57"/>
      <c r="D29" s="58">
        <v>5.0</v>
      </c>
      <c r="E29" s="59" t="s">
        <v>601</v>
      </c>
      <c r="F29" s="57"/>
      <c r="G29" s="60">
        <v>45760.0</v>
      </c>
      <c r="J29" s="61" t="s">
        <v>38</v>
      </c>
      <c r="K29" s="62" t="s">
        <v>582</v>
      </c>
      <c r="L29" s="63">
        <v>1.0</v>
      </c>
      <c r="M29" s="64">
        <v>588863.0</v>
      </c>
      <c r="N29" s="57"/>
      <c r="P29" s="6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</row>
    <row r="30">
      <c r="A30" s="56"/>
      <c r="B30" s="56" t="s">
        <v>53</v>
      </c>
      <c r="C30" s="57"/>
      <c r="D30" s="58">
        <v>5.0</v>
      </c>
      <c r="E30" s="59" t="s">
        <v>568</v>
      </c>
      <c r="F30" s="57"/>
      <c r="G30" s="60">
        <v>45760.0</v>
      </c>
      <c r="J30" s="61" t="s">
        <v>38</v>
      </c>
      <c r="K30" s="62" t="s">
        <v>582</v>
      </c>
      <c r="L30" s="63">
        <v>1.0</v>
      </c>
      <c r="M30" s="64">
        <v>590034.0</v>
      </c>
      <c r="N30" s="65"/>
      <c r="P30" s="6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</row>
    <row r="31">
      <c r="A31" s="56"/>
      <c r="B31" s="56" t="s">
        <v>53</v>
      </c>
      <c r="C31" s="57"/>
      <c r="D31" s="58">
        <v>5.0</v>
      </c>
      <c r="E31" s="59" t="s">
        <v>602</v>
      </c>
      <c r="F31" s="57"/>
      <c r="G31" s="60">
        <v>45760.0</v>
      </c>
      <c r="J31" s="61" t="s">
        <v>38</v>
      </c>
      <c r="K31" s="62" t="s">
        <v>582</v>
      </c>
      <c r="L31" s="63">
        <v>1.0</v>
      </c>
      <c r="M31" s="64">
        <v>588863.0</v>
      </c>
      <c r="N31" s="65"/>
      <c r="P31" s="6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</row>
    <row r="32">
      <c r="A32" s="56"/>
      <c r="B32" s="56" t="s">
        <v>53</v>
      </c>
      <c r="C32" s="57"/>
      <c r="D32" s="58">
        <v>5.0</v>
      </c>
      <c r="E32" s="59" t="s">
        <v>603</v>
      </c>
      <c r="F32" s="57"/>
      <c r="G32" s="60">
        <v>45760.0</v>
      </c>
      <c r="J32" s="61" t="s">
        <v>38</v>
      </c>
      <c r="K32" s="62" t="s">
        <v>582</v>
      </c>
      <c r="L32" s="63">
        <v>1.0</v>
      </c>
      <c r="M32" s="62">
        <v>588863.0</v>
      </c>
      <c r="N32" s="57"/>
      <c r="P32" s="6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</row>
    <row r="33">
      <c r="A33" s="56"/>
      <c r="B33" s="56" t="s">
        <v>53</v>
      </c>
      <c r="C33" s="57"/>
      <c r="D33" s="58">
        <v>5.0</v>
      </c>
      <c r="E33" s="59" t="s">
        <v>604</v>
      </c>
      <c r="F33" s="57"/>
      <c r="G33" s="60">
        <v>45760.0</v>
      </c>
      <c r="J33" s="61" t="s">
        <v>38</v>
      </c>
      <c r="K33" s="62" t="s">
        <v>582</v>
      </c>
      <c r="L33" s="63">
        <v>1.0</v>
      </c>
      <c r="M33" s="62">
        <v>588863.0</v>
      </c>
      <c r="N33" s="57"/>
      <c r="P33" s="6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</row>
    <row r="34">
      <c r="A34" s="56"/>
      <c r="B34" s="56" t="s">
        <v>53</v>
      </c>
      <c r="C34" s="57"/>
      <c r="D34" s="58">
        <v>5.0</v>
      </c>
      <c r="E34" s="59" t="s">
        <v>606</v>
      </c>
      <c r="F34" s="57"/>
      <c r="G34" s="60">
        <v>45760.0</v>
      </c>
      <c r="J34" s="61" t="s">
        <v>38</v>
      </c>
      <c r="K34" s="62" t="s">
        <v>582</v>
      </c>
      <c r="L34" s="63">
        <v>6.03</v>
      </c>
      <c r="M34" s="62">
        <v>588863.0</v>
      </c>
      <c r="N34" s="57"/>
      <c r="P34" s="6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</row>
    <row r="35">
      <c r="A35" s="56"/>
      <c r="B35" s="56" t="s">
        <v>53</v>
      </c>
      <c r="C35" s="57"/>
      <c r="D35" s="58">
        <v>1.0</v>
      </c>
      <c r="E35" s="59" t="s">
        <v>607</v>
      </c>
      <c r="F35" s="57"/>
      <c r="G35" s="60">
        <v>45767.0</v>
      </c>
      <c r="J35" s="61" t="s">
        <v>38</v>
      </c>
      <c r="K35" s="62" t="s">
        <v>608</v>
      </c>
      <c r="L35" s="63">
        <v>75.95</v>
      </c>
      <c r="M35" s="62">
        <v>590694.0</v>
      </c>
      <c r="N35" s="62" t="s">
        <v>609</v>
      </c>
      <c r="P35" s="6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</row>
    <row r="36">
      <c r="A36" s="56"/>
      <c r="B36" s="56" t="s">
        <v>53</v>
      </c>
      <c r="C36" s="57"/>
      <c r="D36" s="58">
        <v>1.0</v>
      </c>
      <c r="E36" s="59" t="s">
        <v>610</v>
      </c>
      <c r="F36" s="57"/>
      <c r="G36" s="60">
        <v>45767.0</v>
      </c>
      <c r="J36" s="61" t="s">
        <v>38</v>
      </c>
      <c r="K36" s="62" t="s">
        <v>608</v>
      </c>
      <c r="L36" s="63">
        <v>10.4</v>
      </c>
      <c r="M36" s="62">
        <v>590694.0</v>
      </c>
      <c r="N36" s="57"/>
      <c r="P36" s="6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</row>
    <row r="37">
      <c r="A37" s="56"/>
      <c r="B37" s="56" t="s">
        <v>53</v>
      </c>
      <c r="C37" s="57"/>
      <c r="D37" s="58">
        <v>1.0</v>
      </c>
      <c r="E37" s="59" t="s">
        <v>611</v>
      </c>
      <c r="F37" s="57"/>
      <c r="G37" s="60">
        <v>45767.0</v>
      </c>
      <c r="J37" s="61" t="s">
        <v>38</v>
      </c>
      <c r="K37" s="62" t="s">
        <v>608</v>
      </c>
      <c r="L37" s="63">
        <v>10.4</v>
      </c>
      <c r="M37" s="62">
        <v>590694.0</v>
      </c>
      <c r="N37" s="57"/>
      <c r="P37" s="6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</row>
    <row r="38">
      <c r="A38" s="56"/>
      <c r="B38" s="56" t="s">
        <v>53</v>
      </c>
      <c r="C38" s="57"/>
      <c r="D38" s="58">
        <v>1.0</v>
      </c>
      <c r="E38" s="59" t="s">
        <v>612</v>
      </c>
      <c r="F38" s="57"/>
      <c r="G38" s="60">
        <v>45767.0</v>
      </c>
      <c r="J38" s="61" t="s">
        <v>38</v>
      </c>
      <c r="K38" s="62" t="s">
        <v>608</v>
      </c>
      <c r="L38" s="63">
        <v>14.11</v>
      </c>
      <c r="M38" s="62">
        <v>590694.0</v>
      </c>
      <c r="N38" s="57"/>
      <c r="P38" s="6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</row>
    <row r="39">
      <c r="A39" s="56"/>
      <c r="B39" s="56" t="s">
        <v>53</v>
      </c>
      <c r="C39" s="57"/>
      <c r="D39" s="58">
        <v>1.0</v>
      </c>
      <c r="E39" s="59" t="s">
        <v>614</v>
      </c>
      <c r="F39" s="57"/>
      <c r="G39" s="60">
        <v>45767.0</v>
      </c>
      <c r="J39" s="61" t="s">
        <v>38</v>
      </c>
      <c r="K39" s="62" t="s">
        <v>608</v>
      </c>
      <c r="L39" s="63">
        <v>159.46</v>
      </c>
      <c r="M39" s="62">
        <v>590694.0</v>
      </c>
      <c r="N39" s="62" t="s">
        <v>615</v>
      </c>
      <c r="P39" s="6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</row>
    <row r="40">
      <c r="A40" s="56"/>
      <c r="B40" s="56" t="s">
        <v>53</v>
      </c>
      <c r="C40" s="57"/>
      <c r="D40" s="58">
        <v>1.0</v>
      </c>
      <c r="E40" s="59" t="s">
        <v>616</v>
      </c>
      <c r="F40" s="57"/>
      <c r="G40" s="60">
        <v>45767.0</v>
      </c>
      <c r="J40" s="61" t="s">
        <v>38</v>
      </c>
      <c r="K40" s="62" t="s">
        <v>608</v>
      </c>
      <c r="L40" s="63">
        <v>142.83</v>
      </c>
      <c r="M40" s="62">
        <v>590694.0</v>
      </c>
      <c r="N40" s="57"/>
      <c r="P40" s="6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</row>
    <row r="41">
      <c r="A41" s="56"/>
      <c r="B41" s="56" t="s">
        <v>53</v>
      </c>
      <c r="C41" s="57"/>
      <c r="D41" s="58">
        <v>1.0</v>
      </c>
      <c r="E41" s="59" t="s">
        <v>617</v>
      </c>
      <c r="F41" s="57"/>
      <c r="G41" s="60">
        <v>45767.0</v>
      </c>
      <c r="J41" s="61" t="s">
        <v>38</v>
      </c>
      <c r="K41" s="62" t="s">
        <v>608</v>
      </c>
      <c r="L41" s="63">
        <v>146.78</v>
      </c>
      <c r="M41" s="62">
        <v>590694.0</v>
      </c>
      <c r="N41" s="57"/>
      <c r="P41" s="6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</row>
    <row r="42">
      <c r="A42" s="56"/>
      <c r="B42" s="56" t="s">
        <v>53</v>
      </c>
      <c r="C42" s="57"/>
      <c r="D42" s="58">
        <v>1.0</v>
      </c>
      <c r="E42" s="59" t="s">
        <v>618</v>
      </c>
      <c r="F42" s="57"/>
      <c r="G42" s="60">
        <v>45767.0</v>
      </c>
      <c r="J42" s="61" t="s">
        <v>38</v>
      </c>
      <c r="K42" s="62" t="s">
        <v>608</v>
      </c>
      <c r="L42" s="63">
        <v>104.03</v>
      </c>
      <c r="M42" s="62">
        <v>590694.0</v>
      </c>
      <c r="N42" s="57"/>
      <c r="P42" s="6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</row>
    <row r="43">
      <c r="A43" s="56"/>
      <c r="B43" s="56" t="s">
        <v>53</v>
      </c>
      <c r="C43" s="57"/>
      <c r="D43" s="58">
        <v>1.0</v>
      </c>
      <c r="E43" s="59" t="s">
        <v>558</v>
      </c>
      <c r="F43" s="57"/>
      <c r="G43" s="60">
        <v>45767.0</v>
      </c>
      <c r="J43" s="61" t="s">
        <v>38</v>
      </c>
      <c r="K43" s="62" t="s">
        <v>608</v>
      </c>
      <c r="L43" s="63">
        <v>104.03</v>
      </c>
      <c r="M43" s="62">
        <v>590694.0</v>
      </c>
      <c r="N43" s="57"/>
      <c r="P43" s="6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</row>
    <row r="44">
      <c r="A44" s="56"/>
      <c r="B44" s="56" t="s">
        <v>53</v>
      </c>
      <c r="C44" s="57"/>
      <c r="D44" s="58">
        <v>1.0</v>
      </c>
      <c r="E44" s="59" t="s">
        <v>558</v>
      </c>
      <c r="F44" s="57"/>
      <c r="G44" s="60">
        <v>45767.0</v>
      </c>
      <c r="J44" s="61" t="s">
        <v>38</v>
      </c>
      <c r="K44" s="62" t="s">
        <v>608</v>
      </c>
      <c r="L44" s="63">
        <v>104.03</v>
      </c>
      <c r="M44" s="62">
        <v>590694.0</v>
      </c>
      <c r="N44" s="57"/>
      <c r="P44" s="6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</row>
    <row r="45">
      <c r="A45" s="56"/>
      <c r="B45" s="56" t="s">
        <v>619</v>
      </c>
      <c r="C45" s="62" t="s">
        <v>620</v>
      </c>
      <c r="D45" s="58">
        <v>1.0</v>
      </c>
      <c r="E45" s="59" t="s">
        <v>621</v>
      </c>
      <c r="F45" s="57"/>
      <c r="G45" s="60">
        <v>45767.0</v>
      </c>
      <c r="J45" s="61" t="s">
        <v>38</v>
      </c>
      <c r="K45" s="62" t="s">
        <v>608</v>
      </c>
      <c r="L45" s="63">
        <v>124.88</v>
      </c>
      <c r="M45" s="62">
        <v>590694.0</v>
      </c>
      <c r="N45" s="57"/>
      <c r="P45" s="66" t="s">
        <v>43</v>
      </c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</row>
    <row r="46">
      <c r="A46" s="56"/>
      <c r="B46" s="56" t="s">
        <v>76</v>
      </c>
      <c r="C46" s="57"/>
      <c r="D46" s="58">
        <v>1.0</v>
      </c>
      <c r="E46" s="59" t="s">
        <v>574</v>
      </c>
      <c r="F46" s="57"/>
      <c r="G46" s="60">
        <v>45767.0</v>
      </c>
      <c r="J46" s="61" t="s">
        <v>38</v>
      </c>
      <c r="K46" s="62" t="s">
        <v>608</v>
      </c>
      <c r="L46" s="63">
        <v>152.81</v>
      </c>
      <c r="M46" s="62">
        <v>590694.0</v>
      </c>
      <c r="N46" s="62" t="s">
        <v>623</v>
      </c>
      <c r="P46" s="66" t="s">
        <v>43</v>
      </c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</row>
    <row r="47">
      <c r="A47" s="56"/>
      <c r="B47" s="56" t="s">
        <v>53</v>
      </c>
      <c r="C47" s="57"/>
      <c r="D47" s="58">
        <v>1.0</v>
      </c>
      <c r="E47" s="59" t="s">
        <v>624</v>
      </c>
      <c r="F47" s="57"/>
      <c r="G47" s="60">
        <v>45767.0</v>
      </c>
      <c r="J47" s="61" t="s">
        <v>38</v>
      </c>
      <c r="K47" s="62" t="s">
        <v>608</v>
      </c>
      <c r="L47" s="63">
        <v>1.19</v>
      </c>
      <c r="M47" s="62">
        <v>590694.0</v>
      </c>
      <c r="N47" s="57"/>
      <c r="P47" s="6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</row>
    <row r="48">
      <c r="A48" s="56"/>
      <c r="B48" s="56" t="s">
        <v>625</v>
      </c>
      <c r="C48" s="57"/>
      <c r="D48" s="58">
        <v>1.0</v>
      </c>
      <c r="E48" s="59" t="s">
        <v>626</v>
      </c>
      <c r="F48" s="57"/>
      <c r="G48" s="60">
        <v>45769.0</v>
      </c>
      <c r="J48" s="61" t="s">
        <v>347</v>
      </c>
      <c r="K48" s="62" t="s">
        <v>628</v>
      </c>
      <c r="L48" s="63">
        <v>95.4</v>
      </c>
      <c r="M48" s="62">
        <v>7374259.0</v>
      </c>
      <c r="N48" s="57"/>
      <c r="P48" s="6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</row>
    <row r="49">
      <c r="A49" s="56"/>
      <c r="B49" s="56" t="s">
        <v>53</v>
      </c>
      <c r="C49" s="57"/>
      <c r="D49" s="58">
        <v>1.0</v>
      </c>
      <c r="E49" s="59" t="s">
        <v>629</v>
      </c>
      <c r="F49" s="57"/>
      <c r="G49" s="60">
        <v>45770.0</v>
      </c>
      <c r="J49" s="61" t="s">
        <v>38</v>
      </c>
      <c r="K49" s="62" t="s">
        <v>630</v>
      </c>
      <c r="L49" s="63">
        <v>12.82</v>
      </c>
      <c r="M49" s="62">
        <v>591537.0</v>
      </c>
      <c r="N49" s="57"/>
      <c r="P49" s="6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</row>
    <row r="50">
      <c r="A50" s="56"/>
      <c r="B50" s="56" t="s">
        <v>631</v>
      </c>
      <c r="C50" s="57"/>
      <c r="D50" s="58">
        <v>1.0</v>
      </c>
      <c r="E50" s="59" t="s">
        <v>566</v>
      </c>
      <c r="F50" s="57"/>
      <c r="G50" s="60">
        <v>45770.0</v>
      </c>
      <c r="J50" s="61" t="s">
        <v>38</v>
      </c>
      <c r="K50" s="62" t="s">
        <v>630</v>
      </c>
      <c r="L50" s="63">
        <v>10.78</v>
      </c>
      <c r="M50" s="62">
        <v>591537.0</v>
      </c>
      <c r="N50" s="57"/>
      <c r="P50" s="6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</row>
    <row r="51">
      <c r="A51" s="56"/>
      <c r="B51" s="56" t="s">
        <v>53</v>
      </c>
      <c r="C51" s="57"/>
      <c r="D51" s="58">
        <v>2.0</v>
      </c>
      <c r="E51" s="59" t="s">
        <v>632</v>
      </c>
      <c r="F51" s="57"/>
      <c r="G51" s="60">
        <v>45770.0</v>
      </c>
      <c r="J51" s="61" t="s">
        <v>38</v>
      </c>
      <c r="K51" s="62" t="s">
        <v>630</v>
      </c>
      <c r="L51" s="63">
        <v>8.98</v>
      </c>
      <c r="M51" s="62">
        <v>591537.0</v>
      </c>
      <c r="N51" s="57"/>
      <c r="P51" s="6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</row>
    <row r="52">
      <c r="A52" s="56"/>
      <c r="B52" s="56" t="s">
        <v>633</v>
      </c>
      <c r="C52" s="57"/>
      <c r="D52" s="58">
        <v>1.0</v>
      </c>
      <c r="E52" s="59" t="s">
        <v>635</v>
      </c>
      <c r="F52" s="57"/>
      <c r="G52" s="60">
        <v>45770.0</v>
      </c>
      <c r="J52" s="61" t="s">
        <v>38</v>
      </c>
      <c r="K52" s="62" t="s">
        <v>630</v>
      </c>
      <c r="L52" s="63">
        <v>85.45</v>
      </c>
      <c r="M52" s="62">
        <v>591537.0</v>
      </c>
      <c r="N52" s="57"/>
      <c r="P52" s="66" t="s">
        <v>43</v>
      </c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</row>
    <row r="53">
      <c r="A53" s="56"/>
      <c r="B53" s="56" t="s">
        <v>53</v>
      </c>
      <c r="C53" s="57"/>
      <c r="D53" s="58">
        <v>1.0</v>
      </c>
      <c r="E53" s="59" t="s">
        <v>636</v>
      </c>
      <c r="F53" s="57"/>
      <c r="G53" s="60">
        <v>45770.0</v>
      </c>
      <c r="J53" s="61" t="s">
        <v>38</v>
      </c>
      <c r="K53" s="62" t="s">
        <v>630</v>
      </c>
      <c r="L53" s="68">
        <v>130.63</v>
      </c>
      <c r="M53" s="62">
        <v>591537.0</v>
      </c>
      <c r="N53" s="57"/>
      <c r="P53" s="6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</row>
    <row r="54">
      <c r="A54" s="56"/>
      <c r="B54" s="56" t="s">
        <v>53</v>
      </c>
      <c r="C54" s="57"/>
      <c r="D54" s="58">
        <v>1.0</v>
      </c>
      <c r="E54" s="59" t="s">
        <v>637</v>
      </c>
      <c r="F54" s="57"/>
      <c r="G54" s="60">
        <v>45770.0</v>
      </c>
      <c r="J54" s="61" t="s">
        <v>38</v>
      </c>
      <c r="K54" s="62" t="s">
        <v>630</v>
      </c>
      <c r="L54" s="68">
        <v>113.91</v>
      </c>
      <c r="M54" s="62">
        <v>591537.0</v>
      </c>
      <c r="N54" s="57"/>
      <c r="P54" s="6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</row>
    <row r="55">
      <c r="A55" s="56"/>
      <c r="B55" s="56" t="s">
        <v>625</v>
      </c>
      <c r="C55" s="57"/>
      <c r="D55" s="62">
        <v>1.0</v>
      </c>
      <c r="E55" s="59" t="s">
        <v>639</v>
      </c>
      <c r="F55" s="57"/>
      <c r="G55" s="60">
        <v>45770.0</v>
      </c>
      <c r="J55" s="61" t="s">
        <v>38</v>
      </c>
      <c r="K55" s="62" t="s">
        <v>630</v>
      </c>
      <c r="L55" s="68">
        <v>50.11</v>
      </c>
      <c r="M55" s="62">
        <v>591537.0</v>
      </c>
      <c r="N55" s="57"/>
      <c r="P55" s="66" t="s">
        <v>43</v>
      </c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</row>
    <row r="56">
      <c r="A56" s="56"/>
      <c r="B56" s="56" t="s">
        <v>625</v>
      </c>
      <c r="C56" s="57"/>
      <c r="D56" s="58">
        <v>1.0</v>
      </c>
      <c r="E56" s="59" t="s">
        <v>640</v>
      </c>
      <c r="F56" s="57"/>
      <c r="G56" s="60">
        <v>45770.0</v>
      </c>
      <c r="J56" s="61" t="s">
        <v>38</v>
      </c>
      <c r="K56" s="62" t="s">
        <v>630</v>
      </c>
      <c r="L56" s="68">
        <v>50.11</v>
      </c>
      <c r="M56" s="62">
        <v>591537.0</v>
      </c>
      <c r="N56" s="57"/>
      <c r="P56" s="66" t="s">
        <v>43</v>
      </c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</row>
    <row r="57">
      <c r="A57" s="56"/>
      <c r="B57" s="56" t="s">
        <v>641</v>
      </c>
      <c r="C57" s="57"/>
      <c r="D57" s="58">
        <v>1.0</v>
      </c>
      <c r="E57" s="59" t="s">
        <v>642</v>
      </c>
      <c r="F57" s="57"/>
      <c r="G57" s="60">
        <v>45770.0</v>
      </c>
      <c r="J57" s="61" t="s">
        <v>38</v>
      </c>
      <c r="K57" s="62" t="s">
        <v>630</v>
      </c>
      <c r="L57" s="68">
        <v>113.91</v>
      </c>
      <c r="M57" s="62">
        <v>593677.0</v>
      </c>
      <c r="N57" s="57"/>
      <c r="P57" s="6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</row>
    <row r="58">
      <c r="A58" s="56"/>
      <c r="B58" s="56" t="s">
        <v>53</v>
      </c>
      <c r="C58" s="57"/>
      <c r="D58" s="58">
        <v>5.0</v>
      </c>
      <c r="E58" s="59" t="s">
        <v>643</v>
      </c>
      <c r="F58" s="57"/>
      <c r="G58" s="60">
        <v>45770.0</v>
      </c>
      <c r="J58" s="61" t="s">
        <v>38</v>
      </c>
      <c r="K58" s="62" t="s">
        <v>630</v>
      </c>
      <c r="L58" s="68">
        <v>3.04</v>
      </c>
      <c r="M58" s="62">
        <v>591851.0</v>
      </c>
      <c r="N58" s="57"/>
      <c r="P58" s="6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</row>
    <row r="59">
      <c r="A59" s="56"/>
      <c r="B59" s="56" t="s">
        <v>53</v>
      </c>
      <c r="C59" s="57"/>
      <c r="D59" s="58">
        <v>2.0</v>
      </c>
      <c r="E59" s="59" t="s">
        <v>644</v>
      </c>
      <c r="F59" s="57"/>
      <c r="G59" s="60">
        <v>45775.0</v>
      </c>
      <c r="J59" s="61" t="s">
        <v>38</v>
      </c>
      <c r="K59" s="62" t="s">
        <v>646</v>
      </c>
      <c r="L59" s="68">
        <v>15.2</v>
      </c>
      <c r="M59" s="62" t="s">
        <v>462</v>
      </c>
      <c r="N59" s="62" t="s">
        <v>647</v>
      </c>
      <c r="P59" s="6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</row>
    <row r="60">
      <c r="A60" s="56"/>
      <c r="B60" s="56" t="s">
        <v>53</v>
      </c>
      <c r="C60" s="57"/>
      <c r="D60" s="58">
        <v>3.0</v>
      </c>
      <c r="E60" s="59" t="s">
        <v>330</v>
      </c>
      <c r="F60" s="57"/>
      <c r="G60" s="60">
        <v>45775.0</v>
      </c>
      <c r="J60" s="61" t="s">
        <v>38</v>
      </c>
      <c r="K60" s="62" t="s">
        <v>646</v>
      </c>
      <c r="L60" s="68">
        <v>2.38</v>
      </c>
      <c r="M60" s="62">
        <v>592274.0</v>
      </c>
      <c r="N60" s="57"/>
      <c r="P60" s="6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</row>
    <row r="61">
      <c r="A61" s="56"/>
      <c r="B61" s="56" t="s">
        <v>53</v>
      </c>
      <c r="C61" s="57"/>
      <c r="D61" s="58">
        <v>2.0</v>
      </c>
      <c r="E61" s="59" t="s">
        <v>648</v>
      </c>
      <c r="F61" s="57"/>
      <c r="G61" s="60">
        <v>45775.0</v>
      </c>
      <c r="J61" s="61" t="s">
        <v>38</v>
      </c>
      <c r="K61" s="62" t="s">
        <v>646</v>
      </c>
      <c r="L61" s="68">
        <v>5.18</v>
      </c>
      <c r="M61" s="62">
        <v>592274.0</v>
      </c>
      <c r="N61" s="57"/>
      <c r="P61" s="6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</row>
    <row r="62">
      <c r="A62" s="56"/>
      <c r="B62" s="56" t="s">
        <v>53</v>
      </c>
      <c r="C62" s="57"/>
      <c r="D62" s="58">
        <v>5.0</v>
      </c>
      <c r="E62" s="59" t="s">
        <v>649</v>
      </c>
      <c r="F62" s="57"/>
      <c r="G62" s="60">
        <v>45775.0</v>
      </c>
      <c r="J62" s="61" t="s">
        <v>38</v>
      </c>
      <c r="K62" s="62" t="s">
        <v>646</v>
      </c>
      <c r="L62" s="68">
        <v>1.0</v>
      </c>
      <c r="M62" s="62">
        <v>592274.0</v>
      </c>
      <c r="N62" s="57"/>
      <c r="P62" s="6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</row>
    <row r="63">
      <c r="A63" s="56"/>
      <c r="B63" s="56" t="s">
        <v>53</v>
      </c>
      <c r="C63" s="57"/>
      <c r="D63" s="58">
        <v>5.0</v>
      </c>
      <c r="E63" s="59" t="s">
        <v>650</v>
      </c>
      <c r="F63" s="57"/>
      <c r="G63" s="60">
        <v>45775.0</v>
      </c>
      <c r="J63" s="61" t="s">
        <v>38</v>
      </c>
      <c r="K63" s="62" t="s">
        <v>646</v>
      </c>
      <c r="L63" s="68">
        <v>1.0</v>
      </c>
      <c r="M63" s="62">
        <v>592274.0</v>
      </c>
      <c r="N63" s="57"/>
      <c r="P63" s="6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</row>
    <row r="64">
      <c r="A64" s="56"/>
      <c r="B64" s="56" t="s">
        <v>53</v>
      </c>
      <c r="C64" s="57"/>
      <c r="D64" s="58">
        <v>5.0</v>
      </c>
      <c r="E64" s="59" t="s">
        <v>652</v>
      </c>
      <c r="F64" s="57"/>
      <c r="G64" s="60">
        <v>45775.0</v>
      </c>
      <c r="J64" s="61" t="s">
        <v>38</v>
      </c>
      <c r="K64" s="62" t="s">
        <v>646</v>
      </c>
      <c r="L64" s="68">
        <v>1.0</v>
      </c>
      <c r="M64" s="62">
        <v>592274.0</v>
      </c>
      <c r="N64" s="57"/>
      <c r="P64" s="6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</row>
    <row r="65">
      <c r="A65" s="56"/>
      <c r="B65" s="56" t="s">
        <v>53</v>
      </c>
      <c r="C65" s="57"/>
      <c r="D65" s="58">
        <v>5.0</v>
      </c>
      <c r="E65" s="59" t="s">
        <v>654</v>
      </c>
      <c r="F65" s="57"/>
      <c r="G65" s="60">
        <v>45775.0</v>
      </c>
      <c r="J65" s="61" t="s">
        <v>38</v>
      </c>
      <c r="K65" s="62" t="s">
        <v>646</v>
      </c>
      <c r="L65" s="68">
        <v>1.0</v>
      </c>
      <c r="M65" s="62">
        <v>592274.0</v>
      </c>
      <c r="N65" s="57"/>
      <c r="P65" s="6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</row>
    <row r="66">
      <c r="A66" s="56"/>
      <c r="B66" s="56" t="s">
        <v>53</v>
      </c>
      <c r="C66" s="57"/>
      <c r="D66" s="58">
        <v>5.0</v>
      </c>
      <c r="E66" s="59" t="s">
        <v>655</v>
      </c>
      <c r="F66" s="57"/>
      <c r="G66" s="60">
        <v>45775.0</v>
      </c>
      <c r="J66" s="61" t="s">
        <v>38</v>
      </c>
      <c r="K66" s="62" t="s">
        <v>646</v>
      </c>
      <c r="L66" s="68">
        <v>1.0</v>
      </c>
      <c r="M66" s="62">
        <v>592274.0</v>
      </c>
      <c r="N66" s="57"/>
      <c r="P66" s="6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</row>
    <row r="67">
      <c r="A67" s="56"/>
      <c r="B67" s="56" t="s">
        <v>53</v>
      </c>
      <c r="C67" s="57"/>
      <c r="D67" s="58">
        <v>5.0</v>
      </c>
      <c r="E67" s="59" t="s">
        <v>656</v>
      </c>
      <c r="F67" s="57"/>
      <c r="G67" s="60">
        <v>45775.0</v>
      </c>
      <c r="J67" s="61" t="s">
        <v>38</v>
      </c>
      <c r="K67" s="62" t="s">
        <v>646</v>
      </c>
      <c r="L67" s="68">
        <v>1.0</v>
      </c>
      <c r="M67" s="62">
        <v>592274.0</v>
      </c>
      <c r="N67" s="57"/>
      <c r="P67" s="6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</row>
    <row r="68">
      <c r="A68" s="56"/>
      <c r="B68" s="56" t="s">
        <v>53</v>
      </c>
      <c r="C68" s="57"/>
      <c r="D68" s="58">
        <v>5.0</v>
      </c>
      <c r="E68" s="59" t="s">
        <v>657</v>
      </c>
      <c r="F68" s="57"/>
      <c r="G68" s="60">
        <v>45775.0</v>
      </c>
      <c r="J68" s="61" t="s">
        <v>38</v>
      </c>
      <c r="K68" s="62" t="s">
        <v>646</v>
      </c>
      <c r="L68" s="68">
        <v>1.0</v>
      </c>
      <c r="M68" s="62">
        <v>592274.0</v>
      </c>
      <c r="N68" s="57"/>
      <c r="P68" s="6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</row>
    <row r="69">
      <c r="A69" s="56"/>
      <c r="B69" s="56" t="s">
        <v>53</v>
      </c>
      <c r="C69" s="57"/>
      <c r="D69" s="58">
        <v>5.0</v>
      </c>
      <c r="E69" s="59" t="s">
        <v>68</v>
      </c>
      <c r="F69" s="57"/>
      <c r="G69" s="60">
        <v>45775.0</v>
      </c>
      <c r="J69" s="61" t="s">
        <v>38</v>
      </c>
      <c r="K69" s="62" t="s">
        <v>646</v>
      </c>
      <c r="L69" s="68">
        <v>1.0</v>
      </c>
      <c r="M69" s="62">
        <v>592274.0</v>
      </c>
      <c r="N69" s="57"/>
      <c r="P69" s="6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</row>
    <row r="70">
      <c r="A70" s="56"/>
      <c r="B70" s="56" t="s">
        <v>53</v>
      </c>
      <c r="C70" s="57"/>
      <c r="D70" s="58">
        <v>5.0</v>
      </c>
      <c r="E70" s="59" t="s">
        <v>571</v>
      </c>
      <c r="F70" s="57"/>
      <c r="G70" s="60">
        <v>45775.0</v>
      </c>
      <c r="J70" s="61" t="s">
        <v>38</v>
      </c>
      <c r="K70" s="62" t="s">
        <v>646</v>
      </c>
      <c r="L70" s="68">
        <v>1.0</v>
      </c>
      <c r="M70" s="62">
        <v>592274.0</v>
      </c>
      <c r="N70" s="57"/>
      <c r="P70" s="6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</row>
    <row r="71">
      <c r="A71" s="56"/>
      <c r="B71" s="56" t="s">
        <v>53</v>
      </c>
      <c r="C71" s="57"/>
      <c r="D71" s="58">
        <v>5.0</v>
      </c>
      <c r="E71" s="59" t="s">
        <v>658</v>
      </c>
      <c r="F71" s="57"/>
      <c r="G71" s="60">
        <v>45775.0</v>
      </c>
      <c r="J71" s="61" t="s">
        <v>38</v>
      </c>
      <c r="K71" s="62" t="s">
        <v>646</v>
      </c>
      <c r="L71" s="68">
        <v>1.0</v>
      </c>
      <c r="M71" s="62">
        <v>592274.0</v>
      </c>
      <c r="N71" s="57"/>
      <c r="P71" s="6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</row>
    <row r="72">
      <c r="A72" s="56"/>
      <c r="B72" s="56" t="s">
        <v>53</v>
      </c>
      <c r="C72" s="57"/>
      <c r="D72" s="58">
        <v>5.0</v>
      </c>
      <c r="E72" s="59" t="s">
        <v>659</v>
      </c>
      <c r="F72" s="57"/>
      <c r="G72" s="60">
        <v>45775.0</v>
      </c>
      <c r="J72" s="61" t="s">
        <v>38</v>
      </c>
      <c r="K72" s="62" t="s">
        <v>646</v>
      </c>
      <c r="L72" s="68">
        <v>1.0</v>
      </c>
      <c r="M72" s="62">
        <v>592274.0</v>
      </c>
      <c r="N72" s="57"/>
      <c r="P72" s="6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</row>
    <row r="73">
      <c r="A73" s="56"/>
      <c r="B73" s="56" t="s">
        <v>53</v>
      </c>
      <c r="C73" s="57"/>
      <c r="D73" s="58">
        <v>3.0</v>
      </c>
      <c r="E73" s="59" t="s">
        <v>660</v>
      </c>
      <c r="F73" s="57"/>
      <c r="G73" s="60">
        <v>45775.0</v>
      </c>
      <c r="J73" s="61" t="s">
        <v>38</v>
      </c>
      <c r="K73" s="62" t="s">
        <v>646</v>
      </c>
      <c r="L73" s="68">
        <v>1.19</v>
      </c>
      <c r="M73" s="62">
        <v>592274.0</v>
      </c>
      <c r="N73" s="57"/>
      <c r="P73" s="6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</row>
    <row r="74">
      <c r="A74" s="56"/>
      <c r="B74" s="56" t="s">
        <v>53</v>
      </c>
      <c r="C74" s="57"/>
      <c r="D74" s="58">
        <v>2.0</v>
      </c>
      <c r="E74" s="59" t="s">
        <v>661</v>
      </c>
      <c r="F74" s="57"/>
      <c r="G74" s="60">
        <v>45775.0</v>
      </c>
      <c r="J74" s="61" t="s">
        <v>38</v>
      </c>
      <c r="K74" s="62" t="s">
        <v>646</v>
      </c>
      <c r="L74" s="68">
        <v>1.19</v>
      </c>
      <c r="M74" s="62">
        <v>592274.0</v>
      </c>
      <c r="N74" s="57"/>
      <c r="P74" s="6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</row>
    <row r="75">
      <c r="A75" s="56"/>
      <c r="B75" s="56" t="s">
        <v>53</v>
      </c>
      <c r="C75" s="57"/>
      <c r="D75" s="58">
        <v>3.0</v>
      </c>
      <c r="E75" s="59" t="s">
        <v>662</v>
      </c>
      <c r="F75" s="57"/>
      <c r="G75" s="60">
        <v>45775.0</v>
      </c>
      <c r="J75" s="61" t="s">
        <v>38</v>
      </c>
      <c r="K75" s="62" t="s">
        <v>646</v>
      </c>
      <c r="L75" s="68">
        <v>1.19</v>
      </c>
      <c r="M75" s="62">
        <v>592274.0</v>
      </c>
      <c r="N75" s="57"/>
      <c r="P75" s="6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</row>
    <row r="76">
      <c r="A76" s="56"/>
      <c r="B76" s="56" t="s">
        <v>53</v>
      </c>
      <c r="C76" s="57"/>
      <c r="D76" s="58">
        <v>3.0</v>
      </c>
      <c r="E76" s="59" t="s">
        <v>663</v>
      </c>
      <c r="F76" s="57"/>
      <c r="G76" s="60">
        <v>45775.0</v>
      </c>
      <c r="J76" s="61" t="s">
        <v>38</v>
      </c>
      <c r="K76" s="62" t="s">
        <v>646</v>
      </c>
      <c r="L76" s="68">
        <v>5.56</v>
      </c>
      <c r="M76" s="62">
        <v>592274.0</v>
      </c>
      <c r="N76" s="57"/>
      <c r="P76" s="6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</row>
    <row r="77">
      <c r="A77" s="56"/>
      <c r="B77" s="56" t="s">
        <v>53</v>
      </c>
      <c r="C77" s="57"/>
      <c r="D77" s="58">
        <v>1.0</v>
      </c>
      <c r="E77" s="59" t="s">
        <v>664</v>
      </c>
      <c r="F77" s="57"/>
      <c r="G77" s="60">
        <v>45775.0</v>
      </c>
      <c r="J77" s="61" t="s">
        <v>38</v>
      </c>
      <c r="K77" s="62" t="s">
        <v>646</v>
      </c>
      <c r="L77" s="68">
        <v>14.87</v>
      </c>
      <c r="M77" s="62">
        <v>592274.0</v>
      </c>
      <c r="N77" s="57"/>
      <c r="P77" s="6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</row>
    <row r="78">
      <c r="A78" s="56"/>
      <c r="B78" s="56" t="s">
        <v>53</v>
      </c>
      <c r="C78" s="57"/>
      <c r="D78" s="58">
        <v>1.0</v>
      </c>
      <c r="E78" s="59" t="s">
        <v>665</v>
      </c>
      <c r="F78" s="57"/>
      <c r="G78" s="60">
        <v>45775.0</v>
      </c>
      <c r="J78" s="61" t="s">
        <v>38</v>
      </c>
      <c r="K78" s="62" t="s">
        <v>646</v>
      </c>
      <c r="L78" s="68">
        <v>14.87</v>
      </c>
      <c r="M78" s="62">
        <v>592274.0</v>
      </c>
      <c r="N78" s="57"/>
      <c r="P78" s="6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</row>
    <row r="79">
      <c r="A79" s="56"/>
      <c r="B79" s="56" t="s">
        <v>666</v>
      </c>
      <c r="C79" s="62" t="s">
        <v>667</v>
      </c>
      <c r="D79" s="58">
        <v>1.0</v>
      </c>
      <c r="E79" s="59" t="s">
        <v>668</v>
      </c>
      <c r="F79" s="57"/>
      <c r="G79" s="60">
        <v>45775.0</v>
      </c>
      <c r="J79" s="61" t="s">
        <v>38</v>
      </c>
      <c r="K79" s="62" t="s">
        <v>646</v>
      </c>
      <c r="L79" s="68">
        <v>62.75</v>
      </c>
      <c r="M79" s="62">
        <v>592274.0</v>
      </c>
      <c r="N79" s="57"/>
      <c r="P79" s="66" t="s">
        <v>43</v>
      </c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</row>
    <row r="80">
      <c r="A80" s="57"/>
      <c r="B80" s="57" t="s">
        <v>669</v>
      </c>
      <c r="C80" s="57"/>
      <c r="D80" s="62">
        <v>1.0</v>
      </c>
      <c r="E80" s="62" t="s">
        <v>670</v>
      </c>
      <c r="F80" s="57"/>
      <c r="G80" s="60">
        <v>45775.0</v>
      </c>
      <c r="J80" s="61" t="s">
        <v>38</v>
      </c>
      <c r="K80" s="62" t="s">
        <v>646</v>
      </c>
      <c r="L80" s="63">
        <v>85.45</v>
      </c>
      <c r="M80" s="62">
        <v>592274.0</v>
      </c>
      <c r="N80" s="57"/>
      <c r="P80" s="66" t="s">
        <v>43</v>
      </c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</row>
    <row r="81">
      <c r="A81" s="56"/>
      <c r="B81" s="56" t="s">
        <v>53</v>
      </c>
      <c r="C81" s="57"/>
      <c r="D81" s="58">
        <v>1.0</v>
      </c>
      <c r="E81" s="59" t="s">
        <v>672</v>
      </c>
      <c r="F81" s="57"/>
      <c r="G81" s="60">
        <v>45775.0</v>
      </c>
      <c r="J81" s="61" t="s">
        <v>38</v>
      </c>
      <c r="K81" s="61" t="s">
        <v>673</v>
      </c>
      <c r="L81" s="68">
        <v>14.11</v>
      </c>
      <c r="M81" s="62">
        <v>592264.0</v>
      </c>
      <c r="N81" s="57"/>
      <c r="P81" s="6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</row>
    <row r="82">
      <c r="A82" s="56"/>
      <c r="B82" s="56" t="s">
        <v>53</v>
      </c>
      <c r="C82" s="57"/>
      <c r="D82" s="58">
        <v>3.0</v>
      </c>
      <c r="E82" s="59" t="s">
        <v>674</v>
      </c>
      <c r="F82" s="57"/>
      <c r="G82" s="60">
        <v>45775.0</v>
      </c>
      <c r="J82" s="61" t="s">
        <v>38</v>
      </c>
      <c r="K82" s="61" t="s">
        <v>628</v>
      </c>
      <c r="L82" s="68">
        <v>8.17</v>
      </c>
      <c r="M82" s="62">
        <v>592264.0</v>
      </c>
      <c r="N82" s="57"/>
      <c r="P82" s="6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</row>
    <row r="83">
      <c r="A83" s="56"/>
      <c r="B83" s="56" t="s">
        <v>675</v>
      </c>
      <c r="C83" s="62" t="s">
        <v>676</v>
      </c>
      <c r="D83" s="58">
        <v>1.0</v>
      </c>
      <c r="E83" s="59" t="s">
        <v>677</v>
      </c>
      <c r="F83" s="57"/>
      <c r="G83" s="69">
        <v>45782.0</v>
      </c>
      <c r="J83" s="61" t="s">
        <v>38</v>
      </c>
      <c r="K83" s="61" t="s">
        <v>673</v>
      </c>
      <c r="L83" s="63">
        <v>89.54</v>
      </c>
      <c r="M83" s="62">
        <v>593758.0</v>
      </c>
      <c r="N83" s="57"/>
      <c r="P83" s="66" t="s">
        <v>43</v>
      </c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</row>
    <row r="84">
      <c r="A84" s="56"/>
      <c r="B84" s="56" t="s">
        <v>53</v>
      </c>
      <c r="C84" s="57"/>
      <c r="D84" s="58">
        <v>1.0</v>
      </c>
      <c r="E84" s="59" t="s">
        <v>677</v>
      </c>
      <c r="F84" s="57"/>
      <c r="G84" s="69">
        <v>45782.0</v>
      </c>
      <c r="J84" s="61" t="s">
        <v>38</v>
      </c>
      <c r="K84" s="61" t="s">
        <v>673</v>
      </c>
      <c r="L84" s="63">
        <v>89.54</v>
      </c>
      <c r="M84" s="62">
        <v>593758.0</v>
      </c>
      <c r="N84" s="57"/>
      <c r="P84" s="6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</row>
    <row r="85">
      <c r="A85" s="56"/>
      <c r="B85" s="56" t="s">
        <v>53</v>
      </c>
      <c r="C85" s="57"/>
      <c r="D85" s="58">
        <v>1.0</v>
      </c>
      <c r="E85" s="59" t="s">
        <v>678</v>
      </c>
      <c r="F85" s="57"/>
      <c r="G85" s="69">
        <v>45782.0</v>
      </c>
      <c r="J85" s="61" t="s">
        <v>38</v>
      </c>
      <c r="K85" s="61" t="s">
        <v>673</v>
      </c>
      <c r="L85" s="63">
        <v>89.54</v>
      </c>
      <c r="M85" s="62">
        <v>593758.0</v>
      </c>
      <c r="N85" s="57"/>
      <c r="P85" s="6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</row>
    <row r="86">
      <c r="A86" s="56"/>
      <c r="B86" s="56" t="s">
        <v>73</v>
      </c>
      <c r="C86" s="57"/>
      <c r="D86" s="58">
        <v>1.0</v>
      </c>
      <c r="E86" s="59" t="s">
        <v>679</v>
      </c>
      <c r="F86" s="57"/>
      <c r="G86" s="69">
        <v>45782.0</v>
      </c>
      <c r="J86" s="61" t="s">
        <v>38</v>
      </c>
      <c r="K86" s="61" t="s">
        <v>673</v>
      </c>
      <c r="L86" s="63">
        <v>142.83</v>
      </c>
      <c r="M86" s="62">
        <v>593758.0</v>
      </c>
      <c r="N86" s="57"/>
      <c r="P86" s="66" t="s">
        <v>43</v>
      </c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</row>
    <row r="87">
      <c r="A87" s="56"/>
      <c r="B87" s="56" t="s">
        <v>682</v>
      </c>
      <c r="C87" s="62" t="s">
        <v>683</v>
      </c>
      <c r="D87" s="58">
        <v>1.0</v>
      </c>
      <c r="E87" s="59" t="s">
        <v>621</v>
      </c>
      <c r="F87" s="57"/>
      <c r="G87" s="69">
        <v>45782.0</v>
      </c>
      <c r="J87" s="61" t="s">
        <v>38</v>
      </c>
      <c r="K87" s="61" t="s">
        <v>673</v>
      </c>
      <c r="L87" s="63">
        <v>124.88</v>
      </c>
      <c r="M87" s="62">
        <v>593758.0</v>
      </c>
      <c r="N87" s="57"/>
      <c r="P87" s="66" t="s">
        <v>43</v>
      </c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</row>
    <row r="88">
      <c r="A88" s="56"/>
      <c r="B88" s="56" t="s">
        <v>53</v>
      </c>
      <c r="C88" s="57"/>
      <c r="D88" s="58">
        <v>1.0</v>
      </c>
      <c r="E88" s="59" t="s">
        <v>637</v>
      </c>
      <c r="F88" s="57"/>
      <c r="G88" s="69">
        <v>45782.0</v>
      </c>
      <c r="J88" s="61" t="s">
        <v>38</v>
      </c>
      <c r="K88" s="61" t="s">
        <v>673</v>
      </c>
      <c r="L88" s="63">
        <v>113.91</v>
      </c>
      <c r="M88" s="62">
        <v>593758.0</v>
      </c>
      <c r="N88" s="57"/>
      <c r="P88" s="6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</row>
    <row r="89">
      <c r="A89" s="56"/>
      <c r="B89" s="56" t="s">
        <v>53</v>
      </c>
      <c r="C89" s="57"/>
      <c r="D89" s="58">
        <v>1.0</v>
      </c>
      <c r="E89" s="59" t="s">
        <v>687</v>
      </c>
      <c r="F89" s="57"/>
      <c r="G89" s="69">
        <v>45782.0</v>
      </c>
      <c r="J89" s="61" t="s">
        <v>38</v>
      </c>
      <c r="K89" s="61" t="s">
        <v>673</v>
      </c>
      <c r="L89" s="63">
        <v>113.91</v>
      </c>
      <c r="M89" s="62">
        <v>593758.0</v>
      </c>
      <c r="N89" s="57"/>
      <c r="P89" s="6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</row>
    <row r="90">
      <c r="A90" s="56"/>
      <c r="B90" s="56" t="s">
        <v>53</v>
      </c>
      <c r="C90" s="57"/>
      <c r="D90" s="58">
        <v>10.0</v>
      </c>
      <c r="E90" s="59" t="s">
        <v>690</v>
      </c>
      <c r="F90" s="57"/>
      <c r="G90" s="69">
        <v>45782.0</v>
      </c>
      <c r="J90" s="61" t="s">
        <v>38</v>
      </c>
      <c r="K90" s="61" t="s">
        <v>673</v>
      </c>
      <c r="L90" s="63">
        <v>6.79</v>
      </c>
      <c r="M90" s="62">
        <v>593758.0</v>
      </c>
      <c r="N90" s="57"/>
      <c r="P90" s="6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</row>
    <row r="91">
      <c r="A91" s="56"/>
      <c r="B91" s="56" t="s">
        <v>53</v>
      </c>
      <c r="C91" s="57"/>
      <c r="D91" s="58">
        <v>10.0</v>
      </c>
      <c r="E91" s="59" t="s">
        <v>695</v>
      </c>
      <c r="F91" s="57"/>
      <c r="G91" s="69">
        <v>45782.0</v>
      </c>
      <c r="J91" s="61" t="s">
        <v>38</v>
      </c>
      <c r="K91" s="61" t="s">
        <v>673</v>
      </c>
      <c r="L91" s="63">
        <v>5.94</v>
      </c>
      <c r="M91" s="62">
        <v>593758.0</v>
      </c>
      <c r="N91" s="57"/>
      <c r="P91" s="6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</row>
    <row r="92">
      <c r="A92" s="56"/>
      <c r="B92" s="56" t="s">
        <v>53</v>
      </c>
      <c r="C92" s="57"/>
      <c r="D92" s="58">
        <v>1.0</v>
      </c>
      <c r="E92" s="59" t="s">
        <v>701</v>
      </c>
      <c r="F92" s="57"/>
      <c r="G92" s="69">
        <v>45782.0</v>
      </c>
      <c r="J92" s="61" t="s">
        <v>38</v>
      </c>
      <c r="K92" s="61" t="s">
        <v>673</v>
      </c>
      <c r="L92" s="63">
        <v>16.34</v>
      </c>
      <c r="M92" s="62">
        <v>593758.0</v>
      </c>
      <c r="N92" s="57"/>
      <c r="P92" s="6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</row>
    <row r="93">
      <c r="A93" s="56"/>
      <c r="B93" s="56" t="s">
        <v>53</v>
      </c>
      <c r="C93" s="57"/>
      <c r="D93" s="58">
        <v>1.0</v>
      </c>
      <c r="E93" s="59" t="s">
        <v>704</v>
      </c>
      <c r="F93" s="57"/>
      <c r="G93" s="69">
        <v>45782.0</v>
      </c>
      <c r="J93" s="61" t="s">
        <v>38</v>
      </c>
      <c r="K93" s="61" t="s">
        <v>673</v>
      </c>
      <c r="L93" s="63">
        <v>14.11</v>
      </c>
      <c r="M93" s="62">
        <v>593758.0</v>
      </c>
      <c r="N93" s="57"/>
      <c r="P93" s="6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</row>
    <row r="94">
      <c r="A94" s="56"/>
      <c r="B94" s="56" t="s">
        <v>698</v>
      </c>
      <c r="C94" s="57"/>
      <c r="D94" s="58">
        <v>1.0</v>
      </c>
      <c r="E94" s="59" t="s">
        <v>708</v>
      </c>
      <c r="F94" s="57"/>
      <c r="G94" s="69">
        <v>45785.0</v>
      </c>
      <c r="J94" s="61" t="s">
        <v>38</v>
      </c>
      <c r="K94" s="62" t="s">
        <v>673</v>
      </c>
      <c r="L94" s="63">
        <v>70.16</v>
      </c>
      <c r="M94" s="62">
        <v>594868.0</v>
      </c>
      <c r="N94" s="57"/>
      <c r="P94" s="66" t="s">
        <v>43</v>
      </c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</row>
    <row r="95">
      <c r="A95" s="56"/>
      <c r="B95" s="56" t="s">
        <v>53</v>
      </c>
      <c r="C95" s="57"/>
      <c r="D95" s="58">
        <v>1.0</v>
      </c>
      <c r="E95" s="59" t="s">
        <v>715</v>
      </c>
      <c r="F95" s="57"/>
      <c r="G95" s="69">
        <v>45785.0</v>
      </c>
      <c r="J95" s="61" t="s">
        <v>38</v>
      </c>
      <c r="K95" s="62" t="s">
        <v>673</v>
      </c>
      <c r="L95" s="63">
        <v>42.47</v>
      </c>
      <c r="M95" s="62">
        <v>594868.0</v>
      </c>
      <c r="N95" s="57"/>
      <c r="P95" s="6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</row>
    <row r="96">
      <c r="A96" s="56"/>
      <c r="B96" s="56" t="s">
        <v>53</v>
      </c>
      <c r="C96" s="57"/>
      <c r="D96" s="58">
        <v>10.0</v>
      </c>
      <c r="E96" s="59" t="s">
        <v>564</v>
      </c>
      <c r="F96" s="57"/>
      <c r="G96" s="69">
        <v>45785.0</v>
      </c>
      <c r="J96" s="61" t="s">
        <v>38</v>
      </c>
      <c r="K96" s="62" t="s">
        <v>673</v>
      </c>
      <c r="L96" s="63">
        <v>8.12</v>
      </c>
      <c r="M96" s="62">
        <v>594868.0</v>
      </c>
      <c r="N96" s="57"/>
      <c r="P96" s="6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</row>
    <row r="97">
      <c r="A97" s="56"/>
      <c r="B97" s="56" t="s">
        <v>53</v>
      </c>
      <c r="C97" s="57"/>
      <c r="D97" s="58">
        <v>10.0</v>
      </c>
      <c r="E97" s="59" t="s">
        <v>721</v>
      </c>
      <c r="F97" s="57"/>
      <c r="G97" s="69">
        <v>45785.0</v>
      </c>
      <c r="J97" s="61" t="s">
        <v>38</v>
      </c>
      <c r="K97" s="62" t="s">
        <v>673</v>
      </c>
      <c r="L97" s="63">
        <v>7.51</v>
      </c>
      <c r="M97" s="62">
        <v>594868.0</v>
      </c>
      <c r="N97" s="57"/>
      <c r="P97" s="6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</row>
    <row r="98">
      <c r="A98" s="56"/>
      <c r="B98" s="56" t="s">
        <v>53</v>
      </c>
      <c r="C98" s="57"/>
      <c r="D98" s="58">
        <v>18.0</v>
      </c>
      <c r="E98" s="59" t="s">
        <v>725</v>
      </c>
      <c r="F98" s="57"/>
      <c r="G98" s="69">
        <v>45791.0</v>
      </c>
      <c r="J98" s="61" t="s">
        <v>69</v>
      </c>
      <c r="K98" s="62">
        <v>5.00223493E8</v>
      </c>
      <c r="L98" s="63">
        <v>5.11</v>
      </c>
      <c r="M98" s="62">
        <v>8.00038908E8</v>
      </c>
      <c r="N98" s="62" t="s">
        <v>726</v>
      </c>
      <c r="P98" s="6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</row>
    <row r="99">
      <c r="A99" s="56"/>
      <c r="B99" s="56" t="s">
        <v>730</v>
      </c>
      <c r="C99" s="57"/>
      <c r="D99" s="58">
        <v>1.0</v>
      </c>
      <c r="E99" s="59" t="s">
        <v>731</v>
      </c>
      <c r="F99" s="57"/>
      <c r="G99" s="69">
        <v>45791.0</v>
      </c>
      <c r="J99" s="61" t="s">
        <v>69</v>
      </c>
      <c r="K99" s="62">
        <v>5.00223493E8</v>
      </c>
      <c r="L99" s="63">
        <v>179.95</v>
      </c>
      <c r="M99" s="62">
        <v>8.00038908E8</v>
      </c>
      <c r="N99" s="57"/>
      <c r="P99" s="6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</row>
    <row r="100">
      <c r="A100" s="56"/>
      <c r="B100" s="56" t="s">
        <v>734</v>
      </c>
      <c r="C100" s="57"/>
      <c r="D100" s="58">
        <v>1.0</v>
      </c>
      <c r="E100" s="59" t="s">
        <v>735</v>
      </c>
      <c r="F100" s="57"/>
      <c r="G100" s="69">
        <v>45791.0</v>
      </c>
      <c r="J100" s="61" t="s">
        <v>69</v>
      </c>
      <c r="K100" s="62">
        <v>5.00223493E8</v>
      </c>
      <c r="L100" s="63">
        <v>7.31</v>
      </c>
      <c r="M100" s="62">
        <v>8.00038908E8</v>
      </c>
      <c r="N100" s="57"/>
      <c r="P100" s="66" t="s">
        <v>43</v>
      </c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</row>
    <row r="101">
      <c r="A101" s="56"/>
      <c r="B101" s="56" t="s">
        <v>53</v>
      </c>
      <c r="C101" s="57"/>
      <c r="D101" s="58">
        <v>1.0</v>
      </c>
      <c r="E101" s="59" t="s">
        <v>704</v>
      </c>
      <c r="F101" s="57"/>
      <c r="G101" s="69">
        <v>45791.0</v>
      </c>
      <c r="J101" s="61" t="s">
        <v>69</v>
      </c>
      <c r="K101" s="62">
        <v>5.00223493E8</v>
      </c>
      <c r="L101" s="63">
        <v>13.88</v>
      </c>
      <c r="M101" s="62">
        <v>8.00038908E8</v>
      </c>
      <c r="N101" s="57"/>
      <c r="P101" s="6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</row>
    <row r="102">
      <c r="A102" s="56"/>
      <c r="B102" s="56" t="s">
        <v>53</v>
      </c>
      <c r="C102" s="57"/>
      <c r="D102" s="58">
        <v>1.0</v>
      </c>
      <c r="E102" s="59" t="s">
        <v>743</v>
      </c>
      <c r="F102" s="57"/>
      <c r="G102" s="69">
        <v>45791.0</v>
      </c>
      <c r="J102" s="61" t="s">
        <v>69</v>
      </c>
      <c r="K102" s="62">
        <v>5.00223493E8</v>
      </c>
      <c r="L102" s="63">
        <v>8.77</v>
      </c>
      <c r="M102" s="62">
        <v>8.00038908E8</v>
      </c>
      <c r="N102" s="57"/>
      <c r="P102" s="6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</row>
    <row r="103">
      <c r="A103" s="56"/>
      <c r="B103" s="56" t="s">
        <v>53</v>
      </c>
      <c r="C103" s="57"/>
      <c r="D103" s="58">
        <v>1.0</v>
      </c>
      <c r="E103" s="59" t="s">
        <v>745</v>
      </c>
      <c r="F103" s="57"/>
      <c r="G103" s="69">
        <v>45791.0</v>
      </c>
      <c r="J103" s="61" t="s">
        <v>69</v>
      </c>
      <c r="K103" s="62">
        <v>5.00223493E8</v>
      </c>
      <c r="L103" s="63">
        <v>8.77</v>
      </c>
      <c r="M103" s="62">
        <v>8.00038908E8</v>
      </c>
      <c r="N103" s="57"/>
      <c r="P103" s="6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</row>
    <row r="104">
      <c r="A104" s="56"/>
      <c r="B104" s="56" t="s">
        <v>747</v>
      </c>
      <c r="C104" s="57"/>
      <c r="D104" s="58">
        <v>1.0</v>
      </c>
      <c r="E104" s="59" t="s">
        <v>748</v>
      </c>
      <c r="F104" s="57"/>
      <c r="G104" s="69">
        <v>45791.0</v>
      </c>
      <c r="J104" s="61" t="s">
        <v>69</v>
      </c>
      <c r="K104" s="62">
        <v>5.00223493E8</v>
      </c>
      <c r="L104" s="63">
        <v>144.53</v>
      </c>
      <c r="M104" s="62">
        <v>8.00038908E8</v>
      </c>
      <c r="N104" s="57"/>
      <c r="P104" s="66" t="s">
        <v>43</v>
      </c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</row>
    <row r="105">
      <c r="A105" s="56"/>
      <c r="B105" s="56" t="s">
        <v>751</v>
      </c>
      <c r="C105" s="62" t="s">
        <v>753</v>
      </c>
      <c r="D105" s="58">
        <v>1.0</v>
      </c>
      <c r="E105" s="59" t="s">
        <v>754</v>
      </c>
      <c r="F105" s="57"/>
      <c r="G105" s="69">
        <v>45791.0</v>
      </c>
      <c r="J105" s="61" t="s">
        <v>69</v>
      </c>
      <c r="K105" s="62">
        <v>5.00223493E8</v>
      </c>
      <c r="L105" s="63">
        <v>133.41</v>
      </c>
      <c r="M105" s="62">
        <v>8.00038908E8</v>
      </c>
      <c r="N105" s="57"/>
      <c r="P105" s="66" t="s">
        <v>43</v>
      </c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</row>
    <row r="106">
      <c r="A106" s="56"/>
      <c r="B106" s="56" t="s">
        <v>758</v>
      </c>
      <c r="C106" s="57"/>
      <c r="D106" s="58">
        <v>1.0</v>
      </c>
      <c r="E106" s="59" t="s">
        <v>759</v>
      </c>
      <c r="F106" s="57"/>
      <c r="G106" s="69">
        <v>45791.0</v>
      </c>
      <c r="J106" s="61" t="s">
        <v>69</v>
      </c>
      <c r="K106" s="62">
        <v>5.00223493E8</v>
      </c>
      <c r="L106" s="63">
        <v>13.55</v>
      </c>
      <c r="M106" s="62">
        <v>8.00038908E8</v>
      </c>
      <c r="N106" s="62" t="s">
        <v>726</v>
      </c>
      <c r="P106" s="66" t="s">
        <v>43</v>
      </c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</row>
    <row r="107">
      <c r="A107" s="56"/>
      <c r="B107" s="56" t="s">
        <v>53</v>
      </c>
      <c r="C107" s="57"/>
      <c r="D107" s="58">
        <v>2.0</v>
      </c>
      <c r="E107" s="59" t="s">
        <v>762</v>
      </c>
      <c r="F107" s="57"/>
      <c r="G107" s="69">
        <v>45791.0</v>
      </c>
      <c r="J107" s="61" t="s">
        <v>38</v>
      </c>
      <c r="K107" s="62" t="s">
        <v>673</v>
      </c>
      <c r="L107" s="63">
        <v>14.87</v>
      </c>
      <c r="M107" s="62">
        <v>596155.0</v>
      </c>
      <c r="N107" s="57"/>
      <c r="P107" s="6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</row>
    <row r="108">
      <c r="A108" s="56"/>
      <c r="B108" s="56" t="s">
        <v>53</v>
      </c>
      <c r="C108" s="57"/>
      <c r="D108" s="58">
        <v>2.0</v>
      </c>
      <c r="E108" s="59" t="s">
        <v>766</v>
      </c>
      <c r="F108" s="57"/>
      <c r="G108" s="69">
        <v>45791.0</v>
      </c>
      <c r="J108" s="61" t="s">
        <v>38</v>
      </c>
      <c r="K108" s="62" t="s">
        <v>673</v>
      </c>
      <c r="L108" s="63">
        <v>14.87</v>
      </c>
      <c r="M108" s="62">
        <v>596155.0</v>
      </c>
      <c r="N108" s="57"/>
      <c r="P108" s="6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</row>
    <row r="109">
      <c r="A109" s="56"/>
      <c r="B109" s="56" t="s">
        <v>53</v>
      </c>
      <c r="C109" s="57"/>
      <c r="D109" s="58">
        <v>1.0</v>
      </c>
      <c r="E109" s="59" t="s">
        <v>610</v>
      </c>
      <c r="F109" s="57"/>
      <c r="G109" s="69">
        <v>45791.0</v>
      </c>
      <c r="J109" s="61" t="s">
        <v>38</v>
      </c>
      <c r="K109" s="62" t="s">
        <v>673</v>
      </c>
      <c r="L109" s="63">
        <v>10.4</v>
      </c>
      <c r="M109" s="62">
        <v>596155.0</v>
      </c>
      <c r="N109" s="57"/>
      <c r="P109" s="6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</row>
    <row r="110">
      <c r="A110" s="56"/>
      <c r="B110" s="56" t="s">
        <v>53</v>
      </c>
      <c r="C110" s="57"/>
      <c r="D110" s="58">
        <v>1.0</v>
      </c>
      <c r="E110" s="59" t="s">
        <v>772</v>
      </c>
      <c r="F110" s="57"/>
      <c r="G110" s="69">
        <v>45791.0</v>
      </c>
      <c r="J110" s="61" t="s">
        <v>38</v>
      </c>
      <c r="K110" s="62" t="s">
        <v>673</v>
      </c>
      <c r="L110" s="63">
        <v>46.27</v>
      </c>
      <c r="M110" s="62">
        <v>596155.0</v>
      </c>
      <c r="N110" s="57"/>
      <c r="P110" s="6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</row>
    <row r="111">
      <c r="A111" s="56"/>
      <c r="B111" s="56" t="s">
        <v>53</v>
      </c>
      <c r="C111" s="57"/>
      <c r="D111" s="58">
        <v>1.0</v>
      </c>
      <c r="E111" s="59" t="s">
        <v>777</v>
      </c>
      <c r="F111" s="57"/>
      <c r="G111" s="69">
        <v>45791.0</v>
      </c>
      <c r="J111" s="61" t="s">
        <v>38</v>
      </c>
      <c r="K111" s="62" t="s">
        <v>673</v>
      </c>
      <c r="L111" s="63">
        <v>46.27</v>
      </c>
      <c r="M111" s="62">
        <v>596155.0</v>
      </c>
      <c r="N111" s="57"/>
      <c r="P111" s="6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</row>
    <row r="112">
      <c r="A112" s="56"/>
      <c r="B112" s="56" t="s">
        <v>779</v>
      </c>
      <c r="C112" s="57"/>
      <c r="D112" s="58">
        <v>1.0</v>
      </c>
      <c r="E112" s="59" t="s">
        <v>780</v>
      </c>
      <c r="F112" s="57"/>
      <c r="G112" s="69">
        <v>45791.0</v>
      </c>
      <c r="J112" s="61" t="s">
        <v>38</v>
      </c>
      <c r="K112" s="62" t="s">
        <v>673</v>
      </c>
      <c r="L112" s="63">
        <v>141.88</v>
      </c>
      <c r="M112" s="62">
        <v>596155.0</v>
      </c>
      <c r="N112" s="57"/>
      <c r="P112" s="66" t="s">
        <v>43</v>
      </c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</row>
    <row r="113">
      <c r="A113" s="56"/>
      <c r="B113" s="56" t="s">
        <v>782</v>
      </c>
      <c r="C113" s="57"/>
      <c r="D113" s="58">
        <v>1.0</v>
      </c>
      <c r="E113" s="62" t="s">
        <v>785</v>
      </c>
      <c r="F113" s="57"/>
      <c r="G113" s="69">
        <v>45791.0</v>
      </c>
      <c r="J113" s="61" t="s">
        <v>38</v>
      </c>
      <c r="K113" s="62" t="s">
        <v>673</v>
      </c>
      <c r="L113" s="63">
        <v>85.45</v>
      </c>
      <c r="M113" s="62">
        <v>596155.0</v>
      </c>
      <c r="N113" s="57"/>
      <c r="P113" s="66" t="s">
        <v>43</v>
      </c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</row>
    <row r="114">
      <c r="A114" s="56"/>
      <c r="B114" s="56" t="s">
        <v>732</v>
      </c>
      <c r="C114" s="57"/>
      <c r="D114" s="58">
        <v>1.0</v>
      </c>
      <c r="E114" s="59" t="s">
        <v>789</v>
      </c>
      <c r="F114" s="57"/>
      <c r="G114" s="69">
        <v>45791.0</v>
      </c>
      <c r="J114" s="61" t="s">
        <v>38</v>
      </c>
      <c r="K114" s="62" t="s">
        <v>673</v>
      </c>
      <c r="L114" s="63">
        <v>77.43</v>
      </c>
      <c r="M114" s="62">
        <v>596155.0</v>
      </c>
      <c r="N114" s="57"/>
      <c r="P114" s="66" t="s">
        <v>43</v>
      </c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</row>
    <row r="115">
      <c r="A115" s="56"/>
      <c r="B115" s="56" t="s">
        <v>53</v>
      </c>
      <c r="C115" s="57"/>
      <c r="D115" s="58">
        <v>1.0</v>
      </c>
      <c r="E115" s="59" t="s">
        <v>792</v>
      </c>
      <c r="F115" s="57"/>
      <c r="G115" s="69">
        <v>45791.0</v>
      </c>
      <c r="J115" s="61" t="s">
        <v>38</v>
      </c>
      <c r="K115" s="62" t="s">
        <v>673</v>
      </c>
      <c r="L115" s="63">
        <v>156.51</v>
      </c>
      <c r="M115" s="62">
        <v>596155.0</v>
      </c>
      <c r="N115" s="57"/>
      <c r="P115" s="6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</row>
    <row r="116">
      <c r="A116" s="56"/>
      <c r="B116" s="56" t="s">
        <v>53</v>
      </c>
      <c r="C116" s="57"/>
      <c r="D116" s="58">
        <v>1.0</v>
      </c>
      <c r="E116" s="59" t="s">
        <v>796</v>
      </c>
      <c r="F116" s="57"/>
      <c r="G116" s="69">
        <v>45791.0</v>
      </c>
      <c r="J116" s="61" t="s">
        <v>38</v>
      </c>
      <c r="K116" s="62" t="s">
        <v>673</v>
      </c>
      <c r="L116" s="63">
        <v>113.91</v>
      </c>
      <c r="M116" s="62">
        <v>596155.0</v>
      </c>
      <c r="N116" s="57"/>
      <c r="P116" s="6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</row>
    <row r="117">
      <c r="A117" s="56"/>
      <c r="B117" s="56" t="s">
        <v>53</v>
      </c>
      <c r="C117" s="57"/>
      <c r="D117" s="58">
        <v>1.0</v>
      </c>
      <c r="E117" s="59" t="s">
        <v>778</v>
      </c>
      <c r="F117" s="57"/>
      <c r="G117" s="69">
        <v>45791.0</v>
      </c>
      <c r="J117" s="61" t="s">
        <v>38</v>
      </c>
      <c r="K117" s="62" t="s">
        <v>673</v>
      </c>
      <c r="L117" s="63">
        <v>156.51</v>
      </c>
      <c r="M117" s="62">
        <v>596155.0</v>
      </c>
      <c r="N117" s="57"/>
      <c r="P117" s="6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</row>
    <row r="118">
      <c r="A118" s="56"/>
      <c r="B118" s="56" t="s">
        <v>53</v>
      </c>
      <c r="C118" s="57"/>
      <c r="D118" s="58">
        <v>1.0</v>
      </c>
      <c r="E118" s="59" t="s">
        <v>677</v>
      </c>
      <c r="F118" s="57"/>
      <c r="G118" s="69">
        <v>45791.0</v>
      </c>
      <c r="J118" s="61" t="s">
        <v>38</v>
      </c>
      <c r="K118" s="62" t="s">
        <v>673</v>
      </c>
      <c r="L118" s="63">
        <v>89.54</v>
      </c>
      <c r="M118" s="62">
        <v>596155.0</v>
      </c>
      <c r="N118" s="57"/>
      <c r="P118" s="6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</row>
    <row r="119">
      <c r="A119" s="56"/>
      <c r="B119" s="56" t="s">
        <v>53</v>
      </c>
      <c r="C119" s="57"/>
      <c r="D119" s="58">
        <v>1.0</v>
      </c>
      <c r="E119" s="59" t="s">
        <v>803</v>
      </c>
      <c r="F119" s="57"/>
      <c r="G119" s="69">
        <v>45791.0</v>
      </c>
      <c r="J119" s="61" t="s">
        <v>38</v>
      </c>
      <c r="K119" s="62" t="s">
        <v>673</v>
      </c>
      <c r="L119" s="63">
        <v>159.46</v>
      </c>
      <c r="M119" s="62">
        <v>596155.0</v>
      </c>
      <c r="N119" s="57"/>
      <c r="P119" s="6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</row>
    <row r="120">
      <c r="A120" s="56"/>
      <c r="B120" s="56" t="s">
        <v>53</v>
      </c>
      <c r="C120" s="57"/>
      <c r="D120" s="58">
        <v>1.0</v>
      </c>
      <c r="E120" s="59" t="s">
        <v>806</v>
      </c>
      <c r="F120" s="57"/>
      <c r="G120" s="69">
        <v>45791.0</v>
      </c>
      <c r="J120" s="61" t="s">
        <v>38</v>
      </c>
      <c r="K120" s="62" t="s">
        <v>673</v>
      </c>
      <c r="L120" s="63">
        <v>17.2</v>
      </c>
      <c r="M120" s="62">
        <v>596155.0</v>
      </c>
      <c r="N120" s="57"/>
      <c r="P120" s="6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</row>
    <row r="121">
      <c r="A121" s="56"/>
      <c r="B121" s="56" t="s">
        <v>53</v>
      </c>
      <c r="C121" s="57"/>
      <c r="D121" s="58">
        <v>1.0</v>
      </c>
      <c r="E121" s="59" t="s">
        <v>808</v>
      </c>
      <c r="F121" s="57"/>
      <c r="G121" s="69">
        <v>45791.0</v>
      </c>
      <c r="J121" s="61" t="s">
        <v>38</v>
      </c>
      <c r="K121" s="62" t="s">
        <v>673</v>
      </c>
      <c r="L121" s="63">
        <v>17.2</v>
      </c>
      <c r="M121" s="62">
        <v>618182.0</v>
      </c>
      <c r="N121" s="57"/>
      <c r="P121" s="6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</row>
    <row r="122">
      <c r="A122" s="56"/>
      <c r="B122" s="56" t="s">
        <v>53</v>
      </c>
      <c r="C122" s="57"/>
      <c r="D122" s="58">
        <v>1.0</v>
      </c>
      <c r="E122" s="59" t="s">
        <v>811</v>
      </c>
      <c r="F122" s="57"/>
      <c r="G122" s="69">
        <v>45791.0</v>
      </c>
      <c r="J122" s="61" t="s">
        <v>38</v>
      </c>
      <c r="K122" s="62" t="s">
        <v>673</v>
      </c>
      <c r="L122" s="63">
        <v>17.2</v>
      </c>
      <c r="M122" s="62">
        <v>621127.0</v>
      </c>
      <c r="N122" s="57"/>
      <c r="P122" s="6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</row>
    <row r="123">
      <c r="A123" s="56"/>
      <c r="B123" s="56" t="s">
        <v>53</v>
      </c>
      <c r="C123" s="57"/>
      <c r="D123" s="58">
        <v>2.0</v>
      </c>
      <c r="E123" s="59" t="s">
        <v>813</v>
      </c>
      <c r="F123" s="57"/>
      <c r="G123" s="69">
        <v>45791.0</v>
      </c>
      <c r="J123" s="61" t="s">
        <v>38</v>
      </c>
      <c r="K123" s="62" t="s">
        <v>673</v>
      </c>
      <c r="L123" s="63">
        <v>20.9</v>
      </c>
      <c r="M123" s="62">
        <v>596155.0</v>
      </c>
      <c r="N123" s="57"/>
      <c r="P123" s="6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</row>
    <row r="124">
      <c r="A124" s="56"/>
      <c r="B124" s="56" t="s">
        <v>53</v>
      </c>
      <c r="C124" s="57"/>
      <c r="D124" s="58">
        <v>1.0</v>
      </c>
      <c r="E124" s="59" t="s">
        <v>814</v>
      </c>
      <c r="F124" s="57"/>
      <c r="G124" s="69">
        <v>45791.0</v>
      </c>
      <c r="J124" s="61" t="s">
        <v>347</v>
      </c>
      <c r="K124" s="62" t="s">
        <v>815</v>
      </c>
      <c r="L124" s="63">
        <v>95.4</v>
      </c>
      <c r="M124" s="57"/>
      <c r="N124" s="57"/>
      <c r="P124" s="6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</row>
    <row r="125">
      <c r="A125" s="56"/>
      <c r="B125" s="56" t="s">
        <v>513</v>
      </c>
      <c r="C125" s="57"/>
      <c r="D125" s="58">
        <v>1.0</v>
      </c>
      <c r="E125" s="59" t="s">
        <v>816</v>
      </c>
      <c r="F125" s="57"/>
      <c r="G125" s="69">
        <v>45793.0</v>
      </c>
      <c r="J125" s="61" t="s">
        <v>38</v>
      </c>
      <c r="K125" s="62" t="s">
        <v>817</v>
      </c>
      <c r="L125" s="63">
        <v>142.83</v>
      </c>
      <c r="M125" s="62">
        <v>596765.0</v>
      </c>
      <c r="N125" s="57"/>
      <c r="P125" s="66" t="s">
        <v>43</v>
      </c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</row>
    <row r="126">
      <c r="A126" s="56"/>
      <c r="B126" s="56" t="s">
        <v>819</v>
      </c>
      <c r="C126" s="57"/>
      <c r="D126" s="58">
        <v>1.0</v>
      </c>
      <c r="E126" s="59" t="s">
        <v>821</v>
      </c>
      <c r="F126" s="57"/>
      <c r="G126" s="69">
        <v>45793.0</v>
      </c>
      <c r="J126" s="61" t="s">
        <v>38</v>
      </c>
      <c r="K126" s="62" t="s">
        <v>817</v>
      </c>
      <c r="L126" s="63">
        <v>89.54</v>
      </c>
      <c r="M126" s="62">
        <v>596765.0</v>
      </c>
      <c r="N126" s="79" t="s">
        <v>822</v>
      </c>
      <c r="P126" s="66" t="s">
        <v>43</v>
      </c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</row>
    <row r="127">
      <c r="A127" s="56"/>
      <c r="B127" s="56" t="s">
        <v>819</v>
      </c>
      <c r="C127" s="57"/>
      <c r="D127" s="58">
        <v>1.0</v>
      </c>
      <c r="E127" s="59" t="s">
        <v>678</v>
      </c>
      <c r="F127" s="57"/>
      <c r="G127" s="69">
        <v>45793.0</v>
      </c>
      <c r="J127" s="61" t="s">
        <v>38</v>
      </c>
      <c r="K127" s="62" t="s">
        <v>817</v>
      </c>
      <c r="L127" s="63">
        <v>89.54</v>
      </c>
      <c r="M127" s="62">
        <v>596765.0</v>
      </c>
      <c r="N127" s="57"/>
      <c r="P127" s="66" t="s">
        <v>43</v>
      </c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</row>
    <row r="128">
      <c r="A128" s="56"/>
      <c r="B128" s="56" t="s">
        <v>53</v>
      </c>
      <c r="C128" s="57"/>
      <c r="D128" s="58">
        <v>1.0</v>
      </c>
      <c r="E128" s="59" t="s">
        <v>678</v>
      </c>
      <c r="F128" s="57"/>
      <c r="G128" s="69">
        <v>45793.0</v>
      </c>
      <c r="J128" s="61" t="s">
        <v>38</v>
      </c>
      <c r="K128" s="62" t="s">
        <v>817</v>
      </c>
      <c r="L128" s="63">
        <v>89.54</v>
      </c>
      <c r="M128" s="62">
        <v>596765.0</v>
      </c>
      <c r="N128" s="57"/>
      <c r="P128" s="6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</row>
    <row r="129">
      <c r="A129" s="56"/>
      <c r="B129" s="56" t="s">
        <v>53</v>
      </c>
      <c r="C129" s="57"/>
      <c r="D129" s="58">
        <v>10.0</v>
      </c>
      <c r="E129" s="59" t="s">
        <v>827</v>
      </c>
      <c r="F129" s="57"/>
      <c r="G129" s="69">
        <v>45793.0</v>
      </c>
      <c r="J129" s="61" t="s">
        <v>38</v>
      </c>
      <c r="K129" s="62" t="s">
        <v>673</v>
      </c>
      <c r="L129" s="63">
        <v>9.12</v>
      </c>
      <c r="M129" s="62">
        <v>596765.0</v>
      </c>
      <c r="N129" s="57"/>
      <c r="P129" s="6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</row>
    <row r="130">
      <c r="A130" s="56"/>
      <c r="B130" s="56" t="s">
        <v>829</v>
      </c>
      <c r="C130" s="57"/>
      <c r="D130" s="58">
        <v>1.0</v>
      </c>
      <c r="E130" s="59" t="s">
        <v>626</v>
      </c>
      <c r="F130" s="62" t="s">
        <v>496</v>
      </c>
      <c r="G130" s="69">
        <v>45795.0</v>
      </c>
      <c r="J130" s="61" t="s">
        <v>38</v>
      </c>
      <c r="K130" s="62" t="s">
        <v>830</v>
      </c>
      <c r="L130" s="63">
        <v>132.15</v>
      </c>
      <c r="M130" s="62">
        <v>596938.0</v>
      </c>
      <c r="N130" s="57"/>
      <c r="P130" s="66" t="s">
        <v>43</v>
      </c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</row>
    <row r="131">
      <c r="A131" s="56"/>
      <c r="B131" s="56" t="s">
        <v>53</v>
      </c>
      <c r="C131" s="57"/>
      <c r="D131" s="58">
        <v>1.0</v>
      </c>
      <c r="E131" s="59" t="s">
        <v>626</v>
      </c>
      <c r="F131" s="57"/>
      <c r="G131" s="69">
        <v>45795.0</v>
      </c>
      <c r="J131" s="61" t="s">
        <v>38</v>
      </c>
      <c r="K131" s="62" t="s">
        <v>830</v>
      </c>
      <c r="L131" s="63">
        <v>132.15</v>
      </c>
      <c r="M131" s="62">
        <v>596938.0</v>
      </c>
      <c r="N131" s="57"/>
      <c r="P131" s="6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</row>
    <row r="132">
      <c r="A132" s="56"/>
      <c r="B132" s="56" t="s">
        <v>53</v>
      </c>
      <c r="C132" s="57"/>
      <c r="D132" s="58">
        <v>1.0</v>
      </c>
      <c r="E132" s="59" t="s">
        <v>626</v>
      </c>
      <c r="F132" s="57"/>
      <c r="G132" s="69">
        <v>45795.0</v>
      </c>
      <c r="J132" s="61" t="s">
        <v>38</v>
      </c>
      <c r="K132" s="62" t="s">
        <v>830</v>
      </c>
      <c r="L132" s="63">
        <v>132.15</v>
      </c>
      <c r="M132" s="62">
        <v>596938.0</v>
      </c>
      <c r="N132" s="57"/>
      <c r="P132" s="6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</row>
    <row r="133">
      <c r="A133" s="56"/>
      <c r="B133" s="56" t="s">
        <v>53</v>
      </c>
      <c r="C133" s="57"/>
      <c r="D133" s="58">
        <v>1.0</v>
      </c>
      <c r="E133" s="59" t="s">
        <v>754</v>
      </c>
      <c r="F133" s="57"/>
      <c r="G133" s="69">
        <v>45795.0</v>
      </c>
      <c r="J133" s="61" t="s">
        <v>38</v>
      </c>
      <c r="K133" s="62" t="s">
        <v>830</v>
      </c>
      <c r="L133" s="63">
        <v>132.15</v>
      </c>
      <c r="M133" s="62">
        <v>596938.0</v>
      </c>
      <c r="N133" s="57"/>
      <c r="P133" s="6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</row>
    <row r="134">
      <c r="A134" s="56"/>
      <c r="B134" s="56" t="s">
        <v>53</v>
      </c>
      <c r="C134" s="57"/>
      <c r="D134" s="58">
        <v>1.0</v>
      </c>
      <c r="E134" s="59" t="s">
        <v>814</v>
      </c>
      <c r="F134" s="57"/>
      <c r="G134" s="69">
        <v>45795.0</v>
      </c>
      <c r="J134" s="61" t="s">
        <v>38</v>
      </c>
      <c r="K134" s="62" t="s">
        <v>830</v>
      </c>
      <c r="L134" s="63">
        <v>101.7</v>
      </c>
      <c r="M134" s="62">
        <v>596938.0</v>
      </c>
      <c r="N134" s="57"/>
      <c r="P134" s="6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</row>
    <row r="135">
      <c r="A135" s="56"/>
      <c r="B135" s="56" t="s">
        <v>53</v>
      </c>
      <c r="C135" s="57"/>
      <c r="D135" s="58">
        <v>1.0</v>
      </c>
      <c r="E135" s="59" t="s">
        <v>798</v>
      </c>
      <c r="F135" s="57"/>
      <c r="G135" s="69">
        <v>45795.0</v>
      </c>
      <c r="J135" s="61" t="s">
        <v>38</v>
      </c>
      <c r="K135" s="62" t="s">
        <v>830</v>
      </c>
      <c r="L135" s="63">
        <v>156.51</v>
      </c>
      <c r="M135" s="62">
        <v>596938.0</v>
      </c>
      <c r="N135" s="57"/>
      <c r="P135" s="6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</row>
    <row r="136">
      <c r="A136" s="56"/>
      <c r="B136" s="56" t="s">
        <v>840</v>
      </c>
      <c r="C136" s="57"/>
      <c r="D136" s="58">
        <v>1.0</v>
      </c>
      <c r="E136" s="59" t="s">
        <v>841</v>
      </c>
      <c r="F136" s="57"/>
      <c r="G136" s="69">
        <v>45795.0</v>
      </c>
      <c r="J136" s="61" t="s">
        <v>38</v>
      </c>
      <c r="K136" s="62" t="s">
        <v>830</v>
      </c>
      <c r="L136" s="63">
        <v>50.11</v>
      </c>
      <c r="M136" s="62">
        <v>596938.0</v>
      </c>
      <c r="N136" s="57"/>
      <c r="P136" s="6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</row>
    <row r="137">
      <c r="A137" s="56"/>
      <c r="B137" s="56" t="s">
        <v>840</v>
      </c>
      <c r="C137" s="57"/>
      <c r="D137" s="58">
        <v>1.0</v>
      </c>
      <c r="E137" s="59" t="s">
        <v>847</v>
      </c>
      <c r="F137" s="57"/>
      <c r="G137" s="69">
        <v>45795.0</v>
      </c>
      <c r="J137" s="61" t="s">
        <v>38</v>
      </c>
      <c r="K137" s="62" t="s">
        <v>830</v>
      </c>
      <c r="L137" s="63">
        <v>50.11</v>
      </c>
      <c r="M137" s="62">
        <v>596938.0</v>
      </c>
      <c r="N137" s="57"/>
      <c r="P137" s="66" t="s">
        <v>43</v>
      </c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</row>
    <row r="138">
      <c r="A138" s="56"/>
      <c r="B138" s="56" t="s">
        <v>423</v>
      </c>
      <c r="C138" s="62" t="s">
        <v>424</v>
      </c>
      <c r="D138" s="58">
        <v>1.0</v>
      </c>
      <c r="E138" s="59" t="s">
        <v>850</v>
      </c>
      <c r="F138" s="57"/>
      <c r="G138" s="69">
        <v>45795.0</v>
      </c>
      <c r="J138" s="61" t="s">
        <v>38</v>
      </c>
      <c r="K138" s="62" t="s">
        <v>830</v>
      </c>
      <c r="L138" s="63">
        <v>92.91</v>
      </c>
      <c r="M138" s="62">
        <v>596938.0</v>
      </c>
      <c r="N138" s="57"/>
      <c r="P138" s="66" t="s">
        <v>43</v>
      </c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</row>
    <row r="139">
      <c r="A139" s="56"/>
      <c r="B139" s="56" t="s">
        <v>852</v>
      </c>
      <c r="C139" s="57"/>
      <c r="D139" s="58">
        <v>1.0</v>
      </c>
      <c r="E139" s="59" t="s">
        <v>853</v>
      </c>
      <c r="F139" s="57"/>
      <c r="G139" s="69">
        <v>45795.0</v>
      </c>
      <c r="J139" s="61" t="s">
        <v>38</v>
      </c>
      <c r="K139" s="62" t="s">
        <v>830</v>
      </c>
      <c r="L139" s="63">
        <v>92.91</v>
      </c>
      <c r="M139" s="62">
        <v>596938.0</v>
      </c>
      <c r="N139" s="57"/>
      <c r="P139" s="66" t="s">
        <v>43</v>
      </c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</row>
    <row r="140">
      <c r="A140" s="56"/>
      <c r="B140" s="56" t="s">
        <v>855</v>
      </c>
      <c r="C140" s="57"/>
      <c r="D140" s="58">
        <v>1.0</v>
      </c>
      <c r="E140" s="59" t="s">
        <v>856</v>
      </c>
      <c r="F140" s="57"/>
      <c r="G140" s="69">
        <v>45795.0</v>
      </c>
      <c r="J140" s="61" t="s">
        <v>38</v>
      </c>
      <c r="K140" s="62" t="s">
        <v>830</v>
      </c>
      <c r="L140" s="63">
        <v>14.58</v>
      </c>
      <c r="M140" s="62">
        <v>596938.0</v>
      </c>
      <c r="N140" s="57"/>
      <c r="P140" s="66" t="s">
        <v>43</v>
      </c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</row>
    <row r="141">
      <c r="A141" s="56"/>
      <c r="B141" s="56" t="s">
        <v>53</v>
      </c>
      <c r="C141" s="57"/>
      <c r="D141" s="58">
        <v>5.0</v>
      </c>
      <c r="E141" s="59" t="s">
        <v>569</v>
      </c>
      <c r="F141" s="57"/>
      <c r="G141" s="69">
        <v>45795.0</v>
      </c>
      <c r="J141" s="61" t="s">
        <v>38</v>
      </c>
      <c r="K141" s="62" t="s">
        <v>830</v>
      </c>
      <c r="L141" s="63">
        <v>1.0</v>
      </c>
      <c r="M141" s="62">
        <v>596938.0</v>
      </c>
      <c r="N141" s="57"/>
      <c r="P141" s="6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</row>
    <row r="142">
      <c r="A142" s="56"/>
      <c r="B142" s="56" t="s">
        <v>53</v>
      </c>
      <c r="C142" s="57"/>
      <c r="D142" s="58">
        <v>5.0</v>
      </c>
      <c r="E142" s="59" t="s">
        <v>861</v>
      </c>
      <c r="F142" s="57"/>
      <c r="G142" s="69">
        <v>45795.0</v>
      </c>
      <c r="J142" s="61" t="s">
        <v>38</v>
      </c>
      <c r="K142" s="62" t="s">
        <v>830</v>
      </c>
      <c r="L142" s="63">
        <v>1.0</v>
      </c>
      <c r="M142" s="62">
        <v>596938.0</v>
      </c>
      <c r="N142" s="57"/>
      <c r="P142" s="6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</row>
    <row r="143">
      <c r="A143" s="56"/>
      <c r="B143" s="56" t="s">
        <v>53</v>
      </c>
      <c r="C143" s="57"/>
      <c r="D143" s="58">
        <v>5.0</v>
      </c>
      <c r="E143" s="59" t="s">
        <v>865</v>
      </c>
      <c r="F143" s="57"/>
      <c r="G143" s="69">
        <v>45795.0</v>
      </c>
      <c r="J143" s="61" t="s">
        <v>38</v>
      </c>
      <c r="K143" s="62" t="s">
        <v>830</v>
      </c>
      <c r="L143" s="63">
        <v>1.0</v>
      </c>
      <c r="M143" s="62">
        <v>596938.0</v>
      </c>
      <c r="N143" s="57"/>
      <c r="P143" s="6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</row>
    <row r="144">
      <c r="A144" s="56"/>
      <c r="B144" s="56" t="s">
        <v>53</v>
      </c>
      <c r="C144" s="57"/>
      <c r="D144" s="58">
        <v>5.0</v>
      </c>
      <c r="E144" s="59" t="s">
        <v>860</v>
      </c>
      <c r="F144" s="57"/>
      <c r="G144" s="69">
        <v>45795.0</v>
      </c>
      <c r="J144" s="61" t="s">
        <v>38</v>
      </c>
      <c r="K144" s="62" t="s">
        <v>830</v>
      </c>
      <c r="L144" s="63">
        <v>1.0</v>
      </c>
      <c r="M144" s="62">
        <v>596938.0</v>
      </c>
      <c r="N144" s="57"/>
      <c r="P144" s="6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</row>
    <row r="145">
      <c r="A145" s="56"/>
      <c r="B145" s="56" t="s">
        <v>53</v>
      </c>
      <c r="C145" s="57"/>
      <c r="D145" s="58">
        <v>5.0</v>
      </c>
      <c r="E145" s="59" t="s">
        <v>870</v>
      </c>
      <c r="F145" s="57"/>
      <c r="G145" s="69">
        <v>45795.0</v>
      </c>
      <c r="J145" s="61" t="s">
        <v>38</v>
      </c>
      <c r="K145" s="62" t="s">
        <v>830</v>
      </c>
      <c r="L145" s="63">
        <v>1.0</v>
      </c>
      <c r="M145" s="62">
        <v>596938.0</v>
      </c>
      <c r="N145" s="57"/>
      <c r="P145" s="6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</row>
    <row r="146">
      <c r="A146" s="56"/>
      <c r="B146" s="56" t="s">
        <v>53</v>
      </c>
      <c r="C146" s="57"/>
      <c r="D146" s="58">
        <v>5.0</v>
      </c>
      <c r="E146" s="59" t="s">
        <v>873</v>
      </c>
      <c r="F146" s="57"/>
      <c r="G146" s="69">
        <v>45795.0</v>
      </c>
      <c r="J146" s="61" t="s">
        <v>38</v>
      </c>
      <c r="K146" s="62" t="s">
        <v>830</v>
      </c>
      <c r="L146" s="63">
        <v>1.0</v>
      </c>
      <c r="M146" s="62">
        <v>596938.0</v>
      </c>
      <c r="N146" s="57"/>
      <c r="P146" s="6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</row>
    <row r="147">
      <c r="A147" s="56"/>
      <c r="B147" s="56" t="s">
        <v>53</v>
      </c>
      <c r="C147" s="57"/>
      <c r="D147" s="58">
        <v>5.0</v>
      </c>
      <c r="E147" s="59" t="s">
        <v>875</v>
      </c>
      <c r="F147" s="57"/>
      <c r="G147" s="69">
        <v>45795.0</v>
      </c>
      <c r="J147" s="61" t="s">
        <v>38</v>
      </c>
      <c r="K147" s="62" t="s">
        <v>830</v>
      </c>
      <c r="L147" s="63">
        <v>1.0</v>
      </c>
      <c r="M147" s="62">
        <v>596938.0</v>
      </c>
      <c r="N147" s="57"/>
      <c r="P147" s="6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</row>
    <row r="148">
      <c r="A148" s="56"/>
      <c r="B148" s="56" t="s">
        <v>53</v>
      </c>
      <c r="C148" s="57"/>
      <c r="D148" s="58">
        <v>5.0</v>
      </c>
      <c r="E148" s="59" t="s">
        <v>866</v>
      </c>
      <c r="F148" s="57"/>
      <c r="G148" s="69">
        <v>45795.0</v>
      </c>
      <c r="J148" s="61" t="s">
        <v>38</v>
      </c>
      <c r="K148" s="62" t="s">
        <v>830</v>
      </c>
      <c r="L148" s="63">
        <v>1.0</v>
      </c>
      <c r="M148" s="62">
        <v>596938.0</v>
      </c>
      <c r="N148" s="57"/>
      <c r="P148" s="6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</row>
    <row r="149">
      <c r="A149" s="56"/>
      <c r="B149" s="56" t="s">
        <v>53</v>
      </c>
      <c r="C149" s="57"/>
      <c r="D149" s="58">
        <v>5.0</v>
      </c>
      <c r="E149" s="59" t="s">
        <v>447</v>
      </c>
      <c r="F149" s="57"/>
      <c r="G149" s="69">
        <v>45795.0</v>
      </c>
      <c r="J149" s="61" t="s">
        <v>38</v>
      </c>
      <c r="K149" s="62" t="s">
        <v>830</v>
      </c>
      <c r="L149" s="63">
        <v>1.0</v>
      </c>
      <c r="M149" s="62">
        <v>596938.0</v>
      </c>
      <c r="N149" s="57"/>
      <c r="P149" s="6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</row>
    <row r="150">
      <c r="A150" s="56"/>
      <c r="B150" s="56" t="s">
        <v>53</v>
      </c>
      <c r="C150" s="57"/>
      <c r="D150" s="58">
        <v>1.0</v>
      </c>
      <c r="E150" s="59" t="s">
        <v>883</v>
      </c>
      <c r="F150" s="57"/>
      <c r="G150" s="69">
        <v>45795.0</v>
      </c>
      <c r="J150" s="61" t="s">
        <v>38</v>
      </c>
      <c r="K150" s="62" t="s">
        <v>830</v>
      </c>
      <c r="L150" s="63">
        <v>17.2</v>
      </c>
      <c r="M150" s="62">
        <v>596938.0</v>
      </c>
      <c r="N150" s="57"/>
      <c r="P150" s="6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</row>
    <row r="151">
      <c r="A151" s="56"/>
      <c r="B151" s="56" t="s">
        <v>53</v>
      </c>
      <c r="C151" s="57"/>
      <c r="D151" s="58">
        <v>1.0</v>
      </c>
      <c r="E151" s="59" t="s">
        <v>745</v>
      </c>
      <c r="F151" s="57"/>
      <c r="G151" s="69">
        <v>45795.0</v>
      </c>
      <c r="J151" s="61" t="s">
        <v>38</v>
      </c>
      <c r="K151" s="62" t="s">
        <v>830</v>
      </c>
      <c r="L151" s="63">
        <v>8.88</v>
      </c>
      <c r="M151" s="62">
        <v>596938.0</v>
      </c>
      <c r="N151" s="57"/>
      <c r="P151" s="6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</row>
    <row r="152">
      <c r="A152" s="56"/>
      <c r="B152" s="56" t="s">
        <v>53</v>
      </c>
      <c r="C152" s="57"/>
      <c r="D152" s="58">
        <v>1.0</v>
      </c>
      <c r="E152" s="59" t="s">
        <v>889</v>
      </c>
      <c r="F152" s="57"/>
      <c r="G152" s="69">
        <v>45795.0</v>
      </c>
      <c r="J152" s="61" t="s">
        <v>38</v>
      </c>
      <c r="K152" s="62" t="s">
        <v>830</v>
      </c>
      <c r="L152" s="63">
        <v>4.09</v>
      </c>
      <c r="M152" s="62">
        <v>596938.0</v>
      </c>
      <c r="N152" s="57"/>
      <c r="P152" s="6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</row>
    <row r="153">
      <c r="A153" s="56"/>
      <c r="B153" s="56" t="s">
        <v>53</v>
      </c>
      <c r="C153" s="57"/>
      <c r="D153" s="58">
        <v>1.0</v>
      </c>
      <c r="E153" s="59" t="s">
        <v>893</v>
      </c>
      <c r="F153" s="57"/>
      <c r="G153" s="69">
        <v>45796.0</v>
      </c>
      <c r="J153" s="61" t="s">
        <v>347</v>
      </c>
      <c r="K153" s="62" t="s">
        <v>896</v>
      </c>
      <c r="L153" s="63">
        <v>95.4</v>
      </c>
      <c r="M153" s="62" t="s">
        <v>896</v>
      </c>
      <c r="N153" s="57"/>
      <c r="P153" s="6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</row>
    <row r="154">
      <c r="A154" s="56"/>
      <c r="B154" s="56" t="s">
        <v>53</v>
      </c>
      <c r="C154" s="57"/>
      <c r="D154" s="58">
        <v>3.0</v>
      </c>
      <c r="E154" s="59" t="s">
        <v>898</v>
      </c>
      <c r="F154" s="57"/>
      <c r="G154" s="69">
        <v>45805.0</v>
      </c>
      <c r="J154" s="61" t="s">
        <v>38</v>
      </c>
      <c r="K154" s="62" t="s">
        <v>899</v>
      </c>
      <c r="L154" s="63">
        <v>7.32</v>
      </c>
      <c r="M154" s="62">
        <v>598687.0</v>
      </c>
      <c r="N154" s="57"/>
      <c r="P154" s="6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</row>
    <row r="155">
      <c r="A155" s="56"/>
      <c r="B155" s="56" t="s">
        <v>53</v>
      </c>
      <c r="C155" s="57"/>
      <c r="D155" s="58">
        <v>3.0</v>
      </c>
      <c r="E155" s="59" t="s">
        <v>902</v>
      </c>
      <c r="F155" s="57"/>
      <c r="G155" s="69">
        <v>45805.0</v>
      </c>
      <c r="J155" s="61" t="s">
        <v>38</v>
      </c>
      <c r="K155" s="62" t="s">
        <v>899</v>
      </c>
      <c r="L155" s="63">
        <v>6.32</v>
      </c>
      <c r="M155" s="62">
        <v>598687.0</v>
      </c>
      <c r="N155" s="57"/>
      <c r="P155" s="6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</row>
    <row r="156">
      <c r="A156" s="56"/>
      <c r="B156" s="56" t="s">
        <v>53</v>
      </c>
      <c r="C156" s="57"/>
      <c r="D156" s="58">
        <v>6.0</v>
      </c>
      <c r="E156" s="59" t="s">
        <v>905</v>
      </c>
      <c r="F156" s="57"/>
      <c r="G156" s="69">
        <v>45805.0</v>
      </c>
      <c r="J156" s="61" t="s">
        <v>38</v>
      </c>
      <c r="K156" s="62" t="s">
        <v>899</v>
      </c>
      <c r="L156" s="63">
        <v>20.9</v>
      </c>
      <c r="M156" s="62">
        <v>598687.0</v>
      </c>
      <c r="N156" s="57"/>
      <c r="P156" s="6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</row>
    <row r="157">
      <c r="A157" s="56"/>
      <c r="B157" s="56" t="s">
        <v>53</v>
      </c>
      <c r="C157" s="57"/>
      <c r="D157" s="58">
        <v>6.0</v>
      </c>
      <c r="E157" s="59" t="s">
        <v>910</v>
      </c>
      <c r="F157" s="57"/>
      <c r="G157" s="69">
        <v>45805.0</v>
      </c>
      <c r="J157" s="61" t="s">
        <v>38</v>
      </c>
      <c r="K157" s="62" t="s">
        <v>899</v>
      </c>
      <c r="L157" s="63">
        <v>20.9</v>
      </c>
      <c r="M157" s="62">
        <v>598687.0</v>
      </c>
      <c r="N157" s="57"/>
      <c r="P157" s="6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</row>
    <row r="158">
      <c r="A158" s="56"/>
      <c r="B158" s="56" t="s">
        <v>53</v>
      </c>
      <c r="C158" s="57"/>
      <c r="D158" s="58">
        <v>6.0</v>
      </c>
      <c r="E158" s="59" t="s">
        <v>912</v>
      </c>
      <c r="F158" s="57"/>
      <c r="G158" s="69">
        <v>45805.0</v>
      </c>
      <c r="J158" s="61" t="s">
        <v>38</v>
      </c>
      <c r="K158" s="62" t="s">
        <v>899</v>
      </c>
      <c r="L158" s="63">
        <v>20.9</v>
      </c>
      <c r="M158" s="62">
        <v>598687.0</v>
      </c>
      <c r="N158" s="57"/>
      <c r="P158" s="6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</row>
    <row r="159">
      <c r="A159" s="56"/>
      <c r="B159" s="56" t="s">
        <v>53</v>
      </c>
      <c r="C159" s="57"/>
      <c r="D159" s="58">
        <v>2.0</v>
      </c>
      <c r="E159" s="59" t="s">
        <v>915</v>
      </c>
      <c r="F159" s="57"/>
      <c r="G159" s="69">
        <v>45805.0</v>
      </c>
      <c r="J159" s="61" t="s">
        <v>38</v>
      </c>
      <c r="K159" s="62" t="s">
        <v>899</v>
      </c>
      <c r="L159" s="63">
        <v>8.17</v>
      </c>
      <c r="M159" s="62">
        <v>598687.0</v>
      </c>
      <c r="N159" s="57"/>
      <c r="P159" s="6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</row>
    <row r="160">
      <c r="A160" s="56"/>
      <c r="B160" s="56" t="s">
        <v>53</v>
      </c>
      <c r="C160" s="57"/>
      <c r="D160" s="58">
        <v>2.0</v>
      </c>
      <c r="E160" s="59" t="s">
        <v>916</v>
      </c>
      <c r="F160" s="57"/>
      <c r="G160" s="69">
        <v>45805.0</v>
      </c>
      <c r="J160" s="61" t="s">
        <v>38</v>
      </c>
      <c r="K160" s="62" t="s">
        <v>899</v>
      </c>
      <c r="L160" s="63">
        <v>8.17</v>
      </c>
      <c r="M160" s="62">
        <v>598687.0</v>
      </c>
      <c r="N160" s="57"/>
      <c r="P160" s="6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</row>
    <row r="161">
      <c r="A161" s="56"/>
      <c r="B161" s="56" t="s">
        <v>53</v>
      </c>
      <c r="C161" s="57"/>
      <c r="D161" s="58">
        <v>2.0</v>
      </c>
      <c r="E161" s="59" t="s">
        <v>919</v>
      </c>
      <c r="F161" s="57"/>
      <c r="G161" s="69">
        <v>45805.0</v>
      </c>
      <c r="J161" s="61" t="s">
        <v>38</v>
      </c>
      <c r="K161" s="62" t="s">
        <v>899</v>
      </c>
      <c r="L161" s="63">
        <v>8.17</v>
      </c>
      <c r="M161" s="62">
        <v>598687.0</v>
      </c>
      <c r="N161" s="57"/>
      <c r="P161" s="6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</row>
    <row r="162">
      <c r="A162" s="56"/>
      <c r="B162" s="56" t="s">
        <v>53</v>
      </c>
      <c r="C162" s="57"/>
      <c r="D162" s="58">
        <v>2.0</v>
      </c>
      <c r="E162" s="59" t="s">
        <v>921</v>
      </c>
      <c r="F162" s="57"/>
      <c r="G162" s="69">
        <v>45805.0</v>
      </c>
      <c r="J162" s="61" t="s">
        <v>38</v>
      </c>
      <c r="K162" s="62" t="s">
        <v>899</v>
      </c>
      <c r="L162" s="63">
        <v>1.9</v>
      </c>
      <c r="M162" s="62">
        <v>598687.0</v>
      </c>
      <c r="N162" s="57"/>
      <c r="P162" s="6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</row>
    <row r="163">
      <c r="A163" s="56"/>
      <c r="B163" s="56" t="s">
        <v>53</v>
      </c>
      <c r="C163" s="57"/>
      <c r="D163" s="58">
        <v>12.0</v>
      </c>
      <c r="E163" s="59" t="s">
        <v>924</v>
      </c>
      <c r="F163" s="57"/>
      <c r="G163" s="69">
        <v>45805.0</v>
      </c>
      <c r="J163" s="61" t="s">
        <v>38</v>
      </c>
      <c r="K163" s="62" t="s">
        <v>899</v>
      </c>
      <c r="L163" s="63">
        <v>5.94</v>
      </c>
      <c r="M163" s="62">
        <v>598687.0</v>
      </c>
      <c r="N163" s="57"/>
      <c r="P163" s="6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</row>
    <row r="164">
      <c r="A164" s="56"/>
      <c r="B164" s="56" t="s">
        <v>53</v>
      </c>
      <c r="C164" s="57"/>
      <c r="D164" s="58">
        <v>12.0</v>
      </c>
      <c r="E164" s="59" t="s">
        <v>928</v>
      </c>
      <c r="F164" s="57"/>
      <c r="G164" s="69">
        <v>45805.0</v>
      </c>
      <c r="J164" s="61" t="s">
        <v>38</v>
      </c>
      <c r="K164" s="62" t="s">
        <v>899</v>
      </c>
      <c r="L164" s="63">
        <v>9.64</v>
      </c>
      <c r="M164" s="62">
        <v>598687.0</v>
      </c>
      <c r="N164" s="57"/>
      <c r="P164" s="6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</row>
    <row r="165">
      <c r="A165" s="56"/>
      <c r="B165" s="56" t="s">
        <v>734</v>
      </c>
      <c r="C165" s="57"/>
      <c r="D165" s="58">
        <v>1.0</v>
      </c>
      <c r="E165" s="59" t="s">
        <v>932</v>
      </c>
      <c r="F165" s="57"/>
      <c r="G165" s="69">
        <v>45805.0</v>
      </c>
      <c r="J165" s="61" t="s">
        <v>38</v>
      </c>
      <c r="K165" s="62" t="s">
        <v>899</v>
      </c>
      <c r="L165" s="63">
        <v>8.84</v>
      </c>
      <c r="M165" s="62">
        <v>598687.0</v>
      </c>
      <c r="N165" s="57"/>
      <c r="P165" s="66" t="s">
        <v>43</v>
      </c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</row>
    <row r="166">
      <c r="A166" s="56"/>
      <c r="B166" s="56" t="s">
        <v>935</v>
      </c>
      <c r="C166" s="62" t="s">
        <v>936</v>
      </c>
      <c r="D166" s="58">
        <v>1.0</v>
      </c>
      <c r="E166" s="59" t="s">
        <v>821</v>
      </c>
      <c r="F166" s="57"/>
      <c r="G166" s="69">
        <v>45805.0</v>
      </c>
      <c r="J166" s="61" t="s">
        <v>38</v>
      </c>
      <c r="K166" s="62" t="s">
        <v>899</v>
      </c>
      <c r="L166" s="63">
        <v>89.54</v>
      </c>
      <c r="M166" s="62">
        <v>601462.0</v>
      </c>
      <c r="N166" s="57"/>
      <c r="P166" s="66" t="s">
        <v>43</v>
      </c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</row>
    <row r="167">
      <c r="A167" s="56"/>
      <c r="B167" s="56" t="s">
        <v>938</v>
      </c>
      <c r="C167" s="57"/>
      <c r="D167" s="58">
        <v>1.0</v>
      </c>
      <c r="E167" s="59" t="s">
        <v>939</v>
      </c>
      <c r="F167" s="57"/>
      <c r="G167" s="69">
        <v>45805.0</v>
      </c>
      <c r="J167" s="61" t="s">
        <v>38</v>
      </c>
      <c r="K167" s="62" t="s">
        <v>899</v>
      </c>
      <c r="L167" s="63">
        <v>50.11</v>
      </c>
      <c r="M167" s="62">
        <v>598687.0</v>
      </c>
      <c r="N167" s="57"/>
      <c r="P167" s="66" t="s">
        <v>43</v>
      </c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</row>
    <row r="168">
      <c r="A168" s="56"/>
      <c r="B168" s="56" t="s">
        <v>938</v>
      </c>
      <c r="C168" s="57"/>
      <c r="D168" s="58">
        <v>1.0</v>
      </c>
      <c r="E168" s="59" t="s">
        <v>941</v>
      </c>
      <c r="F168" s="57"/>
      <c r="G168" s="69">
        <v>45805.0</v>
      </c>
      <c r="J168" s="61" t="s">
        <v>38</v>
      </c>
      <c r="K168" s="62" t="s">
        <v>899</v>
      </c>
      <c r="L168" s="63">
        <v>28.45</v>
      </c>
      <c r="M168" s="62">
        <v>598687.0</v>
      </c>
      <c r="N168" s="57"/>
      <c r="P168" s="66" t="s">
        <v>43</v>
      </c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</row>
    <row r="169">
      <c r="A169" s="56"/>
      <c r="B169" s="56" t="s">
        <v>938</v>
      </c>
      <c r="C169" s="57"/>
      <c r="D169" s="58">
        <v>1.0</v>
      </c>
      <c r="E169" s="59" t="s">
        <v>945</v>
      </c>
      <c r="F169" s="57"/>
      <c r="G169" s="69">
        <v>45805.0</v>
      </c>
      <c r="J169" s="61" t="s">
        <v>38</v>
      </c>
      <c r="K169" s="62" t="s">
        <v>899</v>
      </c>
      <c r="L169" s="63">
        <v>14.49</v>
      </c>
      <c r="M169" s="62">
        <v>598687.0</v>
      </c>
      <c r="N169" s="57"/>
      <c r="P169" s="66" t="s">
        <v>43</v>
      </c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</row>
    <row r="170">
      <c r="A170" s="56"/>
      <c r="B170" s="56" t="s">
        <v>53</v>
      </c>
      <c r="C170" s="57"/>
      <c r="D170" s="58">
        <v>2.0</v>
      </c>
      <c r="E170" s="59" t="s">
        <v>883</v>
      </c>
      <c r="F170" s="57"/>
      <c r="G170" s="69">
        <v>45805.0</v>
      </c>
      <c r="J170" s="61" t="s">
        <v>38</v>
      </c>
      <c r="K170" s="62" t="s">
        <v>899</v>
      </c>
      <c r="L170" s="63">
        <v>17.2</v>
      </c>
      <c r="M170" s="62">
        <v>598687.0</v>
      </c>
      <c r="N170" s="57"/>
      <c r="P170" s="6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</row>
    <row r="171">
      <c r="A171" s="56"/>
      <c r="B171" s="56" t="s">
        <v>758</v>
      </c>
      <c r="C171" s="57"/>
      <c r="D171" s="58">
        <v>1.0</v>
      </c>
      <c r="E171" s="59" t="s">
        <v>950</v>
      </c>
      <c r="F171" s="57"/>
      <c r="G171" s="69">
        <v>45805.0</v>
      </c>
      <c r="J171" s="61" t="s">
        <v>38</v>
      </c>
      <c r="K171" s="62" t="s">
        <v>899</v>
      </c>
      <c r="L171" s="63">
        <v>11.88</v>
      </c>
      <c r="M171" s="62">
        <v>598687.0</v>
      </c>
      <c r="N171" s="57"/>
      <c r="P171" s="66" t="s">
        <v>43</v>
      </c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</row>
    <row r="172">
      <c r="A172" s="56"/>
      <c r="B172" s="56" t="s">
        <v>53</v>
      </c>
      <c r="C172" s="57"/>
      <c r="D172" s="58">
        <v>20.0</v>
      </c>
      <c r="E172" s="59" t="s">
        <v>781</v>
      </c>
      <c r="F172" s="57"/>
      <c r="G172" s="69">
        <v>45805.0</v>
      </c>
      <c r="J172" s="61" t="s">
        <v>38</v>
      </c>
      <c r="K172" s="62" t="s">
        <v>899</v>
      </c>
      <c r="L172" s="63">
        <v>13.35</v>
      </c>
      <c r="M172" s="62">
        <v>598687.0</v>
      </c>
      <c r="N172" s="57"/>
      <c r="P172" s="6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</row>
    <row r="173">
      <c r="A173" s="56"/>
      <c r="B173" s="56" t="s">
        <v>53</v>
      </c>
      <c r="C173" s="57"/>
      <c r="D173" s="58">
        <v>30.0</v>
      </c>
      <c r="E173" s="59" t="s">
        <v>954</v>
      </c>
      <c r="F173" s="57"/>
      <c r="G173" s="69">
        <v>45805.0</v>
      </c>
      <c r="J173" s="61" t="s">
        <v>38</v>
      </c>
      <c r="K173" s="62" t="s">
        <v>899</v>
      </c>
      <c r="L173" s="63">
        <v>3.04</v>
      </c>
      <c r="M173" s="62">
        <v>598687.0</v>
      </c>
      <c r="N173" s="57"/>
      <c r="P173" s="6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</row>
    <row r="174">
      <c r="A174" s="56"/>
      <c r="B174" s="56" t="s">
        <v>53</v>
      </c>
      <c r="C174" s="57"/>
      <c r="D174" s="58">
        <v>5.0</v>
      </c>
      <c r="E174" s="59" t="s">
        <v>957</v>
      </c>
      <c r="F174" s="57"/>
      <c r="G174" s="69">
        <v>45805.0</v>
      </c>
      <c r="J174" s="61" t="s">
        <v>38</v>
      </c>
      <c r="K174" s="62" t="s">
        <v>899</v>
      </c>
      <c r="L174" s="63">
        <v>1.0</v>
      </c>
      <c r="M174" s="62">
        <v>598687.0</v>
      </c>
      <c r="N174" s="57"/>
      <c r="P174" s="6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</row>
    <row r="175">
      <c r="A175" s="56"/>
      <c r="B175" s="56" t="s">
        <v>53</v>
      </c>
      <c r="C175" s="57"/>
      <c r="D175" s="58">
        <v>2.0</v>
      </c>
      <c r="E175" s="59" t="s">
        <v>889</v>
      </c>
      <c r="F175" s="57"/>
      <c r="G175" s="69">
        <v>45805.0</v>
      </c>
      <c r="J175" s="61" t="s">
        <v>38</v>
      </c>
      <c r="K175" s="62" t="s">
        <v>899</v>
      </c>
      <c r="L175" s="63">
        <v>4.09</v>
      </c>
      <c r="M175" s="62">
        <v>598687.0</v>
      </c>
      <c r="N175" s="57"/>
      <c r="P175" s="6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</row>
    <row r="176">
      <c r="A176" s="56"/>
      <c r="B176" s="56" t="s">
        <v>53</v>
      </c>
      <c r="C176" s="57"/>
      <c r="D176" s="58">
        <v>50.0</v>
      </c>
      <c r="E176" s="59" t="s">
        <v>962</v>
      </c>
      <c r="F176" s="57"/>
      <c r="G176" s="69">
        <v>45805.0</v>
      </c>
      <c r="J176" s="61" t="s">
        <v>38</v>
      </c>
      <c r="K176" s="62" t="s">
        <v>899</v>
      </c>
      <c r="L176" s="63">
        <v>8.12</v>
      </c>
      <c r="M176" s="62">
        <v>598687.0</v>
      </c>
      <c r="N176" s="57"/>
      <c r="P176" s="6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</row>
    <row r="177">
      <c r="A177" s="56"/>
      <c r="B177" s="56" t="s">
        <v>53</v>
      </c>
      <c r="C177" s="57"/>
      <c r="D177" s="58">
        <v>5.0</v>
      </c>
      <c r="E177" s="59" t="s">
        <v>968</v>
      </c>
      <c r="F177" s="57"/>
      <c r="G177" s="69">
        <v>45805.0</v>
      </c>
      <c r="J177" s="61" t="s">
        <v>38</v>
      </c>
      <c r="K177" s="62" t="s">
        <v>899</v>
      </c>
      <c r="L177" s="63">
        <v>6.03</v>
      </c>
      <c r="M177" s="62">
        <v>598687.0</v>
      </c>
      <c r="N177" s="57"/>
      <c r="P177" s="6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</row>
    <row r="178">
      <c r="A178" s="56"/>
      <c r="B178" s="56" t="s">
        <v>53</v>
      </c>
      <c r="C178" s="57"/>
      <c r="D178" s="58">
        <v>20.0</v>
      </c>
      <c r="E178" s="59" t="s">
        <v>969</v>
      </c>
      <c r="F178" s="57"/>
      <c r="G178" s="69">
        <v>45805.0</v>
      </c>
      <c r="J178" s="61" t="s">
        <v>38</v>
      </c>
      <c r="K178" s="62" t="s">
        <v>899</v>
      </c>
      <c r="L178" s="63">
        <v>3.04</v>
      </c>
      <c r="M178" s="62">
        <v>604952.0</v>
      </c>
      <c r="N178" s="62" t="s">
        <v>971</v>
      </c>
      <c r="P178" s="6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</row>
    <row r="179">
      <c r="A179" s="56"/>
      <c r="B179" s="56" t="s">
        <v>973</v>
      </c>
      <c r="C179" s="62" t="s">
        <v>974</v>
      </c>
      <c r="D179" s="58">
        <v>1.0</v>
      </c>
      <c r="E179" s="59" t="s">
        <v>975</v>
      </c>
      <c r="F179" s="57"/>
      <c r="G179" s="69">
        <v>45805.0</v>
      </c>
      <c r="J179" s="61" t="s">
        <v>38</v>
      </c>
      <c r="K179" s="62" t="s">
        <v>899</v>
      </c>
      <c r="L179" s="63">
        <v>77.43</v>
      </c>
      <c r="M179" s="62">
        <v>598687.0</v>
      </c>
      <c r="N179" s="57"/>
      <c r="P179" s="66" t="s">
        <v>43</v>
      </c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</row>
    <row r="180">
      <c r="A180" s="56"/>
      <c r="B180" s="56" t="s">
        <v>978</v>
      </c>
      <c r="C180" s="62" t="s">
        <v>979</v>
      </c>
      <c r="D180" s="58">
        <v>1.0</v>
      </c>
      <c r="E180" s="59" t="s">
        <v>981</v>
      </c>
      <c r="F180" s="57"/>
      <c r="G180" s="69">
        <v>45812.0</v>
      </c>
      <c r="J180" s="62" t="s">
        <v>38</v>
      </c>
      <c r="K180" s="62" t="s">
        <v>982</v>
      </c>
      <c r="L180" s="63">
        <v>101.7</v>
      </c>
      <c r="M180" s="62">
        <v>601090.0</v>
      </c>
      <c r="N180" s="57"/>
      <c r="P180" s="6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</row>
    <row r="181">
      <c r="A181" s="56"/>
      <c r="B181" s="56" t="s">
        <v>987</v>
      </c>
      <c r="C181" s="62" t="s">
        <v>988</v>
      </c>
      <c r="D181" s="58">
        <v>1.0</v>
      </c>
      <c r="E181" s="59" t="s">
        <v>689</v>
      </c>
      <c r="F181" s="57"/>
      <c r="G181" s="69">
        <v>45812.0</v>
      </c>
      <c r="J181" s="62" t="s">
        <v>38</v>
      </c>
      <c r="K181" s="62" t="s">
        <v>982</v>
      </c>
      <c r="L181" s="63">
        <v>89.54</v>
      </c>
      <c r="M181" s="62">
        <v>600274.0</v>
      </c>
      <c r="N181" s="57"/>
      <c r="P181" s="66" t="s">
        <v>43</v>
      </c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</row>
    <row r="182">
      <c r="A182" s="56"/>
      <c r="B182" s="56" t="s">
        <v>990</v>
      </c>
      <c r="C182" s="62" t="s">
        <v>991</v>
      </c>
      <c r="D182" s="58">
        <v>1.0</v>
      </c>
      <c r="E182" s="59" t="s">
        <v>992</v>
      </c>
      <c r="F182" s="57"/>
      <c r="G182" s="69">
        <v>45812.0</v>
      </c>
      <c r="J182" s="62" t="s">
        <v>38</v>
      </c>
      <c r="K182" s="62" t="s">
        <v>982</v>
      </c>
      <c r="L182" s="63">
        <v>62.75</v>
      </c>
      <c r="M182" s="62">
        <v>600274.0</v>
      </c>
      <c r="N182" s="57"/>
      <c r="P182" s="66" t="s">
        <v>43</v>
      </c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</row>
    <row r="183">
      <c r="A183" s="56"/>
      <c r="B183" s="56" t="s">
        <v>994</v>
      </c>
      <c r="C183" s="62" t="s">
        <v>995</v>
      </c>
      <c r="D183" s="58">
        <v>1.0</v>
      </c>
      <c r="E183" s="59" t="s">
        <v>996</v>
      </c>
      <c r="F183" s="57"/>
      <c r="G183" s="69">
        <v>45812.0</v>
      </c>
      <c r="J183" s="62" t="s">
        <v>38</v>
      </c>
      <c r="K183" s="62" t="s">
        <v>982</v>
      </c>
      <c r="L183" s="63">
        <v>37.05</v>
      </c>
      <c r="M183" s="62">
        <v>600274.0</v>
      </c>
      <c r="N183" s="57"/>
      <c r="P183" s="66" t="s">
        <v>43</v>
      </c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</row>
    <row r="184">
      <c r="A184" s="56"/>
      <c r="B184" s="56" t="s">
        <v>53</v>
      </c>
      <c r="C184" s="57"/>
      <c r="D184" s="62">
        <v>4.0</v>
      </c>
      <c r="E184" s="62" t="s">
        <v>998</v>
      </c>
      <c r="F184" s="57"/>
      <c r="G184" s="69">
        <v>45812.0</v>
      </c>
      <c r="J184" s="62" t="s">
        <v>38</v>
      </c>
      <c r="K184" s="62" t="s">
        <v>982</v>
      </c>
      <c r="L184" s="63">
        <v>85.45</v>
      </c>
      <c r="M184" s="62">
        <v>600274.0</v>
      </c>
      <c r="N184" s="57"/>
      <c r="P184" s="6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</row>
    <row r="185">
      <c r="A185" s="56"/>
      <c r="B185" s="56" t="s">
        <v>76</v>
      </c>
      <c r="C185" s="57"/>
      <c r="D185" s="62">
        <v>1.0</v>
      </c>
      <c r="E185" s="62" t="s">
        <v>1001</v>
      </c>
      <c r="F185" s="57"/>
      <c r="G185" s="69">
        <v>45812.0</v>
      </c>
      <c r="J185" s="62" t="s">
        <v>38</v>
      </c>
      <c r="K185" s="62" t="s">
        <v>982</v>
      </c>
      <c r="L185" s="63">
        <v>91.15</v>
      </c>
      <c r="M185" s="57"/>
      <c r="N185" s="62" t="s">
        <v>139</v>
      </c>
      <c r="P185" s="6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</row>
    <row r="186">
      <c r="A186" s="56"/>
      <c r="B186" s="56" t="s">
        <v>53</v>
      </c>
      <c r="C186" s="57"/>
      <c r="D186" s="62">
        <v>1.0</v>
      </c>
      <c r="E186" s="62" t="s">
        <v>330</v>
      </c>
      <c r="F186" s="57"/>
      <c r="G186" s="69">
        <v>45812.0</v>
      </c>
      <c r="J186" s="62" t="s">
        <v>38</v>
      </c>
      <c r="K186" s="62" t="s">
        <v>982</v>
      </c>
      <c r="L186" s="63">
        <v>2.38</v>
      </c>
      <c r="M186" s="62">
        <v>600274.0</v>
      </c>
      <c r="N186" s="57"/>
      <c r="P186" s="6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</row>
    <row r="187">
      <c r="A187" s="56"/>
      <c r="B187" s="56" t="s">
        <v>53</v>
      </c>
      <c r="C187" s="57"/>
      <c r="D187" s="62">
        <v>1.0</v>
      </c>
      <c r="E187" s="62" t="s">
        <v>1005</v>
      </c>
      <c r="F187" s="57"/>
      <c r="G187" s="69">
        <v>45820.0</v>
      </c>
      <c r="J187" s="62" t="s">
        <v>38</v>
      </c>
      <c r="K187" s="62" t="s">
        <v>1006</v>
      </c>
      <c r="L187" s="63">
        <v>20.81</v>
      </c>
      <c r="M187" s="62">
        <v>602261.0</v>
      </c>
      <c r="N187" s="71" t="s">
        <v>1007</v>
      </c>
      <c r="P187" s="6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</row>
    <row r="188">
      <c r="A188" s="56"/>
      <c r="B188" s="56" t="s">
        <v>53</v>
      </c>
      <c r="C188" s="57"/>
      <c r="D188" s="62">
        <v>1.0</v>
      </c>
      <c r="E188" s="62" t="s">
        <v>558</v>
      </c>
      <c r="F188" s="57"/>
      <c r="G188" s="69">
        <v>45820.0</v>
      </c>
      <c r="J188" s="62" t="s">
        <v>38</v>
      </c>
      <c r="K188" s="62" t="s">
        <v>1006</v>
      </c>
      <c r="L188" s="63">
        <v>104.03</v>
      </c>
      <c r="M188" s="62">
        <v>602261.0</v>
      </c>
      <c r="N188" s="57"/>
      <c r="P188" s="6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</row>
    <row r="189">
      <c r="A189" s="56"/>
      <c r="B189" s="56" t="s">
        <v>76</v>
      </c>
      <c r="C189" s="57"/>
      <c r="D189" s="58">
        <v>1.0</v>
      </c>
      <c r="E189" s="59" t="s">
        <v>478</v>
      </c>
      <c r="F189" s="57"/>
      <c r="G189" s="69">
        <v>45820.0</v>
      </c>
      <c r="J189" s="62" t="s">
        <v>38</v>
      </c>
      <c r="K189" s="62" t="s">
        <v>1006</v>
      </c>
      <c r="L189" s="63">
        <v>159.46</v>
      </c>
      <c r="M189" s="62">
        <v>602261.0</v>
      </c>
      <c r="N189" s="57"/>
      <c r="P189" s="6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</row>
    <row r="190">
      <c r="A190" s="56"/>
      <c r="B190" s="56" t="s">
        <v>587</v>
      </c>
      <c r="C190" s="62" t="s">
        <v>588</v>
      </c>
      <c r="D190" s="62">
        <v>1.0</v>
      </c>
      <c r="E190" s="62" t="s">
        <v>1011</v>
      </c>
      <c r="F190" s="57"/>
      <c r="G190" s="69">
        <v>45820.0</v>
      </c>
      <c r="J190" s="62" t="s">
        <v>38</v>
      </c>
      <c r="K190" s="62" t="s">
        <v>1006</v>
      </c>
      <c r="L190" s="63">
        <v>50.11</v>
      </c>
      <c r="M190" s="62">
        <v>602261.0</v>
      </c>
      <c r="N190" s="57"/>
      <c r="P190" s="6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</row>
    <row r="191">
      <c r="A191" s="56"/>
      <c r="B191" s="56" t="s">
        <v>53</v>
      </c>
      <c r="C191" s="57"/>
      <c r="D191" s="62">
        <v>3.0</v>
      </c>
      <c r="E191" s="62" t="s">
        <v>1012</v>
      </c>
      <c r="F191" s="57"/>
      <c r="G191" s="69">
        <v>45820.0</v>
      </c>
      <c r="J191" s="62" t="s">
        <v>38</v>
      </c>
      <c r="K191" s="62" t="s">
        <v>1006</v>
      </c>
      <c r="L191" s="63">
        <v>2.14</v>
      </c>
      <c r="M191" s="62">
        <v>602261.0</v>
      </c>
      <c r="N191" s="57"/>
      <c r="P191" s="6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</row>
    <row r="192">
      <c r="A192" s="56"/>
      <c r="B192" s="56" t="s">
        <v>53</v>
      </c>
      <c r="C192" s="57"/>
      <c r="D192" s="62">
        <v>10.0</v>
      </c>
      <c r="E192" s="62" t="s">
        <v>1015</v>
      </c>
      <c r="F192" s="57"/>
      <c r="G192" s="69">
        <v>45820.0</v>
      </c>
      <c r="J192" s="62" t="s">
        <v>38</v>
      </c>
      <c r="K192" s="62" t="s">
        <v>1006</v>
      </c>
      <c r="L192" s="63">
        <v>3.04</v>
      </c>
      <c r="M192" s="62">
        <v>602261.0</v>
      </c>
      <c r="N192" s="57"/>
      <c r="P192" s="6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</row>
    <row r="193">
      <c r="A193" s="56"/>
      <c r="B193" s="56" t="s">
        <v>53</v>
      </c>
      <c r="C193" s="57"/>
      <c r="D193" s="62">
        <v>20.0</v>
      </c>
      <c r="E193" s="62" t="s">
        <v>1016</v>
      </c>
      <c r="F193" s="57"/>
      <c r="G193" s="69">
        <v>45820.0</v>
      </c>
      <c r="J193" s="62" t="s">
        <v>38</v>
      </c>
      <c r="K193" s="62" t="s">
        <v>1006</v>
      </c>
      <c r="L193" s="63">
        <v>3.04</v>
      </c>
      <c r="M193" s="62">
        <v>602261.0</v>
      </c>
      <c r="N193" s="57"/>
      <c r="P193" s="6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</row>
    <row r="194">
      <c r="A194" s="56"/>
      <c r="B194" s="56" t="s">
        <v>1018</v>
      </c>
      <c r="C194" s="57"/>
      <c r="D194" s="62">
        <v>1.0</v>
      </c>
      <c r="E194" s="59" t="s">
        <v>390</v>
      </c>
      <c r="F194" s="57"/>
      <c r="G194" s="69">
        <v>45820.0</v>
      </c>
      <c r="J194" s="62" t="s">
        <v>38</v>
      </c>
      <c r="K194" s="62" t="s">
        <v>1006</v>
      </c>
      <c r="L194" s="63">
        <v>7.65</v>
      </c>
      <c r="M194" s="62">
        <v>611547.0</v>
      </c>
      <c r="N194" s="57"/>
      <c r="P194" s="6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</row>
    <row r="195">
      <c r="A195" s="56"/>
      <c r="B195" s="56" t="s">
        <v>53</v>
      </c>
      <c r="C195" s="57"/>
      <c r="D195" s="58">
        <v>3.0</v>
      </c>
      <c r="E195" s="62" t="s">
        <v>390</v>
      </c>
      <c r="F195" s="57"/>
      <c r="G195" s="69">
        <v>45820.0</v>
      </c>
      <c r="J195" s="62" t="s">
        <v>38</v>
      </c>
      <c r="K195" s="62" t="s">
        <v>1006</v>
      </c>
      <c r="L195" s="63">
        <v>7.65</v>
      </c>
      <c r="M195" s="62">
        <v>611547.0</v>
      </c>
      <c r="N195" s="57"/>
      <c r="P195" s="6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</row>
    <row r="196">
      <c r="A196" s="56"/>
      <c r="B196" s="56" t="s">
        <v>53</v>
      </c>
      <c r="C196" s="57"/>
      <c r="D196" s="58">
        <v>10.0</v>
      </c>
      <c r="E196" s="59" t="s">
        <v>1021</v>
      </c>
      <c r="F196" s="57"/>
      <c r="G196" s="69">
        <v>45820.0</v>
      </c>
      <c r="J196" s="62" t="s">
        <v>38</v>
      </c>
      <c r="K196" s="62" t="s">
        <v>1006</v>
      </c>
      <c r="L196" s="63">
        <v>1.0</v>
      </c>
      <c r="M196" s="62">
        <v>602261.0</v>
      </c>
      <c r="N196" s="57"/>
      <c r="P196" s="6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</row>
    <row r="197">
      <c r="A197" s="56"/>
      <c r="B197" s="56" t="s">
        <v>53</v>
      </c>
      <c r="C197" s="57"/>
      <c r="D197" s="58">
        <v>5.0</v>
      </c>
      <c r="E197" s="59" t="s">
        <v>870</v>
      </c>
      <c r="F197" s="57"/>
      <c r="G197" s="69">
        <v>45820.0</v>
      </c>
      <c r="J197" s="62" t="s">
        <v>38</v>
      </c>
      <c r="K197" s="62" t="s">
        <v>1006</v>
      </c>
      <c r="L197" s="63">
        <v>1.0</v>
      </c>
      <c r="M197" s="62">
        <v>602261.0</v>
      </c>
      <c r="N197" s="57"/>
      <c r="P197" s="6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</row>
    <row r="198">
      <c r="A198" s="56"/>
      <c r="B198" s="56" t="s">
        <v>53</v>
      </c>
      <c r="C198" s="57"/>
      <c r="D198" s="58">
        <v>5.0</v>
      </c>
      <c r="E198" s="59" t="s">
        <v>1024</v>
      </c>
      <c r="F198" s="57"/>
      <c r="G198" s="69">
        <v>45820.0</v>
      </c>
      <c r="J198" s="62" t="s">
        <v>38</v>
      </c>
      <c r="K198" s="62" t="s">
        <v>1006</v>
      </c>
      <c r="L198" s="63">
        <v>1.0</v>
      </c>
      <c r="M198" s="62">
        <v>602261.0</v>
      </c>
      <c r="N198" s="57"/>
      <c r="P198" s="6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</row>
    <row r="199">
      <c r="A199" s="56"/>
      <c r="B199" s="56" t="s">
        <v>53</v>
      </c>
      <c r="C199" s="57"/>
      <c r="D199" s="58">
        <v>5.0</v>
      </c>
      <c r="E199" s="59" t="s">
        <v>1027</v>
      </c>
      <c r="F199" s="57"/>
      <c r="G199" s="69">
        <v>45820.0</v>
      </c>
      <c r="J199" s="62" t="s">
        <v>38</v>
      </c>
      <c r="K199" s="62" t="s">
        <v>1006</v>
      </c>
      <c r="L199" s="63">
        <v>1.0</v>
      </c>
      <c r="M199" s="62" t="s">
        <v>1028</v>
      </c>
      <c r="N199" s="62" t="s">
        <v>1029</v>
      </c>
      <c r="P199" s="6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</row>
    <row r="200">
      <c r="A200" s="56"/>
      <c r="B200" s="56" t="s">
        <v>53</v>
      </c>
      <c r="C200" s="57"/>
      <c r="D200" s="58">
        <v>5.0</v>
      </c>
      <c r="E200" s="59" t="s">
        <v>1030</v>
      </c>
      <c r="F200" s="57"/>
      <c r="G200" s="69">
        <v>45820.0</v>
      </c>
      <c r="J200" s="62" t="s">
        <v>38</v>
      </c>
      <c r="K200" s="62" t="s">
        <v>1006</v>
      </c>
      <c r="L200" s="63">
        <v>1.0</v>
      </c>
      <c r="M200" s="62">
        <v>602261.0</v>
      </c>
      <c r="N200" s="57"/>
      <c r="P200" s="6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</row>
    <row r="201">
      <c r="A201" s="56"/>
      <c r="B201" s="56" t="s">
        <v>53</v>
      </c>
      <c r="C201" s="57"/>
      <c r="D201" s="58">
        <v>10.0</v>
      </c>
      <c r="E201" s="59" t="s">
        <v>1034</v>
      </c>
      <c r="F201" s="57"/>
      <c r="G201" s="69">
        <v>45820.0</v>
      </c>
      <c r="J201" s="62" t="s">
        <v>38</v>
      </c>
      <c r="K201" s="62" t="s">
        <v>1006</v>
      </c>
      <c r="L201" s="63">
        <v>1.0</v>
      </c>
      <c r="M201" s="62">
        <v>602261.0</v>
      </c>
      <c r="N201" s="57"/>
      <c r="P201" s="6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</row>
    <row r="202">
      <c r="A202" s="56"/>
      <c r="B202" s="56" t="s">
        <v>53</v>
      </c>
      <c r="C202" s="57"/>
      <c r="D202" s="58">
        <v>5.0</v>
      </c>
      <c r="E202" s="59" t="s">
        <v>1035</v>
      </c>
      <c r="F202" s="57"/>
      <c r="G202" s="69">
        <v>45820.0</v>
      </c>
      <c r="J202" s="62" t="s">
        <v>38</v>
      </c>
      <c r="K202" s="62" t="s">
        <v>1006</v>
      </c>
      <c r="L202" s="63">
        <v>1.0</v>
      </c>
      <c r="M202" s="62">
        <v>602261.0</v>
      </c>
      <c r="N202" s="57"/>
      <c r="P202" s="6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</row>
    <row r="203">
      <c r="A203" s="56"/>
      <c r="B203" s="56" t="s">
        <v>53</v>
      </c>
      <c r="C203" s="57"/>
      <c r="D203" s="58">
        <v>5.0</v>
      </c>
      <c r="E203" s="59" t="s">
        <v>1037</v>
      </c>
      <c r="F203" s="57"/>
      <c r="G203" s="69">
        <v>45820.0</v>
      </c>
      <c r="J203" s="62" t="s">
        <v>38</v>
      </c>
      <c r="K203" s="62" t="s">
        <v>1006</v>
      </c>
      <c r="L203" s="63">
        <v>1.0</v>
      </c>
      <c r="M203" s="62">
        <v>602261.0</v>
      </c>
      <c r="N203" s="57"/>
      <c r="P203" s="6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</row>
    <row r="204">
      <c r="A204" s="56"/>
      <c r="B204" s="56" t="s">
        <v>53</v>
      </c>
      <c r="C204" s="57"/>
      <c r="D204" s="58">
        <v>10.0</v>
      </c>
      <c r="E204" s="59" t="s">
        <v>652</v>
      </c>
      <c r="F204" s="57"/>
      <c r="G204" s="69">
        <v>45820.0</v>
      </c>
      <c r="J204" s="62" t="s">
        <v>38</v>
      </c>
      <c r="K204" s="62" t="s">
        <v>1006</v>
      </c>
      <c r="L204" s="63">
        <v>1.0</v>
      </c>
      <c r="M204" s="62">
        <v>602261.0</v>
      </c>
      <c r="N204" s="57"/>
      <c r="P204" s="6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</row>
    <row r="205">
      <c r="A205" s="56"/>
      <c r="B205" s="56" t="s">
        <v>53</v>
      </c>
      <c r="C205" s="57"/>
      <c r="D205" s="62">
        <v>10.0</v>
      </c>
      <c r="E205" s="62" t="s">
        <v>920</v>
      </c>
      <c r="F205" s="57"/>
      <c r="G205" s="69">
        <v>45820.0</v>
      </c>
      <c r="J205" s="62" t="s">
        <v>38</v>
      </c>
      <c r="K205" s="62" t="s">
        <v>1006</v>
      </c>
      <c r="L205" s="63">
        <v>1.0</v>
      </c>
      <c r="M205" s="62">
        <v>602261.0</v>
      </c>
      <c r="N205" s="57"/>
      <c r="P205" s="6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</row>
    <row r="206">
      <c r="A206" s="56"/>
      <c r="B206" s="56" t="s">
        <v>53</v>
      </c>
      <c r="C206" s="57"/>
      <c r="D206" s="62">
        <v>5.0</v>
      </c>
      <c r="E206" s="62" t="s">
        <v>1046</v>
      </c>
      <c r="F206" s="57"/>
      <c r="G206" s="69">
        <v>45820.0</v>
      </c>
      <c r="J206" s="62" t="s">
        <v>38</v>
      </c>
      <c r="K206" s="62" t="s">
        <v>1006</v>
      </c>
      <c r="L206" s="63">
        <v>1.0</v>
      </c>
      <c r="M206" s="62">
        <v>602261.0</v>
      </c>
      <c r="N206" s="57"/>
      <c r="P206" s="6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</row>
    <row r="207">
      <c r="A207" s="56"/>
      <c r="B207" s="56" t="s">
        <v>53</v>
      </c>
      <c r="C207" s="57"/>
      <c r="D207" s="62">
        <v>10.0</v>
      </c>
      <c r="E207" s="62" t="s">
        <v>1049</v>
      </c>
      <c r="F207" s="57"/>
      <c r="G207" s="69">
        <v>45820.0</v>
      </c>
      <c r="J207" s="62" t="s">
        <v>38</v>
      </c>
      <c r="K207" s="62" t="s">
        <v>1006</v>
      </c>
      <c r="L207" s="63">
        <v>1.0</v>
      </c>
      <c r="M207" s="62">
        <v>602261.0</v>
      </c>
      <c r="N207" s="57"/>
      <c r="P207" s="6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</row>
    <row r="208">
      <c r="A208" s="56"/>
      <c r="B208" s="56" t="s">
        <v>53</v>
      </c>
      <c r="C208" s="57"/>
      <c r="D208" s="62">
        <v>5.0</v>
      </c>
      <c r="E208" s="62" t="s">
        <v>1051</v>
      </c>
      <c r="F208" s="57"/>
      <c r="G208" s="69">
        <v>45820.0</v>
      </c>
      <c r="J208" s="62" t="s">
        <v>38</v>
      </c>
      <c r="K208" s="62" t="s">
        <v>1006</v>
      </c>
      <c r="L208" s="63">
        <v>1.0</v>
      </c>
      <c r="M208" s="62">
        <v>602261.0</v>
      </c>
      <c r="N208" s="57"/>
      <c r="P208" s="6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</row>
    <row r="209">
      <c r="A209" s="56"/>
      <c r="B209" s="56" t="s">
        <v>53</v>
      </c>
      <c r="C209" s="57"/>
      <c r="D209" s="62">
        <v>10.0</v>
      </c>
      <c r="E209" s="62" t="s">
        <v>1054</v>
      </c>
      <c r="F209" s="57"/>
      <c r="G209" s="69">
        <v>45820.0</v>
      </c>
      <c r="J209" s="62" t="s">
        <v>38</v>
      </c>
      <c r="K209" s="62" t="s">
        <v>1006</v>
      </c>
      <c r="L209" s="63">
        <v>1.0</v>
      </c>
      <c r="M209" s="62">
        <v>602261.0</v>
      </c>
      <c r="N209" s="57"/>
      <c r="P209" s="6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</row>
    <row r="210">
      <c r="A210" s="56"/>
      <c r="B210" s="56" t="s">
        <v>53</v>
      </c>
      <c r="C210" s="57"/>
      <c r="D210" s="62">
        <v>5.0</v>
      </c>
      <c r="E210" s="62" t="s">
        <v>1056</v>
      </c>
      <c r="F210" s="57"/>
      <c r="G210" s="69">
        <v>45820.0</v>
      </c>
      <c r="J210" s="62" t="s">
        <v>38</v>
      </c>
      <c r="K210" s="62" t="s">
        <v>1006</v>
      </c>
      <c r="L210" s="63">
        <v>1.0</v>
      </c>
      <c r="M210" s="62">
        <v>602261.0</v>
      </c>
      <c r="N210" s="57"/>
      <c r="P210" s="6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</row>
    <row r="211">
      <c r="A211" s="56"/>
      <c r="B211" s="56" t="s">
        <v>53</v>
      </c>
      <c r="C211" s="57"/>
      <c r="D211" s="62">
        <v>5.0</v>
      </c>
      <c r="E211" s="62" t="s">
        <v>80</v>
      </c>
      <c r="F211" s="57"/>
      <c r="G211" s="69">
        <v>45820.0</v>
      </c>
      <c r="J211" s="62" t="s">
        <v>38</v>
      </c>
      <c r="K211" s="62" t="s">
        <v>1006</v>
      </c>
      <c r="L211" s="63">
        <v>1.0</v>
      </c>
      <c r="M211" s="62">
        <v>602261.0</v>
      </c>
      <c r="N211" s="57"/>
      <c r="P211" s="6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</row>
    <row r="212">
      <c r="A212" s="56"/>
      <c r="B212" s="56" t="s">
        <v>53</v>
      </c>
      <c r="C212" s="57"/>
      <c r="D212" s="62">
        <v>10.0</v>
      </c>
      <c r="E212" s="62" t="s">
        <v>1058</v>
      </c>
      <c r="F212" s="57"/>
      <c r="G212" s="69">
        <v>45820.0</v>
      </c>
      <c r="J212" s="62" t="s">
        <v>38</v>
      </c>
      <c r="K212" s="62" t="s">
        <v>1006</v>
      </c>
      <c r="L212" s="63">
        <v>1.0</v>
      </c>
      <c r="M212" s="62">
        <v>602261.0</v>
      </c>
      <c r="N212" s="57"/>
      <c r="P212" s="6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</row>
    <row r="213">
      <c r="A213" s="56"/>
      <c r="B213" s="56" t="s">
        <v>53</v>
      </c>
      <c r="C213" s="57"/>
      <c r="D213" s="62">
        <v>10.0</v>
      </c>
      <c r="E213" s="62" t="s">
        <v>1059</v>
      </c>
      <c r="F213" s="57"/>
      <c r="G213" s="69">
        <v>45820.0</v>
      </c>
      <c r="J213" s="62" t="s">
        <v>38</v>
      </c>
      <c r="K213" s="62" t="s">
        <v>1006</v>
      </c>
      <c r="L213" s="63">
        <v>1.0</v>
      </c>
      <c r="M213" s="62">
        <v>602261.0</v>
      </c>
      <c r="N213" s="57"/>
      <c r="P213" s="6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</row>
    <row r="214">
      <c r="A214" s="56"/>
      <c r="B214" s="56" t="s">
        <v>53</v>
      </c>
      <c r="C214" s="57"/>
      <c r="D214" s="58">
        <v>5.0</v>
      </c>
      <c r="E214" s="59" t="s">
        <v>1062</v>
      </c>
      <c r="F214" s="57"/>
      <c r="G214" s="69">
        <v>45820.0</v>
      </c>
      <c r="J214" s="62" t="s">
        <v>38</v>
      </c>
      <c r="K214" s="62" t="s">
        <v>1006</v>
      </c>
      <c r="L214" s="63">
        <v>7.55</v>
      </c>
      <c r="M214" s="62">
        <v>602261.0</v>
      </c>
      <c r="N214" s="57"/>
      <c r="P214" s="6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</row>
    <row r="215">
      <c r="A215" s="56"/>
      <c r="B215" s="56" t="s">
        <v>53</v>
      </c>
      <c r="C215" s="57"/>
      <c r="D215" s="62">
        <v>1.0</v>
      </c>
      <c r="E215" s="59" t="s">
        <v>611</v>
      </c>
      <c r="F215" s="57"/>
      <c r="G215" s="69">
        <v>45820.0</v>
      </c>
      <c r="J215" s="62" t="s">
        <v>38</v>
      </c>
      <c r="K215" s="62" t="s">
        <v>1006</v>
      </c>
      <c r="L215" s="63">
        <v>10.4</v>
      </c>
      <c r="M215" s="62">
        <v>602261.0</v>
      </c>
      <c r="N215" s="57"/>
      <c r="P215" s="6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</row>
    <row r="216">
      <c r="A216" s="56"/>
      <c r="B216" s="56" t="s">
        <v>53</v>
      </c>
      <c r="C216" s="57"/>
      <c r="D216" s="58">
        <v>1.0</v>
      </c>
      <c r="E216" s="59" t="s">
        <v>1065</v>
      </c>
      <c r="F216" s="57"/>
      <c r="G216" s="69">
        <v>45820.0</v>
      </c>
      <c r="J216" s="62" t="s">
        <v>38</v>
      </c>
      <c r="K216" s="62" t="s">
        <v>1006</v>
      </c>
      <c r="L216" s="63">
        <v>10.4</v>
      </c>
      <c r="M216" s="62">
        <v>602261.0</v>
      </c>
      <c r="N216" s="57"/>
      <c r="P216" s="6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</row>
    <row r="217">
      <c r="A217" s="56"/>
      <c r="B217" s="56" t="s">
        <v>53</v>
      </c>
      <c r="C217" s="57"/>
      <c r="D217" s="58">
        <v>1.0</v>
      </c>
      <c r="E217" s="59" t="s">
        <v>1066</v>
      </c>
      <c r="F217" s="57"/>
      <c r="G217" s="69">
        <v>45825.0</v>
      </c>
      <c r="J217" s="62" t="s">
        <v>347</v>
      </c>
      <c r="K217" s="62" t="s">
        <v>1067</v>
      </c>
      <c r="L217" s="63">
        <v>95.4</v>
      </c>
      <c r="M217" s="57"/>
      <c r="N217" s="57"/>
      <c r="P217" s="6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</row>
    <row r="218">
      <c r="A218" s="56"/>
      <c r="B218" s="56" t="s">
        <v>53</v>
      </c>
      <c r="C218" s="57"/>
      <c r="D218" s="58">
        <v>1.0</v>
      </c>
      <c r="E218" s="59" t="s">
        <v>1068</v>
      </c>
      <c r="F218" s="57"/>
      <c r="G218" s="69">
        <v>45825.0</v>
      </c>
      <c r="J218" s="62" t="s">
        <v>347</v>
      </c>
      <c r="K218" s="62" t="s">
        <v>1067</v>
      </c>
      <c r="L218" s="63">
        <v>95.4</v>
      </c>
      <c r="M218" s="57"/>
      <c r="N218" s="57"/>
      <c r="P218" s="6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</row>
    <row r="219">
      <c r="A219" s="56"/>
      <c r="B219" s="56" t="s">
        <v>1071</v>
      </c>
      <c r="C219" s="58" t="s">
        <v>1072</v>
      </c>
      <c r="D219" s="58">
        <v>1.0</v>
      </c>
      <c r="E219" s="59" t="s">
        <v>1073</v>
      </c>
      <c r="F219" s="57"/>
      <c r="G219" s="69">
        <v>45826.0</v>
      </c>
      <c r="J219" s="62" t="s">
        <v>38</v>
      </c>
      <c r="K219" s="62" t="s">
        <v>1074</v>
      </c>
      <c r="L219" s="63">
        <v>113.91</v>
      </c>
      <c r="M219" s="62">
        <v>603532.0</v>
      </c>
      <c r="N219" s="57"/>
      <c r="P219" s="66" t="s">
        <v>43</v>
      </c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</row>
    <row r="220">
      <c r="A220" s="56"/>
      <c r="B220" s="56" t="s">
        <v>1076</v>
      </c>
      <c r="C220" s="57"/>
      <c r="D220" s="62">
        <v>1.0</v>
      </c>
      <c r="E220" s="62" t="s">
        <v>614</v>
      </c>
      <c r="F220" s="57"/>
      <c r="G220" s="69">
        <v>45826.0</v>
      </c>
      <c r="J220" s="62" t="s">
        <v>38</v>
      </c>
      <c r="K220" s="62" t="s">
        <v>1074</v>
      </c>
      <c r="L220" s="63">
        <v>159.46</v>
      </c>
      <c r="M220" s="62">
        <v>603532.0</v>
      </c>
      <c r="N220" s="57"/>
      <c r="P220" s="66" t="s">
        <v>43</v>
      </c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</row>
    <row r="221">
      <c r="A221" s="56"/>
      <c r="B221" s="56" t="s">
        <v>1078</v>
      </c>
      <c r="C221" s="62" t="s">
        <v>1079</v>
      </c>
      <c r="D221" s="62">
        <v>1.0</v>
      </c>
      <c r="E221" s="62" t="s">
        <v>599</v>
      </c>
      <c r="F221" s="62" t="s">
        <v>35</v>
      </c>
      <c r="G221" s="69">
        <v>45826.0</v>
      </c>
      <c r="J221" s="62" t="s">
        <v>38</v>
      </c>
      <c r="K221" s="62" t="s">
        <v>1074</v>
      </c>
      <c r="L221" s="63">
        <v>50.11</v>
      </c>
      <c r="M221" s="62">
        <v>603532.0</v>
      </c>
      <c r="N221" s="57"/>
      <c r="P221" s="66" t="s">
        <v>43</v>
      </c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</row>
    <row r="222">
      <c r="A222" s="56"/>
      <c r="B222" s="56" t="s">
        <v>53</v>
      </c>
      <c r="C222" s="57"/>
      <c r="D222" s="62">
        <v>2.0</v>
      </c>
      <c r="E222" s="62" t="s">
        <v>583</v>
      </c>
      <c r="F222" s="57"/>
      <c r="G222" s="69">
        <v>45826.0</v>
      </c>
      <c r="J222" s="62" t="s">
        <v>38</v>
      </c>
      <c r="K222" s="62" t="s">
        <v>1074</v>
      </c>
      <c r="L222" s="63">
        <v>85.45</v>
      </c>
      <c r="M222" s="62">
        <v>603532.0</v>
      </c>
      <c r="N222" s="57"/>
      <c r="P222" s="6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</row>
    <row r="223">
      <c r="A223" s="56"/>
      <c r="B223" s="56" t="s">
        <v>73</v>
      </c>
      <c r="C223" s="57"/>
      <c r="D223" s="62">
        <v>1.0</v>
      </c>
      <c r="E223" s="62" t="s">
        <v>1084</v>
      </c>
      <c r="F223" s="57"/>
      <c r="G223" s="69">
        <v>45826.0</v>
      </c>
      <c r="J223" s="62" t="s">
        <v>38</v>
      </c>
      <c r="K223" s="62" t="s">
        <v>1074</v>
      </c>
      <c r="L223" s="63">
        <v>70.16</v>
      </c>
      <c r="M223" s="62">
        <v>603532.0</v>
      </c>
      <c r="N223" s="57"/>
      <c r="P223" s="66" t="s">
        <v>43</v>
      </c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</row>
    <row r="224">
      <c r="A224" s="56"/>
      <c r="B224" s="56" t="s">
        <v>53</v>
      </c>
      <c r="C224" s="57"/>
      <c r="D224" s="62">
        <v>6.0</v>
      </c>
      <c r="E224" s="62" t="s">
        <v>1086</v>
      </c>
      <c r="F224" s="57"/>
      <c r="G224" s="69">
        <v>45826.0</v>
      </c>
      <c r="J224" s="62" t="s">
        <v>38</v>
      </c>
      <c r="K224" s="62" t="s">
        <v>1074</v>
      </c>
      <c r="L224" s="63">
        <v>1.07</v>
      </c>
      <c r="M224" s="62">
        <v>603532.0</v>
      </c>
      <c r="N224" s="62" t="s">
        <v>615</v>
      </c>
      <c r="P224" s="6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</row>
    <row r="225">
      <c r="A225" s="56"/>
      <c r="B225" s="56" t="s">
        <v>53</v>
      </c>
      <c r="C225" s="57"/>
      <c r="D225" s="58">
        <v>6.0</v>
      </c>
      <c r="E225" s="59" t="s">
        <v>1089</v>
      </c>
      <c r="F225" s="57"/>
      <c r="G225" s="69">
        <v>45826.0</v>
      </c>
      <c r="J225" s="62" t="s">
        <v>38</v>
      </c>
      <c r="K225" s="62" t="s">
        <v>1074</v>
      </c>
      <c r="L225" s="63">
        <v>1.07</v>
      </c>
      <c r="M225" s="62">
        <v>603532.0</v>
      </c>
      <c r="N225" s="57"/>
      <c r="P225" s="6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</row>
    <row r="226">
      <c r="A226" s="56"/>
      <c r="B226" s="56" t="s">
        <v>53</v>
      </c>
      <c r="C226" s="57"/>
      <c r="D226" s="58">
        <v>6.0</v>
      </c>
      <c r="E226" s="59" t="s">
        <v>1094</v>
      </c>
      <c r="F226" s="57"/>
      <c r="G226" s="69">
        <v>45826.0</v>
      </c>
      <c r="J226" s="62" t="s">
        <v>38</v>
      </c>
      <c r="K226" s="62" t="s">
        <v>1074</v>
      </c>
      <c r="L226" s="63">
        <v>1.07</v>
      </c>
      <c r="M226" s="62">
        <v>603532.0</v>
      </c>
      <c r="N226" s="62" t="s">
        <v>615</v>
      </c>
      <c r="P226" s="6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</row>
    <row r="227">
      <c r="A227" s="56"/>
      <c r="B227" s="56" t="s">
        <v>53</v>
      </c>
      <c r="C227" s="57"/>
      <c r="D227" s="62">
        <v>6.0</v>
      </c>
      <c r="E227" s="62" t="s">
        <v>1096</v>
      </c>
      <c r="F227" s="57"/>
      <c r="G227" s="69">
        <v>45826.0</v>
      </c>
      <c r="J227" s="62" t="s">
        <v>38</v>
      </c>
      <c r="K227" s="62" t="s">
        <v>1074</v>
      </c>
      <c r="L227" s="63">
        <v>1.07</v>
      </c>
      <c r="M227" s="62">
        <v>603532.0</v>
      </c>
      <c r="N227" s="62" t="s">
        <v>615</v>
      </c>
      <c r="P227" s="6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</row>
    <row r="228">
      <c r="A228" s="56"/>
      <c r="B228" s="56" t="s">
        <v>53</v>
      </c>
      <c r="C228" s="57"/>
      <c r="D228" s="62">
        <v>6.0</v>
      </c>
      <c r="E228" s="62" t="s">
        <v>1098</v>
      </c>
      <c r="F228" s="57"/>
      <c r="G228" s="69">
        <v>45826.0</v>
      </c>
      <c r="J228" s="62" t="s">
        <v>38</v>
      </c>
      <c r="K228" s="62" t="s">
        <v>1074</v>
      </c>
      <c r="L228" s="63">
        <v>1.07</v>
      </c>
      <c r="M228" s="62">
        <v>603532.0</v>
      </c>
      <c r="N228" s="62" t="s">
        <v>615</v>
      </c>
      <c r="P228" s="6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</row>
    <row r="229">
      <c r="A229" s="56"/>
      <c r="B229" s="56" t="s">
        <v>53</v>
      </c>
      <c r="C229" s="57"/>
      <c r="D229" s="62">
        <v>10.0</v>
      </c>
      <c r="E229" s="62" t="s">
        <v>568</v>
      </c>
      <c r="F229" s="57"/>
      <c r="G229" s="69">
        <v>45826.0</v>
      </c>
      <c r="J229" s="62" t="s">
        <v>38</v>
      </c>
      <c r="K229" s="62" t="s">
        <v>1074</v>
      </c>
      <c r="L229" s="63">
        <v>1.0</v>
      </c>
      <c r="M229" s="62">
        <v>603532.0</v>
      </c>
      <c r="N229" s="57"/>
      <c r="P229" s="6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</row>
    <row r="230">
      <c r="A230" s="56"/>
      <c r="B230" s="56" t="s">
        <v>53</v>
      </c>
      <c r="C230" s="57"/>
      <c r="D230" s="62">
        <v>10.0</v>
      </c>
      <c r="E230" s="62" t="s">
        <v>655</v>
      </c>
      <c r="F230" s="57"/>
      <c r="G230" s="69">
        <v>45826.0</v>
      </c>
      <c r="J230" s="62" t="s">
        <v>38</v>
      </c>
      <c r="K230" s="62" t="s">
        <v>1074</v>
      </c>
      <c r="L230" s="63">
        <v>1.0</v>
      </c>
      <c r="M230" s="62">
        <v>603532.0</v>
      </c>
      <c r="N230" s="57"/>
      <c r="P230" s="6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</row>
    <row r="231">
      <c r="A231" s="56"/>
      <c r="B231" s="56" t="s">
        <v>53</v>
      </c>
      <c r="C231" s="57"/>
      <c r="D231" s="62">
        <v>10.0</v>
      </c>
      <c r="E231" s="62" t="s">
        <v>1106</v>
      </c>
      <c r="F231" s="57"/>
      <c r="G231" s="69">
        <v>45826.0</v>
      </c>
      <c r="J231" s="62" t="s">
        <v>38</v>
      </c>
      <c r="K231" s="62" t="s">
        <v>1074</v>
      </c>
      <c r="L231" s="63">
        <v>1.0</v>
      </c>
      <c r="M231" s="62">
        <v>603532.0</v>
      </c>
      <c r="N231" s="57"/>
      <c r="P231" s="6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</row>
    <row r="232">
      <c r="A232" s="56"/>
      <c r="B232" s="56" t="s">
        <v>53</v>
      </c>
      <c r="C232" s="57"/>
      <c r="D232" s="62">
        <v>10.0</v>
      </c>
      <c r="E232" s="62" t="s">
        <v>1108</v>
      </c>
      <c r="F232" s="57"/>
      <c r="G232" s="69">
        <v>45826.0</v>
      </c>
      <c r="J232" s="62" t="s">
        <v>38</v>
      </c>
      <c r="K232" s="62" t="s">
        <v>1074</v>
      </c>
      <c r="L232" s="63">
        <v>1.0</v>
      </c>
      <c r="M232" s="62">
        <v>603532.0</v>
      </c>
      <c r="N232" s="57"/>
      <c r="P232" s="6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</row>
    <row r="233">
      <c r="A233" s="56"/>
      <c r="B233" s="56" t="s">
        <v>53</v>
      </c>
      <c r="C233" s="57"/>
      <c r="D233" s="62">
        <v>10.0</v>
      </c>
      <c r="E233" s="62" t="s">
        <v>649</v>
      </c>
      <c r="F233" s="57"/>
      <c r="G233" s="69">
        <v>45826.0</v>
      </c>
      <c r="J233" s="62" t="s">
        <v>38</v>
      </c>
      <c r="K233" s="62" t="s">
        <v>1074</v>
      </c>
      <c r="L233" s="63">
        <v>1.0</v>
      </c>
      <c r="M233" s="62">
        <v>603532.0</v>
      </c>
      <c r="N233" s="57"/>
      <c r="P233" s="6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</row>
    <row r="234">
      <c r="A234" s="56"/>
      <c r="B234" s="56" t="s">
        <v>53</v>
      </c>
      <c r="C234" s="57"/>
      <c r="D234" s="62">
        <v>10.0</v>
      </c>
      <c r="E234" s="62" t="s">
        <v>1111</v>
      </c>
      <c r="F234" s="57"/>
      <c r="G234" s="69">
        <v>45826.0</v>
      </c>
      <c r="J234" s="62" t="s">
        <v>38</v>
      </c>
      <c r="K234" s="62" t="s">
        <v>1074</v>
      </c>
      <c r="L234" s="63">
        <v>1.0</v>
      </c>
      <c r="M234" s="62">
        <v>603532.0</v>
      </c>
      <c r="N234" s="57"/>
      <c r="P234" s="6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</row>
    <row r="235">
      <c r="A235" s="56"/>
      <c r="B235" s="56" t="s">
        <v>53</v>
      </c>
      <c r="C235" s="57"/>
      <c r="D235" s="62">
        <v>10.0</v>
      </c>
      <c r="E235" s="62" t="s">
        <v>875</v>
      </c>
      <c r="F235" s="57"/>
      <c r="G235" s="69">
        <v>45826.0</v>
      </c>
      <c r="J235" s="62" t="s">
        <v>38</v>
      </c>
      <c r="K235" s="62" t="s">
        <v>1074</v>
      </c>
      <c r="L235" s="63">
        <v>1.0</v>
      </c>
      <c r="M235" s="62">
        <v>603532.0</v>
      </c>
      <c r="N235" s="57"/>
      <c r="P235" s="6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</row>
    <row r="236">
      <c r="A236" s="56"/>
      <c r="B236" s="56" t="s">
        <v>53</v>
      </c>
      <c r="C236" s="57"/>
      <c r="D236" s="62">
        <v>10.0</v>
      </c>
      <c r="E236" s="62" t="s">
        <v>1113</v>
      </c>
      <c r="F236" s="57"/>
      <c r="G236" s="69">
        <v>45826.0</v>
      </c>
      <c r="J236" s="62" t="s">
        <v>38</v>
      </c>
      <c r="K236" s="62" t="s">
        <v>1074</v>
      </c>
      <c r="L236" s="63">
        <v>1.0</v>
      </c>
      <c r="M236" s="62">
        <v>603532.0</v>
      </c>
      <c r="N236" s="57"/>
      <c r="P236" s="6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</row>
    <row r="237">
      <c r="A237" s="56"/>
      <c r="B237" s="56" t="s">
        <v>53</v>
      </c>
      <c r="C237" s="57"/>
      <c r="D237" s="62">
        <v>10.0</v>
      </c>
      <c r="E237" s="62" t="s">
        <v>1116</v>
      </c>
      <c r="F237" s="57"/>
      <c r="G237" s="69">
        <v>45826.0</v>
      </c>
      <c r="J237" s="62" t="s">
        <v>38</v>
      </c>
      <c r="K237" s="62" t="s">
        <v>1074</v>
      </c>
      <c r="L237" s="63">
        <v>1.0</v>
      </c>
      <c r="M237" s="62">
        <v>603532.0</v>
      </c>
      <c r="N237" s="57"/>
      <c r="P237" s="6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</row>
    <row r="238">
      <c r="A238" s="56"/>
      <c r="B238" s="56" t="s">
        <v>53</v>
      </c>
      <c r="C238" s="57"/>
      <c r="D238" s="62">
        <v>10.0</v>
      </c>
      <c r="E238" s="62" t="s">
        <v>1119</v>
      </c>
      <c r="F238" s="57"/>
      <c r="G238" s="69">
        <v>45826.0</v>
      </c>
      <c r="J238" s="62" t="s">
        <v>38</v>
      </c>
      <c r="K238" s="62" t="s">
        <v>1074</v>
      </c>
      <c r="L238" s="63">
        <v>1.0</v>
      </c>
      <c r="M238" s="62">
        <v>603532.0</v>
      </c>
      <c r="N238" s="57"/>
      <c r="P238" s="6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</row>
    <row r="239">
      <c r="A239" s="56"/>
      <c r="B239" s="56" t="s">
        <v>1120</v>
      </c>
      <c r="C239" s="62" t="s">
        <v>1121</v>
      </c>
      <c r="D239" s="62">
        <v>1.0</v>
      </c>
      <c r="E239" s="62" t="s">
        <v>269</v>
      </c>
      <c r="F239" s="57"/>
      <c r="G239" s="69">
        <v>45831.0</v>
      </c>
      <c r="J239" s="62" t="s">
        <v>38</v>
      </c>
      <c r="K239" s="62" t="s">
        <v>673</v>
      </c>
      <c r="L239" s="63">
        <v>142.83</v>
      </c>
      <c r="M239" s="62">
        <v>604314.0</v>
      </c>
      <c r="N239" s="57"/>
      <c r="P239" s="66" t="s">
        <v>43</v>
      </c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</row>
    <row r="240">
      <c r="A240" s="56"/>
      <c r="B240" s="56" t="s">
        <v>1123</v>
      </c>
      <c r="C240" s="57"/>
      <c r="D240" s="62">
        <v>1.0</v>
      </c>
      <c r="E240" s="62" t="s">
        <v>1124</v>
      </c>
      <c r="F240" s="57"/>
      <c r="G240" s="69">
        <v>45831.0</v>
      </c>
      <c r="J240" s="62" t="s">
        <v>38</v>
      </c>
      <c r="K240" s="62" t="s">
        <v>673</v>
      </c>
      <c r="L240" s="63">
        <v>80.99</v>
      </c>
      <c r="M240" s="62">
        <v>604314.0</v>
      </c>
      <c r="N240" s="57"/>
      <c r="P240" s="66" t="s">
        <v>43</v>
      </c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</row>
    <row r="241">
      <c r="A241" s="56"/>
      <c r="B241" s="56" t="s">
        <v>1125</v>
      </c>
      <c r="C241" s="62" t="s">
        <v>1126</v>
      </c>
      <c r="D241" s="58">
        <v>1.0</v>
      </c>
      <c r="E241" s="59" t="s">
        <v>1127</v>
      </c>
      <c r="F241" s="57"/>
      <c r="G241" s="69">
        <v>45831.0</v>
      </c>
      <c r="J241" s="62" t="s">
        <v>38</v>
      </c>
      <c r="K241" s="62" t="s">
        <v>673</v>
      </c>
      <c r="L241" s="63">
        <v>50.11</v>
      </c>
      <c r="M241" s="62">
        <v>604314.0</v>
      </c>
      <c r="N241" s="57"/>
      <c r="P241" s="66" t="s">
        <v>43</v>
      </c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</row>
    <row r="242">
      <c r="A242" s="56"/>
      <c r="B242" s="56" t="s">
        <v>1129</v>
      </c>
      <c r="C242" s="62" t="s">
        <v>1130</v>
      </c>
      <c r="D242" s="58">
        <v>1.0</v>
      </c>
      <c r="E242" s="59" t="s">
        <v>1132</v>
      </c>
      <c r="F242" s="57"/>
      <c r="G242" s="69">
        <v>45831.0</v>
      </c>
      <c r="J242" s="62" t="s">
        <v>38</v>
      </c>
      <c r="K242" s="62" t="s">
        <v>673</v>
      </c>
      <c r="L242" s="63">
        <v>50.11</v>
      </c>
      <c r="M242" s="62">
        <v>604314.0</v>
      </c>
      <c r="N242" s="57"/>
      <c r="P242" s="66" t="s">
        <v>43</v>
      </c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</row>
    <row r="243">
      <c r="A243" s="56"/>
      <c r="B243" s="56" t="s">
        <v>1134</v>
      </c>
      <c r="C243" s="62" t="s">
        <v>1135</v>
      </c>
      <c r="D243" s="58">
        <v>1.0</v>
      </c>
      <c r="E243" s="59" t="s">
        <v>1136</v>
      </c>
      <c r="F243" s="57"/>
      <c r="G243" s="69">
        <v>45831.0</v>
      </c>
      <c r="J243" s="62" t="s">
        <v>38</v>
      </c>
      <c r="K243" s="62" t="s">
        <v>673</v>
      </c>
      <c r="L243" s="63">
        <v>80.75</v>
      </c>
      <c r="M243" s="57"/>
      <c r="N243" s="62" t="s">
        <v>139</v>
      </c>
      <c r="P243" s="6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</row>
    <row r="244">
      <c r="A244" s="56"/>
      <c r="B244" s="56" t="s">
        <v>53</v>
      </c>
      <c r="C244" s="57"/>
      <c r="D244" s="62">
        <v>5.0</v>
      </c>
      <c r="E244" s="62" t="s">
        <v>663</v>
      </c>
      <c r="F244" s="57"/>
      <c r="G244" s="69">
        <v>45831.0</v>
      </c>
      <c r="J244" s="62" t="s">
        <v>38</v>
      </c>
      <c r="K244" s="62" t="s">
        <v>673</v>
      </c>
      <c r="L244" s="63">
        <v>5.56</v>
      </c>
      <c r="M244" s="62">
        <v>604314.0</v>
      </c>
      <c r="N244" s="57"/>
      <c r="P244" s="6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</row>
    <row r="245">
      <c r="A245" s="56"/>
      <c r="B245" s="56" t="s">
        <v>53</v>
      </c>
      <c r="C245" s="57"/>
      <c r="D245" s="58">
        <v>6.0</v>
      </c>
      <c r="E245" s="59" t="s">
        <v>1140</v>
      </c>
      <c r="F245" s="57"/>
      <c r="G245" s="69">
        <v>45831.0</v>
      </c>
      <c r="J245" s="62" t="s">
        <v>38</v>
      </c>
      <c r="K245" s="62" t="s">
        <v>673</v>
      </c>
      <c r="L245" s="63">
        <v>1.07</v>
      </c>
      <c r="M245" s="62">
        <v>604314.0</v>
      </c>
      <c r="N245" s="62" t="s">
        <v>615</v>
      </c>
      <c r="P245" s="6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</row>
    <row r="246">
      <c r="A246" s="56"/>
      <c r="B246" s="56" t="s">
        <v>53</v>
      </c>
      <c r="C246" s="57"/>
      <c r="D246" s="58">
        <v>6.0</v>
      </c>
      <c r="E246" s="59" t="s">
        <v>1142</v>
      </c>
      <c r="F246" s="57"/>
      <c r="G246" s="69">
        <v>45831.0</v>
      </c>
      <c r="J246" s="62" t="s">
        <v>38</v>
      </c>
      <c r="K246" s="62" t="s">
        <v>673</v>
      </c>
      <c r="L246" s="63">
        <v>1.07</v>
      </c>
      <c r="M246" s="62">
        <v>604314.0</v>
      </c>
      <c r="N246" s="62" t="s">
        <v>615</v>
      </c>
      <c r="P246" s="6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</row>
    <row r="247">
      <c r="A247" s="56"/>
      <c r="B247" s="56" t="s">
        <v>730</v>
      </c>
      <c r="C247" s="57"/>
      <c r="D247" s="62">
        <v>1.0</v>
      </c>
      <c r="E247" s="62" t="s">
        <v>1143</v>
      </c>
      <c r="F247" s="57"/>
      <c r="G247" s="69">
        <v>45831.0</v>
      </c>
      <c r="J247" s="62" t="s">
        <v>38</v>
      </c>
      <c r="K247" s="62" t="s">
        <v>673</v>
      </c>
      <c r="L247" s="63">
        <v>445.15</v>
      </c>
      <c r="M247" s="62">
        <v>604372.0</v>
      </c>
      <c r="N247" s="57"/>
      <c r="P247" s="6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</row>
    <row r="248">
      <c r="A248" s="56"/>
      <c r="B248" s="56" t="s">
        <v>730</v>
      </c>
      <c r="C248" s="57"/>
      <c r="D248" s="58">
        <v>1.0</v>
      </c>
      <c r="E248" s="59" t="s">
        <v>1145</v>
      </c>
      <c r="F248" s="57"/>
      <c r="G248" s="69">
        <v>45836.0</v>
      </c>
      <c r="J248" s="62" t="s">
        <v>38</v>
      </c>
      <c r="K248" s="62" t="s">
        <v>673</v>
      </c>
      <c r="L248" s="63">
        <v>104.89</v>
      </c>
      <c r="M248" s="62">
        <v>605327.0</v>
      </c>
      <c r="N248" s="57"/>
      <c r="P248" s="6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</row>
    <row r="249">
      <c r="A249" s="56"/>
      <c r="B249" s="56" t="s">
        <v>487</v>
      </c>
      <c r="C249" s="57"/>
      <c r="D249" s="62">
        <v>1.0</v>
      </c>
      <c r="E249" s="62" t="s">
        <v>1068</v>
      </c>
      <c r="F249" s="57"/>
      <c r="G249" s="69">
        <v>45838.0</v>
      </c>
      <c r="J249" s="62" t="s">
        <v>38</v>
      </c>
      <c r="K249" s="62" t="s">
        <v>1148</v>
      </c>
      <c r="L249" s="63">
        <v>95.62</v>
      </c>
      <c r="M249" s="62">
        <v>606366.0</v>
      </c>
      <c r="N249" s="57"/>
      <c r="P249" s="6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</row>
    <row r="250">
      <c r="A250" s="56"/>
      <c r="B250" s="56" t="s">
        <v>1149</v>
      </c>
      <c r="C250" s="57"/>
      <c r="D250" s="62">
        <v>1.0</v>
      </c>
      <c r="E250" s="62" t="s">
        <v>1068</v>
      </c>
      <c r="F250" s="57"/>
      <c r="G250" s="69">
        <v>45838.0</v>
      </c>
      <c r="J250" s="62" t="s">
        <v>38</v>
      </c>
      <c r="K250" s="62" t="s">
        <v>1148</v>
      </c>
      <c r="L250" s="63">
        <v>95.62</v>
      </c>
      <c r="M250" s="62">
        <v>606366.0</v>
      </c>
      <c r="N250" s="57"/>
      <c r="P250" s="6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</row>
    <row r="251">
      <c r="A251" s="56"/>
      <c r="B251" s="56" t="s">
        <v>1150</v>
      </c>
      <c r="C251" s="62" t="s">
        <v>1151</v>
      </c>
      <c r="D251" s="62">
        <v>1.0</v>
      </c>
      <c r="E251" s="62" t="s">
        <v>1152</v>
      </c>
      <c r="F251" s="57"/>
      <c r="G251" s="69">
        <v>45838.0</v>
      </c>
      <c r="J251" s="62" t="s">
        <v>38</v>
      </c>
      <c r="K251" s="62" t="s">
        <v>1148</v>
      </c>
      <c r="L251" s="63">
        <v>131.43</v>
      </c>
      <c r="M251" s="62">
        <v>605686.0</v>
      </c>
      <c r="N251" s="6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</row>
    <row r="252">
      <c r="A252" s="56"/>
      <c r="B252" s="56" t="s">
        <v>1153</v>
      </c>
      <c r="C252" s="62" t="s">
        <v>1154</v>
      </c>
      <c r="D252" s="62">
        <v>1.0</v>
      </c>
      <c r="E252" s="62" t="s">
        <v>1155</v>
      </c>
      <c r="F252" s="62" t="s">
        <v>35</v>
      </c>
      <c r="G252" s="69">
        <v>45838.0</v>
      </c>
      <c r="J252" s="62" t="s">
        <v>38</v>
      </c>
      <c r="K252" s="62" t="s">
        <v>1148</v>
      </c>
      <c r="L252" s="63">
        <v>124.88</v>
      </c>
      <c r="M252" s="62">
        <v>605686.0</v>
      </c>
      <c r="N252" s="6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</row>
    <row r="253">
      <c r="A253" s="56"/>
      <c r="B253" s="56" t="s">
        <v>53</v>
      </c>
      <c r="C253" s="57"/>
      <c r="D253" s="62">
        <v>1.0</v>
      </c>
      <c r="E253" s="62" t="s">
        <v>1159</v>
      </c>
      <c r="F253" s="57"/>
      <c r="G253" s="69">
        <v>45838.0</v>
      </c>
      <c r="J253" s="62" t="s">
        <v>38</v>
      </c>
      <c r="K253" s="62" t="s">
        <v>1148</v>
      </c>
      <c r="L253" s="63">
        <v>124.88</v>
      </c>
      <c r="M253" s="62">
        <v>605686.0</v>
      </c>
      <c r="N253" s="6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</row>
    <row r="254">
      <c r="A254" s="56"/>
      <c r="B254" s="56" t="s">
        <v>997</v>
      </c>
      <c r="C254" s="62" t="s">
        <v>1161</v>
      </c>
      <c r="D254" s="62">
        <v>1.0</v>
      </c>
      <c r="E254" s="62" t="s">
        <v>1163</v>
      </c>
      <c r="F254" s="62" t="s">
        <v>496</v>
      </c>
      <c r="G254" s="69">
        <v>45838.0</v>
      </c>
      <c r="J254" s="62" t="s">
        <v>38</v>
      </c>
      <c r="K254" s="62" t="s">
        <v>1148</v>
      </c>
      <c r="L254" s="63">
        <v>124.88</v>
      </c>
      <c r="M254" s="62">
        <v>605686.0</v>
      </c>
      <c r="N254" s="6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</row>
    <row r="255">
      <c r="A255" s="56"/>
      <c r="B255" s="56" t="s">
        <v>53</v>
      </c>
      <c r="C255" s="57"/>
      <c r="D255" s="58">
        <v>1.0</v>
      </c>
      <c r="E255" s="59" t="s">
        <v>1165</v>
      </c>
      <c r="F255" s="57"/>
      <c r="G255" s="69">
        <v>45838.0</v>
      </c>
      <c r="J255" s="62" t="s">
        <v>38</v>
      </c>
      <c r="K255" s="62" t="s">
        <v>1148</v>
      </c>
      <c r="L255" s="63">
        <v>4.47</v>
      </c>
      <c r="M255" s="62">
        <v>605686.0</v>
      </c>
      <c r="N255" s="6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</row>
    <row r="256">
      <c r="A256" s="56"/>
      <c r="B256" s="56" t="s">
        <v>1168</v>
      </c>
      <c r="C256" s="62" t="s">
        <v>1169</v>
      </c>
      <c r="D256" s="62">
        <v>1.0</v>
      </c>
      <c r="E256" s="62" t="s">
        <v>1170</v>
      </c>
      <c r="F256" s="57"/>
      <c r="G256" s="69">
        <v>45838.0</v>
      </c>
      <c r="J256" s="62" t="s">
        <v>38</v>
      </c>
      <c r="K256" s="62" t="s">
        <v>1148</v>
      </c>
      <c r="L256" s="63">
        <v>37.43</v>
      </c>
      <c r="M256" s="62">
        <v>605686.0</v>
      </c>
      <c r="N256" s="6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</row>
    <row r="257">
      <c r="A257" s="56"/>
      <c r="B257" s="56" t="s">
        <v>53</v>
      </c>
      <c r="C257" s="57"/>
      <c r="D257" s="62">
        <v>10.0</v>
      </c>
      <c r="E257" s="62" t="s">
        <v>827</v>
      </c>
      <c r="F257" s="57"/>
      <c r="G257" s="69">
        <v>45838.0</v>
      </c>
      <c r="J257" s="62" t="s">
        <v>38</v>
      </c>
      <c r="K257" s="62" t="s">
        <v>1148</v>
      </c>
      <c r="L257" s="63">
        <v>9.12</v>
      </c>
      <c r="M257" s="62">
        <v>605686.0</v>
      </c>
      <c r="N257" s="6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</row>
    <row r="258">
      <c r="A258" s="56"/>
      <c r="B258" s="56" t="s">
        <v>53</v>
      </c>
      <c r="C258" s="57"/>
      <c r="D258" s="58">
        <v>5.0</v>
      </c>
      <c r="E258" s="59" t="s">
        <v>1177</v>
      </c>
      <c r="F258" s="57"/>
      <c r="G258" s="69">
        <v>45838.0</v>
      </c>
      <c r="J258" s="62" t="s">
        <v>38</v>
      </c>
      <c r="K258" s="62" t="s">
        <v>1148</v>
      </c>
      <c r="L258" s="63">
        <v>7.46</v>
      </c>
      <c r="M258" s="62" t="s">
        <v>1181</v>
      </c>
      <c r="N258" s="63" t="s">
        <v>1182</v>
      </c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</row>
    <row r="259">
      <c r="A259" s="56"/>
      <c r="B259" s="56" t="s">
        <v>53</v>
      </c>
      <c r="C259" s="57"/>
      <c r="D259" s="62">
        <v>1.0</v>
      </c>
      <c r="E259" s="62" t="s">
        <v>187</v>
      </c>
      <c r="F259" s="57"/>
      <c r="G259" s="69">
        <v>45838.0</v>
      </c>
      <c r="J259" s="62" t="s">
        <v>38</v>
      </c>
      <c r="K259" s="62" t="s">
        <v>1148</v>
      </c>
      <c r="L259" s="63">
        <v>14.82</v>
      </c>
      <c r="M259" s="62">
        <v>605686.0</v>
      </c>
      <c r="N259" s="6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</row>
    <row r="260">
      <c r="A260" s="56"/>
      <c r="B260" s="56" t="s">
        <v>53</v>
      </c>
      <c r="C260" s="57"/>
      <c r="D260" s="62">
        <v>10.0</v>
      </c>
      <c r="E260" s="62" t="s">
        <v>1185</v>
      </c>
      <c r="F260" s="57"/>
      <c r="G260" s="69">
        <v>45838.0</v>
      </c>
      <c r="J260" s="62" t="s">
        <v>38</v>
      </c>
      <c r="K260" s="62" t="s">
        <v>1148</v>
      </c>
      <c r="L260" s="63">
        <v>1.0</v>
      </c>
      <c r="M260" s="62">
        <v>605686.0</v>
      </c>
      <c r="N260" s="6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</row>
    <row r="261">
      <c r="A261" s="57"/>
      <c r="B261" s="57"/>
      <c r="C261" s="57"/>
      <c r="D261" s="57"/>
      <c r="E261" s="57"/>
      <c r="F261" s="57"/>
      <c r="G261" s="80"/>
      <c r="H261" s="57"/>
      <c r="I261" s="57"/>
      <c r="J261" s="67"/>
      <c r="K261" s="57"/>
      <c r="L261" s="57"/>
      <c r="M261" s="6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</row>
    <row r="262">
      <c r="A262" s="57"/>
      <c r="B262" s="57"/>
      <c r="C262" s="57"/>
      <c r="D262" s="57"/>
      <c r="E262" s="57"/>
      <c r="F262" s="57"/>
      <c r="G262" s="80"/>
      <c r="H262" s="57"/>
      <c r="I262" s="57"/>
      <c r="J262" s="67"/>
      <c r="K262" s="57"/>
      <c r="L262" s="57"/>
      <c r="M262" s="6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</row>
    <row r="263">
      <c r="A263" s="57"/>
      <c r="B263" s="57"/>
      <c r="C263" s="57"/>
      <c r="D263" s="57"/>
      <c r="E263" s="82"/>
      <c r="F263" s="57"/>
      <c r="G263" s="80"/>
      <c r="H263" s="57"/>
      <c r="I263" s="57"/>
      <c r="J263" s="67"/>
      <c r="K263" s="57"/>
      <c r="L263" s="57"/>
      <c r="M263" s="6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</row>
    <row r="264">
      <c r="A264" s="57"/>
      <c r="B264" s="57"/>
      <c r="C264" s="57"/>
      <c r="D264" s="57"/>
      <c r="E264" s="82"/>
      <c r="F264" s="57"/>
      <c r="G264" s="80"/>
      <c r="H264" s="57"/>
      <c r="I264" s="57"/>
      <c r="J264" s="67"/>
      <c r="K264" s="57"/>
      <c r="L264" s="57"/>
      <c r="M264" s="6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</row>
    <row r="265">
      <c r="A265" s="57"/>
      <c r="B265" s="57"/>
      <c r="C265" s="57"/>
      <c r="D265" s="57"/>
      <c r="E265" s="57"/>
      <c r="F265" s="57"/>
      <c r="G265" s="80"/>
      <c r="H265" s="57"/>
      <c r="I265" s="57"/>
      <c r="J265" s="67"/>
      <c r="K265" s="57"/>
      <c r="L265" s="57"/>
      <c r="M265" s="6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</row>
    <row r="266">
      <c r="A266" s="57"/>
      <c r="B266" s="57"/>
      <c r="C266" s="57"/>
      <c r="D266" s="57"/>
      <c r="E266" s="57"/>
      <c r="F266" s="57"/>
      <c r="G266" s="80"/>
      <c r="H266" s="57"/>
      <c r="I266" s="57"/>
      <c r="J266" s="67"/>
      <c r="K266" s="57"/>
      <c r="L266" s="57"/>
      <c r="M266" s="6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</row>
    <row r="267">
      <c r="A267" s="57"/>
      <c r="B267" s="57"/>
      <c r="C267" s="57"/>
      <c r="D267" s="57"/>
      <c r="E267" s="57"/>
      <c r="F267" s="57"/>
      <c r="G267" s="80"/>
      <c r="H267" s="57"/>
      <c r="I267" s="57"/>
      <c r="J267" s="67"/>
      <c r="K267" s="57"/>
      <c r="L267" s="57"/>
      <c r="M267" s="6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</row>
    <row r="268">
      <c r="A268" s="57"/>
      <c r="B268" s="57"/>
      <c r="C268" s="57"/>
      <c r="D268" s="57"/>
      <c r="E268" s="57"/>
      <c r="F268" s="57"/>
      <c r="G268" s="80"/>
      <c r="H268" s="57"/>
      <c r="I268" s="57"/>
      <c r="J268" s="67"/>
      <c r="K268" s="57"/>
      <c r="L268" s="57"/>
      <c r="M268" s="6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</row>
    <row r="269">
      <c r="A269" s="57"/>
      <c r="B269" s="57"/>
      <c r="C269" s="57"/>
      <c r="D269" s="57"/>
      <c r="E269" s="57"/>
      <c r="F269" s="57"/>
      <c r="G269" s="80"/>
      <c r="H269" s="57"/>
      <c r="I269" s="57"/>
      <c r="J269" s="67"/>
      <c r="K269" s="57"/>
      <c r="L269" s="57"/>
      <c r="M269" s="6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</row>
    <row r="270">
      <c r="A270" s="57"/>
      <c r="B270" s="57"/>
      <c r="C270" s="57"/>
      <c r="D270" s="57"/>
      <c r="E270" s="57"/>
      <c r="F270" s="57"/>
      <c r="G270" s="80"/>
      <c r="H270" s="57"/>
      <c r="I270" s="57"/>
      <c r="J270" s="67"/>
      <c r="K270" s="57"/>
      <c r="L270" s="57"/>
      <c r="M270" s="6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</row>
    <row r="271">
      <c r="A271" s="57"/>
      <c r="B271" s="57"/>
      <c r="C271" s="57"/>
      <c r="D271" s="57"/>
      <c r="E271" s="57"/>
      <c r="F271" s="57"/>
      <c r="G271" s="80"/>
      <c r="H271" s="57"/>
      <c r="I271" s="57"/>
      <c r="J271" s="67"/>
      <c r="K271" s="57"/>
      <c r="L271" s="57"/>
      <c r="M271" s="6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</row>
    <row r="272">
      <c r="A272" s="57"/>
      <c r="B272" s="57"/>
      <c r="C272" s="57"/>
      <c r="D272" s="57"/>
      <c r="E272" s="57"/>
      <c r="F272" s="57"/>
      <c r="G272" s="80"/>
      <c r="H272" s="57"/>
      <c r="I272" s="57"/>
      <c r="J272" s="67"/>
      <c r="K272" s="57"/>
      <c r="L272" s="57"/>
      <c r="M272" s="6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</row>
    <row r="273">
      <c r="A273" s="57"/>
      <c r="B273" s="57"/>
      <c r="C273" s="57"/>
      <c r="D273" s="57"/>
      <c r="E273" s="57"/>
      <c r="F273" s="57"/>
      <c r="G273" s="80"/>
      <c r="H273" s="57"/>
      <c r="I273" s="57"/>
      <c r="J273" s="67"/>
      <c r="K273" s="57"/>
      <c r="L273" s="57"/>
      <c r="M273" s="6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</row>
    <row r="274">
      <c r="A274" s="57"/>
      <c r="B274" s="57"/>
      <c r="C274" s="57"/>
      <c r="D274" s="57"/>
      <c r="E274" s="57"/>
      <c r="F274" s="57"/>
      <c r="G274" s="80"/>
      <c r="H274" s="57"/>
      <c r="I274" s="57"/>
      <c r="J274" s="67"/>
      <c r="K274" s="57"/>
      <c r="L274" s="57"/>
      <c r="M274" s="6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</row>
    <row r="275">
      <c r="A275" s="57"/>
      <c r="B275" s="57"/>
      <c r="C275" s="57"/>
      <c r="D275" s="57"/>
      <c r="E275" s="57"/>
      <c r="F275" s="57"/>
      <c r="G275" s="80"/>
      <c r="H275" s="57"/>
      <c r="I275" s="57"/>
      <c r="J275" s="67"/>
      <c r="K275" s="57"/>
      <c r="L275" s="57"/>
      <c r="M275" s="6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</row>
    <row r="276">
      <c r="A276" s="57"/>
      <c r="B276" s="57"/>
      <c r="C276" s="57"/>
      <c r="D276" s="57"/>
      <c r="E276" s="57"/>
      <c r="F276" s="57"/>
      <c r="G276" s="80"/>
      <c r="H276" s="57"/>
      <c r="I276" s="57"/>
      <c r="J276" s="67"/>
      <c r="K276" s="57"/>
      <c r="L276" s="57"/>
      <c r="M276" s="6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</row>
    <row r="277">
      <c r="A277" s="57"/>
      <c r="B277" s="57"/>
      <c r="C277" s="57"/>
      <c r="D277" s="57"/>
      <c r="E277" s="57"/>
      <c r="F277" s="57"/>
      <c r="G277" s="80"/>
      <c r="H277" s="57"/>
      <c r="I277" s="57"/>
      <c r="J277" s="67"/>
      <c r="K277" s="57"/>
      <c r="L277" s="57"/>
      <c r="M277" s="6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</row>
    <row r="278">
      <c r="A278" s="57"/>
      <c r="B278" s="57"/>
      <c r="C278" s="57"/>
      <c r="D278" s="57"/>
      <c r="E278" s="57"/>
      <c r="F278" s="57"/>
      <c r="G278" s="80"/>
      <c r="H278" s="57"/>
      <c r="I278" s="57"/>
      <c r="J278" s="67"/>
      <c r="K278" s="57"/>
      <c r="L278" s="57"/>
      <c r="M278" s="6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</row>
    <row r="279">
      <c r="A279" s="57"/>
      <c r="B279" s="57"/>
      <c r="C279" s="57"/>
      <c r="D279" s="57"/>
      <c r="E279" s="57"/>
      <c r="F279" s="57"/>
      <c r="G279" s="80"/>
      <c r="H279" s="57"/>
      <c r="I279" s="57"/>
      <c r="J279" s="67"/>
      <c r="K279" s="57"/>
      <c r="L279" s="57"/>
      <c r="M279" s="6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</row>
    <row r="280">
      <c r="A280" s="57"/>
      <c r="B280" s="57"/>
      <c r="C280" s="57"/>
      <c r="D280" s="57"/>
      <c r="E280" s="57"/>
      <c r="F280" s="57"/>
      <c r="G280" s="80"/>
      <c r="H280" s="57"/>
      <c r="I280" s="57"/>
      <c r="J280" s="67"/>
      <c r="K280" s="57"/>
      <c r="L280" s="57"/>
      <c r="M280" s="6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</row>
    <row r="281">
      <c r="A281" s="57"/>
      <c r="B281" s="57"/>
      <c r="C281" s="57"/>
      <c r="D281" s="57"/>
      <c r="E281" s="57"/>
      <c r="F281" s="57"/>
      <c r="G281" s="80"/>
      <c r="H281" s="57"/>
      <c r="I281" s="57"/>
      <c r="J281" s="67"/>
      <c r="K281" s="57"/>
      <c r="L281" s="57"/>
      <c r="M281" s="6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</row>
    <row r="282">
      <c r="A282" s="57"/>
      <c r="B282" s="57"/>
      <c r="C282" s="57"/>
      <c r="D282" s="57"/>
      <c r="E282" s="57"/>
      <c r="F282" s="57"/>
      <c r="G282" s="80"/>
      <c r="H282" s="57"/>
      <c r="I282" s="57"/>
      <c r="J282" s="67"/>
      <c r="K282" s="57"/>
      <c r="L282" s="57"/>
      <c r="M282" s="6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</row>
    <row r="283">
      <c r="A283" s="57"/>
      <c r="B283" s="57"/>
      <c r="C283" s="57"/>
      <c r="D283" s="57"/>
      <c r="E283" s="57"/>
      <c r="F283" s="57"/>
      <c r="G283" s="80"/>
      <c r="H283" s="57"/>
      <c r="I283" s="57"/>
      <c r="J283" s="67"/>
      <c r="K283" s="57"/>
      <c r="L283" s="57"/>
      <c r="M283" s="6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</row>
    <row r="284">
      <c r="A284" s="57"/>
      <c r="B284" s="57"/>
      <c r="C284" s="57"/>
      <c r="D284" s="57"/>
      <c r="E284" s="57"/>
      <c r="F284" s="57"/>
      <c r="G284" s="80"/>
      <c r="H284" s="57"/>
      <c r="I284" s="57"/>
      <c r="J284" s="67"/>
      <c r="K284" s="57"/>
      <c r="L284" s="57"/>
      <c r="M284" s="6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</row>
    <row r="285">
      <c r="A285" s="57"/>
      <c r="B285" s="57"/>
      <c r="C285" s="57"/>
      <c r="D285" s="57"/>
      <c r="E285" s="57"/>
      <c r="F285" s="57"/>
      <c r="G285" s="80"/>
      <c r="H285" s="57"/>
      <c r="I285" s="57"/>
      <c r="J285" s="67"/>
      <c r="K285" s="57"/>
      <c r="L285" s="57"/>
      <c r="M285" s="6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</row>
    <row r="286">
      <c r="A286" s="57"/>
      <c r="B286" s="57"/>
      <c r="C286" s="57"/>
      <c r="D286" s="57"/>
      <c r="E286" s="57"/>
      <c r="F286" s="57"/>
      <c r="G286" s="80"/>
      <c r="H286" s="57"/>
      <c r="I286" s="57"/>
      <c r="J286" s="67"/>
      <c r="K286" s="57"/>
      <c r="L286" s="57"/>
      <c r="M286" s="6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</row>
    <row r="287">
      <c r="A287" s="57"/>
      <c r="B287" s="57"/>
      <c r="C287" s="57"/>
      <c r="D287" s="57"/>
      <c r="E287" s="57"/>
      <c r="F287" s="57"/>
      <c r="G287" s="80"/>
      <c r="H287" s="57"/>
      <c r="I287" s="57"/>
      <c r="J287" s="67"/>
      <c r="K287" s="57"/>
      <c r="L287" s="57"/>
      <c r="M287" s="6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</row>
    <row r="288">
      <c r="A288" s="57"/>
      <c r="B288" s="57"/>
      <c r="C288" s="57"/>
      <c r="D288" s="57"/>
      <c r="E288" s="57"/>
      <c r="F288" s="57"/>
      <c r="G288" s="80"/>
      <c r="H288" s="57"/>
      <c r="I288" s="57"/>
      <c r="J288" s="67"/>
      <c r="K288" s="57"/>
      <c r="L288" s="57"/>
      <c r="M288" s="6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</row>
    <row r="289">
      <c r="A289" s="57"/>
      <c r="B289" s="57"/>
      <c r="C289" s="57"/>
      <c r="D289" s="57"/>
      <c r="E289" s="57"/>
      <c r="F289" s="57"/>
      <c r="G289" s="80"/>
      <c r="H289" s="57"/>
      <c r="I289" s="57"/>
      <c r="J289" s="67"/>
      <c r="K289" s="57"/>
      <c r="L289" s="57"/>
      <c r="M289" s="6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</row>
    <row r="290">
      <c r="A290" s="57"/>
      <c r="B290" s="57"/>
      <c r="C290" s="57"/>
      <c r="D290" s="57"/>
      <c r="E290" s="57"/>
      <c r="F290" s="57"/>
      <c r="G290" s="80"/>
      <c r="H290" s="57"/>
      <c r="I290" s="57"/>
      <c r="J290" s="67"/>
      <c r="K290" s="57"/>
      <c r="L290" s="57"/>
      <c r="M290" s="6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</row>
    <row r="291">
      <c r="A291" s="57"/>
      <c r="B291" s="57"/>
      <c r="C291" s="57"/>
      <c r="D291" s="57"/>
      <c r="E291" s="57"/>
      <c r="F291" s="57"/>
      <c r="G291" s="80"/>
      <c r="H291" s="57"/>
      <c r="I291" s="57"/>
      <c r="J291" s="67"/>
      <c r="K291" s="57"/>
      <c r="L291" s="57"/>
      <c r="M291" s="6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</row>
    <row r="292">
      <c r="A292" s="57"/>
      <c r="B292" s="57"/>
      <c r="C292" s="57"/>
      <c r="D292" s="57"/>
      <c r="E292" s="57"/>
      <c r="F292" s="57"/>
      <c r="G292" s="80"/>
      <c r="H292" s="57"/>
      <c r="I292" s="57"/>
      <c r="J292" s="67"/>
      <c r="K292" s="57"/>
      <c r="L292" s="57"/>
      <c r="M292" s="6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</row>
    <row r="293">
      <c r="A293" s="57"/>
      <c r="B293" s="57"/>
      <c r="C293" s="57"/>
      <c r="D293" s="57"/>
      <c r="E293" s="57"/>
      <c r="F293" s="57"/>
      <c r="G293" s="80"/>
      <c r="H293" s="57"/>
      <c r="I293" s="57"/>
      <c r="J293" s="67"/>
      <c r="K293" s="57"/>
      <c r="L293" s="57"/>
      <c r="M293" s="6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</row>
    <row r="294">
      <c r="A294" s="57"/>
      <c r="B294" s="57"/>
      <c r="C294" s="57"/>
      <c r="D294" s="57"/>
      <c r="E294" s="57"/>
      <c r="F294" s="57"/>
      <c r="G294" s="80"/>
      <c r="H294" s="57"/>
      <c r="I294" s="57"/>
      <c r="J294" s="67"/>
      <c r="K294" s="57"/>
      <c r="L294" s="57"/>
      <c r="M294" s="6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</row>
    <row r="295">
      <c r="A295" s="57"/>
      <c r="B295" s="57"/>
      <c r="C295" s="57"/>
      <c r="D295" s="57"/>
      <c r="E295" s="57"/>
      <c r="F295" s="57"/>
      <c r="G295" s="80"/>
      <c r="H295" s="57"/>
      <c r="I295" s="57"/>
      <c r="J295" s="67"/>
      <c r="K295" s="57"/>
      <c r="L295" s="57"/>
      <c r="M295" s="6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</row>
    <row r="296">
      <c r="A296" s="57"/>
      <c r="B296" s="57"/>
      <c r="C296" s="57"/>
      <c r="D296" s="57"/>
      <c r="E296" s="57"/>
      <c r="F296" s="57"/>
      <c r="G296" s="80"/>
      <c r="H296" s="57"/>
      <c r="I296" s="57"/>
      <c r="J296" s="67"/>
      <c r="K296" s="57"/>
      <c r="L296" s="57"/>
      <c r="M296" s="6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</row>
    <row r="297">
      <c r="A297" s="57"/>
      <c r="B297" s="57"/>
      <c r="C297" s="57"/>
      <c r="D297" s="57"/>
      <c r="E297" s="57"/>
      <c r="F297" s="57"/>
      <c r="G297" s="80"/>
      <c r="H297" s="57"/>
      <c r="I297" s="57"/>
      <c r="J297" s="67"/>
      <c r="K297" s="57"/>
      <c r="L297" s="57"/>
      <c r="M297" s="6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</row>
    <row r="298">
      <c r="A298" s="57"/>
      <c r="B298" s="57"/>
      <c r="C298" s="57"/>
      <c r="D298" s="57"/>
      <c r="E298" s="57"/>
      <c r="F298" s="57"/>
      <c r="G298" s="80"/>
      <c r="H298" s="57"/>
      <c r="I298" s="57"/>
      <c r="J298" s="67"/>
      <c r="K298" s="57"/>
      <c r="L298" s="57"/>
      <c r="M298" s="6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</row>
    <row r="299">
      <c r="A299" s="57"/>
      <c r="B299" s="57"/>
      <c r="C299" s="57"/>
      <c r="D299" s="57"/>
      <c r="E299" s="57"/>
      <c r="F299" s="57"/>
      <c r="G299" s="80"/>
      <c r="H299" s="57"/>
      <c r="I299" s="57"/>
      <c r="J299" s="67"/>
      <c r="K299" s="57"/>
      <c r="L299" s="57"/>
      <c r="M299" s="6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</row>
    <row r="300">
      <c r="A300" s="57"/>
      <c r="B300" s="57"/>
      <c r="C300" s="57"/>
      <c r="D300" s="57"/>
      <c r="E300" s="57"/>
      <c r="F300" s="57"/>
      <c r="G300" s="80"/>
      <c r="H300" s="57"/>
      <c r="I300" s="57"/>
      <c r="J300" s="67"/>
      <c r="K300" s="57"/>
      <c r="L300" s="57"/>
      <c r="M300" s="6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</row>
    <row r="301">
      <c r="A301" s="57"/>
      <c r="B301" s="57"/>
      <c r="C301" s="57"/>
      <c r="D301" s="57"/>
      <c r="E301" s="57"/>
      <c r="F301" s="57"/>
      <c r="G301" s="80"/>
      <c r="H301" s="57"/>
      <c r="I301" s="57"/>
      <c r="J301" s="67"/>
      <c r="K301" s="57"/>
      <c r="L301" s="57"/>
      <c r="M301" s="6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</row>
    <row r="302">
      <c r="A302" s="57"/>
      <c r="B302" s="57"/>
      <c r="C302" s="57"/>
      <c r="D302" s="57"/>
      <c r="E302" s="82"/>
      <c r="F302" s="57"/>
      <c r="G302" s="80"/>
      <c r="H302" s="57"/>
      <c r="I302" s="57"/>
      <c r="J302" s="67"/>
      <c r="K302" s="57"/>
      <c r="L302" s="57"/>
      <c r="M302" s="6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</row>
    <row r="303">
      <c r="A303" s="57"/>
      <c r="B303" s="57"/>
      <c r="C303" s="57"/>
      <c r="D303" s="57"/>
      <c r="E303" s="82"/>
      <c r="F303" s="57"/>
      <c r="G303" s="80"/>
      <c r="H303" s="57"/>
      <c r="I303" s="57"/>
      <c r="J303" s="67"/>
      <c r="K303" s="57"/>
      <c r="L303" s="57"/>
      <c r="M303" s="6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</row>
    <row r="304">
      <c r="A304" s="57"/>
      <c r="B304" s="57"/>
      <c r="C304" s="57"/>
      <c r="D304" s="57"/>
      <c r="E304" s="82"/>
      <c r="F304" s="57"/>
      <c r="G304" s="80"/>
      <c r="H304" s="57"/>
      <c r="I304" s="57"/>
      <c r="J304" s="67"/>
      <c r="K304" s="57"/>
      <c r="L304" s="57"/>
      <c r="M304" s="6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</row>
    <row r="305">
      <c r="A305" s="57"/>
      <c r="B305" s="57"/>
      <c r="C305" s="57"/>
      <c r="D305" s="57"/>
      <c r="E305" s="57"/>
      <c r="F305" s="57"/>
      <c r="G305" s="80"/>
      <c r="H305" s="57"/>
      <c r="I305" s="57"/>
      <c r="J305" s="67"/>
      <c r="K305" s="57"/>
      <c r="L305" s="57"/>
      <c r="M305" s="6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</row>
    <row r="306">
      <c r="A306" s="57"/>
      <c r="B306" s="57"/>
      <c r="C306" s="57"/>
      <c r="D306" s="57"/>
      <c r="E306" s="57"/>
      <c r="F306" s="57"/>
      <c r="G306" s="80"/>
      <c r="H306" s="57"/>
      <c r="I306" s="57"/>
      <c r="J306" s="67"/>
      <c r="K306" s="57"/>
      <c r="L306" s="57"/>
      <c r="M306" s="6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</row>
    <row r="307">
      <c r="A307" s="57"/>
      <c r="B307" s="57"/>
      <c r="C307" s="57"/>
      <c r="D307" s="57"/>
      <c r="E307" s="57"/>
      <c r="F307" s="57"/>
      <c r="G307" s="80"/>
      <c r="H307" s="57"/>
      <c r="I307" s="57"/>
      <c r="J307" s="67"/>
      <c r="K307" s="57"/>
      <c r="L307" s="57"/>
      <c r="M307" s="6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</row>
    <row r="308">
      <c r="A308" s="57"/>
      <c r="B308" s="57"/>
      <c r="C308" s="57"/>
      <c r="D308" s="57"/>
      <c r="E308" s="57"/>
      <c r="F308" s="57"/>
      <c r="G308" s="80"/>
      <c r="H308" s="57"/>
      <c r="I308" s="57"/>
      <c r="J308" s="67"/>
      <c r="K308" s="57"/>
      <c r="L308" s="57"/>
      <c r="M308" s="6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</row>
    <row r="309">
      <c r="A309" s="57"/>
      <c r="B309" s="57"/>
      <c r="C309" s="57"/>
      <c r="D309" s="57"/>
      <c r="E309" s="57"/>
      <c r="F309" s="57"/>
      <c r="G309" s="80"/>
      <c r="H309" s="57"/>
      <c r="I309" s="57"/>
      <c r="J309" s="67"/>
      <c r="K309" s="57"/>
      <c r="L309" s="57"/>
      <c r="M309" s="6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</row>
    <row r="310">
      <c r="A310" s="57"/>
      <c r="B310" s="57"/>
      <c r="C310" s="57"/>
      <c r="D310" s="57"/>
      <c r="E310" s="57"/>
      <c r="F310" s="57"/>
      <c r="G310" s="80"/>
      <c r="H310" s="57"/>
      <c r="I310" s="57"/>
      <c r="J310" s="67"/>
      <c r="K310" s="57"/>
      <c r="L310" s="57"/>
      <c r="M310" s="6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</row>
    <row r="311">
      <c r="A311" s="57"/>
      <c r="B311" s="57"/>
      <c r="C311" s="57"/>
      <c r="D311" s="57"/>
      <c r="E311" s="57"/>
      <c r="F311" s="57"/>
      <c r="G311" s="80"/>
      <c r="H311" s="57"/>
      <c r="I311" s="57"/>
      <c r="J311" s="67"/>
      <c r="K311" s="57"/>
      <c r="L311" s="57"/>
      <c r="M311" s="6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</row>
    <row r="312">
      <c r="A312" s="57"/>
      <c r="B312" s="57"/>
      <c r="C312" s="57"/>
      <c r="D312" s="57"/>
      <c r="E312" s="57"/>
      <c r="F312" s="57"/>
      <c r="G312" s="80"/>
      <c r="H312" s="57"/>
      <c r="I312" s="57"/>
      <c r="J312" s="67"/>
      <c r="K312" s="57"/>
      <c r="L312" s="57"/>
      <c r="M312" s="6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</row>
    <row r="313">
      <c r="A313" s="57"/>
      <c r="B313" s="57"/>
      <c r="C313" s="57"/>
      <c r="D313" s="57"/>
      <c r="E313" s="57"/>
      <c r="F313" s="57"/>
      <c r="G313" s="80"/>
      <c r="H313" s="57"/>
      <c r="I313" s="57"/>
      <c r="J313" s="67"/>
      <c r="K313" s="57"/>
      <c r="L313" s="57"/>
      <c r="M313" s="6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</row>
    <row r="314">
      <c r="A314" s="57"/>
      <c r="B314" s="57"/>
      <c r="C314" s="57"/>
      <c r="D314" s="57"/>
      <c r="E314" s="57"/>
      <c r="F314" s="57"/>
      <c r="G314" s="80"/>
      <c r="H314" s="57"/>
      <c r="I314" s="57"/>
      <c r="J314" s="67"/>
      <c r="K314" s="57"/>
      <c r="L314" s="57"/>
      <c r="M314" s="6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</row>
    <row r="315">
      <c r="A315" s="57"/>
      <c r="B315" s="57"/>
      <c r="C315" s="57"/>
      <c r="D315" s="57"/>
      <c r="E315" s="57"/>
      <c r="F315" s="57"/>
      <c r="G315" s="80"/>
      <c r="H315" s="57"/>
      <c r="I315" s="57"/>
      <c r="J315" s="67"/>
      <c r="K315" s="57"/>
      <c r="L315" s="57"/>
      <c r="M315" s="6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</row>
    <row r="316">
      <c r="A316" s="57"/>
      <c r="B316" s="57"/>
      <c r="C316" s="57"/>
      <c r="D316" s="57"/>
      <c r="E316" s="57"/>
      <c r="F316" s="57"/>
      <c r="G316" s="80"/>
      <c r="H316" s="57"/>
      <c r="I316" s="57"/>
      <c r="J316" s="67"/>
      <c r="K316" s="57"/>
      <c r="L316" s="57"/>
      <c r="M316" s="6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</row>
    <row r="317">
      <c r="A317" s="57"/>
      <c r="B317" s="57"/>
      <c r="C317" s="57"/>
      <c r="D317" s="57"/>
      <c r="E317" s="57"/>
      <c r="F317" s="57"/>
      <c r="G317" s="80"/>
      <c r="H317" s="57"/>
      <c r="I317" s="57"/>
      <c r="J317" s="67"/>
      <c r="K317" s="57"/>
      <c r="L317" s="57"/>
      <c r="M317" s="6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</row>
    <row r="318">
      <c r="A318" s="57"/>
      <c r="B318" s="57"/>
      <c r="C318" s="57"/>
      <c r="D318" s="57"/>
      <c r="E318" s="57"/>
      <c r="F318" s="57"/>
      <c r="G318" s="80"/>
      <c r="H318" s="57"/>
      <c r="I318" s="57"/>
      <c r="J318" s="67"/>
      <c r="K318" s="57"/>
      <c r="L318" s="57"/>
      <c r="M318" s="6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</row>
    <row r="319">
      <c r="A319" s="57"/>
      <c r="B319" s="57"/>
      <c r="C319" s="57"/>
      <c r="D319" s="57"/>
      <c r="E319" s="57"/>
      <c r="F319" s="57"/>
      <c r="G319" s="80"/>
      <c r="H319" s="57"/>
      <c r="I319" s="57"/>
      <c r="J319" s="67"/>
      <c r="K319" s="57"/>
      <c r="L319" s="57"/>
      <c r="M319" s="6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</row>
    <row r="320">
      <c r="A320" s="57"/>
      <c r="B320" s="57"/>
      <c r="C320" s="57"/>
      <c r="D320" s="57"/>
      <c r="E320" s="57"/>
      <c r="F320" s="57"/>
      <c r="G320" s="80"/>
      <c r="H320" s="57"/>
      <c r="I320" s="57"/>
      <c r="J320" s="67"/>
      <c r="K320" s="57"/>
      <c r="L320" s="57"/>
      <c r="M320" s="6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</row>
    <row r="321">
      <c r="A321" s="57"/>
      <c r="B321" s="57"/>
      <c r="C321" s="57"/>
      <c r="D321" s="57"/>
      <c r="E321" s="57"/>
      <c r="F321" s="57"/>
      <c r="G321" s="80"/>
      <c r="H321" s="57"/>
      <c r="I321" s="57"/>
      <c r="J321" s="67"/>
      <c r="K321" s="57"/>
      <c r="L321" s="57"/>
      <c r="M321" s="6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</row>
    <row r="322">
      <c r="A322" s="57"/>
      <c r="B322" s="57"/>
      <c r="C322" s="57"/>
      <c r="D322" s="57"/>
      <c r="E322" s="57"/>
      <c r="F322" s="57"/>
      <c r="G322" s="80"/>
      <c r="H322" s="57"/>
      <c r="I322" s="57"/>
      <c r="J322" s="67"/>
      <c r="K322" s="57"/>
      <c r="L322" s="57"/>
      <c r="M322" s="6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</row>
    <row r="323">
      <c r="A323" s="57"/>
      <c r="B323" s="57"/>
      <c r="C323" s="57"/>
      <c r="D323" s="57"/>
      <c r="E323" s="57"/>
      <c r="F323" s="57"/>
      <c r="G323" s="80"/>
      <c r="H323" s="57"/>
      <c r="I323" s="57"/>
      <c r="J323" s="67"/>
      <c r="K323" s="57"/>
      <c r="L323" s="57"/>
      <c r="M323" s="6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</row>
    <row r="324">
      <c r="A324" s="57"/>
      <c r="B324" s="57"/>
      <c r="C324" s="57"/>
      <c r="D324" s="57"/>
      <c r="E324" s="57"/>
      <c r="F324" s="57"/>
      <c r="G324" s="80"/>
      <c r="H324" s="57"/>
      <c r="I324" s="57"/>
      <c r="J324" s="67"/>
      <c r="K324" s="57"/>
      <c r="L324" s="57"/>
      <c r="M324" s="6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</row>
    <row r="325">
      <c r="A325" s="57"/>
      <c r="B325" s="57"/>
      <c r="C325" s="57"/>
      <c r="D325" s="57"/>
      <c r="E325" s="57"/>
      <c r="F325" s="57"/>
      <c r="G325" s="80"/>
      <c r="H325" s="57"/>
      <c r="I325" s="57"/>
      <c r="J325" s="67"/>
      <c r="K325" s="57"/>
      <c r="L325" s="57"/>
      <c r="M325" s="6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</row>
    <row r="326">
      <c r="A326" s="57"/>
      <c r="B326" s="57"/>
      <c r="C326" s="57"/>
      <c r="D326" s="57"/>
      <c r="E326" s="57"/>
      <c r="F326" s="57"/>
      <c r="G326" s="80"/>
      <c r="H326" s="57"/>
      <c r="I326" s="57"/>
      <c r="J326" s="67"/>
      <c r="K326" s="57"/>
      <c r="L326" s="57"/>
      <c r="M326" s="6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</row>
    <row r="327">
      <c r="A327" s="57"/>
      <c r="B327" s="57"/>
      <c r="C327" s="57"/>
      <c r="D327" s="57"/>
      <c r="E327" s="57"/>
      <c r="F327" s="57"/>
      <c r="G327" s="80"/>
      <c r="H327" s="57"/>
      <c r="I327" s="57"/>
      <c r="J327" s="67"/>
      <c r="K327" s="57"/>
      <c r="L327" s="57"/>
      <c r="M327" s="6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</row>
    <row r="328">
      <c r="A328" s="57"/>
      <c r="B328" s="57"/>
      <c r="C328" s="57"/>
      <c r="D328" s="57"/>
      <c r="E328" s="57"/>
      <c r="F328" s="57"/>
      <c r="G328" s="80"/>
      <c r="H328" s="57"/>
      <c r="I328" s="57"/>
      <c r="J328" s="67"/>
      <c r="K328" s="57"/>
      <c r="L328" s="57"/>
      <c r="M328" s="6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</row>
    <row r="329">
      <c r="A329" s="57"/>
      <c r="B329" s="57"/>
      <c r="C329" s="57"/>
      <c r="D329" s="57"/>
      <c r="E329" s="57"/>
      <c r="F329" s="57"/>
      <c r="G329" s="80"/>
      <c r="H329" s="57"/>
      <c r="I329" s="57"/>
      <c r="J329" s="67"/>
      <c r="K329" s="57"/>
      <c r="L329" s="57"/>
      <c r="M329" s="6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</row>
    <row r="330">
      <c r="A330" s="57"/>
      <c r="B330" s="57"/>
      <c r="C330" s="57"/>
      <c r="D330" s="57"/>
      <c r="E330" s="57"/>
      <c r="F330" s="57"/>
      <c r="G330" s="80"/>
      <c r="H330" s="57"/>
      <c r="I330" s="57"/>
      <c r="J330" s="67"/>
      <c r="K330" s="57"/>
      <c r="L330" s="57"/>
      <c r="M330" s="6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</row>
    <row r="331">
      <c r="A331" s="57"/>
      <c r="B331" s="57"/>
      <c r="C331" s="57"/>
      <c r="D331" s="57"/>
      <c r="E331" s="57"/>
      <c r="F331" s="57"/>
      <c r="G331" s="80"/>
      <c r="H331" s="57"/>
      <c r="I331" s="57"/>
      <c r="J331" s="67"/>
      <c r="K331" s="57"/>
      <c r="L331" s="57"/>
      <c r="M331" s="6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67"/>
      <c r="K332" s="57"/>
      <c r="L332" s="57"/>
      <c r="M332" s="6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67"/>
      <c r="K333" s="57"/>
      <c r="L333" s="57"/>
      <c r="M333" s="6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67"/>
      <c r="K334" s="57"/>
      <c r="L334" s="57"/>
      <c r="M334" s="6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67"/>
      <c r="K335" s="57"/>
      <c r="L335" s="57"/>
      <c r="M335" s="6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67"/>
      <c r="K336" s="57"/>
      <c r="L336" s="57"/>
      <c r="M336" s="6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67"/>
      <c r="K337" s="57"/>
      <c r="L337" s="57"/>
      <c r="M337" s="6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67"/>
      <c r="K338" s="57"/>
      <c r="L338" s="57"/>
      <c r="M338" s="6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</row>
    <row r="339">
      <c r="A339" s="57"/>
      <c r="B339" s="57"/>
      <c r="C339" s="57"/>
      <c r="D339" s="57"/>
      <c r="E339" s="82"/>
      <c r="F339" s="57"/>
      <c r="G339" s="57"/>
      <c r="H339" s="57"/>
      <c r="I339" s="57"/>
      <c r="J339" s="67"/>
      <c r="K339" s="57"/>
      <c r="L339" s="57"/>
      <c r="M339" s="6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</row>
    <row r="340">
      <c r="A340" s="57"/>
      <c r="B340" s="57"/>
      <c r="C340" s="57"/>
      <c r="D340" s="57"/>
      <c r="E340" s="82"/>
      <c r="F340" s="57"/>
      <c r="G340" s="57"/>
      <c r="H340" s="57"/>
      <c r="I340" s="57"/>
      <c r="J340" s="67"/>
      <c r="K340" s="57"/>
      <c r="L340" s="57"/>
      <c r="M340" s="6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</row>
    <row r="341">
      <c r="A341" s="57"/>
      <c r="B341" s="57"/>
      <c r="C341" s="57"/>
      <c r="D341" s="57"/>
      <c r="E341" s="82"/>
      <c r="F341" s="57"/>
      <c r="G341" s="57"/>
      <c r="H341" s="57"/>
      <c r="I341" s="57"/>
      <c r="J341" s="67"/>
      <c r="K341" s="57"/>
      <c r="L341" s="57"/>
      <c r="M341" s="6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</row>
    <row r="342">
      <c r="A342" s="57"/>
      <c r="B342" s="57"/>
      <c r="C342" s="57"/>
      <c r="D342" s="57"/>
      <c r="E342" s="82"/>
      <c r="F342" s="57"/>
      <c r="G342" s="57"/>
      <c r="H342" s="57"/>
      <c r="I342" s="57"/>
      <c r="J342" s="67"/>
      <c r="K342" s="57"/>
      <c r="L342" s="57"/>
      <c r="M342" s="6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</row>
    <row r="343">
      <c r="A343" s="57"/>
      <c r="B343" s="57"/>
      <c r="C343" s="57"/>
      <c r="D343" s="57"/>
      <c r="E343" s="82"/>
      <c r="F343" s="57"/>
      <c r="G343" s="57"/>
      <c r="H343" s="57"/>
      <c r="I343" s="57"/>
      <c r="J343" s="67"/>
      <c r="K343" s="57"/>
      <c r="L343" s="57"/>
      <c r="M343" s="6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</row>
    <row r="344">
      <c r="A344" s="57"/>
      <c r="B344" s="57"/>
      <c r="C344" s="57"/>
      <c r="D344" s="57"/>
      <c r="E344" s="82"/>
      <c r="F344" s="57"/>
      <c r="G344" s="57"/>
      <c r="H344" s="57"/>
      <c r="I344" s="57"/>
      <c r="J344" s="67"/>
      <c r="K344" s="57"/>
      <c r="L344" s="57"/>
      <c r="M344" s="6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</row>
    <row r="345">
      <c r="A345" s="57"/>
      <c r="B345" s="57"/>
      <c r="C345" s="57"/>
      <c r="D345" s="57"/>
      <c r="E345" s="82"/>
      <c r="F345" s="57"/>
      <c r="G345" s="57"/>
      <c r="H345" s="57"/>
      <c r="I345" s="57"/>
      <c r="J345" s="67"/>
      <c r="K345" s="57"/>
      <c r="L345" s="57"/>
      <c r="M345" s="6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</row>
    <row r="346">
      <c r="A346" s="57"/>
      <c r="B346" s="57"/>
      <c r="C346" s="57"/>
      <c r="D346" s="57"/>
      <c r="E346" s="82"/>
      <c r="F346" s="57"/>
      <c r="G346" s="57"/>
      <c r="H346" s="57"/>
      <c r="I346" s="57"/>
      <c r="J346" s="67"/>
      <c r="K346" s="57"/>
      <c r="L346" s="57"/>
      <c r="M346" s="6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</row>
    <row r="347">
      <c r="A347" s="57"/>
      <c r="B347" s="57"/>
      <c r="C347" s="57"/>
      <c r="D347" s="57"/>
      <c r="E347" s="82"/>
      <c r="F347" s="57"/>
      <c r="G347" s="57"/>
      <c r="H347" s="57"/>
      <c r="I347" s="57"/>
      <c r="J347" s="67"/>
      <c r="K347" s="57"/>
      <c r="L347" s="57"/>
      <c r="M347" s="6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</row>
    <row r="348">
      <c r="A348" s="57"/>
      <c r="B348" s="57"/>
      <c r="C348" s="57"/>
      <c r="D348" s="57"/>
      <c r="E348" s="82"/>
      <c r="F348" s="57"/>
      <c r="G348" s="57"/>
      <c r="H348" s="57"/>
      <c r="I348" s="57"/>
      <c r="J348" s="67"/>
      <c r="K348" s="57"/>
      <c r="L348" s="57"/>
      <c r="M348" s="6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</row>
    <row r="349">
      <c r="A349" s="57"/>
      <c r="B349" s="57"/>
      <c r="C349" s="57"/>
      <c r="D349" s="57"/>
      <c r="E349" s="82"/>
      <c r="F349" s="57"/>
      <c r="G349" s="57"/>
      <c r="H349" s="57"/>
      <c r="I349" s="57"/>
      <c r="J349" s="67"/>
      <c r="K349" s="57"/>
      <c r="L349" s="57"/>
      <c r="M349" s="6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</row>
    <row r="350">
      <c r="A350" s="57"/>
      <c r="B350" s="57"/>
      <c r="C350" s="57"/>
      <c r="D350" s="57"/>
      <c r="E350" s="82"/>
      <c r="F350" s="57"/>
      <c r="G350" s="57"/>
      <c r="H350" s="57"/>
      <c r="I350" s="57"/>
      <c r="J350" s="67"/>
      <c r="K350" s="57"/>
      <c r="L350" s="57"/>
      <c r="M350" s="6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</row>
    <row r="351">
      <c r="A351" s="57"/>
      <c r="B351" s="57"/>
      <c r="C351" s="57"/>
      <c r="D351" s="57"/>
      <c r="E351" s="82"/>
      <c r="F351" s="57"/>
      <c r="G351" s="57"/>
      <c r="H351" s="57"/>
      <c r="I351" s="57"/>
      <c r="J351" s="67"/>
      <c r="K351" s="57"/>
      <c r="L351" s="57"/>
      <c r="M351" s="6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</row>
    <row r="352">
      <c r="A352" s="57"/>
      <c r="B352" s="57"/>
      <c r="C352" s="57"/>
      <c r="D352" s="57"/>
      <c r="E352" s="82"/>
      <c r="F352" s="57"/>
      <c r="G352" s="57"/>
      <c r="H352" s="57"/>
      <c r="I352" s="57"/>
      <c r="J352" s="67"/>
      <c r="K352" s="57"/>
      <c r="L352" s="57"/>
      <c r="M352" s="6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</row>
    <row r="353">
      <c r="A353" s="57"/>
      <c r="B353" s="57"/>
      <c r="C353" s="57"/>
      <c r="D353" s="57"/>
      <c r="E353" s="82"/>
      <c r="F353" s="57"/>
      <c r="G353" s="57"/>
      <c r="H353" s="57"/>
      <c r="I353" s="57"/>
      <c r="J353" s="67"/>
      <c r="K353" s="57"/>
      <c r="L353" s="57"/>
      <c r="M353" s="6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</row>
    <row r="354">
      <c r="A354" s="57"/>
      <c r="B354" s="57"/>
      <c r="C354" s="57"/>
      <c r="D354" s="57"/>
      <c r="E354" s="82"/>
      <c r="F354" s="57"/>
      <c r="G354" s="57"/>
      <c r="H354" s="57"/>
      <c r="I354" s="57"/>
      <c r="J354" s="67"/>
      <c r="K354" s="57"/>
      <c r="L354" s="57"/>
      <c r="M354" s="6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</row>
    <row r="355">
      <c r="A355" s="57"/>
      <c r="B355" s="57"/>
      <c r="C355" s="57"/>
      <c r="D355" s="57"/>
      <c r="E355" s="82"/>
      <c r="F355" s="57"/>
      <c r="G355" s="57"/>
      <c r="H355" s="57"/>
      <c r="I355" s="57"/>
      <c r="J355" s="67"/>
      <c r="K355" s="57"/>
      <c r="L355" s="57"/>
      <c r="M355" s="6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</row>
    <row r="356">
      <c r="A356" s="57"/>
      <c r="B356" s="57"/>
      <c r="C356" s="57"/>
      <c r="D356" s="57"/>
      <c r="E356" s="82"/>
      <c r="F356" s="57"/>
      <c r="G356" s="57"/>
      <c r="H356" s="57"/>
      <c r="I356" s="57"/>
      <c r="J356" s="67"/>
      <c r="K356" s="57"/>
      <c r="L356" s="57"/>
      <c r="M356" s="6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</row>
    <row r="357">
      <c r="A357" s="57"/>
      <c r="B357" s="57"/>
      <c r="C357" s="57"/>
      <c r="D357" s="57"/>
      <c r="E357" s="82"/>
      <c r="F357" s="57"/>
      <c r="G357" s="57"/>
      <c r="H357" s="57"/>
      <c r="I357" s="57"/>
      <c r="J357" s="67"/>
      <c r="K357" s="57"/>
      <c r="L357" s="57"/>
      <c r="M357" s="6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</row>
    <row r="358">
      <c r="A358" s="57"/>
      <c r="B358" s="57"/>
      <c r="C358" s="57"/>
      <c r="D358" s="57"/>
      <c r="E358" s="82"/>
      <c r="F358" s="57"/>
      <c r="G358" s="57"/>
      <c r="H358" s="57"/>
      <c r="I358" s="57"/>
      <c r="J358" s="67"/>
      <c r="K358" s="57"/>
      <c r="L358" s="57"/>
      <c r="M358" s="6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</row>
    <row r="359">
      <c r="A359" s="57"/>
      <c r="B359" s="57"/>
      <c r="C359" s="57"/>
      <c r="D359" s="57"/>
      <c r="E359" s="82"/>
      <c r="F359" s="57"/>
      <c r="G359" s="57"/>
      <c r="H359" s="57"/>
      <c r="I359" s="57"/>
      <c r="J359" s="67"/>
      <c r="K359" s="57"/>
      <c r="L359" s="57"/>
      <c r="M359" s="6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</row>
    <row r="360">
      <c r="A360" s="57"/>
      <c r="B360" s="57"/>
      <c r="C360" s="57"/>
      <c r="D360" s="57"/>
      <c r="E360" s="82"/>
      <c r="F360" s="57"/>
      <c r="G360" s="57"/>
      <c r="H360" s="57"/>
      <c r="I360" s="57"/>
      <c r="J360" s="67"/>
      <c r="K360" s="57"/>
      <c r="L360" s="57"/>
      <c r="M360" s="6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</row>
    <row r="361">
      <c r="A361" s="57"/>
      <c r="B361" s="57"/>
      <c r="C361" s="57"/>
      <c r="D361" s="57"/>
      <c r="E361" s="82"/>
      <c r="F361" s="57"/>
      <c r="G361" s="57"/>
      <c r="H361" s="57"/>
      <c r="I361" s="57"/>
      <c r="J361" s="67"/>
      <c r="K361" s="57"/>
      <c r="L361" s="57"/>
      <c r="M361" s="6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</row>
    <row r="362">
      <c r="A362" s="57"/>
      <c r="B362" s="57"/>
      <c r="C362" s="57"/>
      <c r="D362" s="57"/>
      <c r="E362" s="82"/>
      <c r="F362" s="57"/>
      <c r="G362" s="57"/>
      <c r="H362" s="57"/>
      <c r="I362" s="57"/>
      <c r="J362" s="67"/>
      <c r="K362" s="57"/>
      <c r="L362" s="57"/>
      <c r="M362" s="6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</row>
    <row r="363">
      <c r="A363" s="57"/>
      <c r="B363" s="57"/>
      <c r="C363" s="57"/>
      <c r="D363" s="57"/>
      <c r="E363" s="82"/>
      <c r="F363" s="57"/>
      <c r="G363" s="57"/>
      <c r="H363" s="57"/>
      <c r="I363" s="57"/>
      <c r="J363" s="67"/>
      <c r="K363" s="57"/>
      <c r="L363" s="57"/>
      <c r="M363" s="6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</row>
    <row r="364">
      <c r="A364" s="57"/>
      <c r="B364" s="57"/>
      <c r="C364" s="57"/>
      <c r="D364" s="57"/>
      <c r="E364" s="82"/>
      <c r="F364" s="57"/>
      <c r="G364" s="57"/>
      <c r="H364" s="57"/>
      <c r="I364" s="57"/>
      <c r="J364" s="67"/>
      <c r="K364" s="57"/>
      <c r="L364" s="57"/>
      <c r="M364" s="6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</row>
    <row r="365">
      <c r="A365" s="57"/>
      <c r="B365" s="57"/>
      <c r="C365" s="57"/>
      <c r="D365" s="57"/>
      <c r="E365" s="82"/>
      <c r="F365" s="57"/>
      <c r="G365" s="57"/>
      <c r="H365" s="57"/>
      <c r="I365" s="57"/>
      <c r="J365" s="67"/>
      <c r="K365" s="57"/>
      <c r="L365" s="57"/>
      <c r="M365" s="6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</row>
    <row r="366">
      <c r="A366" s="57"/>
      <c r="B366" s="57"/>
      <c r="C366" s="57"/>
      <c r="D366" s="57"/>
      <c r="E366" s="82"/>
      <c r="F366" s="57"/>
      <c r="G366" s="57"/>
      <c r="H366" s="57"/>
      <c r="I366" s="57"/>
      <c r="J366" s="67"/>
      <c r="K366" s="57"/>
      <c r="L366" s="57"/>
      <c r="M366" s="6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</row>
    <row r="367">
      <c r="A367" s="57"/>
      <c r="B367" s="57"/>
      <c r="C367" s="57"/>
      <c r="D367" s="57"/>
      <c r="E367" s="82"/>
      <c r="F367" s="57"/>
      <c r="G367" s="57"/>
      <c r="H367" s="57"/>
      <c r="I367" s="57"/>
      <c r="J367" s="67"/>
      <c r="K367" s="57"/>
      <c r="L367" s="57"/>
      <c r="M367" s="6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</row>
    <row r="368">
      <c r="A368" s="57"/>
      <c r="B368" s="57"/>
      <c r="C368" s="57"/>
      <c r="D368" s="57"/>
      <c r="E368" s="82"/>
      <c r="F368" s="57"/>
      <c r="G368" s="57"/>
      <c r="H368" s="57"/>
      <c r="I368" s="57"/>
      <c r="J368" s="67"/>
      <c r="K368" s="57"/>
      <c r="L368" s="57"/>
      <c r="M368" s="6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</row>
    <row r="369">
      <c r="A369" s="57"/>
      <c r="B369" s="57"/>
      <c r="C369" s="57"/>
      <c r="D369" s="57"/>
      <c r="E369" s="82"/>
      <c r="F369" s="57"/>
      <c r="G369" s="57"/>
      <c r="H369" s="57"/>
      <c r="I369" s="57"/>
      <c r="J369" s="67"/>
      <c r="K369" s="57"/>
      <c r="L369" s="57"/>
      <c r="M369" s="6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</row>
    <row r="370">
      <c r="A370" s="57"/>
      <c r="B370" s="57"/>
      <c r="C370" s="57"/>
      <c r="D370" s="57"/>
      <c r="E370" s="82"/>
      <c r="F370" s="57"/>
      <c r="G370" s="57"/>
      <c r="H370" s="57"/>
      <c r="I370" s="57"/>
      <c r="J370" s="67"/>
      <c r="K370" s="57"/>
      <c r="L370" s="57"/>
      <c r="M370" s="6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</row>
    <row r="371">
      <c r="A371" s="57"/>
      <c r="B371" s="57"/>
      <c r="C371" s="57"/>
      <c r="D371" s="57"/>
      <c r="E371" s="82"/>
      <c r="F371" s="57"/>
      <c r="G371" s="57"/>
      <c r="H371" s="57"/>
      <c r="I371" s="57"/>
      <c r="J371" s="67"/>
      <c r="K371" s="57"/>
      <c r="L371" s="57"/>
      <c r="M371" s="6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</row>
    <row r="372">
      <c r="A372" s="57"/>
      <c r="B372" s="57"/>
      <c r="C372" s="57"/>
      <c r="D372" s="57"/>
      <c r="E372" s="82"/>
      <c r="F372" s="57"/>
      <c r="G372" s="57"/>
      <c r="H372" s="57"/>
      <c r="I372" s="57"/>
      <c r="J372" s="67"/>
      <c r="K372" s="57"/>
      <c r="L372" s="57"/>
      <c r="M372" s="6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</row>
    <row r="373">
      <c r="A373" s="57"/>
      <c r="B373" s="57"/>
      <c r="C373" s="57"/>
      <c r="D373" s="57"/>
      <c r="E373" s="82"/>
      <c r="F373" s="57"/>
      <c r="G373" s="57"/>
      <c r="H373" s="57"/>
      <c r="I373" s="57"/>
      <c r="J373" s="67"/>
      <c r="K373" s="57"/>
      <c r="L373" s="57"/>
      <c r="M373" s="6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</row>
    <row r="374">
      <c r="A374" s="57"/>
      <c r="B374" s="57"/>
      <c r="C374" s="57"/>
      <c r="D374" s="57"/>
      <c r="E374" s="82"/>
      <c r="F374" s="57"/>
      <c r="G374" s="57"/>
      <c r="H374" s="57"/>
      <c r="I374" s="57"/>
      <c r="J374" s="67"/>
      <c r="K374" s="57"/>
      <c r="L374" s="57"/>
      <c r="M374" s="6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</row>
    <row r="375">
      <c r="A375" s="57"/>
      <c r="B375" s="57"/>
      <c r="C375" s="57"/>
      <c r="D375" s="57"/>
      <c r="E375" s="82"/>
      <c r="F375" s="57"/>
      <c r="G375" s="57"/>
      <c r="H375" s="57"/>
      <c r="I375" s="57"/>
      <c r="J375" s="67"/>
      <c r="K375" s="57"/>
      <c r="L375" s="57"/>
      <c r="M375" s="6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</row>
    <row r="376">
      <c r="A376" s="57"/>
      <c r="B376" s="57"/>
      <c r="C376" s="57"/>
      <c r="D376" s="57"/>
      <c r="E376" s="82"/>
      <c r="F376" s="57"/>
      <c r="G376" s="57"/>
      <c r="H376" s="57"/>
      <c r="I376" s="57"/>
      <c r="J376" s="67"/>
      <c r="K376" s="57"/>
      <c r="L376" s="57"/>
      <c r="M376" s="6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</row>
    <row r="377">
      <c r="A377" s="57"/>
      <c r="B377" s="57"/>
      <c r="C377" s="57"/>
      <c r="D377" s="57"/>
      <c r="E377" s="82"/>
      <c r="F377" s="57"/>
      <c r="G377" s="57"/>
      <c r="H377" s="57"/>
      <c r="I377" s="57"/>
      <c r="J377" s="67"/>
      <c r="K377" s="57"/>
      <c r="L377" s="57"/>
      <c r="M377" s="6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</row>
    <row r="378">
      <c r="A378" s="57"/>
      <c r="B378" s="57"/>
      <c r="C378" s="57"/>
      <c r="D378" s="57"/>
      <c r="E378" s="82"/>
      <c r="F378" s="57"/>
      <c r="G378" s="57"/>
      <c r="H378" s="57"/>
      <c r="I378" s="57"/>
      <c r="J378" s="67"/>
      <c r="K378" s="57"/>
      <c r="L378" s="57"/>
      <c r="M378" s="6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</row>
    <row r="379">
      <c r="A379" s="57"/>
      <c r="B379" s="57"/>
      <c r="C379" s="57"/>
      <c r="D379" s="57"/>
      <c r="E379" s="82"/>
      <c r="F379" s="57"/>
      <c r="G379" s="57"/>
      <c r="H379" s="57"/>
      <c r="I379" s="57"/>
      <c r="J379" s="67"/>
      <c r="K379" s="57"/>
      <c r="L379" s="57"/>
      <c r="M379" s="6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</row>
    <row r="380">
      <c r="A380" s="57"/>
      <c r="B380" s="57"/>
      <c r="C380" s="57"/>
      <c r="D380" s="57"/>
      <c r="E380" s="82"/>
      <c r="F380" s="57"/>
      <c r="G380" s="57"/>
      <c r="H380" s="57"/>
      <c r="I380" s="57"/>
      <c r="J380" s="67"/>
      <c r="K380" s="57"/>
      <c r="L380" s="57"/>
      <c r="M380" s="6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</row>
    <row r="381">
      <c r="A381" s="57"/>
      <c r="B381" s="57"/>
      <c r="C381" s="57"/>
      <c r="D381" s="57"/>
      <c r="E381" s="82"/>
      <c r="F381" s="57"/>
      <c r="G381" s="57"/>
      <c r="H381" s="57"/>
      <c r="I381" s="57"/>
      <c r="J381" s="67"/>
      <c r="K381" s="57"/>
      <c r="L381" s="57"/>
      <c r="M381" s="6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</row>
    <row r="382">
      <c r="A382" s="57"/>
      <c r="B382" s="57"/>
      <c r="C382" s="57"/>
      <c r="D382" s="57"/>
      <c r="E382" s="82"/>
      <c r="F382" s="57"/>
      <c r="G382" s="57"/>
      <c r="H382" s="57"/>
      <c r="I382" s="57"/>
      <c r="J382" s="67"/>
      <c r="K382" s="57"/>
      <c r="L382" s="57"/>
      <c r="M382" s="6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67"/>
      <c r="K383" s="57"/>
      <c r="L383" s="57"/>
      <c r="M383" s="6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67"/>
      <c r="K384" s="57"/>
      <c r="L384" s="57"/>
      <c r="M384" s="6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67"/>
      <c r="K385" s="57"/>
      <c r="L385" s="57"/>
      <c r="M385" s="6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67"/>
      <c r="K386" s="57"/>
      <c r="L386" s="57"/>
      <c r="M386" s="6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67"/>
      <c r="K387" s="57"/>
      <c r="L387" s="57"/>
      <c r="M387" s="6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67"/>
      <c r="K388" s="57"/>
      <c r="L388" s="57"/>
      <c r="M388" s="6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67"/>
      <c r="K389" s="57"/>
      <c r="L389" s="57"/>
      <c r="M389" s="6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67"/>
      <c r="K390" s="57"/>
      <c r="L390" s="57"/>
      <c r="M390" s="6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67"/>
      <c r="K391" s="57"/>
      <c r="L391" s="57"/>
      <c r="M391" s="6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67"/>
      <c r="K392" s="57"/>
      <c r="L392" s="57"/>
      <c r="M392" s="6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67"/>
      <c r="K393" s="57"/>
      <c r="L393" s="57"/>
      <c r="M393" s="6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67"/>
      <c r="K394" s="57"/>
      <c r="L394" s="57"/>
      <c r="M394" s="6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67"/>
      <c r="K395" s="57"/>
      <c r="L395" s="57"/>
      <c r="M395" s="6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67"/>
      <c r="K396" s="57"/>
      <c r="L396" s="57"/>
      <c r="M396" s="6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67"/>
      <c r="K397" s="57"/>
      <c r="L397" s="57"/>
      <c r="M397" s="6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67"/>
      <c r="K398" s="57"/>
      <c r="L398" s="57"/>
      <c r="M398" s="6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67"/>
      <c r="K399" s="57"/>
      <c r="L399" s="57"/>
      <c r="M399" s="6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67"/>
      <c r="K400" s="57"/>
      <c r="L400" s="57"/>
      <c r="M400" s="6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67"/>
      <c r="K401" s="57"/>
      <c r="L401" s="57"/>
      <c r="M401" s="6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67"/>
      <c r="K402" s="57"/>
      <c r="L402" s="57"/>
      <c r="M402" s="6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67"/>
      <c r="K403" s="57"/>
      <c r="L403" s="57"/>
      <c r="M403" s="6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67"/>
      <c r="K404" s="57"/>
      <c r="L404" s="57"/>
      <c r="M404" s="6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67"/>
      <c r="K405" s="57"/>
      <c r="L405" s="57"/>
      <c r="M405" s="6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67"/>
      <c r="K406" s="57"/>
      <c r="L406" s="57"/>
      <c r="M406" s="6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67"/>
      <c r="K407" s="57"/>
      <c r="L407" s="57"/>
      <c r="M407" s="6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67"/>
      <c r="K408" s="57"/>
      <c r="L408" s="57"/>
      <c r="M408" s="6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67"/>
      <c r="K409" s="57"/>
      <c r="L409" s="57"/>
      <c r="M409" s="6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67"/>
      <c r="K410" s="57"/>
      <c r="L410" s="57"/>
      <c r="M410" s="6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67"/>
      <c r="K411" s="57"/>
      <c r="L411" s="57"/>
      <c r="M411" s="6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67"/>
      <c r="K412" s="57"/>
      <c r="L412" s="57"/>
      <c r="M412" s="6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67"/>
      <c r="K413" s="57"/>
      <c r="L413" s="57"/>
      <c r="M413" s="6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67"/>
      <c r="K414" s="57"/>
      <c r="L414" s="57"/>
      <c r="M414" s="6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67"/>
      <c r="K415" s="57"/>
      <c r="L415" s="57"/>
      <c r="M415" s="6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67"/>
      <c r="K416" s="57"/>
      <c r="L416" s="57"/>
      <c r="M416" s="6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67"/>
      <c r="K417" s="57"/>
      <c r="L417" s="57"/>
      <c r="M417" s="6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67"/>
      <c r="K418" s="57"/>
      <c r="L418" s="57"/>
      <c r="M418" s="6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67"/>
      <c r="K419" s="57"/>
      <c r="L419" s="57"/>
      <c r="M419" s="6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67"/>
      <c r="K420" s="57"/>
      <c r="L420" s="57"/>
      <c r="M420" s="6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67"/>
      <c r="K421" s="57"/>
      <c r="L421" s="57"/>
      <c r="M421" s="6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67"/>
      <c r="K422" s="57"/>
      <c r="L422" s="57"/>
      <c r="M422" s="6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67"/>
      <c r="K423" s="57"/>
      <c r="L423" s="57"/>
      <c r="M423" s="6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67"/>
      <c r="K424" s="57"/>
      <c r="L424" s="57"/>
      <c r="M424" s="6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67"/>
      <c r="K425" s="57"/>
      <c r="L425" s="57"/>
      <c r="M425" s="6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67"/>
      <c r="K426" s="57"/>
      <c r="L426" s="57"/>
      <c r="M426" s="6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67"/>
      <c r="K427" s="57"/>
      <c r="L427" s="57"/>
      <c r="M427" s="6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67"/>
      <c r="K428" s="57"/>
      <c r="L428" s="57"/>
      <c r="M428" s="6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67"/>
      <c r="K429" s="57"/>
      <c r="L429" s="57"/>
      <c r="M429" s="6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67"/>
      <c r="K430" s="57"/>
      <c r="L430" s="57"/>
      <c r="M430" s="6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67"/>
      <c r="K431" s="57"/>
      <c r="L431" s="57"/>
      <c r="M431" s="6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67"/>
      <c r="K432" s="57"/>
      <c r="L432" s="57"/>
      <c r="M432" s="6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67"/>
      <c r="K433" s="57"/>
      <c r="L433" s="57"/>
      <c r="M433" s="6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67"/>
      <c r="K434" s="57"/>
      <c r="L434" s="57"/>
      <c r="M434" s="6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67"/>
      <c r="K435" s="57"/>
      <c r="L435" s="57"/>
      <c r="M435" s="6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67"/>
      <c r="K436" s="57"/>
      <c r="L436" s="57"/>
      <c r="M436" s="6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67"/>
      <c r="K437" s="57"/>
      <c r="L437" s="57"/>
      <c r="M437" s="6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67"/>
      <c r="K438" s="57"/>
      <c r="L438" s="57"/>
      <c r="M438" s="6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67"/>
      <c r="K439" s="57"/>
      <c r="L439" s="57"/>
      <c r="M439" s="6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67"/>
      <c r="K440" s="57"/>
      <c r="L440" s="57"/>
      <c r="M440" s="6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67"/>
      <c r="K441" s="57"/>
      <c r="L441" s="57"/>
      <c r="M441" s="6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67"/>
      <c r="K442" s="57"/>
      <c r="L442" s="57"/>
      <c r="M442" s="6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67"/>
      <c r="K443" s="57"/>
      <c r="L443" s="57"/>
      <c r="M443" s="6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67"/>
      <c r="K444" s="57"/>
      <c r="L444" s="57"/>
      <c r="M444" s="6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67"/>
      <c r="K445" s="57"/>
      <c r="L445" s="57"/>
      <c r="M445" s="6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67"/>
      <c r="K446" s="57"/>
      <c r="L446" s="57"/>
      <c r="M446" s="6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67"/>
      <c r="K447" s="57"/>
      <c r="L447" s="57"/>
      <c r="M447" s="6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67"/>
      <c r="K448" s="57"/>
      <c r="L448" s="57"/>
      <c r="M448" s="6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67"/>
      <c r="K449" s="57"/>
      <c r="L449" s="57"/>
      <c r="M449" s="6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67"/>
      <c r="K450" s="57"/>
      <c r="L450" s="57"/>
      <c r="M450" s="6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67"/>
      <c r="K451" s="57"/>
      <c r="L451" s="57"/>
      <c r="M451" s="6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67"/>
      <c r="K452" s="57"/>
      <c r="L452" s="57"/>
      <c r="M452" s="6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67"/>
      <c r="K453" s="57"/>
      <c r="L453" s="57"/>
      <c r="M453" s="6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67"/>
      <c r="K454" s="57"/>
      <c r="L454" s="57"/>
      <c r="M454" s="6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67"/>
      <c r="K455" s="57"/>
      <c r="L455" s="57"/>
      <c r="M455" s="6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67"/>
      <c r="K456" s="57"/>
      <c r="L456" s="57"/>
      <c r="M456" s="6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67"/>
      <c r="K457" s="57"/>
      <c r="L457" s="57"/>
      <c r="M457" s="6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67"/>
      <c r="K458" s="57"/>
      <c r="L458" s="57"/>
      <c r="M458" s="6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67"/>
      <c r="K459" s="57"/>
      <c r="L459" s="57"/>
      <c r="M459" s="6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67"/>
      <c r="K460" s="57"/>
      <c r="L460" s="57"/>
      <c r="M460" s="6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67"/>
      <c r="K461" s="57"/>
      <c r="L461" s="57"/>
      <c r="M461" s="6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67"/>
      <c r="K462" s="57"/>
      <c r="L462" s="57"/>
      <c r="M462" s="6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67"/>
      <c r="K463" s="57"/>
      <c r="L463" s="57"/>
      <c r="M463" s="6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67"/>
      <c r="K464" s="57"/>
      <c r="L464" s="57"/>
      <c r="M464" s="6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67"/>
      <c r="K465" s="57"/>
      <c r="L465" s="57"/>
      <c r="M465" s="6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67"/>
      <c r="K466" s="57"/>
      <c r="L466" s="57"/>
      <c r="M466" s="6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67"/>
      <c r="K467" s="57"/>
      <c r="L467" s="57"/>
      <c r="M467" s="6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67"/>
      <c r="K468" s="57"/>
      <c r="L468" s="57"/>
      <c r="M468" s="6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67"/>
      <c r="K469" s="57"/>
      <c r="L469" s="57"/>
      <c r="M469" s="6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67"/>
      <c r="K470" s="57"/>
      <c r="L470" s="57"/>
      <c r="M470" s="6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67"/>
      <c r="K471" s="57"/>
      <c r="L471" s="57"/>
      <c r="M471" s="6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67"/>
      <c r="K472" s="57"/>
      <c r="L472" s="57"/>
      <c r="M472" s="6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67"/>
      <c r="K473" s="57"/>
      <c r="L473" s="57"/>
      <c r="M473" s="6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67"/>
      <c r="K474" s="57"/>
      <c r="L474" s="57"/>
      <c r="M474" s="6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67"/>
      <c r="K475" s="57"/>
      <c r="L475" s="57"/>
      <c r="M475" s="6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67"/>
      <c r="K476" s="57"/>
      <c r="L476" s="57"/>
      <c r="M476" s="6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67"/>
      <c r="K477" s="57"/>
      <c r="L477" s="57"/>
      <c r="M477" s="6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67"/>
      <c r="K478" s="57"/>
      <c r="L478" s="57"/>
      <c r="M478" s="6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67"/>
      <c r="K479" s="57"/>
      <c r="L479" s="57"/>
      <c r="M479" s="6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67"/>
      <c r="K480" s="57"/>
      <c r="L480" s="57"/>
      <c r="M480" s="6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67"/>
      <c r="K481" s="57"/>
      <c r="L481" s="57"/>
      <c r="M481" s="6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67"/>
      <c r="K482" s="57"/>
      <c r="L482" s="57"/>
      <c r="M482" s="6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67"/>
      <c r="K483" s="57"/>
      <c r="L483" s="57"/>
      <c r="M483" s="6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67"/>
      <c r="K484" s="57"/>
      <c r="L484" s="57"/>
      <c r="M484" s="6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67"/>
      <c r="K485" s="57"/>
      <c r="L485" s="57"/>
      <c r="M485" s="6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67"/>
      <c r="K486" s="57"/>
      <c r="L486" s="57"/>
      <c r="M486" s="6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67"/>
      <c r="K487" s="57"/>
      <c r="L487" s="57"/>
      <c r="M487" s="6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67"/>
      <c r="K488" s="57"/>
      <c r="L488" s="57"/>
      <c r="M488" s="6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67"/>
      <c r="K489" s="57"/>
      <c r="L489" s="57"/>
      <c r="M489" s="6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67"/>
      <c r="K490" s="57"/>
      <c r="L490" s="57"/>
      <c r="M490" s="6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67"/>
      <c r="K491" s="57"/>
      <c r="L491" s="57"/>
      <c r="M491" s="6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67"/>
      <c r="K492" s="57"/>
      <c r="L492" s="57"/>
      <c r="M492" s="6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67"/>
      <c r="K493" s="57"/>
      <c r="L493" s="57"/>
      <c r="M493" s="6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67"/>
      <c r="K494" s="57"/>
      <c r="L494" s="57"/>
      <c r="M494" s="6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67"/>
      <c r="K495" s="57"/>
      <c r="L495" s="57"/>
      <c r="M495" s="6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67"/>
      <c r="K496" s="57"/>
      <c r="L496" s="57"/>
      <c r="M496" s="6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67"/>
      <c r="K497" s="57"/>
      <c r="L497" s="57"/>
      <c r="M497" s="6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67"/>
      <c r="K498" s="57"/>
      <c r="L498" s="57"/>
      <c r="M498" s="6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67"/>
      <c r="K499" s="57"/>
      <c r="L499" s="57"/>
      <c r="M499" s="6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67"/>
      <c r="K500" s="57"/>
      <c r="L500" s="57"/>
      <c r="M500" s="6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67"/>
      <c r="K501" s="57"/>
      <c r="L501" s="57"/>
      <c r="M501" s="6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67"/>
      <c r="K502" s="57"/>
      <c r="L502" s="57"/>
      <c r="M502" s="6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67"/>
      <c r="K503" s="57"/>
      <c r="L503" s="57"/>
      <c r="M503" s="6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67"/>
      <c r="K504" s="57"/>
      <c r="L504" s="57"/>
      <c r="M504" s="6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67"/>
      <c r="K505" s="57"/>
      <c r="L505" s="57"/>
      <c r="M505" s="6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67"/>
      <c r="K506" s="57"/>
      <c r="L506" s="57"/>
      <c r="M506" s="6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67"/>
      <c r="K507" s="57"/>
      <c r="L507" s="57"/>
      <c r="M507" s="6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67"/>
      <c r="K508" s="57"/>
      <c r="L508" s="57"/>
      <c r="M508" s="6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67"/>
      <c r="K509" s="57"/>
      <c r="L509" s="57"/>
      <c r="M509" s="6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67"/>
      <c r="K510" s="57"/>
      <c r="L510" s="57"/>
      <c r="M510" s="6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67"/>
      <c r="K511" s="57"/>
      <c r="L511" s="57"/>
      <c r="M511" s="6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67"/>
      <c r="K512" s="57"/>
      <c r="L512" s="57"/>
      <c r="M512" s="6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67"/>
      <c r="K513" s="57"/>
      <c r="L513" s="57"/>
      <c r="M513" s="6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67"/>
      <c r="K514" s="57"/>
      <c r="L514" s="57"/>
      <c r="M514" s="6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67"/>
      <c r="K515" s="57"/>
      <c r="L515" s="57"/>
      <c r="M515" s="6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67"/>
      <c r="K516" s="57"/>
      <c r="L516" s="57"/>
      <c r="M516" s="6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67"/>
      <c r="K517" s="57"/>
      <c r="L517" s="57"/>
      <c r="M517" s="6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67"/>
      <c r="K518" s="57"/>
      <c r="L518" s="57"/>
      <c r="M518" s="6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67"/>
      <c r="K519" s="57"/>
      <c r="L519" s="57"/>
      <c r="M519" s="6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67"/>
      <c r="K520" s="57"/>
      <c r="L520" s="57"/>
      <c r="M520" s="6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67"/>
      <c r="K521" s="57"/>
      <c r="L521" s="57"/>
      <c r="M521" s="6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67"/>
      <c r="K522" s="57"/>
      <c r="L522" s="57"/>
      <c r="M522" s="6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67"/>
      <c r="K523" s="57"/>
      <c r="L523" s="57"/>
      <c r="M523" s="6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67"/>
      <c r="K524" s="57"/>
      <c r="L524" s="57"/>
      <c r="M524" s="6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67"/>
      <c r="K525" s="57"/>
      <c r="L525" s="57"/>
      <c r="M525" s="6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67"/>
      <c r="K526" s="57"/>
      <c r="L526" s="57"/>
      <c r="M526" s="6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67"/>
      <c r="K527" s="57"/>
      <c r="L527" s="57"/>
      <c r="M527" s="6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67"/>
      <c r="K528" s="57"/>
      <c r="L528" s="57"/>
      <c r="M528" s="6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67"/>
      <c r="K529" s="57"/>
      <c r="L529" s="57"/>
      <c r="M529" s="6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67"/>
      <c r="K530" s="57"/>
      <c r="L530" s="57"/>
      <c r="M530" s="6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67"/>
      <c r="K531" s="57"/>
      <c r="L531" s="57"/>
      <c r="M531" s="6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67"/>
      <c r="K532" s="57"/>
      <c r="L532" s="57"/>
      <c r="M532" s="6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67"/>
      <c r="K533" s="57"/>
      <c r="L533" s="57"/>
      <c r="M533" s="6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67"/>
      <c r="K534" s="57"/>
      <c r="L534" s="57"/>
      <c r="M534" s="6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67"/>
      <c r="K535" s="57"/>
      <c r="L535" s="57"/>
      <c r="M535" s="6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67"/>
      <c r="K536" s="57"/>
      <c r="L536" s="57"/>
      <c r="M536" s="6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67"/>
      <c r="K537" s="57"/>
      <c r="L537" s="57"/>
      <c r="M537" s="6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67"/>
      <c r="K538" s="57"/>
      <c r="L538" s="57"/>
      <c r="M538" s="6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67"/>
      <c r="K539" s="57"/>
      <c r="L539" s="57"/>
      <c r="M539" s="6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67"/>
      <c r="K540" s="57"/>
      <c r="L540" s="57"/>
      <c r="M540" s="6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67"/>
      <c r="K541" s="57"/>
      <c r="L541" s="57"/>
      <c r="M541" s="6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67"/>
      <c r="K542" s="57"/>
      <c r="L542" s="57"/>
      <c r="M542" s="6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67"/>
      <c r="K543" s="57"/>
      <c r="L543" s="57"/>
      <c r="M543" s="6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67"/>
      <c r="K544" s="57"/>
      <c r="L544" s="57"/>
      <c r="M544" s="6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67"/>
      <c r="K545" s="57"/>
      <c r="L545" s="57"/>
      <c r="M545" s="6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67"/>
      <c r="K546" s="57"/>
      <c r="L546" s="57"/>
      <c r="M546" s="6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67"/>
      <c r="K547" s="57"/>
      <c r="L547" s="57"/>
      <c r="M547" s="6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67"/>
      <c r="K548" s="57"/>
      <c r="L548" s="57"/>
      <c r="M548" s="6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67"/>
      <c r="K549" s="57"/>
      <c r="L549" s="57"/>
      <c r="M549" s="6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67"/>
      <c r="K550" s="57"/>
      <c r="L550" s="57"/>
      <c r="M550" s="6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67"/>
      <c r="K551" s="57"/>
      <c r="L551" s="57"/>
      <c r="M551" s="6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67"/>
      <c r="K552" s="57"/>
      <c r="L552" s="57"/>
      <c r="M552" s="6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67"/>
      <c r="K553" s="57"/>
      <c r="L553" s="57"/>
      <c r="M553" s="6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67"/>
      <c r="K554" s="57"/>
      <c r="L554" s="57"/>
      <c r="M554" s="6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67"/>
      <c r="K555" s="57"/>
      <c r="L555" s="57"/>
      <c r="M555" s="6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67"/>
      <c r="K556" s="57"/>
      <c r="L556" s="57"/>
      <c r="M556" s="6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67"/>
      <c r="K557" s="57"/>
      <c r="L557" s="57"/>
      <c r="M557" s="6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67"/>
      <c r="K558" s="57"/>
      <c r="L558" s="57"/>
      <c r="M558" s="6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67"/>
      <c r="K559" s="57"/>
      <c r="L559" s="57"/>
      <c r="M559" s="6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67"/>
      <c r="K560" s="57"/>
      <c r="L560" s="57"/>
      <c r="M560" s="6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67"/>
      <c r="K561" s="57"/>
      <c r="L561" s="57"/>
      <c r="M561" s="6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67"/>
      <c r="K562" s="57"/>
      <c r="L562" s="57"/>
      <c r="M562" s="6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67"/>
      <c r="K563" s="57"/>
      <c r="L563" s="57"/>
      <c r="M563" s="6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67"/>
      <c r="K564" s="57"/>
      <c r="L564" s="57"/>
      <c r="M564" s="6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67"/>
      <c r="K565" s="57"/>
      <c r="L565" s="57"/>
      <c r="M565" s="6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67"/>
      <c r="K566" s="57"/>
      <c r="L566" s="57"/>
      <c r="M566" s="6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67"/>
      <c r="K567" s="57"/>
      <c r="L567" s="57"/>
      <c r="M567" s="6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67"/>
      <c r="K568" s="57"/>
      <c r="L568" s="57"/>
      <c r="M568" s="6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67"/>
      <c r="K569" s="57"/>
      <c r="L569" s="57"/>
      <c r="M569" s="6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67"/>
      <c r="K570" s="57"/>
      <c r="L570" s="57"/>
      <c r="M570" s="6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67"/>
      <c r="K571" s="57"/>
      <c r="L571" s="57"/>
      <c r="M571" s="6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67"/>
      <c r="K572" s="57"/>
      <c r="L572" s="57"/>
      <c r="M572" s="6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67"/>
      <c r="K573" s="57"/>
      <c r="L573" s="57"/>
      <c r="M573" s="6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67"/>
      <c r="K574" s="57"/>
      <c r="L574" s="57"/>
      <c r="M574" s="6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67"/>
      <c r="K575" s="57"/>
      <c r="L575" s="57"/>
      <c r="M575" s="6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67"/>
      <c r="K576" s="57"/>
      <c r="L576" s="57"/>
      <c r="M576" s="6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67"/>
      <c r="K577" s="57"/>
      <c r="L577" s="57"/>
      <c r="M577" s="6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67"/>
      <c r="K578" s="57"/>
      <c r="L578" s="57"/>
      <c r="M578" s="6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67"/>
      <c r="K579" s="57"/>
      <c r="L579" s="57"/>
      <c r="M579" s="6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67"/>
      <c r="K580" s="57"/>
      <c r="L580" s="57"/>
      <c r="M580" s="6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67"/>
      <c r="K581" s="57"/>
      <c r="L581" s="57"/>
      <c r="M581" s="6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67"/>
      <c r="K582" s="57"/>
      <c r="L582" s="57"/>
      <c r="M582" s="6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67"/>
      <c r="K583" s="57"/>
      <c r="L583" s="57"/>
      <c r="M583" s="6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67"/>
      <c r="K584" s="57"/>
      <c r="L584" s="57"/>
      <c r="M584" s="6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67"/>
      <c r="K585" s="57"/>
      <c r="L585" s="57"/>
      <c r="M585" s="6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67"/>
      <c r="K586" s="57"/>
      <c r="L586" s="57"/>
      <c r="M586" s="6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67"/>
      <c r="K587" s="57"/>
      <c r="L587" s="57"/>
      <c r="M587" s="6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67"/>
      <c r="K588" s="57"/>
      <c r="L588" s="57"/>
      <c r="M588" s="6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67"/>
      <c r="K589" s="57"/>
      <c r="L589" s="57"/>
      <c r="M589" s="6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67"/>
      <c r="K590" s="57"/>
      <c r="L590" s="57"/>
      <c r="M590" s="6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67"/>
      <c r="K591" s="57"/>
      <c r="L591" s="57"/>
      <c r="M591" s="6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67"/>
      <c r="K592" s="57"/>
      <c r="L592" s="57"/>
      <c r="M592" s="6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67"/>
      <c r="K593" s="57"/>
      <c r="L593" s="57"/>
      <c r="M593" s="6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67"/>
      <c r="K594" s="57"/>
      <c r="L594" s="57"/>
      <c r="M594" s="6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67"/>
      <c r="K595" s="57"/>
      <c r="L595" s="57"/>
      <c r="M595" s="6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67"/>
      <c r="K596" s="57"/>
      <c r="L596" s="57"/>
      <c r="M596" s="6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67"/>
      <c r="K597" s="57"/>
      <c r="L597" s="57"/>
      <c r="M597" s="6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67"/>
      <c r="K598" s="57"/>
      <c r="L598" s="57"/>
      <c r="M598" s="6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67"/>
      <c r="K599" s="57"/>
      <c r="L599" s="57"/>
      <c r="M599" s="6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67"/>
      <c r="K600" s="57"/>
      <c r="L600" s="57"/>
      <c r="M600" s="6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67"/>
      <c r="K601" s="57"/>
      <c r="L601" s="57"/>
      <c r="M601" s="6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67"/>
      <c r="K602" s="57"/>
      <c r="L602" s="57"/>
      <c r="M602" s="6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67"/>
      <c r="K603" s="57"/>
      <c r="L603" s="57"/>
      <c r="M603" s="6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67"/>
      <c r="K604" s="57"/>
      <c r="L604" s="57"/>
      <c r="M604" s="6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67"/>
      <c r="K605" s="57"/>
      <c r="L605" s="57"/>
      <c r="M605" s="6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67"/>
      <c r="K606" s="57"/>
      <c r="L606" s="57"/>
      <c r="M606" s="6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67"/>
      <c r="K607" s="57"/>
      <c r="L607" s="57"/>
      <c r="M607" s="6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67"/>
      <c r="K608" s="57"/>
      <c r="L608" s="57"/>
      <c r="M608" s="6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67"/>
      <c r="K609" s="57"/>
      <c r="L609" s="57"/>
      <c r="M609" s="6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67"/>
      <c r="K610" s="57"/>
      <c r="L610" s="57"/>
      <c r="M610" s="6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67"/>
      <c r="K611" s="57"/>
      <c r="L611" s="57"/>
      <c r="M611" s="6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67"/>
      <c r="K612" s="57"/>
      <c r="L612" s="57"/>
      <c r="M612" s="6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67"/>
      <c r="K613" s="57"/>
      <c r="L613" s="57"/>
      <c r="M613" s="6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67"/>
      <c r="K614" s="57"/>
      <c r="L614" s="57"/>
      <c r="M614" s="6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67"/>
      <c r="K615" s="57"/>
      <c r="L615" s="57"/>
      <c r="M615" s="6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67"/>
      <c r="K616" s="57"/>
      <c r="L616" s="57"/>
      <c r="M616" s="6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67"/>
      <c r="K617" s="57"/>
      <c r="L617" s="57"/>
      <c r="M617" s="6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67"/>
      <c r="K618" s="57"/>
      <c r="L618" s="57"/>
      <c r="M618" s="6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67"/>
      <c r="K619" s="57"/>
      <c r="L619" s="57"/>
      <c r="M619" s="6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67"/>
      <c r="K620" s="57"/>
      <c r="L620" s="57"/>
      <c r="M620" s="6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67"/>
      <c r="K621" s="57"/>
      <c r="L621" s="57"/>
      <c r="M621" s="6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67"/>
      <c r="K622" s="57"/>
      <c r="L622" s="57"/>
      <c r="M622" s="6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67"/>
      <c r="K623" s="57"/>
      <c r="L623" s="57"/>
      <c r="M623" s="6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67"/>
      <c r="K624" s="57"/>
      <c r="L624" s="57"/>
      <c r="M624" s="6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67"/>
      <c r="K625" s="57"/>
      <c r="L625" s="57"/>
      <c r="M625" s="6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67"/>
      <c r="K626" s="57"/>
      <c r="L626" s="57"/>
      <c r="M626" s="6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67"/>
      <c r="K627" s="57"/>
      <c r="L627" s="57"/>
      <c r="M627" s="6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67"/>
      <c r="K628" s="57"/>
      <c r="L628" s="57"/>
      <c r="M628" s="6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67"/>
      <c r="K629" s="57"/>
      <c r="L629" s="57"/>
      <c r="M629" s="6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67"/>
      <c r="K630" s="57"/>
      <c r="L630" s="57"/>
      <c r="M630" s="6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67"/>
      <c r="K631" s="57"/>
      <c r="L631" s="57"/>
      <c r="M631" s="6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67"/>
      <c r="K632" s="57"/>
      <c r="L632" s="57"/>
      <c r="M632" s="6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67"/>
      <c r="K633" s="57"/>
      <c r="L633" s="57"/>
      <c r="M633" s="6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67"/>
      <c r="K634" s="57"/>
      <c r="L634" s="57"/>
      <c r="M634" s="6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67"/>
      <c r="K635" s="57"/>
      <c r="L635" s="57"/>
      <c r="M635" s="6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67"/>
      <c r="K636" s="57"/>
      <c r="L636" s="57"/>
      <c r="M636" s="6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67"/>
      <c r="K637" s="57"/>
      <c r="L637" s="57"/>
      <c r="M637" s="6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67"/>
      <c r="K638" s="57"/>
      <c r="L638" s="57"/>
      <c r="M638" s="6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67"/>
      <c r="K639" s="57"/>
      <c r="L639" s="57"/>
      <c r="M639" s="6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67"/>
      <c r="K640" s="57"/>
      <c r="L640" s="57"/>
      <c r="M640" s="6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67"/>
      <c r="K641" s="57"/>
      <c r="L641" s="57"/>
      <c r="M641" s="6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67"/>
      <c r="K642" s="57"/>
      <c r="L642" s="57"/>
      <c r="M642" s="6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67"/>
      <c r="K643" s="57"/>
      <c r="L643" s="57"/>
      <c r="M643" s="6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67"/>
      <c r="K644" s="57"/>
      <c r="L644" s="57"/>
      <c r="M644" s="6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67"/>
      <c r="K645" s="57"/>
      <c r="L645" s="57"/>
      <c r="M645" s="6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67"/>
      <c r="K646" s="57"/>
      <c r="L646" s="57"/>
      <c r="M646" s="6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67"/>
      <c r="K647" s="57"/>
      <c r="L647" s="57"/>
      <c r="M647" s="6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67"/>
      <c r="K648" s="57"/>
      <c r="L648" s="57"/>
      <c r="M648" s="6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67"/>
      <c r="K649" s="57"/>
      <c r="L649" s="57"/>
      <c r="M649" s="6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67"/>
      <c r="K650" s="57"/>
      <c r="L650" s="57"/>
      <c r="M650" s="6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67"/>
      <c r="K651" s="57"/>
      <c r="L651" s="57"/>
      <c r="M651" s="6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67"/>
      <c r="K652" s="57"/>
      <c r="L652" s="57"/>
      <c r="M652" s="6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67"/>
      <c r="K653" s="57"/>
      <c r="L653" s="57"/>
      <c r="M653" s="6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67"/>
      <c r="K654" s="57"/>
      <c r="L654" s="57"/>
      <c r="M654" s="6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67"/>
      <c r="K655" s="57"/>
      <c r="L655" s="57"/>
      <c r="M655" s="6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67"/>
      <c r="K656" s="57"/>
      <c r="L656" s="57"/>
      <c r="M656" s="6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67"/>
      <c r="K657" s="57"/>
      <c r="L657" s="57"/>
      <c r="M657" s="6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67"/>
      <c r="K658" s="57"/>
      <c r="L658" s="57"/>
      <c r="M658" s="6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67"/>
      <c r="K659" s="57"/>
      <c r="L659" s="57"/>
      <c r="M659" s="6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67"/>
      <c r="K660" s="57"/>
      <c r="L660" s="57"/>
      <c r="M660" s="6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67"/>
      <c r="K661" s="57"/>
      <c r="L661" s="57"/>
      <c r="M661" s="6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67"/>
      <c r="K662" s="57"/>
      <c r="L662" s="57"/>
      <c r="M662" s="6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67"/>
      <c r="K663" s="57"/>
      <c r="L663" s="57"/>
      <c r="M663" s="6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67"/>
      <c r="K664" s="57"/>
      <c r="L664" s="57"/>
      <c r="M664" s="6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67"/>
      <c r="K665" s="57"/>
      <c r="L665" s="57"/>
      <c r="M665" s="6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67"/>
      <c r="K666" s="57"/>
      <c r="L666" s="57"/>
      <c r="M666" s="6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67"/>
      <c r="K667" s="57"/>
      <c r="L667" s="57"/>
      <c r="M667" s="6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67"/>
      <c r="K668" s="57"/>
      <c r="L668" s="57"/>
      <c r="M668" s="6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67"/>
      <c r="K669" s="57"/>
      <c r="L669" s="57"/>
      <c r="M669" s="6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67"/>
      <c r="K670" s="57"/>
      <c r="L670" s="57"/>
      <c r="M670" s="6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67"/>
      <c r="K671" s="57"/>
      <c r="L671" s="57"/>
      <c r="M671" s="6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67"/>
      <c r="K672" s="57"/>
      <c r="L672" s="57"/>
      <c r="M672" s="6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67"/>
      <c r="K673" s="57"/>
      <c r="L673" s="57"/>
      <c r="M673" s="6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67"/>
      <c r="K674" s="57"/>
      <c r="L674" s="57"/>
      <c r="M674" s="6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67"/>
      <c r="K675" s="57"/>
      <c r="L675" s="57"/>
      <c r="M675" s="6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67"/>
      <c r="K676" s="57"/>
      <c r="L676" s="57"/>
      <c r="M676" s="6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67"/>
      <c r="K677" s="57"/>
      <c r="L677" s="57"/>
      <c r="M677" s="6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67"/>
      <c r="K678" s="57"/>
      <c r="L678" s="57"/>
      <c r="M678" s="6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67"/>
      <c r="K679" s="57"/>
      <c r="L679" s="57"/>
      <c r="M679" s="6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67"/>
      <c r="K680" s="57"/>
      <c r="L680" s="57"/>
      <c r="M680" s="6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67"/>
      <c r="K681" s="57"/>
      <c r="L681" s="57"/>
      <c r="M681" s="6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67"/>
      <c r="K682" s="57"/>
      <c r="L682" s="57"/>
      <c r="M682" s="6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67"/>
      <c r="K683" s="57"/>
      <c r="L683" s="57"/>
      <c r="M683" s="6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67"/>
      <c r="K684" s="57"/>
      <c r="L684" s="57"/>
      <c r="M684" s="6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67"/>
      <c r="K685" s="57"/>
      <c r="L685" s="57"/>
      <c r="M685" s="6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67"/>
      <c r="K686" s="57"/>
      <c r="L686" s="57"/>
      <c r="M686" s="6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67"/>
      <c r="K687" s="57"/>
      <c r="L687" s="57"/>
      <c r="M687" s="6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67"/>
      <c r="K688" s="57"/>
      <c r="L688" s="57"/>
      <c r="M688" s="6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67"/>
      <c r="K689" s="57"/>
      <c r="L689" s="57"/>
      <c r="M689" s="6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67"/>
      <c r="K690" s="57"/>
      <c r="L690" s="57"/>
      <c r="M690" s="6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67"/>
      <c r="K691" s="57"/>
      <c r="L691" s="57"/>
      <c r="M691" s="6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67"/>
      <c r="K692" s="57"/>
      <c r="L692" s="57"/>
      <c r="M692" s="6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67"/>
      <c r="K693" s="57"/>
      <c r="L693" s="57"/>
      <c r="M693" s="6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67"/>
      <c r="K694" s="57"/>
      <c r="L694" s="57"/>
      <c r="M694" s="6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67"/>
      <c r="K695" s="57"/>
      <c r="L695" s="57"/>
      <c r="M695" s="6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67"/>
      <c r="K696" s="57"/>
      <c r="L696" s="57"/>
      <c r="M696" s="6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67"/>
      <c r="K697" s="57"/>
      <c r="L697" s="57"/>
      <c r="M697" s="6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67"/>
      <c r="K698" s="57"/>
      <c r="L698" s="57"/>
      <c r="M698" s="6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67"/>
      <c r="K699" s="57"/>
      <c r="L699" s="57"/>
      <c r="M699" s="6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67"/>
      <c r="K700" s="57"/>
      <c r="L700" s="57"/>
      <c r="M700" s="6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67"/>
      <c r="K701" s="57"/>
      <c r="L701" s="57"/>
      <c r="M701" s="6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67"/>
      <c r="K702" s="57"/>
      <c r="L702" s="57"/>
      <c r="M702" s="6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67"/>
      <c r="K703" s="57"/>
      <c r="L703" s="57"/>
      <c r="M703" s="6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67"/>
      <c r="K704" s="57"/>
      <c r="L704" s="57"/>
      <c r="M704" s="6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67"/>
      <c r="K705" s="57"/>
      <c r="L705" s="57"/>
      <c r="M705" s="6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67"/>
      <c r="K706" s="57"/>
      <c r="L706" s="57"/>
      <c r="M706" s="6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67"/>
      <c r="K707" s="57"/>
      <c r="L707" s="57"/>
      <c r="M707" s="6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67"/>
      <c r="K708" s="57"/>
      <c r="L708" s="57"/>
      <c r="M708" s="6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67"/>
      <c r="K709" s="57"/>
      <c r="L709" s="57"/>
      <c r="M709" s="6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67"/>
      <c r="K710" s="57"/>
      <c r="L710" s="57"/>
      <c r="M710" s="6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67"/>
      <c r="K711" s="57"/>
      <c r="L711" s="57"/>
      <c r="M711" s="6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67"/>
      <c r="K712" s="57"/>
      <c r="L712" s="57"/>
      <c r="M712" s="6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67"/>
      <c r="K713" s="57"/>
      <c r="L713" s="57"/>
      <c r="M713" s="6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67"/>
      <c r="K714" s="57"/>
      <c r="L714" s="57"/>
      <c r="M714" s="6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67"/>
      <c r="K715" s="57"/>
      <c r="L715" s="57"/>
      <c r="M715" s="6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67"/>
      <c r="K716" s="57"/>
      <c r="L716" s="57"/>
      <c r="M716" s="6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67"/>
      <c r="K717" s="57"/>
      <c r="L717" s="57"/>
      <c r="M717" s="6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67"/>
      <c r="K718" s="57"/>
      <c r="L718" s="57"/>
      <c r="M718" s="6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67"/>
      <c r="K719" s="57"/>
      <c r="L719" s="57"/>
      <c r="M719" s="6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67"/>
      <c r="K720" s="57"/>
      <c r="L720" s="57"/>
      <c r="M720" s="6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67"/>
      <c r="K721" s="57"/>
      <c r="L721" s="57"/>
      <c r="M721" s="6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67"/>
      <c r="K722" s="57"/>
      <c r="L722" s="57"/>
      <c r="M722" s="6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67"/>
      <c r="K723" s="57"/>
      <c r="L723" s="57"/>
      <c r="M723" s="6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67"/>
      <c r="K724" s="57"/>
      <c r="L724" s="57"/>
      <c r="M724" s="6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67"/>
      <c r="K725" s="57"/>
      <c r="L725" s="57"/>
      <c r="M725" s="6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67"/>
      <c r="K726" s="57"/>
      <c r="L726" s="57"/>
      <c r="M726" s="6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67"/>
      <c r="K727" s="57"/>
      <c r="L727" s="57"/>
      <c r="M727" s="6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67"/>
      <c r="K728" s="57"/>
      <c r="L728" s="57"/>
      <c r="M728" s="6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67"/>
      <c r="K729" s="57"/>
      <c r="L729" s="57"/>
      <c r="M729" s="6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67"/>
      <c r="K730" s="57"/>
      <c r="L730" s="57"/>
      <c r="M730" s="6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67"/>
      <c r="K731" s="57"/>
      <c r="L731" s="57"/>
      <c r="M731" s="6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67"/>
      <c r="K732" s="57"/>
      <c r="L732" s="57"/>
      <c r="M732" s="6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67"/>
      <c r="K733" s="57"/>
      <c r="L733" s="57"/>
      <c r="M733" s="6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67"/>
      <c r="K734" s="57"/>
      <c r="L734" s="57"/>
      <c r="M734" s="6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67"/>
      <c r="K735" s="57"/>
      <c r="L735" s="57"/>
      <c r="M735" s="6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67"/>
      <c r="K736" s="57"/>
      <c r="L736" s="57"/>
      <c r="M736" s="6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67"/>
      <c r="K737" s="57"/>
      <c r="L737" s="57"/>
      <c r="M737" s="6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67"/>
      <c r="K738" s="57"/>
      <c r="L738" s="57"/>
      <c r="M738" s="6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67"/>
      <c r="K739" s="57"/>
      <c r="L739" s="57"/>
      <c r="M739" s="6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67"/>
      <c r="K740" s="57"/>
      <c r="L740" s="57"/>
      <c r="M740" s="6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67"/>
      <c r="K741" s="57"/>
      <c r="L741" s="57"/>
      <c r="M741" s="6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67"/>
      <c r="K742" s="57"/>
      <c r="L742" s="57"/>
      <c r="M742" s="6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67"/>
      <c r="K743" s="57"/>
      <c r="L743" s="57"/>
      <c r="M743" s="6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67"/>
      <c r="K744" s="57"/>
      <c r="L744" s="57"/>
      <c r="M744" s="6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67"/>
      <c r="K745" s="57"/>
      <c r="L745" s="57"/>
      <c r="M745" s="6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67"/>
      <c r="K746" s="57"/>
      <c r="L746" s="57"/>
      <c r="M746" s="6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67"/>
      <c r="K747" s="57"/>
      <c r="L747" s="57"/>
      <c r="M747" s="6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67"/>
      <c r="K748" s="57"/>
      <c r="L748" s="57"/>
      <c r="M748" s="6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67"/>
      <c r="K749" s="57"/>
      <c r="L749" s="57"/>
      <c r="M749" s="6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67"/>
      <c r="K750" s="57"/>
      <c r="L750" s="57"/>
      <c r="M750" s="6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67"/>
      <c r="K751" s="57"/>
      <c r="L751" s="57"/>
      <c r="M751" s="6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67"/>
      <c r="K752" s="57"/>
      <c r="L752" s="57"/>
      <c r="M752" s="6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67"/>
      <c r="K753" s="57"/>
      <c r="L753" s="57"/>
      <c r="M753" s="6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67"/>
      <c r="K754" s="57"/>
      <c r="L754" s="57"/>
      <c r="M754" s="6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67"/>
      <c r="K755" s="57"/>
      <c r="L755" s="57"/>
      <c r="M755" s="6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67"/>
      <c r="K756" s="57"/>
      <c r="L756" s="57"/>
      <c r="M756" s="6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67"/>
      <c r="K757" s="57"/>
      <c r="L757" s="57"/>
      <c r="M757" s="6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67"/>
      <c r="K758" s="57"/>
      <c r="L758" s="57"/>
      <c r="M758" s="6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67"/>
      <c r="K759" s="57"/>
      <c r="L759" s="57"/>
      <c r="M759" s="6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67"/>
      <c r="K760" s="57"/>
      <c r="L760" s="57"/>
      <c r="M760" s="6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67"/>
      <c r="K761" s="57"/>
      <c r="L761" s="57"/>
      <c r="M761" s="6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67"/>
      <c r="K762" s="57"/>
      <c r="L762" s="57"/>
      <c r="M762" s="6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67"/>
      <c r="K763" s="57"/>
      <c r="L763" s="57"/>
      <c r="M763" s="6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67"/>
      <c r="K764" s="57"/>
      <c r="L764" s="57"/>
      <c r="M764" s="6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67"/>
      <c r="K765" s="57"/>
      <c r="L765" s="57"/>
      <c r="M765" s="6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67"/>
      <c r="K766" s="57"/>
      <c r="L766" s="57"/>
      <c r="M766" s="6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67"/>
      <c r="K767" s="57"/>
      <c r="L767" s="57"/>
      <c r="M767" s="6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67"/>
      <c r="K768" s="57"/>
      <c r="L768" s="57"/>
      <c r="M768" s="6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67"/>
      <c r="K769" s="57"/>
      <c r="L769" s="57"/>
      <c r="M769" s="6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67"/>
      <c r="K770" s="57"/>
      <c r="L770" s="57"/>
      <c r="M770" s="6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67"/>
      <c r="K771" s="57"/>
      <c r="L771" s="57"/>
      <c r="M771" s="6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67"/>
      <c r="K772" s="57"/>
      <c r="L772" s="57"/>
      <c r="M772" s="6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67"/>
      <c r="K773" s="57"/>
      <c r="L773" s="57"/>
      <c r="M773" s="6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67"/>
      <c r="K774" s="57"/>
      <c r="L774" s="57"/>
      <c r="M774" s="6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67"/>
      <c r="K775" s="57"/>
      <c r="L775" s="57"/>
      <c r="M775" s="6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67"/>
      <c r="K776" s="57"/>
      <c r="L776" s="57"/>
      <c r="M776" s="6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67"/>
      <c r="K777" s="57"/>
      <c r="L777" s="57"/>
      <c r="M777" s="6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67"/>
      <c r="K778" s="57"/>
      <c r="L778" s="57"/>
      <c r="M778" s="6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67"/>
      <c r="K779" s="57"/>
      <c r="L779" s="57"/>
      <c r="M779" s="6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67"/>
      <c r="K780" s="57"/>
      <c r="L780" s="57"/>
      <c r="M780" s="6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67"/>
      <c r="K781" s="57"/>
      <c r="L781" s="57"/>
      <c r="M781" s="6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67"/>
      <c r="K782" s="57"/>
      <c r="L782" s="57"/>
      <c r="M782" s="6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67"/>
      <c r="K783" s="57"/>
      <c r="L783" s="57"/>
      <c r="M783" s="6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67"/>
      <c r="K784" s="57"/>
      <c r="L784" s="57"/>
      <c r="M784" s="6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67"/>
      <c r="K785" s="57"/>
      <c r="L785" s="57"/>
      <c r="M785" s="6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67"/>
      <c r="K786" s="57"/>
      <c r="L786" s="57"/>
      <c r="M786" s="6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67"/>
      <c r="K787" s="57"/>
      <c r="L787" s="57"/>
      <c r="M787" s="6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67"/>
      <c r="K788" s="57"/>
      <c r="L788" s="57"/>
      <c r="M788" s="6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67"/>
      <c r="K789" s="57"/>
      <c r="L789" s="57"/>
      <c r="M789" s="6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67"/>
      <c r="K790" s="57"/>
      <c r="L790" s="57"/>
      <c r="M790" s="6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67"/>
      <c r="K791" s="57"/>
      <c r="L791" s="57"/>
      <c r="M791" s="6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67"/>
      <c r="K792" s="57"/>
      <c r="L792" s="57"/>
      <c r="M792" s="6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67"/>
      <c r="K793" s="57"/>
      <c r="L793" s="57"/>
      <c r="M793" s="6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67"/>
      <c r="K794" s="57"/>
      <c r="L794" s="57"/>
      <c r="M794" s="6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67"/>
      <c r="K795" s="57"/>
      <c r="L795" s="57"/>
      <c r="M795" s="6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67"/>
      <c r="K796" s="57"/>
      <c r="L796" s="57"/>
      <c r="M796" s="6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67"/>
      <c r="K797" s="57"/>
      <c r="L797" s="57"/>
      <c r="M797" s="6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67"/>
      <c r="K798" s="57"/>
      <c r="L798" s="57"/>
      <c r="M798" s="6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67"/>
      <c r="K799" s="57"/>
      <c r="L799" s="57"/>
      <c r="M799" s="6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67"/>
      <c r="K800" s="57"/>
      <c r="L800" s="57"/>
      <c r="M800" s="6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67"/>
      <c r="K801" s="57"/>
      <c r="L801" s="57"/>
      <c r="M801" s="6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67"/>
      <c r="K802" s="57"/>
      <c r="L802" s="57"/>
      <c r="M802" s="6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67"/>
      <c r="K803" s="57"/>
      <c r="L803" s="57"/>
      <c r="M803" s="6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67"/>
      <c r="K804" s="57"/>
      <c r="L804" s="57"/>
      <c r="M804" s="6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67"/>
      <c r="K805" s="57"/>
      <c r="L805" s="57"/>
      <c r="M805" s="6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67"/>
      <c r="K806" s="57"/>
      <c r="L806" s="57"/>
      <c r="M806" s="6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67"/>
      <c r="K807" s="57"/>
      <c r="L807" s="57"/>
      <c r="M807" s="6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67"/>
      <c r="K808" s="57"/>
      <c r="L808" s="57"/>
      <c r="M808" s="6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67"/>
      <c r="K809" s="57"/>
      <c r="L809" s="57"/>
      <c r="M809" s="6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67"/>
      <c r="K810" s="57"/>
      <c r="L810" s="57"/>
      <c r="M810" s="6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67"/>
      <c r="K811" s="57"/>
      <c r="L811" s="57"/>
      <c r="M811" s="6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67"/>
      <c r="K812" s="57"/>
      <c r="L812" s="57"/>
      <c r="M812" s="6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67"/>
      <c r="K813" s="57"/>
      <c r="L813" s="57"/>
      <c r="M813" s="6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67"/>
      <c r="K814" s="57"/>
      <c r="L814" s="57"/>
      <c r="M814" s="6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67"/>
      <c r="K815" s="57"/>
      <c r="L815" s="57"/>
      <c r="M815" s="6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67"/>
      <c r="K816" s="57"/>
      <c r="L816" s="57"/>
      <c r="M816" s="6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67"/>
      <c r="K817" s="57"/>
      <c r="L817" s="57"/>
      <c r="M817" s="6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67"/>
      <c r="K818" s="57"/>
      <c r="L818" s="57"/>
      <c r="M818" s="6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67"/>
      <c r="K819" s="57"/>
      <c r="L819" s="57"/>
      <c r="M819" s="6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67"/>
      <c r="K820" s="57"/>
      <c r="L820" s="57"/>
      <c r="M820" s="6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67"/>
      <c r="K821" s="57"/>
      <c r="L821" s="57"/>
      <c r="M821" s="6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67"/>
      <c r="K822" s="57"/>
      <c r="L822" s="57"/>
      <c r="M822" s="6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67"/>
      <c r="K823" s="57"/>
      <c r="L823" s="57"/>
      <c r="M823" s="6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67"/>
      <c r="K824" s="57"/>
      <c r="L824" s="57"/>
      <c r="M824" s="6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67"/>
      <c r="K825" s="57"/>
      <c r="L825" s="57"/>
      <c r="M825" s="6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67"/>
      <c r="K826" s="57"/>
      <c r="L826" s="57"/>
      <c r="M826" s="6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67"/>
      <c r="K827" s="57"/>
      <c r="L827" s="57"/>
      <c r="M827" s="6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67"/>
      <c r="K828" s="57"/>
      <c r="L828" s="57"/>
      <c r="M828" s="6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67"/>
      <c r="K829" s="57"/>
      <c r="L829" s="57"/>
      <c r="M829" s="6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67"/>
      <c r="K830" s="57"/>
      <c r="L830" s="57"/>
      <c r="M830" s="6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67"/>
      <c r="K831" s="57"/>
      <c r="L831" s="57"/>
      <c r="M831" s="6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67"/>
      <c r="K832" s="57"/>
      <c r="L832" s="57"/>
      <c r="M832" s="6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67"/>
      <c r="K833" s="57"/>
      <c r="L833" s="57"/>
      <c r="M833" s="6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67"/>
      <c r="K834" s="57"/>
      <c r="L834" s="57"/>
      <c r="M834" s="6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67"/>
      <c r="K835" s="57"/>
      <c r="L835" s="57"/>
      <c r="M835" s="6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67"/>
      <c r="K836" s="57"/>
      <c r="L836" s="57"/>
      <c r="M836" s="6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67"/>
      <c r="K837" s="57"/>
      <c r="L837" s="57"/>
      <c r="M837" s="6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67"/>
      <c r="K838" s="57"/>
      <c r="L838" s="57"/>
      <c r="M838" s="6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67"/>
      <c r="K839" s="57"/>
      <c r="L839" s="57"/>
      <c r="M839" s="6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67"/>
      <c r="K840" s="57"/>
      <c r="L840" s="57"/>
      <c r="M840" s="6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67"/>
      <c r="K841" s="57"/>
      <c r="L841" s="57"/>
      <c r="M841" s="6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67"/>
      <c r="K842" s="57"/>
      <c r="L842" s="57"/>
      <c r="M842" s="6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67"/>
      <c r="K843" s="57"/>
      <c r="L843" s="57"/>
      <c r="M843" s="6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67"/>
      <c r="K844" s="57"/>
      <c r="L844" s="57"/>
      <c r="M844" s="6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67"/>
      <c r="K845" s="57"/>
      <c r="L845" s="57"/>
      <c r="M845" s="6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67"/>
      <c r="K846" s="57"/>
      <c r="L846" s="57"/>
      <c r="M846" s="6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67"/>
      <c r="K847" s="57"/>
      <c r="L847" s="57"/>
      <c r="M847" s="6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67"/>
      <c r="K848" s="57"/>
      <c r="L848" s="57"/>
      <c r="M848" s="6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67"/>
      <c r="K849" s="57"/>
      <c r="L849" s="57"/>
      <c r="M849" s="6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67"/>
      <c r="K850" s="57"/>
      <c r="L850" s="57"/>
      <c r="M850" s="6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67"/>
      <c r="K851" s="57"/>
      <c r="L851" s="57"/>
      <c r="M851" s="6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67"/>
      <c r="K852" s="57"/>
      <c r="L852" s="57"/>
      <c r="M852" s="6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67"/>
      <c r="K853" s="57"/>
      <c r="L853" s="57"/>
      <c r="M853" s="6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67"/>
      <c r="K854" s="57"/>
      <c r="L854" s="57"/>
      <c r="M854" s="6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67"/>
      <c r="K855" s="57"/>
      <c r="L855" s="57"/>
      <c r="M855" s="6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67"/>
      <c r="K856" s="57"/>
      <c r="L856" s="57"/>
      <c r="M856" s="6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67"/>
      <c r="K857" s="57"/>
      <c r="L857" s="57"/>
      <c r="M857" s="6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67"/>
      <c r="K858" s="57"/>
      <c r="L858" s="57"/>
      <c r="M858" s="6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67"/>
      <c r="K859" s="57"/>
      <c r="L859" s="57"/>
      <c r="M859" s="6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67"/>
      <c r="K860" s="57"/>
      <c r="L860" s="57"/>
      <c r="M860" s="6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67"/>
      <c r="K861" s="57"/>
      <c r="L861" s="57"/>
      <c r="M861" s="6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67"/>
      <c r="K862" s="57"/>
      <c r="L862" s="57"/>
      <c r="M862" s="6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67"/>
      <c r="K863" s="57"/>
      <c r="L863" s="57"/>
      <c r="M863" s="6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67"/>
      <c r="K864" s="57"/>
      <c r="L864" s="57"/>
      <c r="M864" s="6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67"/>
      <c r="K865" s="57"/>
      <c r="L865" s="57"/>
      <c r="M865" s="6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67"/>
      <c r="K866" s="57"/>
      <c r="L866" s="57"/>
      <c r="M866" s="6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67"/>
      <c r="K867" s="57"/>
      <c r="L867" s="57"/>
      <c r="M867" s="6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67"/>
      <c r="K868" s="57"/>
      <c r="L868" s="57"/>
      <c r="M868" s="6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67"/>
      <c r="K869" s="57"/>
      <c r="L869" s="57"/>
      <c r="M869" s="6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67"/>
      <c r="K870" s="57"/>
      <c r="L870" s="57"/>
      <c r="M870" s="6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67"/>
      <c r="K871" s="57"/>
      <c r="L871" s="57"/>
      <c r="M871" s="6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67"/>
      <c r="K872" s="57"/>
      <c r="L872" s="57"/>
      <c r="M872" s="6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67"/>
      <c r="K873" s="57"/>
      <c r="L873" s="57"/>
      <c r="M873" s="6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67"/>
      <c r="K874" s="57"/>
      <c r="L874" s="57"/>
      <c r="M874" s="6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67"/>
      <c r="K875" s="57"/>
      <c r="L875" s="57"/>
      <c r="M875" s="6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67"/>
      <c r="K876" s="57"/>
      <c r="L876" s="57"/>
      <c r="M876" s="6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67"/>
      <c r="K877" s="57"/>
      <c r="L877" s="57"/>
      <c r="M877" s="6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67"/>
      <c r="K878" s="57"/>
      <c r="L878" s="57"/>
      <c r="M878" s="6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67"/>
      <c r="K879" s="57"/>
      <c r="L879" s="57"/>
      <c r="M879" s="6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67"/>
      <c r="K880" s="57"/>
      <c r="L880" s="57"/>
      <c r="M880" s="6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67"/>
      <c r="K881" s="57"/>
      <c r="L881" s="57"/>
      <c r="M881" s="6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67"/>
      <c r="K882" s="57"/>
      <c r="L882" s="57"/>
      <c r="M882" s="6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67"/>
      <c r="K883" s="57"/>
      <c r="L883" s="57"/>
      <c r="M883" s="6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67"/>
      <c r="K884" s="57"/>
      <c r="L884" s="57"/>
      <c r="M884" s="6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67"/>
      <c r="K885" s="57"/>
      <c r="L885" s="57"/>
      <c r="M885" s="6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67"/>
      <c r="K886" s="57"/>
      <c r="L886" s="57"/>
      <c r="M886" s="6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67"/>
      <c r="K887" s="57"/>
      <c r="L887" s="57"/>
      <c r="M887" s="6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67"/>
      <c r="K888" s="57"/>
      <c r="L888" s="57"/>
      <c r="M888" s="6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67"/>
      <c r="K889" s="57"/>
      <c r="L889" s="57"/>
      <c r="M889" s="6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67"/>
      <c r="K890" s="57"/>
      <c r="L890" s="57"/>
      <c r="M890" s="6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67"/>
      <c r="K891" s="57"/>
      <c r="L891" s="57"/>
      <c r="M891" s="6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67"/>
      <c r="K892" s="57"/>
      <c r="L892" s="57"/>
      <c r="M892" s="6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67"/>
      <c r="K893" s="57"/>
      <c r="L893" s="57"/>
      <c r="M893" s="6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67"/>
      <c r="K894" s="57"/>
      <c r="L894" s="57"/>
      <c r="M894" s="6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67"/>
      <c r="K895" s="57"/>
      <c r="L895" s="57"/>
      <c r="M895" s="6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67"/>
      <c r="K896" s="57"/>
      <c r="L896" s="57"/>
      <c r="M896" s="6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67"/>
      <c r="K897" s="57"/>
      <c r="L897" s="57"/>
      <c r="M897" s="6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67"/>
      <c r="K898" s="57"/>
      <c r="L898" s="57"/>
      <c r="M898" s="6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67"/>
      <c r="K899" s="57"/>
      <c r="L899" s="57"/>
      <c r="M899" s="6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67"/>
      <c r="K900" s="57"/>
      <c r="L900" s="57"/>
      <c r="M900" s="6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67"/>
      <c r="K901" s="57"/>
      <c r="L901" s="57"/>
      <c r="M901" s="6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67"/>
      <c r="K902" s="57"/>
      <c r="L902" s="57"/>
      <c r="M902" s="6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67"/>
      <c r="K903" s="57"/>
      <c r="L903" s="57"/>
      <c r="M903" s="6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67"/>
      <c r="K904" s="57"/>
      <c r="L904" s="57"/>
      <c r="M904" s="6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67"/>
      <c r="K905" s="57"/>
      <c r="L905" s="57"/>
      <c r="M905" s="6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67"/>
      <c r="K906" s="57"/>
      <c r="L906" s="57"/>
      <c r="M906" s="6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67"/>
      <c r="K907" s="57"/>
      <c r="L907" s="57"/>
      <c r="M907" s="6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67"/>
      <c r="K908" s="57"/>
      <c r="L908" s="57"/>
      <c r="M908" s="6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67"/>
      <c r="K909" s="57"/>
      <c r="L909" s="57"/>
      <c r="M909" s="6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67"/>
      <c r="K910" s="57"/>
      <c r="L910" s="57"/>
      <c r="M910" s="6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67"/>
      <c r="K911" s="57"/>
      <c r="L911" s="57"/>
      <c r="M911" s="6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67"/>
      <c r="K912" s="57"/>
      <c r="L912" s="57"/>
      <c r="M912" s="6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67"/>
      <c r="K913" s="57"/>
      <c r="L913" s="57"/>
      <c r="M913" s="6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67"/>
      <c r="K914" s="57"/>
      <c r="L914" s="57"/>
      <c r="M914" s="6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67"/>
      <c r="K915" s="57"/>
      <c r="L915" s="57"/>
      <c r="M915" s="6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67"/>
      <c r="K916" s="57"/>
      <c r="L916" s="57"/>
      <c r="M916" s="6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67"/>
      <c r="K917" s="57"/>
      <c r="L917" s="57"/>
      <c r="M917" s="6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67"/>
      <c r="K918" s="57"/>
      <c r="L918" s="57"/>
      <c r="M918" s="6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67"/>
      <c r="K919" s="57"/>
      <c r="L919" s="57"/>
      <c r="M919" s="6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67"/>
      <c r="K920" s="57"/>
      <c r="L920" s="57"/>
      <c r="M920" s="6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67"/>
      <c r="K921" s="57"/>
      <c r="L921" s="57"/>
      <c r="M921" s="6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67"/>
      <c r="K922" s="57"/>
      <c r="L922" s="57"/>
      <c r="M922" s="6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67"/>
      <c r="K923" s="57"/>
      <c r="L923" s="57"/>
      <c r="M923" s="6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67"/>
      <c r="K924" s="57"/>
      <c r="L924" s="57"/>
      <c r="M924" s="6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67"/>
      <c r="K925" s="57"/>
      <c r="L925" s="57"/>
      <c r="M925" s="6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67"/>
      <c r="K926" s="57"/>
      <c r="L926" s="57"/>
      <c r="M926" s="6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67"/>
      <c r="K927" s="57"/>
      <c r="L927" s="57"/>
      <c r="M927" s="6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67"/>
      <c r="K928" s="57"/>
      <c r="L928" s="57"/>
      <c r="M928" s="6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67"/>
      <c r="K929" s="57"/>
      <c r="L929" s="57"/>
      <c r="M929" s="6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67"/>
      <c r="K930" s="57"/>
      <c r="L930" s="57"/>
      <c r="M930" s="6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67"/>
      <c r="K931" s="57"/>
      <c r="L931" s="57"/>
      <c r="M931" s="6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67"/>
      <c r="K932" s="57"/>
      <c r="L932" s="57"/>
      <c r="M932" s="6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67"/>
      <c r="K933" s="57"/>
      <c r="L933" s="57"/>
      <c r="M933" s="6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67"/>
      <c r="K934" s="57"/>
      <c r="L934" s="57"/>
      <c r="M934" s="6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67"/>
      <c r="K935" s="57"/>
      <c r="L935" s="57"/>
      <c r="M935" s="6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67"/>
      <c r="K936" s="57"/>
      <c r="L936" s="57"/>
      <c r="M936" s="6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67"/>
      <c r="K937" s="57"/>
      <c r="L937" s="57"/>
      <c r="M937" s="6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67"/>
      <c r="K938" s="57"/>
      <c r="L938" s="57"/>
      <c r="M938" s="6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67"/>
      <c r="K939" s="57"/>
      <c r="L939" s="57"/>
      <c r="M939" s="6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67"/>
      <c r="K940" s="57"/>
      <c r="L940" s="57"/>
      <c r="M940" s="6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67"/>
      <c r="K941" s="57"/>
      <c r="L941" s="57"/>
      <c r="M941" s="6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67"/>
      <c r="K942" s="57"/>
      <c r="L942" s="57"/>
      <c r="M942" s="6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67"/>
      <c r="K943" s="57"/>
      <c r="L943" s="57"/>
      <c r="M943" s="6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67"/>
      <c r="K944" s="57"/>
      <c r="L944" s="57"/>
      <c r="M944" s="6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67"/>
      <c r="K945" s="57"/>
      <c r="L945" s="57"/>
      <c r="M945" s="6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67"/>
      <c r="K946" s="57"/>
      <c r="L946" s="57"/>
      <c r="M946" s="6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67"/>
      <c r="K947" s="57"/>
      <c r="L947" s="57"/>
      <c r="M947" s="6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67"/>
      <c r="K948" s="57"/>
      <c r="L948" s="57"/>
      <c r="M948" s="6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67"/>
      <c r="K949" s="57"/>
      <c r="L949" s="57"/>
      <c r="M949" s="6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67"/>
      <c r="K950" s="57"/>
      <c r="L950" s="57"/>
      <c r="M950" s="6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67"/>
      <c r="K951" s="57"/>
      <c r="L951" s="57"/>
      <c r="M951" s="6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67"/>
      <c r="K952" s="57"/>
      <c r="L952" s="57"/>
      <c r="M952" s="6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67"/>
      <c r="K953" s="57"/>
      <c r="L953" s="57"/>
      <c r="M953" s="6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67"/>
      <c r="K954" s="57"/>
      <c r="L954" s="57"/>
      <c r="M954" s="6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67"/>
      <c r="K955" s="57"/>
      <c r="L955" s="57"/>
      <c r="M955" s="6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67"/>
      <c r="K956" s="57"/>
      <c r="L956" s="57"/>
      <c r="M956" s="6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67"/>
      <c r="K957" s="57"/>
      <c r="L957" s="57"/>
      <c r="M957" s="6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67"/>
      <c r="K958" s="57"/>
      <c r="L958" s="57"/>
      <c r="M958" s="6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67"/>
      <c r="K959" s="57"/>
      <c r="L959" s="57"/>
      <c r="M959" s="6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67"/>
      <c r="K960" s="57"/>
      <c r="L960" s="57"/>
      <c r="M960" s="6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67"/>
      <c r="K961" s="57"/>
      <c r="L961" s="57"/>
      <c r="M961" s="6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67"/>
      <c r="K962" s="57"/>
      <c r="L962" s="57"/>
      <c r="M962" s="6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67"/>
      <c r="K963" s="57"/>
      <c r="L963" s="57"/>
      <c r="M963" s="6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67"/>
      <c r="K964" s="57"/>
      <c r="L964" s="57"/>
      <c r="M964" s="6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67"/>
      <c r="K965" s="57"/>
      <c r="L965" s="57"/>
      <c r="M965" s="6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67"/>
      <c r="K966" s="57"/>
      <c r="L966" s="57"/>
      <c r="M966" s="6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67"/>
      <c r="K967" s="57"/>
      <c r="L967" s="57"/>
      <c r="M967" s="6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67"/>
      <c r="K968" s="57"/>
      <c r="L968" s="57"/>
      <c r="M968" s="6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67"/>
      <c r="K969" s="57"/>
      <c r="L969" s="57"/>
      <c r="M969" s="6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67"/>
      <c r="K970" s="57"/>
      <c r="L970" s="57"/>
      <c r="M970" s="6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67"/>
      <c r="K971" s="57"/>
      <c r="L971" s="57"/>
      <c r="M971" s="6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67"/>
      <c r="K972" s="57"/>
      <c r="L972" s="57"/>
      <c r="M972" s="6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67"/>
      <c r="K973" s="57"/>
      <c r="L973" s="57"/>
      <c r="M973" s="6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67"/>
      <c r="K974" s="57"/>
      <c r="L974" s="57"/>
      <c r="M974" s="6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67"/>
      <c r="K975" s="57"/>
      <c r="L975" s="57"/>
      <c r="M975" s="6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67"/>
      <c r="K976" s="57"/>
      <c r="L976" s="57"/>
      <c r="M976" s="6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67"/>
      <c r="K977" s="57"/>
      <c r="L977" s="57"/>
      <c r="M977" s="6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67"/>
      <c r="K978" s="57"/>
      <c r="L978" s="57"/>
      <c r="M978" s="6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67"/>
      <c r="K979" s="57"/>
      <c r="L979" s="57"/>
      <c r="M979" s="6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67"/>
      <c r="K980" s="57"/>
      <c r="L980" s="57"/>
      <c r="M980" s="6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67"/>
      <c r="K981" s="57"/>
      <c r="L981" s="57"/>
      <c r="M981" s="6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67"/>
      <c r="K982" s="57"/>
      <c r="L982" s="57"/>
      <c r="M982" s="6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67"/>
      <c r="K983" s="57"/>
      <c r="L983" s="57"/>
      <c r="M983" s="6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67"/>
      <c r="K984" s="57"/>
      <c r="L984" s="57"/>
      <c r="M984" s="6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67"/>
      <c r="K985" s="57"/>
      <c r="L985" s="57"/>
      <c r="M985" s="6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67"/>
      <c r="K986" s="57"/>
      <c r="L986" s="57"/>
      <c r="M986" s="6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67"/>
      <c r="K987" s="57"/>
      <c r="L987" s="57"/>
      <c r="M987" s="6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67"/>
      <c r="K988" s="57"/>
      <c r="L988" s="57"/>
      <c r="M988" s="6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67"/>
      <c r="K989" s="57"/>
      <c r="L989" s="57"/>
      <c r="M989" s="6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67"/>
      <c r="K990" s="57"/>
      <c r="L990" s="57"/>
      <c r="M990" s="6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67"/>
      <c r="K991" s="57"/>
      <c r="L991" s="57"/>
      <c r="M991" s="6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67"/>
      <c r="K992" s="57"/>
      <c r="L992" s="57"/>
      <c r="M992" s="6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67"/>
      <c r="K993" s="57"/>
      <c r="L993" s="57"/>
      <c r="M993" s="6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67"/>
      <c r="K994" s="57"/>
      <c r="L994" s="57"/>
      <c r="M994" s="6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67"/>
      <c r="K995" s="57"/>
      <c r="L995" s="57"/>
      <c r="M995" s="6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67"/>
      <c r="K996" s="57"/>
      <c r="L996" s="57"/>
      <c r="M996" s="6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67"/>
      <c r="K997" s="57"/>
      <c r="L997" s="57"/>
      <c r="M997" s="6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67"/>
      <c r="K998" s="57"/>
      <c r="L998" s="57"/>
      <c r="M998" s="6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67"/>
      <c r="K999" s="57"/>
      <c r="L999" s="57"/>
      <c r="M999" s="6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  <c r="AC999" s="57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67"/>
      <c r="K1000" s="57"/>
      <c r="L1000" s="57"/>
      <c r="M1000" s="6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  <c r="AB1000" s="57"/>
      <c r="AC1000" s="57"/>
    </row>
  </sheetData>
  <conditionalFormatting sqref="A1">
    <cfRule type="expression" dxfId="5" priority="1">
      <formula>AND($B1&lt;&gt;"", $J1="")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5" max="5" width="24.38"/>
  </cols>
  <sheetData>
    <row r="1" ht="15.0" customHeight="1">
      <c r="A1" s="42"/>
      <c r="B1" s="42" t="s">
        <v>2</v>
      </c>
      <c r="C1" s="44" t="s">
        <v>3</v>
      </c>
      <c r="D1" s="42" t="s">
        <v>535</v>
      </c>
      <c r="E1" s="42" t="s">
        <v>536</v>
      </c>
      <c r="F1" s="42" t="s">
        <v>22</v>
      </c>
      <c r="G1" s="42" t="s">
        <v>537</v>
      </c>
      <c r="H1" s="42" t="s">
        <v>538</v>
      </c>
      <c r="I1" s="42" t="s">
        <v>9</v>
      </c>
      <c r="J1" s="45" t="s">
        <v>25</v>
      </c>
      <c r="K1" s="45" t="s">
        <v>26</v>
      </c>
      <c r="L1" s="45" t="s">
        <v>27</v>
      </c>
      <c r="M1" s="45" t="s">
        <v>28</v>
      </c>
      <c r="N1" s="45" t="s">
        <v>539</v>
      </c>
      <c r="O1" s="42" t="s">
        <v>540</v>
      </c>
      <c r="P1" s="42" t="s">
        <v>541</v>
      </c>
      <c r="Q1" s="48"/>
      <c r="R1" s="47" t="s">
        <v>17</v>
      </c>
      <c r="S1" s="47" t="s">
        <v>19</v>
      </c>
      <c r="T1" s="48"/>
      <c r="U1" s="48"/>
      <c r="V1" s="48"/>
      <c r="W1" s="48"/>
      <c r="X1" s="48"/>
      <c r="Y1" s="48"/>
      <c r="Z1" s="48"/>
      <c r="AA1" s="48"/>
      <c r="AB1" s="48"/>
      <c r="AC1" s="48"/>
    </row>
    <row r="2">
      <c r="A2" s="70" t="str">
        <f>TEXT(B2,"yyyyMMddHHmmss")&amp;"-"&amp;RANDBETWEEN(10000000,99999999)</f>
        <v>Daniel Reisinger-54189560</v>
      </c>
      <c r="B2" s="70" t="s">
        <v>680</v>
      </c>
      <c r="C2" s="57"/>
      <c r="D2" s="71">
        <v>1.0</v>
      </c>
      <c r="E2" s="71" t="s">
        <v>681</v>
      </c>
      <c r="F2" s="57"/>
      <c r="G2" s="72">
        <v>45663.0</v>
      </c>
      <c r="J2" s="73" t="s">
        <v>38</v>
      </c>
      <c r="K2" s="73">
        <v>232646.0</v>
      </c>
      <c r="L2" s="74">
        <v>37.05</v>
      </c>
      <c r="M2" s="73">
        <v>562642.0</v>
      </c>
      <c r="P2" s="75" t="s">
        <v>43</v>
      </c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</row>
    <row r="3">
      <c r="A3" s="70"/>
      <c r="B3" s="70" t="s">
        <v>684</v>
      </c>
      <c r="C3" s="57"/>
      <c r="D3" s="71">
        <v>1.0</v>
      </c>
      <c r="E3" s="71" t="s">
        <v>685</v>
      </c>
      <c r="F3" s="57"/>
      <c r="G3" s="72">
        <v>45663.0</v>
      </c>
      <c r="J3" s="73" t="s">
        <v>38</v>
      </c>
      <c r="K3" s="73">
        <v>232646.0</v>
      </c>
      <c r="L3" s="74">
        <v>37.05</v>
      </c>
      <c r="M3" s="73">
        <v>562642.0</v>
      </c>
      <c r="P3" s="75" t="s">
        <v>43</v>
      </c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</row>
    <row r="4">
      <c r="A4" s="70"/>
      <c r="B4" s="70" t="s">
        <v>53</v>
      </c>
      <c r="C4" s="57"/>
      <c r="D4" s="71">
        <v>1.0</v>
      </c>
      <c r="E4" s="71" t="s">
        <v>686</v>
      </c>
      <c r="F4" s="57"/>
      <c r="G4" s="72">
        <v>45663.0</v>
      </c>
      <c r="J4" s="73" t="s">
        <v>38</v>
      </c>
      <c r="K4" s="73">
        <v>232646.0</v>
      </c>
      <c r="L4" s="74">
        <v>29.17</v>
      </c>
      <c r="M4" s="73">
        <v>562642.0</v>
      </c>
      <c r="P4" s="75" t="s">
        <v>43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</row>
    <row r="5">
      <c r="A5" s="70"/>
      <c r="B5" s="70" t="s">
        <v>688</v>
      </c>
      <c r="C5" s="57"/>
      <c r="D5" s="71">
        <v>1.0</v>
      </c>
      <c r="E5" s="71" t="s">
        <v>689</v>
      </c>
      <c r="F5" s="57"/>
      <c r="G5" s="72">
        <v>45663.0</v>
      </c>
      <c r="J5" s="73" t="s">
        <v>38</v>
      </c>
      <c r="K5" s="73">
        <v>232646.0</v>
      </c>
      <c r="L5" s="74">
        <v>89.54</v>
      </c>
      <c r="M5" s="73">
        <v>562827.0</v>
      </c>
      <c r="P5" s="75" t="s">
        <v>43</v>
      </c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</row>
    <row r="6">
      <c r="A6" s="70"/>
      <c r="B6" s="70" t="s">
        <v>691</v>
      </c>
      <c r="C6" s="71" t="s">
        <v>692</v>
      </c>
      <c r="D6" s="71">
        <v>1.0</v>
      </c>
      <c r="E6" s="71" t="s">
        <v>689</v>
      </c>
      <c r="F6" s="71" t="s">
        <v>496</v>
      </c>
      <c r="G6" s="72">
        <v>45663.0</v>
      </c>
      <c r="J6" s="73" t="s">
        <v>38</v>
      </c>
      <c r="K6" s="73">
        <v>232646.0</v>
      </c>
      <c r="L6" s="74">
        <v>89.54</v>
      </c>
      <c r="M6" s="73">
        <v>562827.0</v>
      </c>
      <c r="P6" s="75" t="s">
        <v>43</v>
      </c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</row>
    <row r="7">
      <c r="A7" s="70"/>
      <c r="B7" s="70" t="s">
        <v>693</v>
      </c>
      <c r="C7" s="71" t="s">
        <v>694</v>
      </c>
      <c r="D7" s="71">
        <v>1.0</v>
      </c>
      <c r="E7" s="71" t="s">
        <v>696</v>
      </c>
      <c r="F7" s="71" t="s">
        <v>697</v>
      </c>
      <c r="G7" s="72">
        <v>45663.0</v>
      </c>
      <c r="J7" s="73" t="s">
        <v>38</v>
      </c>
      <c r="K7" s="73">
        <v>232646.0</v>
      </c>
      <c r="L7" s="74">
        <v>50.11</v>
      </c>
      <c r="M7" s="73">
        <v>562642.0</v>
      </c>
      <c r="P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</row>
    <row r="8">
      <c r="A8" s="70"/>
      <c r="B8" s="70" t="s">
        <v>698</v>
      </c>
      <c r="C8" s="57"/>
      <c r="D8" s="75" t="s">
        <v>0</v>
      </c>
      <c r="E8" s="71" t="s">
        <v>699</v>
      </c>
      <c r="F8" s="57"/>
      <c r="G8" s="72">
        <v>45663.0</v>
      </c>
      <c r="J8" s="73" t="s">
        <v>38</v>
      </c>
      <c r="K8" s="73">
        <v>232646.0</v>
      </c>
      <c r="L8" s="74">
        <v>142.83</v>
      </c>
      <c r="M8" s="73">
        <v>570307.0</v>
      </c>
      <c r="P8" s="75" t="s">
        <v>43</v>
      </c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</row>
    <row r="9">
      <c r="A9" s="70"/>
      <c r="B9" s="70" t="s">
        <v>702</v>
      </c>
      <c r="C9" s="57"/>
      <c r="D9" s="71">
        <v>1.0</v>
      </c>
      <c r="E9" s="71" t="s">
        <v>703</v>
      </c>
      <c r="F9" s="57"/>
      <c r="G9" s="72">
        <v>45663.0</v>
      </c>
      <c r="J9" s="73" t="s">
        <v>38</v>
      </c>
      <c r="K9" s="73">
        <v>232646.0</v>
      </c>
      <c r="L9" s="74">
        <v>53.44</v>
      </c>
      <c r="M9" s="73">
        <v>562642.0</v>
      </c>
      <c r="P9" s="75" t="s">
        <v>43</v>
      </c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</row>
    <row r="10">
      <c r="A10" s="70"/>
      <c r="B10" s="70" t="s">
        <v>702</v>
      </c>
      <c r="C10" s="57"/>
      <c r="D10" s="71">
        <v>1.0</v>
      </c>
      <c r="E10" s="71" t="s">
        <v>705</v>
      </c>
      <c r="F10" s="57"/>
      <c r="G10" s="72">
        <v>45663.0</v>
      </c>
      <c r="J10" s="73" t="s">
        <v>38</v>
      </c>
      <c r="K10" s="73">
        <v>232646.0</v>
      </c>
      <c r="L10" s="74">
        <v>53.44</v>
      </c>
      <c r="M10" s="73">
        <v>562642.0</v>
      </c>
      <c r="P10" s="71" t="s">
        <v>59</v>
      </c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</row>
    <row r="11">
      <c r="A11" s="70"/>
      <c r="B11" s="70" t="s">
        <v>706</v>
      </c>
      <c r="C11" s="71" t="s">
        <v>707</v>
      </c>
      <c r="D11" s="71">
        <v>1.0</v>
      </c>
      <c r="E11" s="71" t="s">
        <v>709</v>
      </c>
      <c r="F11" s="57"/>
      <c r="G11" s="72">
        <v>45663.0</v>
      </c>
      <c r="J11" s="73" t="s">
        <v>38</v>
      </c>
      <c r="K11" s="73">
        <v>232646.0</v>
      </c>
      <c r="L11" s="74">
        <v>62.75</v>
      </c>
      <c r="M11" s="73">
        <v>562642.0</v>
      </c>
      <c r="P11" s="75" t="s">
        <v>43</v>
      </c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</row>
    <row r="12">
      <c r="A12" s="70"/>
      <c r="B12" s="70" t="s">
        <v>76</v>
      </c>
      <c r="C12" s="57"/>
      <c r="D12" s="71">
        <v>1.0</v>
      </c>
      <c r="E12" s="71" t="s">
        <v>713</v>
      </c>
      <c r="F12" s="71" t="s">
        <v>714</v>
      </c>
      <c r="G12" s="72">
        <v>45663.0</v>
      </c>
      <c r="J12" s="73" t="s">
        <v>38</v>
      </c>
      <c r="K12" s="73">
        <v>232646.0</v>
      </c>
      <c r="L12" s="74">
        <v>142.83</v>
      </c>
      <c r="M12" s="73">
        <v>562642.0</v>
      </c>
      <c r="P12" s="75" t="s">
        <v>43</v>
      </c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</row>
    <row r="13">
      <c r="A13" s="70"/>
      <c r="B13" s="70" t="s">
        <v>67</v>
      </c>
      <c r="C13" s="57"/>
      <c r="D13" s="71">
        <v>1.0</v>
      </c>
      <c r="E13" s="71" t="s">
        <v>717</v>
      </c>
      <c r="F13" s="57"/>
      <c r="G13" s="72">
        <v>45663.0</v>
      </c>
      <c r="J13" s="73" t="s">
        <v>38</v>
      </c>
      <c r="K13" s="73">
        <v>232646.0</v>
      </c>
      <c r="L13" s="74">
        <v>52.58</v>
      </c>
      <c r="M13" s="73">
        <v>562642.0</v>
      </c>
      <c r="P13" s="75" t="s">
        <v>43</v>
      </c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</row>
    <row r="14">
      <c r="A14" s="70"/>
      <c r="B14" s="70" t="s">
        <v>718</v>
      </c>
      <c r="C14" s="71" t="s">
        <v>719</v>
      </c>
      <c r="D14" s="71">
        <v>1.0</v>
      </c>
      <c r="E14" s="71" t="s">
        <v>720</v>
      </c>
      <c r="F14" s="57"/>
      <c r="G14" s="72">
        <v>45663.0</v>
      </c>
      <c r="J14" s="73" t="s">
        <v>38</v>
      </c>
      <c r="K14" s="73">
        <v>232646.0</v>
      </c>
      <c r="L14" s="74">
        <v>151.15</v>
      </c>
      <c r="M14" s="73">
        <v>562642.0</v>
      </c>
      <c r="P14" s="75" t="s">
        <v>43</v>
      </c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</row>
    <row r="15">
      <c r="A15" s="70"/>
      <c r="B15" s="70" t="s">
        <v>53</v>
      </c>
      <c r="C15" s="57"/>
      <c r="D15" s="71">
        <v>3.0</v>
      </c>
      <c r="E15" s="71" t="s">
        <v>722</v>
      </c>
      <c r="F15" s="57"/>
      <c r="G15" s="72">
        <v>45663.0</v>
      </c>
      <c r="J15" s="73" t="s">
        <v>38</v>
      </c>
      <c r="K15" s="73">
        <v>232646.0</v>
      </c>
      <c r="L15" s="74">
        <v>1.0</v>
      </c>
      <c r="M15" s="73">
        <v>562642.0</v>
      </c>
      <c r="P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</row>
    <row r="16">
      <c r="A16" s="70"/>
      <c r="B16" s="70" t="s">
        <v>53</v>
      </c>
      <c r="C16" s="57"/>
      <c r="D16" s="71">
        <v>3.0</v>
      </c>
      <c r="E16" s="71" t="s">
        <v>724</v>
      </c>
      <c r="F16" s="57"/>
      <c r="G16" s="72">
        <v>45663.0</v>
      </c>
      <c r="J16" s="73" t="s">
        <v>38</v>
      </c>
      <c r="K16" s="73">
        <v>232646.0</v>
      </c>
      <c r="L16" s="74">
        <v>1.0</v>
      </c>
      <c r="M16" s="73">
        <v>568952.0</v>
      </c>
      <c r="P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</row>
    <row r="17">
      <c r="A17" s="70"/>
      <c r="B17" s="70" t="s">
        <v>727</v>
      </c>
      <c r="C17" s="57"/>
      <c r="D17" s="71">
        <v>1.0</v>
      </c>
      <c r="E17" s="71" t="s">
        <v>728</v>
      </c>
      <c r="F17" s="57"/>
      <c r="G17" s="72">
        <v>45670.0</v>
      </c>
      <c r="J17" s="72" t="s">
        <v>38</v>
      </c>
      <c r="K17" s="73" t="s">
        <v>673</v>
      </c>
      <c r="L17" s="74">
        <v>150.01</v>
      </c>
      <c r="M17" s="73">
        <v>564290.0</v>
      </c>
      <c r="P17" s="75" t="s">
        <v>43</v>
      </c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</row>
    <row r="18">
      <c r="A18" s="70"/>
      <c r="B18" s="70" t="s">
        <v>732</v>
      </c>
      <c r="C18" s="57"/>
      <c r="D18" s="76">
        <v>1.0</v>
      </c>
      <c r="E18" s="77" t="s">
        <v>733</v>
      </c>
      <c r="F18" s="57"/>
      <c r="G18" s="72">
        <v>45670.0</v>
      </c>
      <c r="J18" s="72" t="s">
        <v>38</v>
      </c>
      <c r="K18" s="73" t="s">
        <v>673</v>
      </c>
      <c r="L18" s="74">
        <v>132.15</v>
      </c>
      <c r="M18" s="73">
        <v>564290.0</v>
      </c>
      <c r="P18" s="75" t="s">
        <v>43</v>
      </c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</row>
    <row r="19">
      <c r="A19" s="70"/>
      <c r="B19" s="70" t="s">
        <v>736</v>
      </c>
      <c r="C19" s="57"/>
      <c r="D19" s="76">
        <v>1.0</v>
      </c>
      <c r="E19" s="77" t="s">
        <v>737</v>
      </c>
      <c r="F19" s="57"/>
      <c r="G19" s="72">
        <v>45670.0</v>
      </c>
      <c r="J19" s="72" t="s">
        <v>38</v>
      </c>
      <c r="K19" s="73" t="s">
        <v>673</v>
      </c>
      <c r="L19" s="74">
        <v>119.99</v>
      </c>
      <c r="M19" s="73">
        <v>564290.0</v>
      </c>
      <c r="P19" s="75" t="s">
        <v>43</v>
      </c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</row>
    <row r="20">
      <c r="A20" s="70"/>
      <c r="B20" s="70" t="s">
        <v>383</v>
      </c>
      <c r="C20" s="57"/>
      <c r="D20" s="71">
        <v>10.0</v>
      </c>
      <c r="E20" s="71" t="s">
        <v>739</v>
      </c>
      <c r="F20" s="71" t="s">
        <v>740</v>
      </c>
      <c r="G20" s="72">
        <v>45670.0</v>
      </c>
      <c r="J20" s="72" t="s">
        <v>38</v>
      </c>
      <c r="K20" s="73" t="s">
        <v>673</v>
      </c>
      <c r="L20" s="74">
        <v>2.33</v>
      </c>
      <c r="M20" s="73">
        <v>564290.0</v>
      </c>
      <c r="P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</row>
    <row r="21">
      <c r="A21" s="70"/>
      <c r="B21" s="70" t="s">
        <v>383</v>
      </c>
      <c r="C21" s="57"/>
      <c r="D21" s="71">
        <v>10.0</v>
      </c>
      <c r="E21" s="71" t="s">
        <v>739</v>
      </c>
      <c r="F21" s="71" t="s">
        <v>742</v>
      </c>
      <c r="G21" s="72">
        <v>45670.0</v>
      </c>
      <c r="J21" s="72" t="s">
        <v>38</v>
      </c>
      <c r="K21" s="73" t="s">
        <v>673</v>
      </c>
      <c r="L21" s="74">
        <v>2.38</v>
      </c>
      <c r="M21" s="71">
        <v>575183.0</v>
      </c>
      <c r="P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</row>
    <row r="22">
      <c r="A22" s="70"/>
      <c r="B22" s="70" t="s">
        <v>53</v>
      </c>
      <c r="C22" s="57"/>
      <c r="D22" s="76">
        <v>1.0</v>
      </c>
      <c r="E22" s="77" t="s">
        <v>744</v>
      </c>
      <c r="F22" s="57"/>
      <c r="G22" s="72">
        <v>45670.0</v>
      </c>
      <c r="J22" s="72" t="s">
        <v>38</v>
      </c>
      <c r="K22" s="73" t="s">
        <v>673</v>
      </c>
      <c r="L22" s="78">
        <v>46.27</v>
      </c>
      <c r="M22" s="71">
        <v>569086.0</v>
      </c>
      <c r="P22" s="75" t="s">
        <v>43</v>
      </c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</row>
    <row r="23">
      <c r="A23" s="70"/>
      <c r="B23" s="70" t="s">
        <v>641</v>
      </c>
      <c r="C23" s="57"/>
      <c r="D23" s="76">
        <v>1.0</v>
      </c>
      <c r="E23" s="77" t="s">
        <v>746</v>
      </c>
      <c r="F23" s="57"/>
      <c r="G23" s="72">
        <v>45670.0</v>
      </c>
      <c r="J23" s="72" t="s">
        <v>38</v>
      </c>
      <c r="K23" s="73" t="s">
        <v>673</v>
      </c>
      <c r="L23" s="78">
        <v>122.65</v>
      </c>
      <c r="M23" s="73">
        <v>564290.0</v>
      </c>
      <c r="P23" s="75" t="s">
        <v>43</v>
      </c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</row>
    <row r="24">
      <c r="A24" s="70"/>
      <c r="B24" s="70" t="s">
        <v>749</v>
      </c>
      <c r="C24" s="57"/>
      <c r="D24" s="76">
        <v>1.0</v>
      </c>
      <c r="E24" s="77" t="s">
        <v>750</v>
      </c>
      <c r="F24" s="57"/>
      <c r="G24" s="72">
        <v>45670.0</v>
      </c>
      <c r="J24" s="72" t="s">
        <v>38</v>
      </c>
      <c r="K24" s="73" t="s">
        <v>673</v>
      </c>
      <c r="L24" s="78">
        <v>142.83</v>
      </c>
      <c r="M24" s="73">
        <v>564290.0</v>
      </c>
      <c r="P24" s="75" t="s">
        <v>43</v>
      </c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</row>
    <row r="25">
      <c r="A25" s="70"/>
      <c r="B25" s="70" t="s">
        <v>513</v>
      </c>
      <c r="C25" s="57"/>
      <c r="D25" s="76">
        <v>1.0</v>
      </c>
      <c r="E25" s="77" t="s">
        <v>752</v>
      </c>
      <c r="F25" s="57"/>
      <c r="G25" s="72">
        <v>45670.0</v>
      </c>
      <c r="J25" s="72" t="s">
        <v>38</v>
      </c>
      <c r="K25" s="73" t="s">
        <v>673</v>
      </c>
      <c r="L25" s="78">
        <v>50.11</v>
      </c>
      <c r="M25" s="73">
        <v>564290.0</v>
      </c>
      <c r="P25" s="75" t="s">
        <v>43</v>
      </c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</row>
    <row r="26">
      <c r="A26" s="70"/>
      <c r="B26" s="70" t="s">
        <v>755</v>
      </c>
      <c r="C26" s="71" t="s">
        <v>756</v>
      </c>
      <c r="D26" s="76">
        <v>1.0</v>
      </c>
      <c r="E26" s="77" t="s">
        <v>757</v>
      </c>
      <c r="F26" s="57"/>
      <c r="G26" s="72">
        <v>45670.0</v>
      </c>
      <c r="J26" s="72" t="s">
        <v>38</v>
      </c>
      <c r="K26" s="73" t="s">
        <v>673</v>
      </c>
      <c r="L26" s="78">
        <v>44.65</v>
      </c>
      <c r="M26" s="71">
        <v>565333.0</v>
      </c>
      <c r="P26" s="75" t="s">
        <v>43</v>
      </c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</row>
    <row r="27">
      <c r="A27" s="70"/>
      <c r="B27" s="70" t="s">
        <v>760</v>
      </c>
      <c r="C27" s="57"/>
      <c r="D27" s="76">
        <v>1.0</v>
      </c>
      <c r="E27" s="77" t="s">
        <v>761</v>
      </c>
      <c r="F27" s="57"/>
      <c r="G27" s="72">
        <v>45670.0</v>
      </c>
      <c r="J27" s="72" t="s">
        <v>38</v>
      </c>
      <c r="K27" s="73" t="s">
        <v>673</v>
      </c>
      <c r="L27" s="78">
        <v>132.15</v>
      </c>
      <c r="M27" s="71" t="s">
        <v>59</v>
      </c>
      <c r="P27" s="71" t="s">
        <v>59</v>
      </c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</row>
    <row r="28">
      <c r="A28" s="70"/>
      <c r="B28" s="70" t="s">
        <v>764</v>
      </c>
      <c r="C28" s="76" t="s">
        <v>765</v>
      </c>
      <c r="D28" s="76">
        <v>1.0</v>
      </c>
      <c r="E28" s="77" t="s">
        <v>689</v>
      </c>
      <c r="F28" s="57"/>
      <c r="G28" s="72">
        <v>45670.0</v>
      </c>
      <c r="J28" s="72" t="s">
        <v>38</v>
      </c>
      <c r="K28" s="73" t="s">
        <v>673</v>
      </c>
      <c r="L28" s="78">
        <v>89.54</v>
      </c>
      <c r="M28" s="71">
        <v>570650.0</v>
      </c>
      <c r="P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</row>
    <row r="29">
      <c r="A29" s="70"/>
      <c r="B29" s="70" t="s">
        <v>768</v>
      </c>
      <c r="C29" s="57"/>
      <c r="D29" s="76">
        <v>1.0</v>
      </c>
      <c r="E29" s="77" t="s">
        <v>689</v>
      </c>
      <c r="F29" s="71" t="s">
        <v>769</v>
      </c>
      <c r="G29" s="72">
        <v>45670.0</v>
      </c>
      <c r="J29" s="72" t="s">
        <v>38</v>
      </c>
      <c r="K29" s="73" t="s">
        <v>673</v>
      </c>
      <c r="L29" s="78">
        <v>89.54</v>
      </c>
      <c r="M29" s="71" t="s">
        <v>59</v>
      </c>
      <c r="P29" s="71" t="s">
        <v>59</v>
      </c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</row>
    <row r="30">
      <c r="A30" s="70"/>
      <c r="B30" s="70" t="s">
        <v>53</v>
      </c>
      <c r="C30" s="57"/>
      <c r="D30" s="76">
        <v>3.0</v>
      </c>
      <c r="E30" s="77" t="s">
        <v>770</v>
      </c>
      <c r="F30" s="57"/>
      <c r="G30" s="72">
        <v>45670.0</v>
      </c>
      <c r="J30" s="72" t="s">
        <v>38</v>
      </c>
      <c r="K30" s="73" t="s">
        <v>673</v>
      </c>
      <c r="L30" s="78">
        <v>1.0</v>
      </c>
      <c r="M30" s="73" t="s">
        <v>771</v>
      </c>
      <c r="P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</row>
    <row r="31">
      <c r="A31" s="70"/>
      <c r="B31" s="70" t="s">
        <v>53</v>
      </c>
      <c r="C31" s="57"/>
      <c r="D31" s="76">
        <v>2.0</v>
      </c>
      <c r="E31" s="77" t="s">
        <v>773</v>
      </c>
      <c r="F31" s="57"/>
      <c r="G31" s="72">
        <v>45670.0</v>
      </c>
      <c r="J31" s="72" t="s">
        <v>38</v>
      </c>
      <c r="K31" s="73" t="s">
        <v>673</v>
      </c>
      <c r="L31" s="78">
        <v>1.0</v>
      </c>
      <c r="M31" s="73">
        <v>564290.0</v>
      </c>
      <c r="P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</row>
    <row r="32">
      <c r="A32" s="70"/>
      <c r="B32" s="70" t="s">
        <v>774</v>
      </c>
      <c r="C32" s="76" t="s">
        <v>775</v>
      </c>
      <c r="D32" s="76">
        <v>1.0</v>
      </c>
      <c r="E32" s="77" t="s">
        <v>776</v>
      </c>
      <c r="F32" s="57"/>
      <c r="G32" s="72">
        <v>45672.0</v>
      </c>
      <c r="J32" s="72" t="s">
        <v>38</v>
      </c>
      <c r="K32" s="71">
        <v>234015.0</v>
      </c>
      <c r="L32" s="78">
        <v>39.9</v>
      </c>
      <c r="M32" s="71">
        <v>564924.0</v>
      </c>
      <c r="P32" s="71" t="s">
        <v>59</v>
      </c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</row>
    <row r="33">
      <c r="A33" s="70"/>
      <c r="B33" s="70" t="s">
        <v>53</v>
      </c>
      <c r="C33" s="57"/>
      <c r="D33" s="76">
        <v>1.0</v>
      </c>
      <c r="E33" s="77" t="s">
        <v>778</v>
      </c>
      <c r="F33" s="57"/>
      <c r="G33" s="72">
        <v>45672.0</v>
      </c>
      <c r="J33" s="72" t="s">
        <v>38</v>
      </c>
      <c r="K33" s="71">
        <v>234015.0</v>
      </c>
      <c r="L33" s="78">
        <v>156.51</v>
      </c>
      <c r="M33" s="71">
        <v>564924.0</v>
      </c>
      <c r="P33" s="75" t="s">
        <v>43</v>
      </c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</row>
    <row r="34">
      <c r="A34" s="70"/>
      <c r="B34" s="70" t="s">
        <v>53</v>
      </c>
      <c r="C34" s="57"/>
      <c r="D34" s="76">
        <v>10.0</v>
      </c>
      <c r="E34" s="77" t="s">
        <v>781</v>
      </c>
      <c r="F34" s="57"/>
      <c r="G34" s="72">
        <v>45672.0</v>
      </c>
      <c r="J34" s="72" t="s">
        <v>38</v>
      </c>
      <c r="K34" s="71">
        <v>234015.0</v>
      </c>
      <c r="L34" s="78">
        <v>13.35</v>
      </c>
      <c r="M34" s="71">
        <v>564924.0</v>
      </c>
      <c r="P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</row>
    <row r="35">
      <c r="A35" s="70"/>
      <c r="B35" s="70" t="s">
        <v>784</v>
      </c>
      <c r="C35" s="57"/>
      <c r="D35" s="71">
        <v>1.0</v>
      </c>
      <c r="E35" s="71" t="s">
        <v>786</v>
      </c>
      <c r="F35" s="57"/>
      <c r="G35" s="72">
        <v>45672.0</v>
      </c>
      <c r="J35" s="72" t="s">
        <v>38</v>
      </c>
      <c r="K35" s="71">
        <v>234015.0</v>
      </c>
      <c r="L35" s="78">
        <v>132.15</v>
      </c>
      <c r="M35" s="71">
        <v>564924.0</v>
      </c>
      <c r="P35" s="75" t="s">
        <v>43</v>
      </c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</row>
    <row r="36">
      <c r="A36" s="70"/>
      <c r="B36" s="70" t="s">
        <v>788</v>
      </c>
      <c r="C36" s="57"/>
      <c r="D36" s="71">
        <v>1.0</v>
      </c>
      <c r="E36" s="71" t="s">
        <v>786</v>
      </c>
      <c r="F36" s="57"/>
      <c r="G36" s="72">
        <v>45672.0</v>
      </c>
      <c r="J36" s="72" t="s">
        <v>38</v>
      </c>
      <c r="K36" s="71">
        <v>234015.0</v>
      </c>
      <c r="L36" s="78">
        <v>132.15</v>
      </c>
      <c r="M36" s="71">
        <v>564924.0</v>
      </c>
      <c r="P36" s="75" t="s">
        <v>43</v>
      </c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</row>
    <row r="37">
      <c r="A37" s="70"/>
      <c r="B37" s="70" t="s">
        <v>790</v>
      </c>
      <c r="C37" s="57"/>
      <c r="D37" s="76">
        <v>1.0</v>
      </c>
      <c r="E37" s="71" t="s">
        <v>786</v>
      </c>
      <c r="F37" s="57"/>
      <c r="G37" s="72">
        <v>45672.0</v>
      </c>
      <c r="J37" s="72" t="s">
        <v>38</v>
      </c>
      <c r="K37" s="71">
        <v>234015.0</v>
      </c>
      <c r="L37" s="78">
        <v>132.15</v>
      </c>
      <c r="M37" s="71">
        <v>564924.0</v>
      </c>
      <c r="P37" s="75" t="s">
        <v>43</v>
      </c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</row>
    <row r="38">
      <c r="A38" s="70"/>
      <c r="B38" s="70" t="s">
        <v>790</v>
      </c>
      <c r="C38" s="57"/>
      <c r="D38" s="76">
        <v>1.0</v>
      </c>
      <c r="E38" s="77" t="s">
        <v>793</v>
      </c>
      <c r="F38" s="57"/>
      <c r="G38" s="72">
        <v>45672.0</v>
      </c>
      <c r="J38" s="72" t="s">
        <v>38</v>
      </c>
      <c r="K38" s="71">
        <v>234015.0</v>
      </c>
      <c r="L38" s="78">
        <v>150.01</v>
      </c>
      <c r="M38" s="71">
        <v>564924.0</v>
      </c>
      <c r="P38" s="71" t="s">
        <v>59</v>
      </c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</row>
    <row r="39">
      <c r="A39" s="70"/>
      <c r="B39" s="70" t="s">
        <v>794</v>
      </c>
      <c r="C39" s="57"/>
      <c r="D39" s="76">
        <v>1.0</v>
      </c>
      <c r="E39" s="77" t="s">
        <v>795</v>
      </c>
      <c r="F39" s="57"/>
      <c r="G39" s="72">
        <v>45672.0</v>
      </c>
      <c r="J39" s="72" t="s">
        <v>38</v>
      </c>
      <c r="K39" s="71">
        <v>234015.0</v>
      </c>
      <c r="L39" s="78">
        <v>124.88</v>
      </c>
      <c r="M39" s="71">
        <v>564924.0</v>
      </c>
      <c r="P39" s="75" t="s">
        <v>43</v>
      </c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</row>
    <row r="40">
      <c r="A40" s="70"/>
      <c r="B40" s="70" t="s">
        <v>797</v>
      </c>
      <c r="C40" s="57"/>
      <c r="D40" s="76">
        <v>1.0</v>
      </c>
      <c r="E40" s="77" t="s">
        <v>798</v>
      </c>
      <c r="F40" s="71" t="s">
        <v>799</v>
      </c>
      <c r="G40" s="72">
        <v>45672.0</v>
      </c>
      <c r="J40" s="72" t="s">
        <v>38</v>
      </c>
      <c r="K40" s="71">
        <v>234015.0</v>
      </c>
      <c r="L40" s="78">
        <v>156.51</v>
      </c>
      <c r="M40" s="71">
        <v>564924.0</v>
      </c>
      <c r="P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</row>
    <row r="41">
      <c r="A41" s="70"/>
      <c r="B41" s="70" t="s">
        <v>53</v>
      </c>
      <c r="C41" s="57"/>
      <c r="D41" s="76">
        <v>1.0</v>
      </c>
      <c r="E41" s="77" t="s">
        <v>800</v>
      </c>
      <c r="F41" s="57"/>
      <c r="G41" s="72">
        <v>45672.0</v>
      </c>
      <c r="J41" s="72" t="s">
        <v>38</v>
      </c>
      <c r="K41" s="71">
        <v>234015.0</v>
      </c>
      <c r="L41" s="78">
        <v>156.51</v>
      </c>
      <c r="M41" s="71">
        <v>564924.0</v>
      </c>
      <c r="P41" s="75" t="s">
        <v>43</v>
      </c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</row>
    <row r="42">
      <c r="A42" s="70"/>
      <c r="B42" s="70" t="s">
        <v>53</v>
      </c>
      <c r="C42" s="57"/>
      <c r="D42" s="76">
        <v>10.0</v>
      </c>
      <c r="E42" s="77" t="s">
        <v>802</v>
      </c>
      <c r="F42" s="57"/>
      <c r="G42" s="72">
        <v>45672.0</v>
      </c>
      <c r="J42" s="72" t="s">
        <v>38</v>
      </c>
      <c r="K42" s="71">
        <v>234015.0</v>
      </c>
      <c r="L42" s="78">
        <v>3.04</v>
      </c>
      <c r="M42" s="71">
        <v>564924.0</v>
      </c>
      <c r="P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</row>
    <row r="43">
      <c r="A43" s="70"/>
      <c r="B43" s="70" t="s">
        <v>53</v>
      </c>
      <c r="C43" s="57"/>
      <c r="D43" s="76">
        <v>10.0</v>
      </c>
      <c r="E43" s="77" t="s">
        <v>805</v>
      </c>
      <c r="F43" s="57"/>
      <c r="G43" s="72">
        <v>45672.0</v>
      </c>
      <c r="J43" s="72" t="s">
        <v>38</v>
      </c>
      <c r="K43" s="71">
        <v>234015.0</v>
      </c>
      <c r="L43" s="78">
        <v>3.04</v>
      </c>
      <c r="M43" s="71">
        <v>564924.0</v>
      </c>
      <c r="P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</row>
    <row r="44">
      <c r="A44" s="70"/>
      <c r="B44" s="70" t="s">
        <v>53</v>
      </c>
      <c r="C44" s="57"/>
      <c r="D44" s="76">
        <v>2.0</v>
      </c>
      <c r="E44" s="77" t="s">
        <v>807</v>
      </c>
      <c r="F44" s="57"/>
      <c r="G44" s="72">
        <v>45674.0</v>
      </c>
      <c r="J44" s="72" t="s">
        <v>347</v>
      </c>
      <c r="K44" s="71" t="s">
        <v>809</v>
      </c>
      <c r="L44" s="78">
        <v>100.0</v>
      </c>
      <c r="M44" s="71">
        <v>7360258.0</v>
      </c>
      <c r="P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</row>
    <row r="45">
      <c r="A45" s="70"/>
      <c r="B45" s="70" t="s">
        <v>810</v>
      </c>
      <c r="C45" s="57"/>
      <c r="D45" s="76">
        <v>1.0</v>
      </c>
      <c r="E45" s="77" t="s">
        <v>778</v>
      </c>
      <c r="F45" s="71" t="s">
        <v>590</v>
      </c>
      <c r="G45" s="72">
        <v>45674.0</v>
      </c>
      <c r="J45" s="72" t="s">
        <v>347</v>
      </c>
      <c r="K45" s="71" t="s">
        <v>809</v>
      </c>
      <c r="L45" s="78">
        <v>100.0</v>
      </c>
      <c r="M45" s="71">
        <v>7360258.0</v>
      </c>
      <c r="P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</row>
    <row r="46">
      <c r="A46" s="70"/>
      <c r="B46" s="70" t="s">
        <v>812</v>
      </c>
      <c r="C46" s="57"/>
      <c r="D46" s="76">
        <v>1.0</v>
      </c>
      <c r="E46" s="77" t="s">
        <v>800</v>
      </c>
      <c r="F46" s="57"/>
      <c r="G46" s="72">
        <v>45674.0</v>
      </c>
      <c r="J46" s="72" t="s">
        <v>347</v>
      </c>
      <c r="K46" s="71" t="s">
        <v>809</v>
      </c>
      <c r="L46" s="78">
        <v>100.0</v>
      </c>
      <c r="M46" s="71">
        <v>7360258.0</v>
      </c>
      <c r="P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</row>
    <row r="47">
      <c r="A47" s="70"/>
      <c r="B47" s="70" t="s">
        <v>53</v>
      </c>
      <c r="C47" s="57"/>
      <c r="D47" s="76">
        <v>1.0</v>
      </c>
      <c r="E47" s="71" t="s">
        <v>786</v>
      </c>
      <c r="F47" s="57"/>
      <c r="G47" s="72">
        <v>45674.0</v>
      </c>
      <c r="J47" s="72" t="s">
        <v>347</v>
      </c>
      <c r="K47" s="71" t="s">
        <v>809</v>
      </c>
      <c r="L47" s="78">
        <v>100.0</v>
      </c>
      <c r="M47" s="71">
        <v>7360258.0</v>
      </c>
      <c r="P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</row>
    <row r="48">
      <c r="A48" s="70"/>
      <c r="B48" s="70" t="s">
        <v>53</v>
      </c>
      <c r="C48" s="57"/>
      <c r="D48" s="76">
        <v>1.0</v>
      </c>
      <c r="E48" s="71" t="s">
        <v>786</v>
      </c>
      <c r="F48" s="57"/>
      <c r="G48" s="72">
        <v>45674.0</v>
      </c>
      <c r="J48" s="72" t="s">
        <v>347</v>
      </c>
      <c r="K48" s="71" t="s">
        <v>809</v>
      </c>
      <c r="L48" s="78">
        <v>100.0</v>
      </c>
      <c r="M48" s="71">
        <v>7360258.0</v>
      </c>
      <c r="P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</row>
    <row r="49">
      <c r="A49" s="70"/>
      <c r="B49" s="70" t="s">
        <v>53</v>
      </c>
      <c r="C49" s="57"/>
      <c r="D49" s="76">
        <v>1.0</v>
      </c>
      <c r="E49" s="71" t="s">
        <v>818</v>
      </c>
      <c r="F49" s="57"/>
      <c r="G49" s="72">
        <v>45674.0</v>
      </c>
      <c r="J49" s="72" t="s">
        <v>820</v>
      </c>
      <c r="K49" s="71" t="s">
        <v>809</v>
      </c>
      <c r="L49" s="78">
        <v>100.0</v>
      </c>
      <c r="M49" s="71">
        <v>605515.0</v>
      </c>
      <c r="P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</row>
    <row r="50">
      <c r="A50" s="70"/>
      <c r="B50" s="70" t="s">
        <v>53</v>
      </c>
      <c r="C50" s="57"/>
      <c r="D50" s="76">
        <v>1.0</v>
      </c>
      <c r="E50" s="71" t="s">
        <v>824</v>
      </c>
      <c r="F50" s="57"/>
      <c r="G50" s="72">
        <v>45674.0</v>
      </c>
      <c r="J50" s="72" t="s">
        <v>820</v>
      </c>
      <c r="K50" s="71" t="s">
        <v>809</v>
      </c>
      <c r="L50" s="78">
        <v>100.0</v>
      </c>
      <c r="M50" s="71">
        <v>605515.0</v>
      </c>
      <c r="P50" s="75" t="s">
        <v>43</v>
      </c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</row>
    <row r="51">
      <c r="A51" s="70"/>
      <c r="B51" s="70" t="s">
        <v>53</v>
      </c>
      <c r="C51" s="57"/>
      <c r="D51" s="76">
        <v>1.0</v>
      </c>
      <c r="E51" s="71" t="s">
        <v>825</v>
      </c>
      <c r="F51" s="57"/>
      <c r="G51" s="72">
        <v>45674.0</v>
      </c>
      <c r="J51" s="72" t="s">
        <v>820</v>
      </c>
      <c r="K51" s="71" t="s">
        <v>809</v>
      </c>
      <c r="L51" s="78">
        <v>100.0</v>
      </c>
      <c r="M51" s="71">
        <v>605515.0</v>
      </c>
      <c r="P51" s="75" t="s">
        <v>43</v>
      </c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</row>
    <row r="52">
      <c r="A52" s="70"/>
      <c r="B52" s="70" t="s">
        <v>53</v>
      </c>
      <c r="C52" s="57"/>
      <c r="D52" s="76">
        <v>1.0</v>
      </c>
      <c r="E52" s="71" t="s">
        <v>824</v>
      </c>
      <c r="F52" s="57"/>
      <c r="G52" s="72">
        <v>45674.0</v>
      </c>
      <c r="J52" s="72" t="s">
        <v>820</v>
      </c>
      <c r="K52" s="71" t="s">
        <v>809</v>
      </c>
      <c r="L52" s="78">
        <v>100.0</v>
      </c>
      <c r="M52" s="71">
        <v>605515.0</v>
      </c>
      <c r="P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</row>
    <row r="53">
      <c r="A53" s="70"/>
      <c r="B53" s="70" t="s">
        <v>53</v>
      </c>
      <c r="C53" s="57"/>
      <c r="D53" s="76">
        <v>1.0</v>
      </c>
      <c r="E53" s="77" t="s">
        <v>826</v>
      </c>
      <c r="F53" s="57"/>
      <c r="G53" s="72">
        <v>45674.0</v>
      </c>
      <c r="J53" s="72" t="s">
        <v>820</v>
      </c>
      <c r="K53" s="71" t="s">
        <v>809</v>
      </c>
      <c r="L53" s="78">
        <v>100.0</v>
      </c>
      <c r="M53" s="71">
        <v>605515.0</v>
      </c>
      <c r="P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</row>
    <row r="54">
      <c r="A54" s="70"/>
      <c r="B54" s="70" t="s">
        <v>794</v>
      </c>
      <c r="C54" s="57"/>
      <c r="D54" s="76">
        <v>1.0</v>
      </c>
      <c r="E54" s="77" t="s">
        <v>828</v>
      </c>
      <c r="F54" s="57"/>
      <c r="G54" s="72">
        <v>45677.0</v>
      </c>
      <c r="J54" s="72" t="s">
        <v>38</v>
      </c>
      <c r="K54" s="71">
        <v>234639.0</v>
      </c>
      <c r="L54" s="78">
        <v>114.0</v>
      </c>
      <c r="M54" s="71">
        <v>566147.0</v>
      </c>
      <c r="P54" s="75" t="s">
        <v>43</v>
      </c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</row>
    <row r="55">
      <c r="A55" s="70"/>
      <c r="B55" s="70" t="s">
        <v>831</v>
      </c>
      <c r="C55" s="76" t="s">
        <v>832</v>
      </c>
      <c r="D55" s="76">
        <v>1.0</v>
      </c>
      <c r="E55" s="77" t="s">
        <v>828</v>
      </c>
      <c r="F55" s="57"/>
      <c r="G55" s="72">
        <v>45677.0</v>
      </c>
      <c r="J55" s="72" t="s">
        <v>38</v>
      </c>
      <c r="K55" s="71">
        <v>234639.0</v>
      </c>
      <c r="L55" s="78">
        <v>114.0</v>
      </c>
      <c r="M55" s="71">
        <v>566147.0</v>
      </c>
      <c r="P55" s="75" t="s">
        <v>43</v>
      </c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</row>
    <row r="56">
      <c r="A56" s="70"/>
      <c r="B56" s="70" t="s">
        <v>53</v>
      </c>
      <c r="C56" s="57"/>
      <c r="D56" s="76">
        <v>1.0</v>
      </c>
      <c r="E56" s="77" t="s">
        <v>833</v>
      </c>
      <c r="F56" s="57"/>
      <c r="G56" s="72">
        <v>45677.0</v>
      </c>
      <c r="J56" s="72" t="s">
        <v>38</v>
      </c>
      <c r="K56" s="71">
        <v>234639.0</v>
      </c>
      <c r="L56" s="78">
        <v>114.0</v>
      </c>
      <c r="M56" s="71">
        <v>566147.0</v>
      </c>
      <c r="P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</row>
    <row r="57">
      <c r="A57" s="70"/>
      <c r="B57" s="70" t="s">
        <v>682</v>
      </c>
      <c r="C57" s="76" t="s">
        <v>835</v>
      </c>
      <c r="D57" s="76">
        <v>1.0</v>
      </c>
      <c r="E57" s="77" t="s">
        <v>836</v>
      </c>
      <c r="F57" s="57"/>
      <c r="G57" s="72">
        <v>45677.0</v>
      </c>
      <c r="J57" s="72" t="s">
        <v>38</v>
      </c>
      <c r="K57" s="71">
        <v>234639.0</v>
      </c>
      <c r="L57" s="78">
        <v>132.15</v>
      </c>
      <c r="M57" s="71">
        <v>566147.0</v>
      </c>
      <c r="P57" s="75" t="s">
        <v>43</v>
      </c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</row>
    <row r="58">
      <c r="A58" s="70"/>
      <c r="B58" s="70" t="s">
        <v>837</v>
      </c>
      <c r="C58" s="57"/>
      <c r="D58" s="76">
        <v>1.0</v>
      </c>
      <c r="E58" s="77" t="s">
        <v>836</v>
      </c>
      <c r="F58" s="57"/>
      <c r="G58" s="72">
        <v>45677.0</v>
      </c>
      <c r="J58" s="72" t="s">
        <v>38</v>
      </c>
      <c r="K58" s="71">
        <v>234639.0</v>
      </c>
      <c r="L58" s="78">
        <v>132.15</v>
      </c>
      <c r="M58" s="71">
        <v>566147.0</v>
      </c>
      <c r="P58" s="75" t="s">
        <v>43</v>
      </c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</row>
    <row r="59">
      <c r="A59" s="70"/>
      <c r="B59" s="70" t="s">
        <v>53</v>
      </c>
      <c r="C59" s="57"/>
      <c r="D59" s="76">
        <v>1.0</v>
      </c>
      <c r="E59" s="77" t="s">
        <v>786</v>
      </c>
      <c r="F59" s="57"/>
      <c r="G59" s="72">
        <v>45677.0</v>
      </c>
      <c r="J59" s="72" t="s">
        <v>38</v>
      </c>
      <c r="K59" s="71">
        <v>234639.0</v>
      </c>
      <c r="L59" s="78">
        <v>132.15</v>
      </c>
      <c r="M59" s="71">
        <v>566147.0</v>
      </c>
      <c r="P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</row>
    <row r="60">
      <c r="A60" s="70"/>
      <c r="B60" s="70" t="s">
        <v>838</v>
      </c>
      <c r="C60" s="57"/>
      <c r="D60" s="76">
        <v>1.0</v>
      </c>
      <c r="E60" s="77" t="s">
        <v>839</v>
      </c>
      <c r="F60" s="57"/>
      <c r="G60" s="72">
        <v>45677.0</v>
      </c>
      <c r="J60" s="72" t="s">
        <v>38</v>
      </c>
      <c r="K60" s="71">
        <v>234639.0</v>
      </c>
      <c r="L60" s="78">
        <v>132.15</v>
      </c>
      <c r="M60" s="71">
        <v>566147.0</v>
      </c>
      <c r="P60" s="75" t="s">
        <v>43</v>
      </c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</row>
    <row r="61">
      <c r="A61" s="70"/>
      <c r="B61" s="70" t="s">
        <v>842</v>
      </c>
      <c r="C61" s="76" t="s">
        <v>843</v>
      </c>
      <c r="D61" s="76">
        <v>1.0</v>
      </c>
      <c r="E61" s="77" t="s">
        <v>844</v>
      </c>
      <c r="F61" s="71" t="s">
        <v>845</v>
      </c>
      <c r="G61" s="72">
        <v>45677.0</v>
      </c>
      <c r="J61" s="72" t="s">
        <v>38</v>
      </c>
      <c r="K61" s="71">
        <v>234639.0</v>
      </c>
      <c r="L61" s="78">
        <v>89.54</v>
      </c>
      <c r="M61" s="71">
        <v>566147.0</v>
      </c>
      <c r="P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</row>
    <row r="62">
      <c r="A62" s="70"/>
      <c r="B62" s="70" t="s">
        <v>846</v>
      </c>
      <c r="C62" s="57"/>
      <c r="D62" s="76">
        <v>1.0</v>
      </c>
      <c r="E62" s="77" t="s">
        <v>848</v>
      </c>
      <c r="F62" s="71" t="s">
        <v>849</v>
      </c>
      <c r="G62" s="72">
        <v>45677.0</v>
      </c>
      <c r="J62" s="72" t="s">
        <v>38</v>
      </c>
      <c r="K62" s="71">
        <v>234639.0</v>
      </c>
      <c r="L62" s="78">
        <v>159.46</v>
      </c>
      <c r="M62" s="71">
        <v>566147.0</v>
      </c>
      <c r="P62" s="75" t="s">
        <v>43</v>
      </c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</row>
    <row r="63">
      <c r="A63" s="70"/>
      <c r="B63" s="70" t="s">
        <v>53</v>
      </c>
      <c r="C63" s="57"/>
      <c r="D63" s="76">
        <v>1.0</v>
      </c>
      <c r="E63" s="71" t="s">
        <v>824</v>
      </c>
      <c r="F63" s="57"/>
      <c r="G63" s="72">
        <v>45677.0</v>
      </c>
      <c r="J63" s="72" t="s">
        <v>38</v>
      </c>
      <c r="K63" s="71">
        <v>234639.0</v>
      </c>
      <c r="L63" s="78">
        <v>140.6</v>
      </c>
      <c r="M63" s="71">
        <v>566147.0</v>
      </c>
      <c r="P63" s="75" t="s">
        <v>43</v>
      </c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</row>
    <row r="64">
      <c r="A64" s="70"/>
      <c r="B64" s="70" t="s">
        <v>53</v>
      </c>
      <c r="C64" s="57"/>
      <c r="D64" s="76">
        <v>5.0</v>
      </c>
      <c r="E64" s="77" t="s">
        <v>851</v>
      </c>
      <c r="F64" s="57"/>
      <c r="G64" s="72">
        <v>45677.0</v>
      </c>
      <c r="J64" s="72" t="s">
        <v>38</v>
      </c>
      <c r="K64" s="71">
        <v>234639.0</v>
      </c>
      <c r="L64" s="78">
        <v>5.56</v>
      </c>
      <c r="M64" s="71">
        <v>566147.0</v>
      </c>
      <c r="P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</row>
    <row r="65">
      <c r="A65" s="70"/>
      <c r="B65" s="70" t="s">
        <v>53</v>
      </c>
      <c r="C65" s="57"/>
      <c r="D65" s="76">
        <v>5.0</v>
      </c>
      <c r="E65" s="77" t="s">
        <v>854</v>
      </c>
      <c r="F65" s="57"/>
      <c r="G65" s="72">
        <v>45677.0</v>
      </c>
      <c r="J65" s="72" t="s">
        <v>38</v>
      </c>
      <c r="K65" s="71">
        <v>234639.0</v>
      </c>
      <c r="L65" s="78">
        <v>1.0</v>
      </c>
      <c r="M65" s="71">
        <v>566147.0</v>
      </c>
      <c r="P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</row>
    <row r="66">
      <c r="A66" s="70"/>
      <c r="B66" s="70" t="s">
        <v>53</v>
      </c>
      <c r="C66" s="57"/>
      <c r="D66" s="76">
        <v>5.0</v>
      </c>
      <c r="E66" s="77" t="s">
        <v>857</v>
      </c>
      <c r="F66" s="57"/>
      <c r="G66" s="72">
        <v>45677.0</v>
      </c>
      <c r="J66" s="72" t="s">
        <v>38</v>
      </c>
      <c r="K66" s="71">
        <v>234639.0</v>
      </c>
      <c r="L66" s="78">
        <v>1.0</v>
      </c>
      <c r="M66" s="71">
        <v>566147.0</v>
      </c>
      <c r="P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</row>
    <row r="67">
      <c r="A67" s="70"/>
      <c r="B67" s="70" t="s">
        <v>53</v>
      </c>
      <c r="C67" s="57"/>
      <c r="D67" s="76">
        <v>5.0</v>
      </c>
      <c r="E67" s="77" t="s">
        <v>858</v>
      </c>
      <c r="F67" s="57"/>
      <c r="G67" s="72">
        <v>45677.0</v>
      </c>
      <c r="J67" s="72" t="s">
        <v>38</v>
      </c>
      <c r="K67" s="71">
        <v>234639.0</v>
      </c>
      <c r="L67" s="78">
        <v>1.0</v>
      </c>
      <c r="M67" s="71" t="s">
        <v>859</v>
      </c>
      <c r="P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</row>
    <row r="68">
      <c r="A68" s="70"/>
      <c r="B68" s="70" t="s">
        <v>53</v>
      </c>
      <c r="C68" s="57"/>
      <c r="D68" s="76">
        <v>5.0</v>
      </c>
      <c r="E68" s="77" t="s">
        <v>600</v>
      </c>
      <c r="F68" s="57"/>
      <c r="G68" s="72">
        <v>45677.0</v>
      </c>
      <c r="J68" s="72" t="s">
        <v>38</v>
      </c>
      <c r="K68" s="71">
        <v>234639.0</v>
      </c>
      <c r="L68" s="78">
        <v>1.0</v>
      </c>
      <c r="M68" s="71">
        <v>566147.0</v>
      </c>
      <c r="P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</row>
    <row r="69">
      <c r="A69" s="70"/>
      <c r="B69" s="70" t="s">
        <v>53</v>
      </c>
      <c r="C69" s="57"/>
      <c r="D69" s="76">
        <v>5.0</v>
      </c>
      <c r="E69" s="77" t="s">
        <v>860</v>
      </c>
      <c r="F69" s="57"/>
      <c r="G69" s="72">
        <v>45677.0</v>
      </c>
      <c r="J69" s="72" t="s">
        <v>38</v>
      </c>
      <c r="K69" s="71">
        <v>234639.0</v>
      </c>
      <c r="L69" s="78">
        <v>1.0</v>
      </c>
      <c r="M69" s="71">
        <v>566147.0</v>
      </c>
      <c r="P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</row>
    <row r="70">
      <c r="A70" s="70"/>
      <c r="B70" s="70" t="s">
        <v>53</v>
      </c>
      <c r="C70" s="57"/>
      <c r="D70" s="76">
        <v>5.0</v>
      </c>
      <c r="E70" s="77" t="s">
        <v>862</v>
      </c>
      <c r="F70" s="57"/>
      <c r="G70" s="72">
        <v>45677.0</v>
      </c>
      <c r="J70" s="72" t="s">
        <v>38</v>
      </c>
      <c r="K70" s="71">
        <v>234639.0</v>
      </c>
      <c r="L70" s="78">
        <v>1.0</v>
      </c>
      <c r="M70" s="71" t="s">
        <v>863</v>
      </c>
      <c r="P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</row>
    <row r="71">
      <c r="A71" s="70"/>
      <c r="B71" s="70" t="s">
        <v>53</v>
      </c>
      <c r="C71" s="57"/>
      <c r="D71" s="76">
        <v>5.0</v>
      </c>
      <c r="E71" s="77" t="s">
        <v>604</v>
      </c>
      <c r="F71" s="57"/>
      <c r="G71" s="72">
        <v>45677.0</v>
      </c>
      <c r="J71" s="72" t="s">
        <v>38</v>
      </c>
      <c r="K71" s="71">
        <v>234639.0</v>
      </c>
      <c r="L71" s="78">
        <v>1.0</v>
      </c>
      <c r="M71" s="71">
        <v>566147.0</v>
      </c>
      <c r="P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</row>
    <row r="72">
      <c r="A72" s="70"/>
      <c r="B72" s="70" t="s">
        <v>53</v>
      </c>
      <c r="C72" s="57"/>
      <c r="D72" s="76">
        <v>5.0</v>
      </c>
      <c r="E72" s="77" t="s">
        <v>866</v>
      </c>
      <c r="F72" s="57"/>
      <c r="G72" s="72">
        <v>45677.0</v>
      </c>
      <c r="J72" s="72" t="s">
        <v>38</v>
      </c>
      <c r="K72" s="71">
        <v>234639.0</v>
      </c>
      <c r="L72" s="78">
        <v>1.0</v>
      </c>
      <c r="M72" s="71">
        <v>566147.0</v>
      </c>
      <c r="P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</row>
    <row r="73">
      <c r="A73" s="70"/>
      <c r="B73" s="70" t="s">
        <v>868</v>
      </c>
      <c r="C73" s="57"/>
      <c r="D73" s="76">
        <v>1.0</v>
      </c>
      <c r="E73" s="77" t="s">
        <v>869</v>
      </c>
      <c r="F73" s="57"/>
      <c r="G73" s="72">
        <v>45677.0</v>
      </c>
      <c r="J73" s="72" t="s">
        <v>38</v>
      </c>
      <c r="K73" s="71">
        <v>234639.0</v>
      </c>
      <c r="L73" s="78">
        <v>50.11</v>
      </c>
      <c r="M73" s="71">
        <v>566147.0</v>
      </c>
      <c r="P73" s="75" t="s">
        <v>43</v>
      </c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</row>
    <row r="74">
      <c r="A74" s="70"/>
      <c r="B74" s="70" t="s">
        <v>53</v>
      </c>
      <c r="C74" s="57"/>
      <c r="D74" s="76">
        <v>1.0</v>
      </c>
      <c r="E74" s="77" t="s">
        <v>871</v>
      </c>
      <c r="F74" s="57"/>
      <c r="G74" s="72">
        <v>45684.0</v>
      </c>
      <c r="J74" s="72" t="s">
        <v>38</v>
      </c>
      <c r="K74" s="71">
        <v>235584.0</v>
      </c>
      <c r="L74" s="78">
        <v>159.46</v>
      </c>
      <c r="M74" s="71">
        <v>567838.0</v>
      </c>
      <c r="P74" s="75" t="s">
        <v>43</v>
      </c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</row>
    <row r="75">
      <c r="A75" s="70"/>
      <c r="B75" s="70" t="s">
        <v>774</v>
      </c>
      <c r="C75" s="76" t="s">
        <v>775</v>
      </c>
      <c r="D75" s="76">
        <v>1.0</v>
      </c>
      <c r="E75" s="77" t="s">
        <v>872</v>
      </c>
      <c r="F75" s="57"/>
      <c r="G75" s="72">
        <v>45684.0</v>
      </c>
      <c r="J75" s="72" t="s">
        <v>38</v>
      </c>
      <c r="K75" s="71">
        <v>235584.0</v>
      </c>
      <c r="L75" s="78">
        <v>37.05</v>
      </c>
      <c r="M75" s="71">
        <v>572646.0</v>
      </c>
      <c r="P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</row>
    <row r="76">
      <c r="A76" s="70"/>
      <c r="B76" s="70" t="s">
        <v>774</v>
      </c>
      <c r="C76" s="76" t="s">
        <v>775</v>
      </c>
      <c r="D76" s="76">
        <v>1.0</v>
      </c>
      <c r="E76" s="77" t="s">
        <v>874</v>
      </c>
      <c r="F76" s="57"/>
      <c r="G76" s="72">
        <v>45684.0</v>
      </c>
      <c r="J76" s="72" t="s">
        <v>38</v>
      </c>
      <c r="K76" s="71">
        <v>235584.0</v>
      </c>
      <c r="L76" s="78">
        <v>37.05</v>
      </c>
      <c r="M76" s="71" t="s">
        <v>59</v>
      </c>
      <c r="P76" s="71" t="s">
        <v>59</v>
      </c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</row>
    <row r="77">
      <c r="A77" s="70"/>
      <c r="B77" s="70" t="s">
        <v>53</v>
      </c>
      <c r="C77" s="57"/>
      <c r="D77" s="76">
        <v>1.0</v>
      </c>
      <c r="E77" s="77" t="s">
        <v>876</v>
      </c>
      <c r="F77" s="57"/>
      <c r="G77" s="72">
        <v>45684.0</v>
      </c>
      <c r="J77" s="72" t="s">
        <v>38</v>
      </c>
      <c r="K77" s="71">
        <v>235584.0</v>
      </c>
      <c r="L77" s="78">
        <v>68.4</v>
      </c>
      <c r="M77" s="71">
        <v>567838.0</v>
      </c>
      <c r="P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</row>
    <row r="78">
      <c r="A78" s="70"/>
      <c r="B78" s="70" t="s">
        <v>877</v>
      </c>
      <c r="C78" s="76" t="s">
        <v>878</v>
      </c>
      <c r="D78" s="76">
        <v>1.0</v>
      </c>
      <c r="E78" s="77" t="s">
        <v>879</v>
      </c>
      <c r="F78" s="57"/>
      <c r="G78" s="72">
        <v>45684.0</v>
      </c>
      <c r="J78" s="72" t="s">
        <v>38</v>
      </c>
      <c r="K78" s="71">
        <v>235584.0</v>
      </c>
      <c r="L78" s="78">
        <v>74.9</v>
      </c>
      <c r="M78" s="71">
        <v>567838.0</v>
      </c>
      <c r="P78" s="75" t="s">
        <v>43</v>
      </c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</row>
    <row r="79">
      <c r="A79" s="70"/>
      <c r="B79" s="70" t="s">
        <v>880</v>
      </c>
      <c r="C79" s="57"/>
      <c r="D79" s="76">
        <v>1.0</v>
      </c>
      <c r="E79" s="77" t="s">
        <v>882</v>
      </c>
      <c r="F79" s="57"/>
      <c r="G79" s="72">
        <v>45684.0</v>
      </c>
      <c r="J79" s="72" t="s">
        <v>38</v>
      </c>
      <c r="K79" s="71">
        <v>235584.0</v>
      </c>
      <c r="L79" s="78">
        <v>107.83</v>
      </c>
      <c r="M79" s="71">
        <v>567838.0</v>
      </c>
      <c r="P79" s="75" t="s">
        <v>43</v>
      </c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</row>
    <row r="80">
      <c r="A80" s="70"/>
      <c r="B80" s="70" t="s">
        <v>53</v>
      </c>
      <c r="C80" s="57"/>
      <c r="D80" s="76">
        <v>1.0</v>
      </c>
      <c r="E80" s="77" t="s">
        <v>882</v>
      </c>
      <c r="F80" s="57"/>
      <c r="G80" s="72">
        <v>45684.0</v>
      </c>
      <c r="J80" s="72" t="s">
        <v>38</v>
      </c>
      <c r="K80" s="71">
        <v>235584.0</v>
      </c>
      <c r="L80" s="78">
        <v>107.83</v>
      </c>
      <c r="M80" s="71">
        <v>567838.0</v>
      </c>
      <c r="P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</row>
    <row r="81">
      <c r="A81" s="70"/>
      <c r="B81" s="70" t="s">
        <v>880</v>
      </c>
      <c r="C81" s="57"/>
      <c r="D81" s="76">
        <v>1.0</v>
      </c>
      <c r="E81" s="77" t="s">
        <v>885</v>
      </c>
      <c r="F81" s="57"/>
      <c r="G81" s="72">
        <v>45684.0</v>
      </c>
      <c r="J81" s="72" t="s">
        <v>38</v>
      </c>
      <c r="K81" s="71">
        <v>235584.0</v>
      </c>
      <c r="L81" s="78">
        <v>114.0</v>
      </c>
      <c r="M81" s="71">
        <v>567838.0</v>
      </c>
      <c r="P81" s="75" t="s">
        <v>43</v>
      </c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</row>
    <row r="82">
      <c r="A82" s="70"/>
      <c r="B82" s="70" t="s">
        <v>886</v>
      </c>
      <c r="C82" s="57"/>
      <c r="D82" s="76">
        <v>1.0</v>
      </c>
      <c r="E82" s="77" t="s">
        <v>885</v>
      </c>
      <c r="F82" s="57"/>
      <c r="G82" s="72">
        <v>45684.0</v>
      </c>
      <c r="J82" s="72" t="s">
        <v>38</v>
      </c>
      <c r="K82" s="71">
        <v>235584.0</v>
      </c>
      <c r="L82" s="78">
        <v>114.0</v>
      </c>
      <c r="M82" s="71">
        <v>567838.0</v>
      </c>
      <c r="P82" s="75" t="s">
        <v>43</v>
      </c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</row>
    <row r="83">
      <c r="A83" s="70"/>
      <c r="B83" s="70" t="s">
        <v>887</v>
      </c>
      <c r="C83" s="57"/>
      <c r="D83" s="76">
        <v>1.0</v>
      </c>
      <c r="E83" s="77" t="s">
        <v>888</v>
      </c>
      <c r="F83" s="57"/>
      <c r="G83" s="72">
        <v>45684.0</v>
      </c>
      <c r="J83" s="72" t="s">
        <v>38</v>
      </c>
      <c r="K83" s="71">
        <v>235584.0</v>
      </c>
      <c r="L83" s="78">
        <v>142.83</v>
      </c>
      <c r="M83" s="71">
        <v>567838.0</v>
      </c>
      <c r="P83" s="75" t="s">
        <v>43</v>
      </c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</row>
    <row r="84">
      <c r="A84" s="70"/>
      <c r="B84" s="70" t="s">
        <v>890</v>
      </c>
      <c r="C84" s="71" t="s">
        <v>891</v>
      </c>
      <c r="D84" s="76">
        <v>1.0</v>
      </c>
      <c r="E84" s="77" t="s">
        <v>892</v>
      </c>
      <c r="F84" s="57"/>
      <c r="G84" s="72">
        <v>45684.0</v>
      </c>
      <c r="J84" s="72" t="s">
        <v>38</v>
      </c>
      <c r="K84" s="71">
        <v>235584.0</v>
      </c>
      <c r="L84" s="78">
        <v>46.27</v>
      </c>
      <c r="M84" s="71">
        <v>567838.0</v>
      </c>
      <c r="P84" s="75" t="s">
        <v>43</v>
      </c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</row>
    <row r="85">
      <c r="A85" s="70"/>
      <c r="B85" s="70" t="s">
        <v>894</v>
      </c>
      <c r="C85" s="71" t="s">
        <v>891</v>
      </c>
      <c r="D85" s="76">
        <v>1.0</v>
      </c>
      <c r="E85" s="77" t="s">
        <v>895</v>
      </c>
      <c r="F85" s="57"/>
      <c r="G85" s="72">
        <v>45684.0</v>
      </c>
      <c r="J85" s="72" t="s">
        <v>38</v>
      </c>
      <c r="K85" s="71">
        <v>235584.0</v>
      </c>
      <c r="L85" s="78">
        <v>46.27</v>
      </c>
      <c r="M85" s="71">
        <v>567838.0</v>
      </c>
      <c r="P85" s="75" t="s">
        <v>43</v>
      </c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</row>
    <row r="86">
      <c r="A86" s="70"/>
      <c r="B86" s="70" t="s">
        <v>53</v>
      </c>
      <c r="C86" s="57"/>
      <c r="D86" s="76">
        <v>1.0</v>
      </c>
      <c r="E86" s="77" t="s">
        <v>897</v>
      </c>
      <c r="F86" s="57"/>
      <c r="G86" s="72">
        <v>45684.0</v>
      </c>
      <c r="J86" s="72" t="s">
        <v>38</v>
      </c>
      <c r="K86" s="71">
        <v>235584.0</v>
      </c>
      <c r="L86" s="78">
        <v>62.75</v>
      </c>
      <c r="M86" s="71">
        <v>567838.0</v>
      </c>
      <c r="P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</row>
    <row r="87">
      <c r="A87" s="70"/>
      <c r="B87" s="70" t="s">
        <v>53</v>
      </c>
      <c r="C87" s="57"/>
      <c r="D87" s="76">
        <v>1.0</v>
      </c>
      <c r="E87" s="77" t="s">
        <v>900</v>
      </c>
      <c r="F87" s="57"/>
      <c r="G87" s="72">
        <v>45685.0</v>
      </c>
      <c r="J87" s="72" t="s">
        <v>347</v>
      </c>
      <c r="K87" s="71" t="s">
        <v>901</v>
      </c>
      <c r="L87" s="78">
        <v>100.0</v>
      </c>
      <c r="M87" s="71">
        <v>7360137.0</v>
      </c>
      <c r="P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</row>
    <row r="88">
      <c r="A88" s="70"/>
      <c r="B88" s="70" t="s">
        <v>53</v>
      </c>
      <c r="C88" s="57"/>
      <c r="D88" s="76">
        <v>1.0</v>
      </c>
      <c r="E88" s="77" t="s">
        <v>885</v>
      </c>
      <c r="F88" s="57"/>
      <c r="G88" s="72">
        <v>45685.0</v>
      </c>
      <c r="J88" s="72" t="s">
        <v>347</v>
      </c>
      <c r="K88" s="71" t="s">
        <v>904</v>
      </c>
      <c r="L88" s="78">
        <v>0.0</v>
      </c>
      <c r="M88" s="71">
        <v>7360134.0</v>
      </c>
      <c r="P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</row>
    <row r="89">
      <c r="A89" s="70"/>
      <c r="B89" s="70" t="s">
        <v>906</v>
      </c>
      <c r="C89" s="57"/>
      <c r="D89" s="76">
        <v>1.0</v>
      </c>
      <c r="E89" s="77" t="s">
        <v>678</v>
      </c>
      <c r="F89" s="57"/>
      <c r="G89" s="72">
        <v>45686.0</v>
      </c>
      <c r="J89" s="72" t="s">
        <v>38</v>
      </c>
      <c r="K89" s="71">
        <v>235863.0</v>
      </c>
      <c r="L89" s="78">
        <v>89.54</v>
      </c>
      <c r="M89" s="71">
        <v>568465.0</v>
      </c>
      <c r="P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</row>
    <row r="90">
      <c r="A90" s="70"/>
      <c r="B90" s="70" t="s">
        <v>907</v>
      </c>
      <c r="C90" s="71" t="s">
        <v>908</v>
      </c>
      <c r="D90" s="76">
        <v>1.0</v>
      </c>
      <c r="E90" s="77" t="s">
        <v>909</v>
      </c>
      <c r="F90" s="57"/>
      <c r="G90" s="72">
        <v>45686.0</v>
      </c>
      <c r="J90" s="72" t="s">
        <v>38</v>
      </c>
      <c r="K90" s="71">
        <v>235863.0</v>
      </c>
      <c r="L90" s="78">
        <v>122.41</v>
      </c>
      <c r="M90" s="71">
        <v>568465.0</v>
      </c>
      <c r="P90" s="75" t="s">
        <v>43</v>
      </c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</row>
    <row r="91">
      <c r="A91" s="70"/>
      <c r="B91" s="70" t="s">
        <v>911</v>
      </c>
      <c r="C91" s="71" t="s">
        <v>908</v>
      </c>
      <c r="D91" s="76">
        <v>1.0</v>
      </c>
      <c r="E91" s="77" t="s">
        <v>836</v>
      </c>
      <c r="F91" s="57"/>
      <c r="G91" s="72">
        <v>45686.0</v>
      </c>
      <c r="J91" s="72" t="s">
        <v>38</v>
      </c>
      <c r="K91" s="71">
        <v>235863.0</v>
      </c>
      <c r="L91" s="78">
        <v>132.15</v>
      </c>
      <c r="M91" s="71">
        <v>568465.0</v>
      </c>
      <c r="P91" s="75" t="s">
        <v>43</v>
      </c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</row>
    <row r="92">
      <c r="A92" s="70"/>
      <c r="B92" s="70" t="s">
        <v>913</v>
      </c>
      <c r="C92" s="57"/>
      <c r="D92" s="76">
        <v>1.0</v>
      </c>
      <c r="E92" s="77" t="s">
        <v>914</v>
      </c>
      <c r="F92" s="57"/>
      <c r="G92" s="72">
        <v>45686.0</v>
      </c>
      <c r="J92" s="72" t="s">
        <v>38</v>
      </c>
      <c r="K92" s="71">
        <v>235863.0</v>
      </c>
      <c r="L92" s="78">
        <v>107.83</v>
      </c>
      <c r="M92" s="71">
        <v>568465.0</v>
      </c>
      <c r="P92" s="75" t="s">
        <v>43</v>
      </c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</row>
    <row r="93">
      <c r="A93" s="70"/>
      <c r="B93" s="70" t="s">
        <v>53</v>
      </c>
      <c r="C93" s="57"/>
      <c r="D93" s="76">
        <v>1.0</v>
      </c>
      <c r="E93" s="77" t="s">
        <v>752</v>
      </c>
      <c r="F93" s="57"/>
      <c r="G93" s="72">
        <v>45686.0</v>
      </c>
      <c r="J93" s="72" t="s">
        <v>38</v>
      </c>
      <c r="K93" s="71">
        <v>235863.0</v>
      </c>
      <c r="L93" s="78">
        <v>50.11</v>
      </c>
      <c r="M93" s="71">
        <v>568465.0</v>
      </c>
      <c r="P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</row>
    <row r="94">
      <c r="A94" s="70"/>
      <c r="B94" s="70" t="s">
        <v>917</v>
      </c>
      <c r="C94" s="57"/>
      <c r="D94" s="76">
        <v>1.0</v>
      </c>
      <c r="E94" s="77" t="s">
        <v>918</v>
      </c>
      <c r="F94" s="57"/>
      <c r="G94" s="72">
        <v>45686.0</v>
      </c>
      <c r="J94" s="72" t="s">
        <v>38</v>
      </c>
      <c r="K94" s="71">
        <v>235863.0</v>
      </c>
      <c r="L94" s="78">
        <v>124.88</v>
      </c>
      <c r="M94" s="71">
        <v>570651.0</v>
      </c>
      <c r="P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</row>
    <row r="95">
      <c r="A95" s="70"/>
      <c r="B95" s="70" t="s">
        <v>53</v>
      </c>
      <c r="C95" s="57"/>
      <c r="D95" s="76">
        <v>5.0</v>
      </c>
      <c r="E95" s="77" t="s">
        <v>920</v>
      </c>
      <c r="F95" s="57"/>
      <c r="G95" s="72">
        <v>45686.0</v>
      </c>
      <c r="J95" s="72" t="s">
        <v>38</v>
      </c>
      <c r="K95" s="71">
        <v>235863.0</v>
      </c>
      <c r="L95" s="78">
        <v>1.0</v>
      </c>
      <c r="M95" s="71">
        <v>568465.0</v>
      </c>
      <c r="P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</row>
    <row r="96">
      <c r="A96" s="70"/>
      <c r="B96" s="70" t="s">
        <v>682</v>
      </c>
      <c r="C96" s="57"/>
      <c r="D96" s="76">
        <v>1.0</v>
      </c>
      <c r="E96" s="77" t="s">
        <v>922</v>
      </c>
      <c r="F96" s="57"/>
      <c r="G96" s="72">
        <v>45686.0</v>
      </c>
      <c r="J96" s="72" t="s">
        <v>38</v>
      </c>
      <c r="K96" s="71">
        <v>235863.0</v>
      </c>
      <c r="L96" s="78">
        <v>27.27</v>
      </c>
      <c r="M96" s="71">
        <v>568465.0</v>
      </c>
      <c r="P96" s="75" t="s">
        <v>43</v>
      </c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</row>
    <row r="97">
      <c r="A97" s="70"/>
      <c r="B97" s="70" t="s">
        <v>53</v>
      </c>
      <c r="C97" s="57"/>
      <c r="D97" s="76">
        <v>3.0</v>
      </c>
      <c r="E97" s="77" t="s">
        <v>923</v>
      </c>
      <c r="F97" s="57"/>
      <c r="G97" s="72">
        <v>45691.0</v>
      </c>
      <c r="J97" s="72" t="s">
        <v>38</v>
      </c>
      <c r="K97" s="71" t="s">
        <v>673</v>
      </c>
      <c r="L97" s="78">
        <v>1.19</v>
      </c>
      <c r="M97" s="71">
        <v>569832.0</v>
      </c>
      <c r="P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</row>
    <row r="98">
      <c r="A98" s="70"/>
      <c r="B98" s="70" t="s">
        <v>53</v>
      </c>
      <c r="C98" s="57"/>
      <c r="D98" s="76">
        <v>2.0</v>
      </c>
      <c r="E98" s="77" t="s">
        <v>925</v>
      </c>
      <c r="F98" s="57"/>
      <c r="G98" s="72">
        <v>45691.0</v>
      </c>
      <c r="J98" s="72" t="s">
        <v>38</v>
      </c>
      <c r="K98" s="71" t="s">
        <v>673</v>
      </c>
      <c r="L98" s="78">
        <v>1.19</v>
      </c>
      <c r="M98" s="71">
        <v>569832.0</v>
      </c>
      <c r="P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</row>
    <row r="99">
      <c r="A99" s="70"/>
      <c r="B99" s="70" t="s">
        <v>730</v>
      </c>
      <c r="C99" s="57"/>
      <c r="D99" s="76">
        <v>1.0</v>
      </c>
      <c r="E99" s="77" t="s">
        <v>926</v>
      </c>
      <c r="F99" s="57"/>
      <c r="G99" s="72">
        <v>45691.0</v>
      </c>
      <c r="J99" s="72" t="s">
        <v>38</v>
      </c>
      <c r="K99" s="71" t="s">
        <v>927</v>
      </c>
      <c r="L99" s="78">
        <v>155.85</v>
      </c>
      <c r="M99" s="71">
        <v>569838.0</v>
      </c>
      <c r="P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</row>
    <row r="100">
      <c r="A100" s="70"/>
      <c r="B100" s="70" t="s">
        <v>929</v>
      </c>
      <c r="C100" s="71" t="s">
        <v>930</v>
      </c>
      <c r="D100" s="76">
        <v>1.0</v>
      </c>
      <c r="E100" s="77" t="s">
        <v>931</v>
      </c>
      <c r="F100" s="57"/>
      <c r="G100" s="72">
        <v>45691.0</v>
      </c>
      <c r="J100" s="72" t="s">
        <v>38</v>
      </c>
      <c r="K100" s="71" t="s">
        <v>927</v>
      </c>
      <c r="L100" s="78">
        <v>62.75</v>
      </c>
      <c r="M100" s="71">
        <v>569838.0</v>
      </c>
      <c r="P100" s="75" t="s">
        <v>43</v>
      </c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</row>
    <row r="101">
      <c r="A101" s="70"/>
      <c r="B101" s="70" t="s">
        <v>933</v>
      </c>
      <c r="C101" s="71" t="s">
        <v>934</v>
      </c>
      <c r="D101" s="76">
        <v>1.0</v>
      </c>
      <c r="E101" s="77" t="s">
        <v>914</v>
      </c>
      <c r="F101" s="57"/>
      <c r="G101" s="72">
        <v>45691.0</v>
      </c>
      <c r="J101" s="72" t="s">
        <v>38</v>
      </c>
      <c r="K101" s="71" t="s">
        <v>927</v>
      </c>
      <c r="L101" s="78">
        <v>107.83</v>
      </c>
      <c r="M101" s="71">
        <v>569838.0</v>
      </c>
      <c r="P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</row>
    <row r="102">
      <c r="A102" s="70"/>
      <c r="B102" s="70" t="s">
        <v>513</v>
      </c>
      <c r="C102" s="57"/>
      <c r="D102" s="76">
        <v>1.0</v>
      </c>
      <c r="E102" s="77" t="s">
        <v>750</v>
      </c>
      <c r="F102" s="57"/>
      <c r="G102" s="72">
        <v>45691.0</v>
      </c>
      <c r="J102" s="72" t="s">
        <v>38</v>
      </c>
      <c r="K102" s="71" t="s">
        <v>927</v>
      </c>
      <c r="L102" s="78">
        <v>142.83</v>
      </c>
      <c r="M102" s="71">
        <v>569838.0</v>
      </c>
      <c r="P102" s="75" t="s">
        <v>43</v>
      </c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</row>
    <row r="103">
      <c r="A103" s="70"/>
      <c r="B103" s="70" t="s">
        <v>455</v>
      </c>
      <c r="C103" s="57"/>
      <c r="D103" s="76">
        <v>1.0</v>
      </c>
      <c r="E103" s="77" t="s">
        <v>940</v>
      </c>
      <c r="F103" s="57"/>
      <c r="G103" s="72">
        <v>45691.0</v>
      </c>
      <c r="J103" s="72" t="s">
        <v>38</v>
      </c>
      <c r="K103" s="71" t="s">
        <v>927</v>
      </c>
      <c r="L103" s="78">
        <v>50.11</v>
      </c>
      <c r="M103" s="71">
        <v>569838.0</v>
      </c>
      <c r="P103" s="75" t="s">
        <v>43</v>
      </c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</row>
    <row r="104">
      <c r="A104" s="70"/>
      <c r="B104" s="70" t="s">
        <v>53</v>
      </c>
      <c r="C104" s="57"/>
      <c r="D104" s="76">
        <v>1.0</v>
      </c>
      <c r="E104" s="77" t="s">
        <v>942</v>
      </c>
      <c r="F104" s="57"/>
      <c r="G104" s="72">
        <v>45691.0</v>
      </c>
      <c r="J104" s="72" t="s">
        <v>38</v>
      </c>
      <c r="K104" s="71" t="s">
        <v>927</v>
      </c>
      <c r="L104" s="78">
        <v>10.78</v>
      </c>
      <c r="M104" s="71">
        <v>569838.0</v>
      </c>
      <c r="P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</row>
    <row r="105">
      <c r="A105" s="70"/>
      <c r="B105" s="70" t="s">
        <v>944</v>
      </c>
      <c r="C105" s="57"/>
      <c r="D105" s="76">
        <v>1.0</v>
      </c>
      <c r="E105" s="77" t="s">
        <v>946</v>
      </c>
      <c r="F105" s="57"/>
      <c r="G105" s="72">
        <v>45691.0</v>
      </c>
      <c r="J105" s="72" t="s">
        <v>38</v>
      </c>
      <c r="K105" s="71" t="s">
        <v>927</v>
      </c>
      <c r="L105" s="78">
        <v>140.6</v>
      </c>
      <c r="M105" s="71">
        <v>569838.0</v>
      </c>
      <c r="P105" s="75" t="s">
        <v>43</v>
      </c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</row>
    <row r="106">
      <c r="A106" s="70"/>
      <c r="B106" s="70" t="s">
        <v>947</v>
      </c>
      <c r="C106" s="57"/>
      <c r="D106" s="76">
        <v>1.0</v>
      </c>
      <c r="E106" s="71" t="s">
        <v>948</v>
      </c>
      <c r="F106" s="57"/>
      <c r="G106" s="72">
        <v>45693.0</v>
      </c>
      <c r="J106" s="72" t="s">
        <v>38</v>
      </c>
      <c r="K106" s="71" t="s">
        <v>949</v>
      </c>
      <c r="L106" s="78">
        <v>140.6</v>
      </c>
      <c r="M106" s="71">
        <v>570640.0</v>
      </c>
      <c r="P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</row>
    <row r="107">
      <c r="A107" s="70"/>
      <c r="B107" s="70" t="s">
        <v>365</v>
      </c>
      <c r="C107" s="57"/>
      <c r="D107" s="76">
        <v>1.0</v>
      </c>
      <c r="E107" s="71" t="s">
        <v>948</v>
      </c>
      <c r="F107" s="57"/>
      <c r="G107" s="72">
        <v>45693.0</v>
      </c>
      <c r="J107" s="72" t="s">
        <v>38</v>
      </c>
      <c r="K107" s="71" t="s">
        <v>949</v>
      </c>
      <c r="L107" s="78">
        <v>140.6</v>
      </c>
      <c r="M107" s="71">
        <v>570640.0</v>
      </c>
      <c r="P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</row>
    <row r="108">
      <c r="A108" s="70"/>
      <c r="B108" s="70" t="s">
        <v>53</v>
      </c>
      <c r="C108" s="57"/>
      <c r="D108" s="76">
        <v>12.0</v>
      </c>
      <c r="E108" s="71" t="s">
        <v>951</v>
      </c>
      <c r="F108" s="57"/>
      <c r="G108" s="72">
        <v>45693.0</v>
      </c>
      <c r="J108" s="72" t="s">
        <v>38</v>
      </c>
      <c r="K108" s="71" t="s">
        <v>949</v>
      </c>
      <c r="L108" s="78">
        <v>1.52</v>
      </c>
      <c r="M108" s="71">
        <v>570640.0</v>
      </c>
      <c r="P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</row>
    <row r="109">
      <c r="A109" s="70"/>
      <c r="B109" s="70" t="s">
        <v>53</v>
      </c>
      <c r="C109" s="57"/>
      <c r="D109" s="76">
        <v>1.0</v>
      </c>
      <c r="E109" s="71" t="s">
        <v>952</v>
      </c>
      <c r="F109" s="57"/>
      <c r="G109" s="72">
        <v>45693.0</v>
      </c>
      <c r="J109" s="72" t="s">
        <v>38</v>
      </c>
      <c r="K109" s="71" t="s">
        <v>949</v>
      </c>
      <c r="L109" s="78">
        <v>42.47</v>
      </c>
      <c r="M109" s="71">
        <v>570640.0</v>
      </c>
      <c r="P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</row>
    <row r="110">
      <c r="A110" s="70"/>
      <c r="B110" s="70" t="s">
        <v>53</v>
      </c>
      <c r="C110" s="57"/>
      <c r="D110" s="76">
        <v>1.0</v>
      </c>
      <c r="E110" s="71" t="s">
        <v>955</v>
      </c>
      <c r="F110" s="57"/>
      <c r="G110" s="72">
        <v>45693.0</v>
      </c>
      <c r="J110" s="72" t="s">
        <v>38</v>
      </c>
      <c r="K110" s="71" t="s">
        <v>949</v>
      </c>
      <c r="L110" s="78">
        <v>37.05</v>
      </c>
      <c r="M110" s="71">
        <v>570640.0</v>
      </c>
      <c r="P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</row>
    <row r="111">
      <c r="A111" s="70"/>
      <c r="B111" s="70" t="s">
        <v>53</v>
      </c>
      <c r="C111" s="57"/>
      <c r="D111" s="76">
        <v>5.0</v>
      </c>
      <c r="E111" s="71" t="s">
        <v>657</v>
      </c>
      <c r="F111" s="57"/>
      <c r="G111" s="72">
        <v>45693.0</v>
      </c>
      <c r="J111" s="72" t="s">
        <v>38</v>
      </c>
      <c r="K111" s="71" t="s">
        <v>949</v>
      </c>
      <c r="L111" s="78">
        <v>1.0</v>
      </c>
      <c r="M111" s="71">
        <v>570640.0</v>
      </c>
      <c r="P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</row>
    <row r="112">
      <c r="A112" s="70"/>
      <c r="B112" s="70" t="s">
        <v>459</v>
      </c>
      <c r="C112" s="57"/>
      <c r="D112" s="76">
        <v>10.0</v>
      </c>
      <c r="E112" s="71" t="s">
        <v>959</v>
      </c>
      <c r="F112" s="57"/>
      <c r="G112" s="72">
        <v>45693.0</v>
      </c>
      <c r="J112" s="72" t="s">
        <v>38</v>
      </c>
      <c r="K112" s="71" t="s">
        <v>949</v>
      </c>
      <c r="L112" s="78">
        <v>8.12</v>
      </c>
      <c r="M112" s="71">
        <v>570640.0</v>
      </c>
      <c r="P112" s="75" t="s">
        <v>43</v>
      </c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</row>
    <row r="113">
      <c r="A113" s="70"/>
      <c r="B113" s="70" t="s">
        <v>960</v>
      </c>
      <c r="C113" s="71" t="s">
        <v>961</v>
      </c>
      <c r="D113" s="76">
        <v>1.0</v>
      </c>
      <c r="E113" s="71" t="s">
        <v>963</v>
      </c>
      <c r="F113" s="57"/>
      <c r="G113" s="72">
        <v>45693.0</v>
      </c>
      <c r="J113" s="72" t="s">
        <v>38</v>
      </c>
      <c r="K113" s="71" t="s">
        <v>949</v>
      </c>
      <c r="L113" s="78">
        <v>156.51</v>
      </c>
      <c r="M113" s="71">
        <v>570640.0</v>
      </c>
      <c r="P113" s="75" t="s">
        <v>43</v>
      </c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</row>
    <row r="114">
      <c r="A114" s="70"/>
      <c r="B114" s="70" t="s">
        <v>964</v>
      </c>
      <c r="C114" s="76" t="s">
        <v>965</v>
      </c>
      <c r="D114" s="76">
        <v>1.0</v>
      </c>
      <c r="E114" s="77" t="s">
        <v>914</v>
      </c>
      <c r="F114" s="57"/>
      <c r="G114" s="72">
        <v>45698.0</v>
      </c>
      <c r="J114" s="72" t="s">
        <v>38</v>
      </c>
      <c r="K114" s="71" t="s">
        <v>966</v>
      </c>
      <c r="L114" s="78">
        <v>107.83</v>
      </c>
      <c r="M114" s="71">
        <v>572014.0</v>
      </c>
      <c r="P114" s="75" t="s">
        <v>43</v>
      </c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</row>
    <row r="115">
      <c r="A115" s="70"/>
      <c r="B115" s="70" t="s">
        <v>967</v>
      </c>
      <c r="C115" s="57"/>
      <c r="D115" s="76">
        <v>1.0</v>
      </c>
      <c r="E115" s="77" t="s">
        <v>882</v>
      </c>
      <c r="F115" s="57"/>
      <c r="G115" s="72">
        <v>45698.0</v>
      </c>
      <c r="J115" s="72" t="s">
        <v>38</v>
      </c>
      <c r="K115" s="71" t="s">
        <v>966</v>
      </c>
      <c r="L115" s="78">
        <v>107.83</v>
      </c>
      <c r="M115" s="71">
        <v>572014.0</v>
      </c>
      <c r="P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</row>
    <row r="116">
      <c r="A116" s="70"/>
      <c r="B116" s="70" t="s">
        <v>749</v>
      </c>
      <c r="C116" s="57"/>
      <c r="D116" s="76">
        <v>1.0</v>
      </c>
      <c r="E116" s="77" t="s">
        <v>871</v>
      </c>
      <c r="F116" s="57"/>
      <c r="G116" s="72">
        <v>45698.0</v>
      </c>
      <c r="J116" s="72" t="s">
        <v>38</v>
      </c>
      <c r="K116" s="71" t="s">
        <v>966</v>
      </c>
      <c r="L116" s="78">
        <v>159.46</v>
      </c>
      <c r="M116" s="71">
        <v>572014.0</v>
      </c>
      <c r="P116" s="75" t="s">
        <v>43</v>
      </c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</row>
    <row r="117">
      <c r="A117" s="70"/>
      <c r="B117" s="70" t="s">
        <v>970</v>
      </c>
      <c r="C117" s="57"/>
      <c r="D117" s="76">
        <v>1.0</v>
      </c>
      <c r="E117" s="77" t="s">
        <v>871</v>
      </c>
      <c r="F117" s="57"/>
      <c r="G117" s="72">
        <v>45698.0</v>
      </c>
      <c r="J117" s="72" t="s">
        <v>38</v>
      </c>
      <c r="K117" s="71" t="s">
        <v>966</v>
      </c>
      <c r="L117" s="78">
        <v>159.46</v>
      </c>
      <c r="M117" s="71">
        <v>572014.0</v>
      </c>
      <c r="P117" s="75" t="s">
        <v>43</v>
      </c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</row>
    <row r="118">
      <c r="A118" s="70"/>
      <c r="B118" s="70" t="s">
        <v>459</v>
      </c>
      <c r="C118" s="57"/>
      <c r="D118" s="76">
        <v>1.0</v>
      </c>
      <c r="E118" s="77" t="s">
        <v>972</v>
      </c>
      <c r="F118" s="57"/>
      <c r="G118" s="72">
        <v>45698.0</v>
      </c>
      <c r="J118" s="72" t="s">
        <v>38</v>
      </c>
      <c r="K118" s="71" t="s">
        <v>966</v>
      </c>
      <c r="L118" s="78">
        <v>77.43</v>
      </c>
      <c r="M118" s="71">
        <v>572014.0</v>
      </c>
      <c r="P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</row>
    <row r="119">
      <c r="A119" s="70"/>
      <c r="B119" s="70" t="s">
        <v>53</v>
      </c>
      <c r="C119" s="57"/>
      <c r="D119" s="76">
        <v>2.0</v>
      </c>
      <c r="E119" s="77" t="s">
        <v>977</v>
      </c>
      <c r="F119" s="57"/>
      <c r="G119" s="72">
        <v>45698.0</v>
      </c>
      <c r="J119" s="72" t="s">
        <v>38</v>
      </c>
      <c r="K119" s="71" t="s">
        <v>966</v>
      </c>
      <c r="L119" s="78">
        <v>8.17</v>
      </c>
      <c r="M119" s="71">
        <v>572014.0</v>
      </c>
      <c r="P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</row>
    <row r="120">
      <c r="A120" s="70"/>
      <c r="B120" s="70" t="s">
        <v>53</v>
      </c>
      <c r="C120" s="57"/>
      <c r="D120" s="76">
        <v>3.0</v>
      </c>
      <c r="E120" s="77" t="s">
        <v>980</v>
      </c>
      <c r="F120" s="57"/>
      <c r="G120" s="72">
        <v>45698.0</v>
      </c>
      <c r="J120" s="72" t="s">
        <v>38</v>
      </c>
      <c r="K120" s="71" t="s">
        <v>966</v>
      </c>
      <c r="L120" s="78">
        <v>1.19</v>
      </c>
      <c r="M120" s="71">
        <v>572014.0</v>
      </c>
      <c r="P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</row>
    <row r="121">
      <c r="A121" s="70"/>
      <c r="B121" s="70" t="s">
        <v>53</v>
      </c>
      <c r="C121" s="57"/>
      <c r="D121" s="76">
        <v>3.0</v>
      </c>
      <c r="E121" s="77" t="s">
        <v>984</v>
      </c>
      <c r="F121" s="57"/>
      <c r="G121" s="72">
        <v>45698.0</v>
      </c>
      <c r="J121" s="72" t="s">
        <v>38</v>
      </c>
      <c r="K121" s="71" t="s">
        <v>966</v>
      </c>
      <c r="L121" s="78">
        <v>1.0</v>
      </c>
      <c r="M121" s="71">
        <v>572452.0</v>
      </c>
      <c r="P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</row>
    <row r="122">
      <c r="A122" s="70"/>
      <c r="B122" s="70" t="s">
        <v>985</v>
      </c>
      <c r="C122" s="57"/>
      <c r="D122" s="76">
        <v>1.0</v>
      </c>
      <c r="E122" s="77" t="s">
        <v>986</v>
      </c>
      <c r="F122" s="57"/>
      <c r="G122" s="72">
        <v>45698.0</v>
      </c>
      <c r="J122" s="72" t="s">
        <v>38</v>
      </c>
      <c r="K122" s="71" t="s">
        <v>966</v>
      </c>
      <c r="L122" s="78">
        <v>8.31</v>
      </c>
      <c r="M122" s="71">
        <v>585133.0</v>
      </c>
      <c r="P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</row>
    <row r="123">
      <c r="A123" s="70"/>
      <c r="B123" s="70" t="s">
        <v>513</v>
      </c>
      <c r="C123" s="57"/>
      <c r="D123" s="76">
        <v>1.0</v>
      </c>
      <c r="E123" s="77" t="s">
        <v>803</v>
      </c>
      <c r="F123" s="57"/>
      <c r="G123" s="72">
        <v>45701.0</v>
      </c>
      <c r="J123" s="72" t="s">
        <v>38</v>
      </c>
      <c r="K123" s="71" t="s">
        <v>989</v>
      </c>
      <c r="L123" s="78">
        <v>159.46</v>
      </c>
      <c r="M123" s="71">
        <v>573013.0</v>
      </c>
      <c r="P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</row>
    <row r="124">
      <c r="A124" s="70"/>
      <c r="B124" s="70" t="s">
        <v>53</v>
      </c>
      <c r="C124" s="57"/>
      <c r="D124" s="76">
        <v>1.0</v>
      </c>
      <c r="E124" s="77" t="s">
        <v>803</v>
      </c>
      <c r="F124" s="57"/>
      <c r="G124" s="72">
        <v>45701.0</v>
      </c>
      <c r="J124" s="72" t="s">
        <v>38</v>
      </c>
      <c r="K124" s="71" t="s">
        <v>989</v>
      </c>
      <c r="L124" s="78">
        <v>159.46</v>
      </c>
      <c r="M124" s="71">
        <v>573013.0</v>
      </c>
      <c r="P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</row>
    <row r="125">
      <c r="A125" s="70"/>
      <c r="B125" s="70" t="s">
        <v>53</v>
      </c>
      <c r="C125" s="57"/>
      <c r="D125" s="76">
        <v>1.0</v>
      </c>
      <c r="E125" s="77" t="s">
        <v>993</v>
      </c>
      <c r="F125" s="57"/>
      <c r="G125" s="72">
        <v>45701.0</v>
      </c>
      <c r="J125" s="72" t="s">
        <v>38</v>
      </c>
      <c r="K125" s="71" t="s">
        <v>989</v>
      </c>
      <c r="L125" s="78">
        <v>159.46</v>
      </c>
      <c r="M125" s="71">
        <v>573013.0</v>
      </c>
      <c r="P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</row>
    <row r="126">
      <c r="A126" s="70"/>
      <c r="B126" s="70" t="s">
        <v>997</v>
      </c>
      <c r="C126" s="57"/>
      <c r="D126" s="76">
        <v>1.0</v>
      </c>
      <c r="E126" s="77" t="s">
        <v>677</v>
      </c>
      <c r="F126" s="57"/>
      <c r="G126" s="72">
        <v>45701.0</v>
      </c>
      <c r="J126" s="72" t="s">
        <v>38</v>
      </c>
      <c r="K126" s="71" t="s">
        <v>989</v>
      </c>
      <c r="L126" s="78">
        <v>89.54</v>
      </c>
      <c r="M126" s="71">
        <v>573013.0</v>
      </c>
      <c r="P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</row>
    <row r="127">
      <c r="A127" s="70"/>
      <c r="B127" s="70" t="s">
        <v>880</v>
      </c>
      <c r="C127" s="57"/>
      <c r="D127" s="76">
        <v>1.0</v>
      </c>
      <c r="E127" s="77" t="s">
        <v>999</v>
      </c>
      <c r="F127" s="57"/>
      <c r="G127" s="72">
        <v>45701.0</v>
      </c>
      <c r="J127" s="72" t="s">
        <v>38</v>
      </c>
      <c r="K127" s="71" t="s">
        <v>989</v>
      </c>
      <c r="L127" s="78">
        <v>24.7</v>
      </c>
      <c r="M127" s="71">
        <v>573013.0</v>
      </c>
      <c r="P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</row>
    <row r="128">
      <c r="A128" s="70"/>
      <c r="B128" s="70" t="s">
        <v>53</v>
      </c>
      <c r="C128" s="57"/>
      <c r="D128" s="76">
        <v>1.0</v>
      </c>
      <c r="E128" s="77" t="s">
        <v>1000</v>
      </c>
      <c r="F128" s="57"/>
      <c r="G128" s="72">
        <v>45701.0</v>
      </c>
      <c r="J128" s="72" t="s">
        <v>38</v>
      </c>
      <c r="K128" s="71" t="s">
        <v>989</v>
      </c>
      <c r="L128" s="78">
        <v>46.27</v>
      </c>
      <c r="M128" s="71">
        <v>573013.0</v>
      </c>
      <c r="P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</row>
    <row r="129">
      <c r="A129" s="70"/>
      <c r="B129" s="70" t="s">
        <v>53</v>
      </c>
      <c r="C129" s="57"/>
      <c r="D129" s="76">
        <v>5.0</v>
      </c>
      <c r="E129" s="77" t="s">
        <v>569</v>
      </c>
      <c r="F129" s="57"/>
      <c r="G129" s="72">
        <v>45701.0</v>
      </c>
      <c r="J129" s="72" t="s">
        <v>38</v>
      </c>
      <c r="K129" s="71" t="s">
        <v>989</v>
      </c>
      <c r="L129" s="78">
        <v>1.0</v>
      </c>
      <c r="M129" s="71">
        <v>573013.0</v>
      </c>
      <c r="P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</row>
    <row r="130">
      <c r="A130" s="70"/>
      <c r="B130" s="70" t="s">
        <v>53</v>
      </c>
      <c r="C130" s="57"/>
      <c r="D130" s="76">
        <v>1.0</v>
      </c>
      <c r="E130" s="77" t="s">
        <v>889</v>
      </c>
      <c r="F130" s="57"/>
      <c r="G130" s="72">
        <v>45706.0</v>
      </c>
      <c r="J130" s="72" t="s">
        <v>38</v>
      </c>
      <c r="K130" s="71" t="s">
        <v>1003</v>
      </c>
      <c r="L130" s="78">
        <v>4.09</v>
      </c>
      <c r="M130" s="71">
        <v>578540.0</v>
      </c>
      <c r="P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</row>
    <row r="131">
      <c r="A131" s="70"/>
      <c r="B131" s="70" t="s">
        <v>842</v>
      </c>
      <c r="C131" s="76" t="s">
        <v>843</v>
      </c>
      <c r="D131" s="76">
        <v>1.0</v>
      </c>
      <c r="E131" s="77" t="s">
        <v>1004</v>
      </c>
      <c r="F131" s="57"/>
      <c r="G131" s="72">
        <v>45706.0</v>
      </c>
      <c r="J131" s="72" t="s">
        <v>38</v>
      </c>
      <c r="K131" s="71" t="s">
        <v>1003</v>
      </c>
      <c r="L131" s="78">
        <v>89.54</v>
      </c>
      <c r="M131" s="71">
        <v>574635.0</v>
      </c>
      <c r="P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</row>
    <row r="132">
      <c r="A132" s="70"/>
      <c r="B132" s="70" t="s">
        <v>76</v>
      </c>
      <c r="C132" s="57"/>
      <c r="D132" s="76">
        <v>1.0</v>
      </c>
      <c r="E132" s="71" t="s">
        <v>1008</v>
      </c>
      <c r="F132" s="57"/>
      <c r="G132" s="72">
        <v>45706.0</v>
      </c>
      <c r="J132" s="72" t="s">
        <v>38</v>
      </c>
      <c r="K132" s="71" t="s">
        <v>1003</v>
      </c>
      <c r="L132" s="78">
        <v>55.81</v>
      </c>
      <c r="M132" s="71">
        <v>574635.0</v>
      </c>
      <c r="P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</row>
    <row r="133">
      <c r="A133" s="70"/>
      <c r="B133" s="70" t="s">
        <v>67</v>
      </c>
      <c r="C133" s="57"/>
      <c r="D133" s="76">
        <v>1.0</v>
      </c>
      <c r="E133" s="77" t="s">
        <v>1009</v>
      </c>
      <c r="F133" s="57"/>
      <c r="G133" s="72">
        <v>45706.0</v>
      </c>
      <c r="J133" s="72" t="s">
        <v>38</v>
      </c>
      <c r="K133" s="71" t="s">
        <v>1003</v>
      </c>
      <c r="L133" s="78">
        <v>52.58</v>
      </c>
      <c r="M133" s="71">
        <v>574635.0</v>
      </c>
      <c r="P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</row>
    <row r="134">
      <c r="A134" s="70"/>
      <c r="B134" s="70" t="s">
        <v>53</v>
      </c>
      <c r="C134" s="57"/>
      <c r="D134" s="76">
        <v>1.0</v>
      </c>
      <c r="E134" s="77" t="s">
        <v>1010</v>
      </c>
      <c r="F134" s="57"/>
      <c r="G134" s="72">
        <v>45706.0</v>
      </c>
      <c r="J134" s="72" t="s">
        <v>38</v>
      </c>
      <c r="K134" s="71" t="s">
        <v>1003</v>
      </c>
      <c r="L134" s="78">
        <v>46.27</v>
      </c>
      <c r="M134" s="71">
        <v>575343.0</v>
      </c>
      <c r="P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</row>
    <row r="135">
      <c r="A135" s="70"/>
      <c r="B135" s="70" t="s">
        <v>53</v>
      </c>
      <c r="C135" s="57"/>
      <c r="D135" s="76">
        <v>1.0</v>
      </c>
      <c r="E135" s="77" t="s">
        <v>826</v>
      </c>
      <c r="F135" s="57"/>
      <c r="G135" s="72">
        <v>45706.0</v>
      </c>
      <c r="J135" s="72" t="s">
        <v>38</v>
      </c>
      <c r="K135" s="71" t="s">
        <v>1003</v>
      </c>
      <c r="L135" s="78">
        <v>130.63</v>
      </c>
      <c r="M135" s="71">
        <v>574635.0</v>
      </c>
      <c r="P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</row>
    <row r="136">
      <c r="A136" s="70"/>
      <c r="B136" s="70" t="s">
        <v>53</v>
      </c>
      <c r="C136" s="57"/>
      <c r="D136" s="76">
        <v>1.0</v>
      </c>
      <c r="E136" s="77" t="s">
        <v>900</v>
      </c>
      <c r="F136" s="57"/>
      <c r="G136" s="72">
        <v>45706.0</v>
      </c>
      <c r="J136" s="72" t="s">
        <v>38</v>
      </c>
      <c r="K136" s="71" t="s">
        <v>1003</v>
      </c>
      <c r="L136" s="78">
        <v>124.88</v>
      </c>
      <c r="M136" s="71">
        <v>574635.0</v>
      </c>
      <c r="P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</row>
    <row r="137">
      <c r="A137" s="70"/>
      <c r="B137" s="70" t="s">
        <v>53</v>
      </c>
      <c r="C137" s="57"/>
      <c r="D137" s="76">
        <v>12.0</v>
      </c>
      <c r="E137" s="77" t="s">
        <v>725</v>
      </c>
      <c r="F137" s="57"/>
      <c r="G137" s="72">
        <v>45706.0</v>
      </c>
      <c r="J137" s="72" t="s">
        <v>38</v>
      </c>
      <c r="K137" s="71" t="s">
        <v>1003</v>
      </c>
      <c r="L137" s="78">
        <v>5.23</v>
      </c>
      <c r="M137" s="71">
        <v>574635.0</v>
      </c>
      <c r="P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</row>
    <row r="138">
      <c r="A138" s="70"/>
      <c r="B138" s="70" t="s">
        <v>880</v>
      </c>
      <c r="C138" s="57"/>
      <c r="D138" s="76">
        <v>1.0</v>
      </c>
      <c r="E138" s="77" t="s">
        <v>1014</v>
      </c>
      <c r="F138" s="57"/>
      <c r="G138" s="72">
        <v>45706.0</v>
      </c>
      <c r="J138" s="72" t="s">
        <v>38</v>
      </c>
      <c r="K138" s="71" t="s">
        <v>1003</v>
      </c>
      <c r="L138" s="78">
        <v>140.6</v>
      </c>
      <c r="M138" s="71">
        <v>575343.0</v>
      </c>
      <c r="P138" s="75" t="s">
        <v>43</v>
      </c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</row>
    <row r="139">
      <c r="A139" s="70"/>
      <c r="B139" s="70" t="s">
        <v>53</v>
      </c>
      <c r="C139" s="57"/>
      <c r="D139" s="76">
        <v>2.0</v>
      </c>
      <c r="E139" s="77" t="s">
        <v>330</v>
      </c>
      <c r="F139" s="57"/>
      <c r="G139" s="72">
        <v>45706.0</v>
      </c>
      <c r="J139" s="72" t="s">
        <v>38</v>
      </c>
      <c r="K139" s="71" t="s">
        <v>1003</v>
      </c>
      <c r="L139" s="78">
        <v>2.41</v>
      </c>
      <c r="M139" s="71">
        <v>574635.0</v>
      </c>
      <c r="P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</row>
    <row r="140">
      <c r="A140" s="70"/>
      <c r="B140" s="70" t="s">
        <v>732</v>
      </c>
      <c r="C140" s="57"/>
      <c r="D140" s="76">
        <v>1.0</v>
      </c>
      <c r="E140" s="77" t="s">
        <v>1017</v>
      </c>
      <c r="F140" s="57"/>
      <c r="G140" s="72">
        <v>45706.0</v>
      </c>
      <c r="J140" s="72" t="s">
        <v>38</v>
      </c>
      <c r="K140" s="71" t="s">
        <v>1003</v>
      </c>
      <c r="L140" s="78">
        <v>114.0</v>
      </c>
      <c r="M140" s="71">
        <v>574635.0</v>
      </c>
      <c r="P140" s="75" t="s">
        <v>43</v>
      </c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</row>
    <row r="141">
      <c r="A141" s="70"/>
      <c r="B141" s="70" t="s">
        <v>53</v>
      </c>
      <c r="C141" s="57"/>
      <c r="D141" s="76">
        <v>5.0</v>
      </c>
      <c r="E141" s="77" t="s">
        <v>604</v>
      </c>
      <c r="F141" s="57"/>
      <c r="G141" s="72">
        <v>45706.0</v>
      </c>
      <c r="J141" s="72" t="s">
        <v>38</v>
      </c>
      <c r="K141" s="71" t="s">
        <v>1003</v>
      </c>
      <c r="L141" s="78">
        <v>1.0</v>
      </c>
      <c r="M141" s="71">
        <v>575343.0</v>
      </c>
      <c r="P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</row>
    <row r="142">
      <c r="A142" s="70"/>
      <c r="B142" s="70" t="s">
        <v>1019</v>
      </c>
      <c r="C142" s="57"/>
      <c r="D142" s="76">
        <v>1.0</v>
      </c>
      <c r="E142" s="77" t="s">
        <v>871</v>
      </c>
      <c r="F142" s="57"/>
      <c r="G142" s="72">
        <v>45712.0</v>
      </c>
      <c r="J142" s="72" t="s">
        <v>38</v>
      </c>
      <c r="K142" s="71" t="s">
        <v>1020</v>
      </c>
      <c r="L142" s="78">
        <v>159.46</v>
      </c>
      <c r="M142" s="71">
        <v>576040.0</v>
      </c>
      <c r="P142" s="75" t="s">
        <v>43</v>
      </c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</row>
    <row r="143">
      <c r="A143" s="70"/>
      <c r="B143" s="70" t="s">
        <v>1022</v>
      </c>
      <c r="C143" s="57"/>
      <c r="D143" s="76">
        <v>1.0</v>
      </c>
      <c r="E143" s="77" t="s">
        <v>1023</v>
      </c>
      <c r="F143" s="57"/>
      <c r="G143" s="72">
        <v>45712.0</v>
      </c>
      <c r="J143" s="72" t="s">
        <v>38</v>
      </c>
      <c r="K143" s="71" t="s">
        <v>1020</v>
      </c>
      <c r="L143" s="78">
        <v>50.11</v>
      </c>
      <c r="M143" s="71">
        <v>576040.0</v>
      </c>
      <c r="P143" s="75" t="s">
        <v>43</v>
      </c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</row>
    <row r="144">
      <c r="A144" s="70"/>
      <c r="B144" s="70" t="s">
        <v>53</v>
      </c>
      <c r="C144" s="57"/>
      <c r="D144" s="76">
        <v>1.0</v>
      </c>
      <c r="E144" s="77" t="s">
        <v>778</v>
      </c>
      <c r="F144" s="57"/>
      <c r="G144" s="72">
        <v>45712.0</v>
      </c>
      <c r="J144" s="72" t="s">
        <v>38</v>
      </c>
      <c r="K144" s="71" t="s">
        <v>1020</v>
      </c>
      <c r="L144" s="78">
        <v>156.51</v>
      </c>
      <c r="M144" s="71">
        <v>576040.0</v>
      </c>
      <c r="P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</row>
    <row r="145">
      <c r="A145" s="70"/>
      <c r="B145" s="70" t="s">
        <v>1026</v>
      </c>
      <c r="C145" s="57"/>
      <c r="D145" s="76">
        <v>1.0</v>
      </c>
      <c r="E145" s="77" t="s">
        <v>778</v>
      </c>
      <c r="F145" s="57"/>
      <c r="G145" s="72">
        <v>45712.0</v>
      </c>
      <c r="J145" s="72" t="s">
        <v>38</v>
      </c>
      <c r="K145" s="71" t="s">
        <v>1020</v>
      </c>
      <c r="L145" s="78">
        <v>156.51</v>
      </c>
      <c r="M145" s="71">
        <v>576040.0</v>
      </c>
      <c r="P145" s="75" t="s">
        <v>43</v>
      </c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</row>
    <row r="146">
      <c r="A146" s="70"/>
      <c r="B146" s="70" t="s">
        <v>53</v>
      </c>
      <c r="C146" s="57"/>
      <c r="D146" s="76">
        <v>1.0</v>
      </c>
      <c r="E146" s="77" t="s">
        <v>885</v>
      </c>
      <c r="F146" s="57"/>
      <c r="G146" s="72">
        <v>45712.0</v>
      </c>
      <c r="J146" s="72" t="s">
        <v>38</v>
      </c>
      <c r="K146" s="71" t="s">
        <v>1020</v>
      </c>
      <c r="L146" s="78">
        <v>114.0</v>
      </c>
      <c r="M146" s="71">
        <v>576040.0</v>
      </c>
      <c r="P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</row>
    <row r="147">
      <c r="A147" s="70"/>
      <c r="B147" s="70" t="s">
        <v>1031</v>
      </c>
      <c r="C147" s="57"/>
      <c r="D147" s="76">
        <v>1.0</v>
      </c>
      <c r="E147" s="77" t="s">
        <v>1032</v>
      </c>
      <c r="F147" s="71" t="s">
        <v>1033</v>
      </c>
      <c r="G147" s="72">
        <v>45712.0</v>
      </c>
      <c r="J147" s="72" t="s">
        <v>38</v>
      </c>
      <c r="K147" s="71" t="s">
        <v>1020</v>
      </c>
      <c r="L147" s="78">
        <v>124.88</v>
      </c>
      <c r="M147" s="71">
        <v>576040.0</v>
      </c>
      <c r="P147" s="75" t="s">
        <v>43</v>
      </c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</row>
    <row r="148">
      <c r="A148" s="70"/>
      <c r="B148" s="70" t="s">
        <v>812</v>
      </c>
      <c r="C148" s="57"/>
      <c r="D148" s="76">
        <v>1.0</v>
      </c>
      <c r="E148" s="77" t="s">
        <v>940</v>
      </c>
      <c r="F148" s="57"/>
      <c r="G148" s="72">
        <v>45712.0</v>
      </c>
      <c r="J148" s="72" t="s">
        <v>38</v>
      </c>
      <c r="K148" s="71" t="s">
        <v>1020</v>
      </c>
      <c r="L148" s="78">
        <v>50.11</v>
      </c>
      <c r="M148" s="71">
        <v>576040.0</v>
      </c>
      <c r="P148" s="75" t="s">
        <v>43</v>
      </c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</row>
    <row r="149">
      <c r="A149" s="70"/>
      <c r="B149" s="70" t="s">
        <v>53</v>
      </c>
      <c r="C149" s="57"/>
      <c r="D149" s="76">
        <v>20.0</v>
      </c>
      <c r="E149" s="77" t="s">
        <v>959</v>
      </c>
      <c r="F149" s="57"/>
      <c r="G149" s="72">
        <v>45712.0</v>
      </c>
      <c r="J149" s="72" t="s">
        <v>38</v>
      </c>
      <c r="K149" s="71" t="s">
        <v>1020</v>
      </c>
      <c r="L149" s="78">
        <v>8.12</v>
      </c>
      <c r="M149" s="71">
        <v>576040.0</v>
      </c>
      <c r="P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</row>
    <row r="150">
      <c r="A150" s="70"/>
      <c r="B150" s="70" t="s">
        <v>1036</v>
      </c>
      <c r="C150" s="57"/>
      <c r="D150" s="76">
        <v>1.0</v>
      </c>
      <c r="E150" s="77" t="s">
        <v>1038</v>
      </c>
      <c r="F150" s="57"/>
      <c r="G150" s="72">
        <v>45712.0</v>
      </c>
      <c r="J150" s="72" t="s">
        <v>38</v>
      </c>
      <c r="K150" s="71" t="s">
        <v>1020</v>
      </c>
      <c r="L150" s="78">
        <v>46.27</v>
      </c>
      <c r="M150" s="71">
        <v>576040.0</v>
      </c>
      <c r="P150" s="75" t="s">
        <v>43</v>
      </c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</row>
    <row r="151">
      <c r="A151" s="70"/>
      <c r="B151" s="70" t="s">
        <v>53</v>
      </c>
      <c r="C151" s="57"/>
      <c r="D151" s="76">
        <v>1.0</v>
      </c>
      <c r="E151" s="77" t="s">
        <v>1039</v>
      </c>
      <c r="F151" s="57"/>
      <c r="G151" s="72">
        <v>45712.0</v>
      </c>
      <c r="J151" s="72" t="s">
        <v>38</v>
      </c>
      <c r="K151" s="71" t="s">
        <v>1020</v>
      </c>
      <c r="L151" s="78">
        <v>14.11</v>
      </c>
      <c r="M151" s="71">
        <v>576040.0</v>
      </c>
      <c r="P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</row>
    <row r="152">
      <c r="A152" s="70"/>
      <c r="B152" s="70" t="s">
        <v>730</v>
      </c>
      <c r="C152" s="57"/>
      <c r="D152" s="76">
        <v>1.0</v>
      </c>
      <c r="E152" s="77" t="s">
        <v>1041</v>
      </c>
      <c r="F152" s="57"/>
      <c r="G152" s="72">
        <v>45712.0</v>
      </c>
      <c r="J152" s="72" t="s">
        <v>38</v>
      </c>
      <c r="K152" s="71" t="s">
        <v>1042</v>
      </c>
      <c r="L152" s="78">
        <v>207.81</v>
      </c>
      <c r="M152" s="71">
        <v>578547.0</v>
      </c>
      <c r="P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</row>
    <row r="153">
      <c r="A153" s="70"/>
      <c r="B153" s="70" t="s">
        <v>53</v>
      </c>
      <c r="C153" s="57"/>
      <c r="D153" s="76">
        <v>1.0</v>
      </c>
      <c r="E153" s="77" t="s">
        <v>1043</v>
      </c>
      <c r="F153" s="57"/>
      <c r="G153" s="72">
        <v>45712.0</v>
      </c>
      <c r="J153" s="72" t="s">
        <v>38</v>
      </c>
      <c r="K153" s="71" t="s">
        <v>1044</v>
      </c>
      <c r="L153" s="78">
        <v>8.17</v>
      </c>
      <c r="M153" s="71">
        <v>578562.0</v>
      </c>
      <c r="P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</row>
    <row r="154">
      <c r="A154" s="70"/>
      <c r="B154" s="70" t="s">
        <v>53</v>
      </c>
      <c r="C154" s="57"/>
      <c r="D154" s="76">
        <v>1.0</v>
      </c>
      <c r="E154" s="77" t="s">
        <v>915</v>
      </c>
      <c r="F154" s="57"/>
      <c r="G154" s="72">
        <v>45712.0</v>
      </c>
      <c r="J154" s="72" t="s">
        <v>38</v>
      </c>
      <c r="K154" s="71" t="s">
        <v>1044</v>
      </c>
      <c r="L154" s="78">
        <v>8.17</v>
      </c>
      <c r="M154" s="71">
        <v>576042.0</v>
      </c>
      <c r="P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</row>
    <row r="155">
      <c r="A155" s="70"/>
      <c r="B155" s="70" t="s">
        <v>53</v>
      </c>
      <c r="C155" s="57"/>
      <c r="D155" s="76">
        <v>5.0</v>
      </c>
      <c r="E155" s="77" t="s">
        <v>865</v>
      </c>
      <c r="F155" s="57"/>
      <c r="G155" s="72">
        <v>45712.0</v>
      </c>
      <c r="J155" s="72" t="s">
        <v>38</v>
      </c>
      <c r="K155" s="71" t="s">
        <v>1044</v>
      </c>
      <c r="L155" s="78">
        <v>1.0</v>
      </c>
      <c r="M155" s="71">
        <v>576042.0</v>
      </c>
      <c r="P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</row>
    <row r="156">
      <c r="A156" s="70"/>
      <c r="B156" s="70" t="s">
        <v>53</v>
      </c>
      <c r="C156" s="57"/>
      <c r="D156" s="76">
        <v>5.0</v>
      </c>
      <c r="E156" s="77" t="s">
        <v>1045</v>
      </c>
      <c r="F156" s="57"/>
      <c r="G156" s="72">
        <v>45712.0</v>
      </c>
      <c r="J156" s="72" t="s">
        <v>38</v>
      </c>
      <c r="K156" s="71" t="s">
        <v>1044</v>
      </c>
      <c r="L156" s="78">
        <v>1.0</v>
      </c>
      <c r="M156" s="71">
        <v>576042.0</v>
      </c>
      <c r="P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</row>
    <row r="157">
      <c r="A157" s="70"/>
      <c r="B157" s="70" t="s">
        <v>53</v>
      </c>
      <c r="C157" s="57"/>
      <c r="D157" s="76">
        <v>1.0</v>
      </c>
      <c r="E157" s="77" t="s">
        <v>1047</v>
      </c>
      <c r="F157" s="57"/>
      <c r="G157" s="72">
        <v>45715.0</v>
      </c>
      <c r="J157" s="72" t="s">
        <v>347</v>
      </c>
      <c r="K157" s="71" t="s">
        <v>1048</v>
      </c>
      <c r="L157" s="78">
        <v>95.4</v>
      </c>
      <c r="M157" s="71">
        <v>7365547.0</v>
      </c>
      <c r="P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</row>
    <row r="158">
      <c r="A158" s="70"/>
      <c r="B158" s="70" t="s">
        <v>53</v>
      </c>
      <c r="C158" s="57"/>
      <c r="D158" s="76">
        <v>1.0</v>
      </c>
      <c r="E158" s="77" t="s">
        <v>1050</v>
      </c>
      <c r="F158" s="57"/>
      <c r="G158" s="72">
        <v>45715.0</v>
      </c>
      <c r="J158" s="72" t="s">
        <v>347</v>
      </c>
      <c r="K158" s="71" t="s">
        <v>1048</v>
      </c>
      <c r="L158" s="78">
        <v>95.4</v>
      </c>
      <c r="M158" s="71">
        <v>7365547.0</v>
      </c>
      <c r="P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</row>
    <row r="159">
      <c r="A159" s="70"/>
      <c r="B159" s="70" t="s">
        <v>53</v>
      </c>
      <c r="C159" s="57"/>
      <c r="D159" s="76">
        <v>1.0</v>
      </c>
      <c r="E159" s="77" t="s">
        <v>1053</v>
      </c>
      <c r="F159" s="57"/>
      <c r="G159" s="80"/>
      <c r="J159" s="72" t="s">
        <v>820</v>
      </c>
      <c r="K159" s="71" t="s">
        <v>809</v>
      </c>
      <c r="L159" s="78">
        <v>100.0</v>
      </c>
      <c r="M159" s="57"/>
      <c r="P159" s="71" t="s">
        <v>1055</v>
      </c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</row>
    <row r="160">
      <c r="A160" s="70"/>
      <c r="B160" s="70" t="s">
        <v>53</v>
      </c>
      <c r="C160" s="57"/>
      <c r="D160" s="76">
        <v>1.0</v>
      </c>
      <c r="E160" s="77" t="s">
        <v>1057</v>
      </c>
      <c r="F160" s="57"/>
      <c r="G160" s="80"/>
      <c r="J160" s="72" t="s">
        <v>820</v>
      </c>
      <c r="K160" s="71" t="s">
        <v>809</v>
      </c>
      <c r="L160" s="78">
        <v>100.0</v>
      </c>
      <c r="M160" s="57"/>
      <c r="P160" s="75" t="s">
        <v>43</v>
      </c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</row>
    <row r="161">
      <c r="A161" s="70"/>
      <c r="B161" s="70" t="s">
        <v>730</v>
      </c>
      <c r="C161" s="57"/>
      <c r="D161" s="76">
        <v>1.0</v>
      </c>
      <c r="E161" s="77" t="s">
        <v>1041</v>
      </c>
      <c r="F161" s="57"/>
      <c r="G161" s="72">
        <v>45719.0</v>
      </c>
      <c r="J161" s="72" t="s">
        <v>69</v>
      </c>
      <c r="K161" s="71">
        <v>5.00204199E8</v>
      </c>
      <c r="L161" s="78">
        <v>179.95</v>
      </c>
      <c r="M161" s="71">
        <v>8.00035299E8</v>
      </c>
      <c r="P161" s="71" t="s">
        <v>59</v>
      </c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</row>
    <row r="162">
      <c r="A162" s="70"/>
      <c r="B162" s="70" t="s">
        <v>1060</v>
      </c>
      <c r="C162" s="57"/>
      <c r="D162" s="76">
        <v>1.0</v>
      </c>
      <c r="E162" s="77" t="s">
        <v>1061</v>
      </c>
      <c r="F162" s="57"/>
      <c r="G162" s="72">
        <v>45719.0</v>
      </c>
      <c r="J162" s="72" t="s">
        <v>69</v>
      </c>
      <c r="K162" s="71">
        <v>5.00204199E8</v>
      </c>
      <c r="L162" s="78">
        <v>77.27</v>
      </c>
      <c r="M162" s="71">
        <v>8.00035299E8</v>
      </c>
      <c r="P162" s="75" t="s">
        <v>43</v>
      </c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</row>
    <row r="163">
      <c r="A163" s="70"/>
      <c r="B163" s="70" t="s">
        <v>394</v>
      </c>
      <c r="C163" s="57"/>
      <c r="D163" s="76">
        <v>1.0</v>
      </c>
      <c r="E163" s="77" t="s">
        <v>900</v>
      </c>
      <c r="F163" s="57"/>
      <c r="G163" s="72">
        <v>45719.0</v>
      </c>
      <c r="J163" s="72" t="s">
        <v>69</v>
      </c>
      <c r="K163" s="71">
        <v>5.00204199E8</v>
      </c>
      <c r="L163" s="78">
        <v>131.89</v>
      </c>
      <c r="M163" s="71">
        <v>8.00035299E8</v>
      </c>
      <c r="P163" s="75" t="s">
        <v>43</v>
      </c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</row>
    <row r="164">
      <c r="A164" s="70"/>
      <c r="B164" s="70" t="s">
        <v>53</v>
      </c>
      <c r="C164" s="57"/>
      <c r="D164" s="76">
        <v>9.0</v>
      </c>
      <c r="E164" s="77" t="s">
        <v>1064</v>
      </c>
      <c r="F164" s="57"/>
      <c r="G164" s="72">
        <v>45719.0</v>
      </c>
      <c r="J164" s="72" t="s">
        <v>69</v>
      </c>
      <c r="K164" s="71">
        <v>5.00204199E8</v>
      </c>
      <c r="L164" s="78">
        <v>9.06</v>
      </c>
      <c r="M164" s="71">
        <v>8.00035299E8</v>
      </c>
      <c r="P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</row>
    <row r="165">
      <c r="A165" s="70"/>
      <c r="B165" s="70" t="s">
        <v>774</v>
      </c>
      <c r="C165" s="76" t="s">
        <v>775</v>
      </c>
      <c r="D165" s="76">
        <v>1.0</v>
      </c>
      <c r="E165" s="77" t="s">
        <v>874</v>
      </c>
      <c r="F165" s="57"/>
      <c r="G165" s="72">
        <v>45719.0</v>
      </c>
      <c r="J165" s="72" t="s">
        <v>69</v>
      </c>
      <c r="K165" s="71">
        <v>5.00204199E8</v>
      </c>
      <c r="L165" s="78">
        <v>37.6</v>
      </c>
      <c r="M165" s="71">
        <v>8.00035299E8</v>
      </c>
      <c r="P165" s="75" t="s">
        <v>43</v>
      </c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</row>
    <row r="166">
      <c r="A166" s="70"/>
      <c r="B166" s="70" t="s">
        <v>53</v>
      </c>
      <c r="C166" s="57"/>
      <c r="D166" s="76">
        <v>1.0</v>
      </c>
      <c r="E166" s="77" t="s">
        <v>833</v>
      </c>
      <c r="F166" s="57"/>
      <c r="G166" s="72">
        <v>45719.0</v>
      </c>
      <c r="J166" s="72" t="s">
        <v>69</v>
      </c>
      <c r="K166" s="71">
        <v>5.00204199E8</v>
      </c>
      <c r="L166" s="78">
        <v>119.9</v>
      </c>
      <c r="M166" s="71">
        <v>8.00035299E8</v>
      </c>
      <c r="P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</row>
    <row r="167">
      <c r="A167" s="70"/>
      <c r="B167" s="70" t="s">
        <v>53</v>
      </c>
      <c r="C167" s="57"/>
      <c r="D167" s="76">
        <v>5.0</v>
      </c>
      <c r="E167" s="77" t="s">
        <v>1069</v>
      </c>
      <c r="F167" s="57"/>
      <c r="G167" s="72">
        <v>45721.0</v>
      </c>
      <c r="J167" s="71" t="s">
        <v>38</v>
      </c>
      <c r="K167" s="71" t="s">
        <v>1070</v>
      </c>
      <c r="L167" s="78">
        <v>1.0</v>
      </c>
      <c r="M167" s="71">
        <v>578760.0</v>
      </c>
      <c r="P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</row>
    <row r="168">
      <c r="A168" s="70"/>
      <c r="B168" s="70" t="s">
        <v>53</v>
      </c>
      <c r="C168" s="57"/>
      <c r="D168" s="76">
        <v>5.0</v>
      </c>
      <c r="E168" s="77" t="s">
        <v>601</v>
      </c>
      <c r="F168" s="57"/>
      <c r="G168" s="72">
        <v>45721.0</v>
      </c>
      <c r="J168" s="71" t="s">
        <v>38</v>
      </c>
      <c r="K168" s="71" t="s">
        <v>1070</v>
      </c>
      <c r="L168" s="78">
        <v>1.0</v>
      </c>
      <c r="M168" s="71">
        <v>578760.0</v>
      </c>
      <c r="P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</row>
    <row r="169">
      <c r="A169" s="70"/>
      <c r="B169" s="70" t="s">
        <v>53</v>
      </c>
      <c r="C169" s="57"/>
      <c r="D169" s="76">
        <v>2.0</v>
      </c>
      <c r="E169" s="77" t="s">
        <v>1077</v>
      </c>
      <c r="F169" s="57"/>
      <c r="G169" s="72">
        <v>45721.0</v>
      </c>
      <c r="J169" s="71" t="s">
        <v>38</v>
      </c>
      <c r="K169" s="71" t="s">
        <v>1070</v>
      </c>
      <c r="L169" s="78">
        <v>1.0</v>
      </c>
      <c r="M169" s="71">
        <v>578760.0</v>
      </c>
      <c r="P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</row>
    <row r="170">
      <c r="A170" s="70"/>
      <c r="B170" s="70" t="s">
        <v>53</v>
      </c>
      <c r="C170" s="57"/>
      <c r="D170" s="76">
        <v>2.0</v>
      </c>
      <c r="E170" s="77" t="s">
        <v>1082</v>
      </c>
      <c r="F170" s="57"/>
      <c r="G170" s="72">
        <v>45721.0</v>
      </c>
      <c r="J170" s="71" t="s">
        <v>38</v>
      </c>
      <c r="K170" s="71" t="s">
        <v>1070</v>
      </c>
      <c r="L170" s="78">
        <v>1.0</v>
      </c>
      <c r="M170" s="71">
        <v>578760.0</v>
      </c>
      <c r="P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</row>
    <row r="171">
      <c r="A171" s="70"/>
      <c r="B171" s="70" t="s">
        <v>53</v>
      </c>
      <c r="C171" s="57"/>
      <c r="D171" s="76">
        <v>2.0</v>
      </c>
      <c r="E171" s="77" t="s">
        <v>1083</v>
      </c>
      <c r="F171" s="57"/>
      <c r="G171" s="72">
        <v>45721.0</v>
      </c>
      <c r="J171" s="71" t="s">
        <v>38</v>
      </c>
      <c r="K171" s="71" t="s">
        <v>1070</v>
      </c>
      <c r="L171" s="78">
        <v>1.0</v>
      </c>
      <c r="M171" s="71">
        <v>578760.0</v>
      </c>
      <c r="P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</row>
    <row r="172">
      <c r="A172" s="70"/>
      <c r="B172" s="70" t="s">
        <v>53</v>
      </c>
      <c r="C172" s="57"/>
      <c r="D172" s="76">
        <v>1.0</v>
      </c>
      <c r="E172" s="77" t="s">
        <v>1085</v>
      </c>
      <c r="F172" s="57"/>
      <c r="G172" s="72">
        <v>45721.0</v>
      </c>
      <c r="J172" s="71" t="s">
        <v>38</v>
      </c>
      <c r="K172" s="71" t="s">
        <v>1070</v>
      </c>
      <c r="L172" s="78">
        <v>1.0</v>
      </c>
      <c r="M172" s="71">
        <v>578760.0</v>
      </c>
      <c r="P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</row>
    <row r="173">
      <c r="A173" s="70"/>
      <c r="B173" s="70" t="s">
        <v>53</v>
      </c>
      <c r="C173" s="57"/>
      <c r="D173" s="76">
        <v>2.0</v>
      </c>
      <c r="E173" s="77" t="s">
        <v>1087</v>
      </c>
      <c r="F173" s="57"/>
      <c r="G173" s="72">
        <v>45721.0</v>
      </c>
      <c r="J173" s="71" t="s">
        <v>38</v>
      </c>
      <c r="K173" s="71" t="s">
        <v>1070</v>
      </c>
      <c r="L173" s="78">
        <v>1.0</v>
      </c>
      <c r="M173" s="71">
        <v>578760.0</v>
      </c>
      <c r="P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</row>
    <row r="174">
      <c r="A174" s="70"/>
      <c r="B174" s="70" t="s">
        <v>53</v>
      </c>
      <c r="C174" s="57"/>
      <c r="D174" s="76">
        <v>5.0</v>
      </c>
      <c r="E174" s="77" t="s">
        <v>1088</v>
      </c>
      <c r="F174" s="57"/>
      <c r="G174" s="72">
        <v>45721.0</v>
      </c>
      <c r="J174" s="71" t="s">
        <v>38</v>
      </c>
      <c r="K174" s="71" t="s">
        <v>1070</v>
      </c>
      <c r="L174" s="78">
        <v>1.0</v>
      </c>
      <c r="M174" s="71" t="s">
        <v>1090</v>
      </c>
      <c r="P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</row>
    <row r="175">
      <c r="A175" s="70"/>
      <c r="B175" s="70" t="s">
        <v>53</v>
      </c>
      <c r="C175" s="57"/>
      <c r="D175" s="76">
        <v>5.0</v>
      </c>
      <c r="E175" s="77" t="s">
        <v>1092</v>
      </c>
      <c r="F175" s="71" t="s">
        <v>1093</v>
      </c>
      <c r="G175" s="72">
        <v>45721.0</v>
      </c>
      <c r="J175" s="71" t="s">
        <v>38</v>
      </c>
      <c r="K175" s="71" t="s">
        <v>1070</v>
      </c>
      <c r="L175" s="78">
        <v>1.0</v>
      </c>
      <c r="M175" s="71">
        <v>578760.0</v>
      </c>
      <c r="P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</row>
    <row r="176">
      <c r="A176" s="70"/>
      <c r="B176" s="70" t="s">
        <v>53</v>
      </c>
      <c r="C176" s="57"/>
      <c r="D176" s="76">
        <v>5.0</v>
      </c>
      <c r="E176" s="77" t="s">
        <v>1095</v>
      </c>
      <c r="F176" s="71" t="s">
        <v>1093</v>
      </c>
      <c r="G176" s="72">
        <v>45721.0</v>
      </c>
      <c r="J176" s="71" t="s">
        <v>38</v>
      </c>
      <c r="K176" s="71" t="s">
        <v>1070</v>
      </c>
      <c r="L176" s="78">
        <v>1.0</v>
      </c>
      <c r="M176" s="71">
        <v>578760.0</v>
      </c>
      <c r="P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</row>
    <row r="177">
      <c r="A177" s="70"/>
      <c r="B177" s="70" t="s">
        <v>53</v>
      </c>
      <c r="C177" s="57"/>
      <c r="D177" s="76">
        <v>5.0</v>
      </c>
      <c r="E177" s="77" t="s">
        <v>1097</v>
      </c>
      <c r="F177" s="71" t="s">
        <v>1093</v>
      </c>
      <c r="G177" s="72">
        <v>45721.0</v>
      </c>
      <c r="J177" s="71" t="s">
        <v>38</v>
      </c>
      <c r="K177" s="71" t="s">
        <v>1070</v>
      </c>
      <c r="L177" s="78">
        <v>1.0</v>
      </c>
      <c r="M177" s="71">
        <v>578760.0</v>
      </c>
      <c r="P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</row>
    <row r="178">
      <c r="A178" s="70"/>
      <c r="B178" s="70" t="s">
        <v>53</v>
      </c>
      <c r="C178" s="57"/>
      <c r="D178" s="76">
        <v>10.0</v>
      </c>
      <c r="E178" s="77" t="s">
        <v>1099</v>
      </c>
      <c r="F178" s="57"/>
      <c r="G178" s="72">
        <v>45721.0</v>
      </c>
      <c r="J178" s="71" t="s">
        <v>38</v>
      </c>
      <c r="K178" s="71" t="s">
        <v>1070</v>
      </c>
      <c r="L178" s="78">
        <v>3.0</v>
      </c>
      <c r="M178" s="71">
        <v>578760.0</v>
      </c>
      <c r="P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</row>
    <row r="179">
      <c r="A179" s="70"/>
      <c r="B179" s="70" t="s">
        <v>53</v>
      </c>
      <c r="C179" s="57"/>
      <c r="D179" s="76">
        <v>1.0</v>
      </c>
      <c r="E179" s="77" t="s">
        <v>1100</v>
      </c>
      <c r="F179" s="57"/>
      <c r="G179" s="72">
        <v>45721.0</v>
      </c>
      <c r="J179" s="71" t="s">
        <v>38</v>
      </c>
      <c r="K179" s="71" t="s">
        <v>1070</v>
      </c>
      <c r="L179" s="78">
        <v>46.27</v>
      </c>
      <c r="M179" s="71">
        <v>578760.0</v>
      </c>
      <c r="P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</row>
    <row r="180">
      <c r="A180" s="70"/>
      <c r="B180" s="70" t="s">
        <v>1101</v>
      </c>
      <c r="C180" s="71" t="s">
        <v>1102</v>
      </c>
      <c r="D180" s="76">
        <v>1.0</v>
      </c>
      <c r="E180" s="77" t="s">
        <v>1103</v>
      </c>
      <c r="F180" s="57"/>
      <c r="G180" s="72">
        <v>45721.0</v>
      </c>
      <c r="J180" s="71" t="s">
        <v>38</v>
      </c>
      <c r="K180" s="71" t="s">
        <v>1070</v>
      </c>
      <c r="L180" s="78">
        <v>28.45</v>
      </c>
      <c r="M180" s="71">
        <v>578760.0</v>
      </c>
      <c r="P180" s="75" t="s">
        <v>43</v>
      </c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</row>
    <row r="181">
      <c r="A181" s="70"/>
      <c r="B181" s="70" t="s">
        <v>1104</v>
      </c>
      <c r="C181" s="57"/>
      <c r="D181" s="76">
        <v>1.0</v>
      </c>
      <c r="E181" s="77" t="s">
        <v>1105</v>
      </c>
      <c r="F181" s="57"/>
      <c r="G181" s="72">
        <v>45721.0</v>
      </c>
      <c r="J181" s="71" t="s">
        <v>38</v>
      </c>
      <c r="K181" s="71" t="s">
        <v>1070</v>
      </c>
      <c r="L181" s="78">
        <v>84.88</v>
      </c>
      <c r="M181" s="71">
        <v>578760.0</v>
      </c>
      <c r="P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</row>
    <row r="182">
      <c r="A182" s="70"/>
      <c r="B182" s="70" t="s">
        <v>53</v>
      </c>
      <c r="C182" s="57"/>
      <c r="D182" s="76">
        <v>1.0</v>
      </c>
      <c r="E182" s="77" t="s">
        <v>1107</v>
      </c>
      <c r="F182" s="57"/>
      <c r="G182" s="72">
        <v>45721.0</v>
      </c>
      <c r="J182" s="71" t="s">
        <v>38</v>
      </c>
      <c r="K182" s="71" t="s">
        <v>1070</v>
      </c>
      <c r="L182" s="78">
        <v>46.27</v>
      </c>
      <c r="M182" s="71">
        <v>578760.0</v>
      </c>
      <c r="P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</row>
    <row r="183">
      <c r="A183" s="70"/>
      <c r="B183" s="70" t="s">
        <v>67</v>
      </c>
      <c r="C183" s="57"/>
      <c r="D183" s="76">
        <v>1.0</v>
      </c>
      <c r="E183" s="77" t="s">
        <v>1110</v>
      </c>
      <c r="F183" s="57"/>
      <c r="G183" s="72">
        <v>45721.0</v>
      </c>
      <c r="J183" s="71" t="s">
        <v>38</v>
      </c>
      <c r="K183" s="71" t="s">
        <v>1070</v>
      </c>
      <c r="L183" s="78">
        <v>92.95</v>
      </c>
      <c r="M183" s="71">
        <v>578760.0</v>
      </c>
      <c r="P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</row>
    <row r="184">
      <c r="A184" s="70"/>
      <c r="B184" s="70" t="s">
        <v>53</v>
      </c>
      <c r="C184" s="57"/>
      <c r="D184" s="76">
        <v>1.0</v>
      </c>
      <c r="E184" s="77" t="s">
        <v>778</v>
      </c>
      <c r="F184" s="57"/>
      <c r="G184" s="72">
        <v>45721.0</v>
      </c>
      <c r="J184" s="71" t="s">
        <v>38</v>
      </c>
      <c r="K184" s="71" t="s">
        <v>1070</v>
      </c>
      <c r="L184" s="78">
        <v>156.51</v>
      </c>
      <c r="M184" s="71">
        <v>578760.0</v>
      </c>
      <c r="P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</row>
    <row r="185">
      <c r="A185" s="70"/>
      <c r="B185" s="70" t="s">
        <v>53</v>
      </c>
      <c r="C185" s="57"/>
      <c r="D185" s="76">
        <v>1.0</v>
      </c>
      <c r="E185" s="77" t="s">
        <v>238</v>
      </c>
      <c r="F185" s="57"/>
      <c r="G185" s="72">
        <v>45721.0</v>
      </c>
      <c r="J185" s="71" t="s">
        <v>38</v>
      </c>
      <c r="K185" s="71" t="s">
        <v>1070</v>
      </c>
      <c r="L185" s="78">
        <v>89.54</v>
      </c>
      <c r="M185" s="71">
        <v>578760.0</v>
      </c>
      <c r="P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</row>
    <row r="186">
      <c r="A186" s="70"/>
      <c r="B186" s="70" t="s">
        <v>852</v>
      </c>
      <c r="C186" s="57"/>
      <c r="D186" s="76">
        <v>1.0</v>
      </c>
      <c r="E186" s="77" t="s">
        <v>1112</v>
      </c>
      <c r="F186" s="57"/>
      <c r="G186" s="72">
        <v>45722.0</v>
      </c>
      <c r="J186" s="71" t="s">
        <v>38</v>
      </c>
      <c r="K186" s="71" t="s">
        <v>1044</v>
      </c>
      <c r="L186" s="78">
        <v>130.63</v>
      </c>
      <c r="M186" s="71">
        <v>578760.0</v>
      </c>
      <c r="P186" s="75" t="s">
        <v>43</v>
      </c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</row>
    <row r="187">
      <c r="A187" s="70"/>
      <c r="B187" s="70" t="s">
        <v>53</v>
      </c>
      <c r="C187" s="57"/>
      <c r="D187" s="76">
        <v>2.0</v>
      </c>
      <c r="E187" s="77" t="s">
        <v>786</v>
      </c>
      <c r="F187" s="57"/>
      <c r="G187" s="72">
        <v>45725.0</v>
      </c>
      <c r="J187" s="71" t="s">
        <v>38</v>
      </c>
      <c r="K187" s="71" t="s">
        <v>1114</v>
      </c>
      <c r="L187" s="78">
        <v>132.15</v>
      </c>
      <c r="M187" s="71">
        <v>579947.0</v>
      </c>
      <c r="P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</row>
    <row r="188">
      <c r="A188" s="70"/>
      <c r="B188" s="70" t="s">
        <v>1115</v>
      </c>
      <c r="C188" s="57"/>
      <c r="D188" s="76">
        <v>1.0</v>
      </c>
      <c r="E188" s="77" t="s">
        <v>786</v>
      </c>
      <c r="F188" s="57"/>
      <c r="G188" s="72">
        <v>45725.0</v>
      </c>
      <c r="J188" s="71" t="s">
        <v>38</v>
      </c>
      <c r="K188" s="71" t="s">
        <v>1114</v>
      </c>
      <c r="L188" s="78">
        <v>132.15</v>
      </c>
      <c r="M188" s="71">
        <v>579947.0</v>
      </c>
      <c r="P188" s="75" t="s">
        <v>43</v>
      </c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</row>
    <row r="189">
      <c r="A189" s="70"/>
      <c r="B189" s="70" t="s">
        <v>53</v>
      </c>
      <c r="C189" s="57"/>
      <c r="D189" s="76">
        <v>1.0</v>
      </c>
      <c r="E189" s="77" t="s">
        <v>1118</v>
      </c>
      <c r="F189" s="57"/>
      <c r="G189" s="72">
        <v>45725.0</v>
      </c>
      <c r="J189" s="71" t="s">
        <v>38</v>
      </c>
      <c r="K189" s="71" t="s">
        <v>1114</v>
      </c>
      <c r="L189" s="78">
        <v>50.11</v>
      </c>
      <c r="M189" s="71">
        <v>579947.0</v>
      </c>
      <c r="P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</row>
    <row r="190">
      <c r="A190" s="70"/>
      <c r="B190" s="70" t="s">
        <v>53</v>
      </c>
      <c r="C190" s="57"/>
      <c r="D190" s="76">
        <v>1.0</v>
      </c>
      <c r="E190" s="77" t="s">
        <v>637</v>
      </c>
      <c r="F190" s="57"/>
      <c r="G190" s="72">
        <v>45725.0</v>
      </c>
      <c r="J190" s="71" t="s">
        <v>38</v>
      </c>
      <c r="K190" s="71" t="s">
        <v>1114</v>
      </c>
      <c r="L190" s="78">
        <v>113.91</v>
      </c>
      <c r="M190" s="71">
        <v>579947.0</v>
      </c>
      <c r="P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</row>
    <row r="191">
      <c r="A191" s="70"/>
      <c r="B191" s="70" t="s">
        <v>53</v>
      </c>
      <c r="C191" s="57"/>
      <c r="D191" s="76">
        <v>1.0</v>
      </c>
      <c r="E191" s="77" t="s">
        <v>1122</v>
      </c>
      <c r="F191" s="57"/>
      <c r="G191" s="72">
        <v>45725.0</v>
      </c>
      <c r="J191" s="71" t="s">
        <v>38</v>
      </c>
      <c r="K191" s="71" t="s">
        <v>1114</v>
      </c>
      <c r="L191" s="78">
        <v>89.54</v>
      </c>
      <c r="M191" s="71">
        <v>579947.0</v>
      </c>
      <c r="P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</row>
    <row r="192">
      <c r="A192" s="70"/>
      <c r="B192" s="70" t="s">
        <v>53</v>
      </c>
      <c r="C192" s="57"/>
      <c r="D192" s="76">
        <v>1.0</v>
      </c>
      <c r="E192" s="77" t="s">
        <v>778</v>
      </c>
      <c r="F192" s="57"/>
      <c r="G192" s="72">
        <v>45725.0</v>
      </c>
      <c r="J192" s="71" t="s">
        <v>38</v>
      </c>
      <c r="K192" s="71" t="s">
        <v>1114</v>
      </c>
      <c r="L192" s="78">
        <v>156.51</v>
      </c>
      <c r="M192" s="71">
        <v>579947.0</v>
      </c>
      <c r="P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</row>
    <row r="193">
      <c r="A193" s="70"/>
      <c r="B193" s="70" t="s">
        <v>53</v>
      </c>
      <c r="C193" s="57"/>
      <c r="D193" s="76">
        <v>1.0</v>
      </c>
      <c r="E193" s="77" t="s">
        <v>1128</v>
      </c>
      <c r="F193" s="57"/>
      <c r="G193" s="72">
        <v>45725.0</v>
      </c>
      <c r="J193" s="71" t="s">
        <v>38</v>
      </c>
      <c r="K193" s="71" t="s">
        <v>1114</v>
      </c>
      <c r="L193" s="78">
        <v>42.47</v>
      </c>
      <c r="M193" s="71">
        <v>579947.0</v>
      </c>
      <c r="P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</row>
    <row r="194">
      <c r="A194" s="70"/>
      <c r="B194" s="70" t="s">
        <v>53</v>
      </c>
      <c r="C194" s="57"/>
      <c r="D194" s="76">
        <v>1.0</v>
      </c>
      <c r="E194" s="77" t="s">
        <v>1131</v>
      </c>
      <c r="F194" s="57"/>
      <c r="G194" s="72">
        <v>45725.0</v>
      </c>
      <c r="J194" s="71" t="s">
        <v>38</v>
      </c>
      <c r="K194" s="71" t="s">
        <v>1114</v>
      </c>
      <c r="L194" s="78">
        <v>32.3</v>
      </c>
      <c r="M194" s="71">
        <v>579947.0</v>
      </c>
      <c r="P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</row>
    <row r="195">
      <c r="A195" s="70"/>
      <c r="B195" s="70" t="s">
        <v>53</v>
      </c>
      <c r="C195" s="57"/>
      <c r="D195" s="76">
        <v>5.0</v>
      </c>
      <c r="E195" s="77" t="s">
        <v>1133</v>
      </c>
      <c r="F195" s="57"/>
      <c r="G195" s="72">
        <v>45725.0</v>
      </c>
      <c r="J195" s="71" t="s">
        <v>38</v>
      </c>
      <c r="K195" s="71" t="s">
        <v>1114</v>
      </c>
      <c r="L195" s="78">
        <v>6.03</v>
      </c>
      <c r="M195" s="71">
        <v>579947.0</v>
      </c>
      <c r="P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</row>
    <row r="196">
      <c r="A196" s="70"/>
      <c r="B196" s="70" t="s">
        <v>929</v>
      </c>
      <c r="C196" s="71" t="s">
        <v>930</v>
      </c>
      <c r="D196" s="76">
        <v>1.0</v>
      </c>
      <c r="E196" s="77" t="s">
        <v>1137</v>
      </c>
      <c r="F196" s="57"/>
      <c r="G196" s="72">
        <v>45733.0</v>
      </c>
      <c r="J196" s="71" t="s">
        <v>38</v>
      </c>
      <c r="K196" s="71" t="s">
        <v>673</v>
      </c>
      <c r="L196" s="78">
        <v>142.83</v>
      </c>
      <c r="M196" s="71">
        <v>582115.0</v>
      </c>
      <c r="P196" s="75" t="s">
        <v>43</v>
      </c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</row>
    <row r="197">
      <c r="A197" s="70"/>
      <c r="B197" s="70" t="s">
        <v>698</v>
      </c>
      <c r="C197" s="57"/>
      <c r="D197" s="76">
        <v>1.0</v>
      </c>
      <c r="E197" s="77" t="s">
        <v>1139</v>
      </c>
      <c r="F197" s="57"/>
      <c r="G197" s="72">
        <v>45733.0</v>
      </c>
      <c r="J197" s="71" t="s">
        <v>38</v>
      </c>
      <c r="K197" s="71" t="s">
        <v>673</v>
      </c>
      <c r="L197" s="78">
        <v>85.45</v>
      </c>
      <c r="M197" s="71">
        <v>582115.0</v>
      </c>
      <c r="P197" s="75" t="s">
        <v>43</v>
      </c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</row>
    <row r="198">
      <c r="A198" s="70"/>
      <c r="B198" s="70" t="s">
        <v>40</v>
      </c>
      <c r="C198" s="57"/>
      <c r="D198" s="76">
        <v>1.0</v>
      </c>
      <c r="E198" s="77" t="s">
        <v>1141</v>
      </c>
      <c r="F198" s="57"/>
      <c r="G198" s="72">
        <v>45733.0</v>
      </c>
      <c r="J198" s="71" t="s">
        <v>38</v>
      </c>
      <c r="K198" s="71" t="s">
        <v>673</v>
      </c>
      <c r="L198" s="78">
        <v>130.63</v>
      </c>
      <c r="M198" s="71">
        <v>582115.0</v>
      </c>
      <c r="P198" s="75" t="s">
        <v>43</v>
      </c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</row>
    <row r="199">
      <c r="A199" s="70"/>
      <c r="B199" s="70" t="s">
        <v>53</v>
      </c>
      <c r="C199" s="57"/>
      <c r="D199" s="76">
        <v>1.0</v>
      </c>
      <c r="E199" s="77" t="s">
        <v>1122</v>
      </c>
      <c r="F199" s="57"/>
      <c r="G199" s="72">
        <v>45733.0</v>
      </c>
      <c r="J199" s="71" t="s">
        <v>38</v>
      </c>
      <c r="K199" s="71" t="s">
        <v>673</v>
      </c>
      <c r="L199" s="78">
        <v>89.54</v>
      </c>
      <c r="M199" s="71">
        <v>582115.0</v>
      </c>
      <c r="P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</row>
    <row r="200">
      <c r="A200" s="70"/>
      <c r="B200" s="70" t="s">
        <v>1144</v>
      </c>
      <c r="C200" s="57"/>
      <c r="D200" s="76">
        <v>1.0</v>
      </c>
      <c r="E200" s="77" t="s">
        <v>839</v>
      </c>
      <c r="F200" s="57"/>
      <c r="G200" s="72">
        <v>45733.0</v>
      </c>
      <c r="J200" s="71" t="s">
        <v>38</v>
      </c>
      <c r="K200" s="71" t="s">
        <v>673</v>
      </c>
      <c r="L200" s="78">
        <v>132.15</v>
      </c>
      <c r="M200" s="71">
        <v>587037.0</v>
      </c>
      <c r="P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</row>
    <row r="201">
      <c r="A201" s="70"/>
      <c r="B201" s="70" t="s">
        <v>1144</v>
      </c>
      <c r="C201" s="57"/>
      <c r="D201" s="76">
        <v>1.0</v>
      </c>
      <c r="E201" s="77" t="s">
        <v>1146</v>
      </c>
      <c r="F201" s="57"/>
      <c r="G201" s="72">
        <v>45733.0</v>
      </c>
      <c r="J201" s="71" t="s">
        <v>38</v>
      </c>
      <c r="K201" s="71" t="s">
        <v>673</v>
      </c>
      <c r="L201" s="78">
        <v>77.43</v>
      </c>
      <c r="M201" s="71">
        <v>582115.0</v>
      </c>
      <c r="P201" s="75" t="s">
        <v>43</v>
      </c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</row>
    <row r="202">
      <c r="A202" s="70"/>
      <c r="B202" s="70" t="s">
        <v>53</v>
      </c>
      <c r="C202" s="57"/>
      <c r="D202" s="76">
        <v>1.0</v>
      </c>
      <c r="E202" s="77" t="s">
        <v>778</v>
      </c>
      <c r="F202" s="57"/>
      <c r="G202" s="72">
        <v>45733.0</v>
      </c>
      <c r="J202" s="71" t="s">
        <v>38</v>
      </c>
      <c r="K202" s="71" t="s">
        <v>673</v>
      </c>
      <c r="L202" s="78">
        <v>156.51</v>
      </c>
      <c r="M202" s="71">
        <v>582115.0</v>
      </c>
      <c r="P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</row>
    <row r="203">
      <c r="A203" s="70"/>
      <c r="B203" s="70" t="s">
        <v>53</v>
      </c>
      <c r="C203" s="57"/>
      <c r="D203" s="76">
        <v>1.0</v>
      </c>
      <c r="E203" s="77" t="s">
        <v>652</v>
      </c>
      <c r="F203" s="57"/>
      <c r="G203" s="72">
        <v>45733.0</v>
      </c>
      <c r="J203" s="71" t="s">
        <v>38</v>
      </c>
      <c r="K203" s="71" t="s">
        <v>673</v>
      </c>
      <c r="L203" s="78">
        <v>1.0</v>
      </c>
      <c r="M203" s="71">
        <v>582115.0</v>
      </c>
      <c r="P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</row>
    <row r="204">
      <c r="A204" s="70"/>
      <c r="B204" s="70" t="s">
        <v>53</v>
      </c>
      <c r="C204" s="57"/>
      <c r="D204" s="76">
        <v>5.0</v>
      </c>
      <c r="E204" s="77" t="s">
        <v>602</v>
      </c>
      <c r="F204" s="57"/>
      <c r="G204" s="72">
        <v>45733.0</v>
      </c>
      <c r="J204" s="71" t="s">
        <v>38</v>
      </c>
      <c r="K204" s="71" t="s">
        <v>673</v>
      </c>
      <c r="L204" s="78">
        <v>1.0</v>
      </c>
      <c r="M204" s="71">
        <v>582115.0</v>
      </c>
      <c r="P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</row>
    <row r="205">
      <c r="A205" s="70"/>
      <c r="B205" s="70" t="s">
        <v>53</v>
      </c>
      <c r="C205" s="57"/>
      <c r="D205" s="76">
        <v>2.0</v>
      </c>
      <c r="E205" s="77" t="s">
        <v>1156</v>
      </c>
      <c r="F205" s="57"/>
      <c r="G205" s="72">
        <v>45733.0</v>
      </c>
      <c r="J205" s="71" t="s">
        <v>38</v>
      </c>
      <c r="K205" s="71" t="s">
        <v>673</v>
      </c>
      <c r="L205" s="78">
        <v>1.0</v>
      </c>
      <c r="M205" s="71">
        <v>582115.0</v>
      </c>
      <c r="P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</row>
    <row r="206">
      <c r="A206" s="70"/>
      <c r="B206" s="70" t="s">
        <v>53</v>
      </c>
      <c r="C206" s="57"/>
      <c r="D206" s="76">
        <v>3.0</v>
      </c>
      <c r="E206" s="77" t="s">
        <v>1158</v>
      </c>
      <c r="F206" s="57"/>
      <c r="G206" s="72">
        <v>45733.0</v>
      </c>
      <c r="J206" s="71" t="s">
        <v>38</v>
      </c>
      <c r="K206" s="71" t="s">
        <v>673</v>
      </c>
      <c r="L206" s="78">
        <v>1.0</v>
      </c>
      <c r="M206" s="71">
        <v>582115.0</v>
      </c>
      <c r="P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</row>
    <row r="207">
      <c r="A207" s="70"/>
      <c r="B207" s="70" t="s">
        <v>53</v>
      </c>
      <c r="C207" s="57"/>
      <c r="D207" s="76">
        <v>1.0</v>
      </c>
      <c r="E207" s="77" t="s">
        <v>1160</v>
      </c>
      <c r="F207" s="57"/>
      <c r="G207" s="72">
        <v>45733.0</v>
      </c>
      <c r="J207" s="71" t="s">
        <v>38</v>
      </c>
      <c r="K207" s="71" t="s">
        <v>673</v>
      </c>
      <c r="L207" s="78">
        <v>42.47</v>
      </c>
      <c r="M207" s="71">
        <v>582115.0</v>
      </c>
      <c r="P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</row>
    <row r="208">
      <c r="A208" s="70"/>
      <c r="B208" s="70" t="s">
        <v>53</v>
      </c>
      <c r="C208" s="57"/>
      <c r="D208" s="76">
        <v>1.0</v>
      </c>
      <c r="E208" s="77" t="s">
        <v>1162</v>
      </c>
      <c r="F208" s="57"/>
      <c r="G208" s="72">
        <v>45733.0</v>
      </c>
      <c r="J208" s="71" t="s">
        <v>38</v>
      </c>
      <c r="K208" s="71" t="s">
        <v>673</v>
      </c>
      <c r="L208" s="78">
        <v>42.47</v>
      </c>
      <c r="M208" s="71">
        <v>587037.0</v>
      </c>
      <c r="P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</row>
    <row r="209">
      <c r="A209" s="70"/>
      <c r="B209" s="70" t="s">
        <v>53</v>
      </c>
      <c r="C209" s="57"/>
      <c r="D209" s="76">
        <v>1.0</v>
      </c>
      <c r="E209" s="77" t="s">
        <v>872</v>
      </c>
      <c r="F209" s="57"/>
      <c r="G209" s="72">
        <v>45733.0</v>
      </c>
      <c r="J209" s="71" t="s">
        <v>38</v>
      </c>
      <c r="K209" s="71" t="s">
        <v>673</v>
      </c>
      <c r="L209" s="78">
        <v>37.05</v>
      </c>
      <c r="M209" s="71">
        <v>587037.0</v>
      </c>
      <c r="P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</row>
    <row r="210">
      <c r="A210" s="70"/>
      <c r="B210" s="70" t="s">
        <v>53</v>
      </c>
      <c r="C210" s="57"/>
      <c r="D210" s="76">
        <v>10.0</v>
      </c>
      <c r="E210" s="77" t="s">
        <v>1164</v>
      </c>
      <c r="F210" s="57"/>
      <c r="G210" s="72">
        <v>45733.0</v>
      </c>
      <c r="J210" s="71" t="s">
        <v>38</v>
      </c>
      <c r="K210" s="71" t="s">
        <v>673</v>
      </c>
      <c r="L210" s="78">
        <v>3.0</v>
      </c>
      <c r="M210" s="71">
        <v>587037.0</v>
      </c>
      <c r="P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</row>
    <row r="211">
      <c r="A211" s="70"/>
      <c r="B211" s="70" t="s">
        <v>53</v>
      </c>
      <c r="C211" s="57"/>
      <c r="D211" s="76">
        <v>10.0</v>
      </c>
      <c r="E211" s="77" t="s">
        <v>1167</v>
      </c>
      <c r="F211" s="57"/>
      <c r="G211" s="72">
        <v>45733.0</v>
      </c>
      <c r="J211" s="71" t="s">
        <v>38</v>
      </c>
      <c r="K211" s="71" t="s">
        <v>673</v>
      </c>
      <c r="L211" s="78">
        <v>3.0</v>
      </c>
      <c r="M211" s="71">
        <v>582115.0</v>
      </c>
      <c r="P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</row>
    <row r="212">
      <c r="A212" s="70"/>
      <c r="B212" s="70" t="s">
        <v>53</v>
      </c>
      <c r="C212" s="57"/>
      <c r="D212" s="76">
        <v>10.0</v>
      </c>
      <c r="E212" s="77" t="s">
        <v>781</v>
      </c>
      <c r="F212" s="57"/>
      <c r="G212" s="72">
        <v>45733.0</v>
      </c>
      <c r="J212" s="71" t="s">
        <v>38</v>
      </c>
      <c r="K212" s="71" t="s">
        <v>673</v>
      </c>
      <c r="L212" s="78">
        <v>13.35</v>
      </c>
      <c r="M212" s="71">
        <v>587037.0</v>
      </c>
      <c r="P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</row>
    <row r="213">
      <c r="A213" s="70"/>
      <c r="B213" s="70" t="s">
        <v>53</v>
      </c>
      <c r="C213" s="57"/>
      <c r="D213" s="76">
        <v>1.0</v>
      </c>
      <c r="E213" s="77" t="s">
        <v>1171</v>
      </c>
      <c r="F213" s="57"/>
      <c r="G213" s="72">
        <v>45733.0</v>
      </c>
      <c r="J213" s="71" t="s">
        <v>38</v>
      </c>
      <c r="K213" s="71" t="s">
        <v>673</v>
      </c>
      <c r="L213" s="78">
        <v>10.4</v>
      </c>
      <c r="M213" s="71">
        <v>587037.0</v>
      </c>
      <c r="P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</row>
    <row r="214">
      <c r="A214" s="70"/>
      <c r="B214" s="70" t="s">
        <v>53</v>
      </c>
      <c r="C214" s="57"/>
      <c r="D214" s="76">
        <v>1.0</v>
      </c>
      <c r="E214" s="77" t="s">
        <v>1172</v>
      </c>
      <c r="F214" s="57"/>
      <c r="G214" s="72">
        <v>45733.0</v>
      </c>
      <c r="J214" s="71" t="s">
        <v>38</v>
      </c>
      <c r="K214" s="71" t="s">
        <v>673</v>
      </c>
      <c r="L214" s="78">
        <v>10.4</v>
      </c>
      <c r="M214" s="71">
        <v>587037.0</v>
      </c>
      <c r="P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</row>
    <row r="215">
      <c r="A215" s="70"/>
      <c r="B215" s="70" t="s">
        <v>53</v>
      </c>
      <c r="C215" s="57"/>
      <c r="D215" s="76">
        <v>1.0</v>
      </c>
      <c r="E215" s="77" t="s">
        <v>1173</v>
      </c>
      <c r="F215" s="57"/>
      <c r="G215" s="72">
        <v>45733.0</v>
      </c>
      <c r="J215" s="71" t="s">
        <v>38</v>
      </c>
      <c r="K215" s="71" t="s">
        <v>673</v>
      </c>
      <c r="L215" s="78">
        <v>13.99</v>
      </c>
      <c r="M215" s="71">
        <v>591922.0</v>
      </c>
      <c r="P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</row>
    <row r="216">
      <c r="A216" s="70"/>
      <c r="B216" s="70" t="s">
        <v>1174</v>
      </c>
      <c r="C216" s="71" t="s">
        <v>1175</v>
      </c>
      <c r="D216" s="76">
        <v>1.0</v>
      </c>
      <c r="E216" s="77" t="s">
        <v>948</v>
      </c>
      <c r="F216" s="57"/>
      <c r="G216" s="72">
        <v>45740.0</v>
      </c>
      <c r="J216" s="71" t="s">
        <v>38</v>
      </c>
      <c r="K216" s="71" t="s">
        <v>1176</v>
      </c>
      <c r="L216" s="78">
        <v>140.6</v>
      </c>
      <c r="M216" s="71">
        <v>584077.0</v>
      </c>
      <c r="P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</row>
    <row r="217">
      <c r="A217" s="70"/>
      <c r="B217" s="70" t="s">
        <v>1178</v>
      </c>
      <c r="C217" s="57"/>
      <c r="D217" s="76">
        <v>1.0</v>
      </c>
      <c r="E217" s="77" t="s">
        <v>1179</v>
      </c>
      <c r="F217" s="57"/>
      <c r="G217" s="72">
        <v>45740.0</v>
      </c>
      <c r="J217" s="71" t="s">
        <v>38</v>
      </c>
      <c r="K217" s="71" t="s">
        <v>1176</v>
      </c>
      <c r="L217" s="78">
        <v>152.81</v>
      </c>
      <c r="M217" s="71">
        <v>584077.0</v>
      </c>
      <c r="P217" s="75" t="s">
        <v>43</v>
      </c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</row>
    <row r="218">
      <c r="A218" s="70"/>
      <c r="B218" s="70" t="s">
        <v>829</v>
      </c>
      <c r="C218" s="57"/>
      <c r="D218" s="76">
        <v>1.0</v>
      </c>
      <c r="E218" s="77" t="s">
        <v>1053</v>
      </c>
      <c r="F218" s="57"/>
      <c r="G218" s="72">
        <v>45740.0</v>
      </c>
      <c r="J218" s="71" t="s">
        <v>38</v>
      </c>
      <c r="K218" s="71" t="s">
        <v>1176</v>
      </c>
      <c r="L218" s="78">
        <v>152.81</v>
      </c>
      <c r="M218" s="71">
        <v>584077.0</v>
      </c>
      <c r="P218" s="75" t="s">
        <v>43</v>
      </c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</row>
    <row r="219">
      <c r="A219" s="70"/>
      <c r="B219" s="70" t="s">
        <v>1183</v>
      </c>
      <c r="C219" s="57"/>
      <c r="D219" s="76">
        <v>1.0</v>
      </c>
      <c r="E219" s="77" t="s">
        <v>1053</v>
      </c>
      <c r="F219" s="57"/>
      <c r="G219" s="72">
        <v>45740.0</v>
      </c>
      <c r="J219" s="71" t="s">
        <v>38</v>
      </c>
      <c r="K219" s="71" t="s">
        <v>1176</v>
      </c>
      <c r="L219" s="78">
        <v>152.81</v>
      </c>
      <c r="M219" s="71">
        <v>584077.0</v>
      </c>
      <c r="P219" s="75" t="s">
        <v>43</v>
      </c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</row>
    <row r="220">
      <c r="A220" s="70"/>
      <c r="B220" s="70" t="s">
        <v>1184</v>
      </c>
      <c r="C220" s="57"/>
      <c r="D220" s="76">
        <v>1.0</v>
      </c>
      <c r="E220" s="77" t="s">
        <v>1057</v>
      </c>
      <c r="F220" s="57"/>
      <c r="G220" s="72">
        <v>45740.0</v>
      </c>
      <c r="J220" s="71" t="s">
        <v>38</v>
      </c>
      <c r="K220" s="71" t="s">
        <v>1176</v>
      </c>
      <c r="L220" s="78">
        <v>142.83</v>
      </c>
      <c r="M220" s="71">
        <v>584077.0</v>
      </c>
      <c r="P220" s="75" t="s">
        <v>43</v>
      </c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</row>
    <row r="221">
      <c r="A221" s="70"/>
      <c r="B221" s="70" t="s">
        <v>53</v>
      </c>
      <c r="C221" s="57"/>
      <c r="D221" s="71">
        <v>1.0</v>
      </c>
      <c r="E221" s="77" t="s">
        <v>1057</v>
      </c>
      <c r="F221" s="57"/>
      <c r="G221" s="72">
        <v>45740.0</v>
      </c>
      <c r="J221" s="71" t="s">
        <v>38</v>
      </c>
      <c r="K221" s="71" t="s">
        <v>1176</v>
      </c>
      <c r="L221" s="78">
        <v>142.83</v>
      </c>
      <c r="M221" s="71">
        <v>584077.0</v>
      </c>
      <c r="P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</row>
    <row r="222">
      <c r="A222" s="70"/>
      <c r="B222" s="70" t="s">
        <v>53</v>
      </c>
      <c r="C222" s="57"/>
      <c r="D222" s="76">
        <v>1.0</v>
      </c>
      <c r="E222" s="77" t="s">
        <v>1118</v>
      </c>
      <c r="F222" s="57"/>
      <c r="G222" s="72">
        <v>45740.0</v>
      </c>
      <c r="J222" s="71" t="s">
        <v>38</v>
      </c>
      <c r="K222" s="71" t="s">
        <v>1176</v>
      </c>
      <c r="L222" s="78">
        <v>50.11</v>
      </c>
      <c r="M222" s="71">
        <v>584077.0</v>
      </c>
      <c r="P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</row>
    <row r="223">
      <c r="A223" s="70"/>
      <c r="B223" s="70" t="s">
        <v>53</v>
      </c>
      <c r="C223" s="57"/>
      <c r="D223" s="76">
        <v>1.0</v>
      </c>
      <c r="E223" s="77" t="s">
        <v>1186</v>
      </c>
      <c r="F223" s="57"/>
      <c r="G223" s="72">
        <v>45740.0</v>
      </c>
      <c r="J223" s="71" t="s">
        <v>38</v>
      </c>
      <c r="K223" s="71" t="s">
        <v>1176</v>
      </c>
      <c r="L223" s="78">
        <v>114.0</v>
      </c>
      <c r="M223" s="71">
        <v>584077.0</v>
      </c>
      <c r="P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</row>
    <row r="224">
      <c r="A224" s="70"/>
      <c r="B224" s="70" t="s">
        <v>53</v>
      </c>
      <c r="C224" s="57"/>
      <c r="D224" s="76">
        <v>1.0</v>
      </c>
      <c r="E224" s="77" t="s">
        <v>238</v>
      </c>
      <c r="F224" s="57"/>
      <c r="G224" s="72">
        <v>45740.0</v>
      </c>
      <c r="J224" s="71" t="s">
        <v>38</v>
      </c>
      <c r="K224" s="71" t="s">
        <v>1176</v>
      </c>
      <c r="L224" s="78">
        <v>89.54</v>
      </c>
      <c r="M224" s="71">
        <v>584077.0</v>
      </c>
      <c r="P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</row>
    <row r="225">
      <c r="A225" s="70"/>
      <c r="B225" s="70" t="s">
        <v>698</v>
      </c>
      <c r="C225" s="57"/>
      <c r="D225" s="76">
        <v>1.0</v>
      </c>
      <c r="E225" s="77" t="s">
        <v>238</v>
      </c>
      <c r="F225" s="57"/>
      <c r="G225" s="72">
        <v>45740.0</v>
      </c>
      <c r="J225" s="71" t="s">
        <v>38</v>
      </c>
      <c r="K225" s="71" t="s">
        <v>1176</v>
      </c>
      <c r="L225" s="78">
        <v>89.54</v>
      </c>
      <c r="M225" s="71">
        <v>584077.0</v>
      </c>
      <c r="P225" s="75" t="s">
        <v>43</v>
      </c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</row>
    <row r="226">
      <c r="A226" s="70"/>
      <c r="B226" s="70" t="s">
        <v>1188</v>
      </c>
      <c r="C226" s="57"/>
      <c r="D226" s="76">
        <v>1.0</v>
      </c>
      <c r="E226" s="77" t="s">
        <v>597</v>
      </c>
      <c r="F226" s="57"/>
      <c r="G226" s="72">
        <v>45740.0</v>
      </c>
      <c r="J226" s="71" t="s">
        <v>38</v>
      </c>
      <c r="K226" s="71" t="s">
        <v>1176</v>
      </c>
      <c r="L226" s="78">
        <v>156.51</v>
      </c>
      <c r="M226" s="71">
        <v>584077.0</v>
      </c>
      <c r="P226" s="75" t="s">
        <v>43</v>
      </c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</row>
    <row r="227">
      <c r="A227" s="70"/>
      <c r="B227" s="70" t="s">
        <v>53</v>
      </c>
      <c r="C227" s="57"/>
      <c r="D227" s="76">
        <v>1.0</v>
      </c>
      <c r="E227" s="77" t="s">
        <v>1050</v>
      </c>
      <c r="F227" s="57"/>
      <c r="G227" s="72">
        <v>45740.0</v>
      </c>
      <c r="J227" s="71" t="s">
        <v>38</v>
      </c>
      <c r="K227" s="71" t="s">
        <v>1176</v>
      </c>
      <c r="L227" s="78">
        <v>156.51</v>
      </c>
      <c r="M227" s="71">
        <v>584077.0</v>
      </c>
      <c r="P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</row>
    <row r="228">
      <c r="A228" s="70"/>
      <c r="B228" s="70" t="s">
        <v>53</v>
      </c>
      <c r="C228" s="57"/>
      <c r="D228" s="76">
        <v>1.0</v>
      </c>
      <c r="E228" s="77" t="s">
        <v>778</v>
      </c>
      <c r="F228" s="57"/>
      <c r="G228" s="72">
        <v>45740.0</v>
      </c>
      <c r="J228" s="71" t="s">
        <v>38</v>
      </c>
      <c r="K228" s="71" t="s">
        <v>1176</v>
      </c>
      <c r="L228" s="78">
        <v>156.51</v>
      </c>
      <c r="M228" s="71">
        <v>584077.0</v>
      </c>
      <c r="P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</row>
    <row r="229">
      <c r="A229" s="70"/>
      <c r="B229" s="70" t="s">
        <v>1189</v>
      </c>
      <c r="C229" s="57"/>
      <c r="D229" s="76">
        <v>1.0</v>
      </c>
      <c r="E229" s="77" t="s">
        <v>1190</v>
      </c>
      <c r="F229" s="71" t="s">
        <v>1191</v>
      </c>
      <c r="G229" s="72">
        <v>45740.0</v>
      </c>
      <c r="J229" s="71" t="s">
        <v>38</v>
      </c>
      <c r="K229" s="71" t="s">
        <v>1176</v>
      </c>
      <c r="L229" s="78">
        <v>62.75</v>
      </c>
      <c r="M229" s="71">
        <v>584077.0</v>
      </c>
      <c r="P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</row>
    <row r="230">
      <c r="A230" s="70"/>
      <c r="B230" s="70" t="s">
        <v>1189</v>
      </c>
      <c r="C230" s="57"/>
      <c r="D230" s="76">
        <v>1.0</v>
      </c>
      <c r="E230" s="77" t="s">
        <v>1193</v>
      </c>
      <c r="F230" s="71" t="s">
        <v>1191</v>
      </c>
      <c r="G230" s="72">
        <v>45740.0</v>
      </c>
      <c r="J230" s="71" t="s">
        <v>38</v>
      </c>
      <c r="K230" s="71" t="s">
        <v>1176</v>
      </c>
      <c r="L230" s="78">
        <v>42.47</v>
      </c>
      <c r="M230" s="71">
        <v>584077.0</v>
      </c>
      <c r="P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</row>
    <row r="231">
      <c r="A231" s="70"/>
      <c r="B231" s="70" t="s">
        <v>1189</v>
      </c>
      <c r="C231" s="57"/>
      <c r="D231" s="76">
        <v>1.0</v>
      </c>
      <c r="E231" s="77" t="s">
        <v>1194</v>
      </c>
      <c r="F231" s="71" t="s">
        <v>1191</v>
      </c>
      <c r="G231" s="72">
        <v>45740.0</v>
      </c>
      <c r="J231" s="71" t="s">
        <v>38</v>
      </c>
      <c r="K231" s="71" t="s">
        <v>1176</v>
      </c>
      <c r="L231" s="78">
        <v>46.27</v>
      </c>
      <c r="M231" s="71">
        <v>584077.0</v>
      </c>
      <c r="P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</row>
    <row r="232">
      <c r="A232" s="70"/>
      <c r="B232" s="70" t="s">
        <v>730</v>
      </c>
      <c r="C232" s="57"/>
      <c r="D232" s="76">
        <v>1.0</v>
      </c>
      <c r="E232" s="77" t="s">
        <v>1195</v>
      </c>
      <c r="F232" s="57"/>
      <c r="G232" s="72">
        <v>45740.0</v>
      </c>
      <c r="J232" s="71" t="s">
        <v>38</v>
      </c>
      <c r="K232" s="71" t="s">
        <v>1176</v>
      </c>
      <c r="L232" s="78">
        <v>21.71</v>
      </c>
      <c r="M232" s="71">
        <v>584077.0</v>
      </c>
      <c r="P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</row>
    <row r="233">
      <c r="A233" s="70"/>
      <c r="B233" s="70" t="s">
        <v>53</v>
      </c>
      <c r="C233" s="57"/>
      <c r="D233" s="71">
        <v>3.0</v>
      </c>
      <c r="E233" s="77" t="s">
        <v>1196</v>
      </c>
      <c r="F233" s="57"/>
      <c r="G233" s="72">
        <v>45740.0</v>
      </c>
      <c r="J233" s="71" t="s">
        <v>38</v>
      </c>
      <c r="K233" s="71" t="s">
        <v>1176</v>
      </c>
      <c r="L233" s="78">
        <v>6.79</v>
      </c>
      <c r="M233" s="71">
        <v>584077.0</v>
      </c>
      <c r="P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</row>
    <row r="234">
      <c r="A234" s="70"/>
      <c r="B234" s="70" t="s">
        <v>53</v>
      </c>
      <c r="C234" s="57"/>
      <c r="D234" s="76">
        <v>5.0</v>
      </c>
      <c r="E234" s="77" t="s">
        <v>657</v>
      </c>
      <c r="F234" s="57"/>
      <c r="G234" s="72">
        <v>45740.0</v>
      </c>
      <c r="J234" s="71" t="s">
        <v>38</v>
      </c>
      <c r="K234" s="71" t="s">
        <v>1176</v>
      </c>
      <c r="L234" s="78">
        <v>1.0</v>
      </c>
      <c r="M234" s="71">
        <v>584077.0</v>
      </c>
      <c r="P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</row>
    <row r="235">
      <c r="A235" s="70"/>
      <c r="B235" s="70" t="s">
        <v>53</v>
      </c>
      <c r="C235" s="57"/>
      <c r="D235" s="76">
        <v>1.0</v>
      </c>
      <c r="E235" s="77" t="s">
        <v>1198</v>
      </c>
      <c r="F235" s="57"/>
      <c r="G235" s="72">
        <v>45741.0</v>
      </c>
      <c r="J235" s="71" t="s">
        <v>347</v>
      </c>
      <c r="K235" s="71" t="s">
        <v>1199</v>
      </c>
      <c r="L235" s="78">
        <v>95.4</v>
      </c>
      <c r="M235" s="71" t="s">
        <v>1200</v>
      </c>
      <c r="P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</row>
    <row r="236">
      <c r="A236" s="70"/>
      <c r="B236" s="70" t="s">
        <v>53</v>
      </c>
      <c r="C236" s="57"/>
      <c r="D236" s="76">
        <v>1.0</v>
      </c>
      <c r="E236" s="77" t="s">
        <v>1053</v>
      </c>
      <c r="F236" s="57"/>
      <c r="G236" s="72">
        <v>45747.0</v>
      </c>
      <c r="J236" s="71" t="s">
        <v>38</v>
      </c>
      <c r="K236" s="71" t="s">
        <v>1201</v>
      </c>
      <c r="L236" s="78">
        <v>152.81</v>
      </c>
      <c r="M236" s="71">
        <v>585691.0</v>
      </c>
      <c r="P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</row>
    <row r="237">
      <c r="A237" s="70"/>
      <c r="B237" s="70" t="s">
        <v>40</v>
      </c>
      <c r="C237" s="57"/>
      <c r="D237" s="76">
        <v>1.0</v>
      </c>
      <c r="E237" s="77" t="s">
        <v>1202</v>
      </c>
      <c r="F237" s="57"/>
      <c r="G237" s="72">
        <v>45747.0</v>
      </c>
      <c r="J237" s="71" t="s">
        <v>38</v>
      </c>
      <c r="K237" s="71" t="s">
        <v>1201</v>
      </c>
      <c r="L237" s="78">
        <v>152.81</v>
      </c>
      <c r="M237" s="71">
        <v>585691.0</v>
      </c>
      <c r="P237" s="75" t="s">
        <v>43</v>
      </c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</row>
    <row r="238">
      <c r="A238" s="70"/>
      <c r="B238" s="70" t="s">
        <v>40</v>
      </c>
      <c r="C238" s="57"/>
      <c r="D238" s="76">
        <v>1.0</v>
      </c>
      <c r="E238" s="77" t="s">
        <v>1203</v>
      </c>
      <c r="F238" s="57"/>
      <c r="G238" s="72">
        <v>45747.0</v>
      </c>
      <c r="J238" s="71" t="s">
        <v>38</v>
      </c>
      <c r="K238" s="71" t="s">
        <v>1201</v>
      </c>
      <c r="L238" s="78">
        <v>132.15</v>
      </c>
      <c r="M238" s="71">
        <v>585691.0</v>
      </c>
      <c r="P238" s="75" t="s">
        <v>43</v>
      </c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</row>
    <row r="239">
      <c r="A239" s="70"/>
      <c r="B239" s="70" t="s">
        <v>1204</v>
      </c>
      <c r="C239" s="71" t="s">
        <v>1205</v>
      </c>
      <c r="D239" s="76">
        <v>1.0</v>
      </c>
      <c r="E239" s="77" t="s">
        <v>1206</v>
      </c>
      <c r="F239" s="57"/>
      <c r="G239" s="72">
        <v>45747.0</v>
      </c>
      <c r="J239" s="71" t="s">
        <v>38</v>
      </c>
      <c r="K239" s="71" t="s">
        <v>1201</v>
      </c>
      <c r="L239" s="78">
        <v>124.88</v>
      </c>
      <c r="M239" s="71">
        <v>585691.0</v>
      </c>
      <c r="P239" s="71" t="s">
        <v>1207</v>
      </c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</row>
    <row r="240">
      <c r="A240" s="70"/>
      <c r="B240" s="70" t="s">
        <v>1204</v>
      </c>
      <c r="C240" s="71" t="s">
        <v>1205</v>
      </c>
      <c r="D240" s="76">
        <v>1.0</v>
      </c>
      <c r="E240" s="77" t="s">
        <v>1208</v>
      </c>
      <c r="F240" s="57"/>
      <c r="G240" s="72">
        <v>45747.0</v>
      </c>
      <c r="J240" s="71" t="s">
        <v>38</v>
      </c>
      <c r="K240" s="71" t="s">
        <v>1201</v>
      </c>
      <c r="L240" s="78">
        <v>37.43</v>
      </c>
      <c r="M240" s="71">
        <v>585691.0</v>
      </c>
      <c r="P240" s="75" t="s">
        <v>43</v>
      </c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</row>
    <row r="241">
      <c r="A241" s="70"/>
      <c r="B241" s="70" t="s">
        <v>53</v>
      </c>
      <c r="C241" s="57"/>
      <c r="D241" s="76">
        <v>3.0</v>
      </c>
      <c r="E241" s="77" t="s">
        <v>851</v>
      </c>
      <c r="F241" s="57"/>
      <c r="G241" s="72">
        <v>45747.0</v>
      </c>
      <c r="J241" s="71" t="s">
        <v>38</v>
      </c>
      <c r="K241" s="71" t="s">
        <v>1201</v>
      </c>
      <c r="L241" s="78">
        <v>5.56</v>
      </c>
      <c r="M241" s="71">
        <v>585691.0</v>
      </c>
      <c r="P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</row>
    <row r="242">
      <c r="A242" s="70"/>
      <c r="B242" s="70" t="s">
        <v>53</v>
      </c>
      <c r="C242" s="57"/>
      <c r="D242" s="76">
        <v>1.0</v>
      </c>
      <c r="E242" s="77" t="s">
        <v>778</v>
      </c>
      <c r="F242" s="57"/>
      <c r="G242" s="72">
        <v>45747.0</v>
      </c>
      <c r="J242" s="71" t="s">
        <v>38</v>
      </c>
      <c r="K242" s="71" t="s">
        <v>1201</v>
      </c>
      <c r="L242" s="78">
        <v>156.51</v>
      </c>
      <c r="M242" s="71">
        <v>585691.0</v>
      </c>
      <c r="P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</row>
    <row r="243">
      <c r="A243" s="70"/>
      <c r="B243" s="70" t="s">
        <v>53</v>
      </c>
      <c r="C243" s="57"/>
      <c r="D243" s="76">
        <v>1.0</v>
      </c>
      <c r="E243" s="77" t="s">
        <v>786</v>
      </c>
      <c r="F243" s="57"/>
      <c r="G243" s="72">
        <v>45747.0</v>
      </c>
      <c r="J243" s="71" t="s">
        <v>38</v>
      </c>
      <c r="K243" s="71" t="s">
        <v>1201</v>
      </c>
      <c r="L243" s="78">
        <v>132.15</v>
      </c>
      <c r="M243" s="71">
        <v>585691.0</v>
      </c>
      <c r="P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</row>
    <row r="244">
      <c r="A244" s="70"/>
      <c r="B244" s="70" t="s">
        <v>1210</v>
      </c>
      <c r="C244" s="57"/>
      <c r="D244" s="76">
        <v>1.0</v>
      </c>
      <c r="E244" s="77" t="s">
        <v>807</v>
      </c>
      <c r="F244" s="71" t="s">
        <v>496</v>
      </c>
      <c r="G244" s="72">
        <v>45747.0</v>
      </c>
      <c r="J244" s="71" t="s">
        <v>38</v>
      </c>
      <c r="K244" s="71" t="s">
        <v>1201</v>
      </c>
      <c r="L244" s="78">
        <v>150.58</v>
      </c>
      <c r="M244" s="71">
        <v>585691.0</v>
      </c>
      <c r="P244" s="75" t="s">
        <v>43</v>
      </c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</row>
    <row r="245">
      <c r="A245" s="70"/>
      <c r="B245" s="70" t="s">
        <v>53</v>
      </c>
      <c r="C245" s="57"/>
      <c r="D245" s="76">
        <v>1.0</v>
      </c>
      <c r="E245" s="77" t="s">
        <v>807</v>
      </c>
      <c r="F245" s="57"/>
      <c r="G245" s="72">
        <v>45747.0</v>
      </c>
      <c r="J245" s="71" t="s">
        <v>38</v>
      </c>
      <c r="K245" s="71" t="s">
        <v>1201</v>
      </c>
      <c r="L245" s="78">
        <v>150.58</v>
      </c>
      <c r="M245" s="71">
        <v>585691.0</v>
      </c>
      <c r="P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</row>
    <row r="246">
      <c r="A246" s="70"/>
      <c r="B246" s="70" t="s">
        <v>53</v>
      </c>
      <c r="C246" s="57"/>
      <c r="D246" s="76">
        <v>4.0</v>
      </c>
      <c r="E246" s="77" t="s">
        <v>695</v>
      </c>
      <c r="F246" s="57"/>
      <c r="G246" s="72">
        <v>45747.0</v>
      </c>
      <c r="J246" s="71" t="s">
        <v>38</v>
      </c>
      <c r="K246" s="71" t="s">
        <v>1201</v>
      </c>
      <c r="L246" s="78">
        <v>5.94</v>
      </c>
      <c r="M246" s="71">
        <v>585691.0</v>
      </c>
      <c r="P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</row>
    <row r="247">
      <c r="A247" s="70"/>
      <c r="B247" s="70" t="s">
        <v>730</v>
      </c>
      <c r="C247" s="57"/>
      <c r="D247" s="76">
        <v>1.0</v>
      </c>
      <c r="E247" s="77" t="s">
        <v>1211</v>
      </c>
      <c r="F247" s="57"/>
      <c r="G247" s="72">
        <v>45747.0</v>
      </c>
      <c r="J247" s="71" t="s">
        <v>38</v>
      </c>
      <c r="K247" s="71" t="s">
        <v>1201</v>
      </c>
      <c r="L247" s="78">
        <v>23.75</v>
      </c>
      <c r="M247" s="71">
        <v>585691.0</v>
      </c>
      <c r="P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</row>
    <row r="248">
      <c r="A248" s="70"/>
      <c r="B248" s="70" t="s">
        <v>53</v>
      </c>
      <c r="C248" s="57"/>
      <c r="D248" s="76">
        <v>5.0</v>
      </c>
      <c r="E248" s="77" t="s">
        <v>1212</v>
      </c>
      <c r="F248" s="57"/>
      <c r="G248" s="72">
        <v>45747.0</v>
      </c>
      <c r="J248" s="71" t="s">
        <v>38</v>
      </c>
      <c r="K248" s="71" t="s">
        <v>1201</v>
      </c>
      <c r="L248" s="78">
        <v>1.0</v>
      </c>
      <c r="M248" s="71">
        <v>585691.0</v>
      </c>
      <c r="P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</row>
    <row r="249">
      <c r="A249" s="70"/>
      <c r="B249" s="70" t="s">
        <v>1213</v>
      </c>
      <c r="C249" s="57"/>
      <c r="D249" s="76">
        <v>1.0</v>
      </c>
      <c r="E249" s="77" t="s">
        <v>761</v>
      </c>
      <c r="F249" s="57"/>
      <c r="G249" s="72">
        <v>45747.0</v>
      </c>
      <c r="J249" s="71" t="s">
        <v>38</v>
      </c>
      <c r="K249" s="71" t="s">
        <v>1201</v>
      </c>
      <c r="L249" s="78">
        <v>159.46</v>
      </c>
      <c r="M249" s="71">
        <v>585691.0</v>
      </c>
      <c r="P249" s="75" t="s">
        <v>43</v>
      </c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</row>
    <row r="250">
      <c r="A250" s="70"/>
      <c r="B250" s="70" t="s">
        <v>53</v>
      </c>
      <c r="C250" s="57"/>
      <c r="D250" s="76">
        <v>1.0</v>
      </c>
      <c r="E250" s="77" t="s">
        <v>1215</v>
      </c>
      <c r="F250" s="57"/>
      <c r="G250" s="72">
        <v>45747.0</v>
      </c>
      <c r="J250" s="71" t="s">
        <v>38</v>
      </c>
      <c r="K250" s="71" t="s">
        <v>1201</v>
      </c>
      <c r="L250" s="78">
        <v>3.04</v>
      </c>
      <c r="M250" s="71">
        <v>585691.0</v>
      </c>
      <c r="P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</row>
    <row r="251">
      <c r="A251" s="57"/>
      <c r="B251" s="57"/>
      <c r="C251" s="57"/>
      <c r="D251" s="57"/>
      <c r="E251" s="82"/>
      <c r="F251" s="57"/>
      <c r="G251" s="80"/>
      <c r="K251" s="57"/>
      <c r="L251" s="57"/>
      <c r="M251" s="6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</row>
    <row r="252">
      <c r="A252" s="57"/>
      <c r="B252" s="57"/>
      <c r="C252" s="57"/>
      <c r="D252" s="57"/>
      <c r="E252" s="82"/>
      <c r="F252" s="57"/>
      <c r="G252" s="80"/>
      <c r="K252" s="57"/>
      <c r="L252" s="57"/>
      <c r="M252" s="6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</row>
    <row r="253">
      <c r="A253" s="57"/>
      <c r="B253" s="57"/>
      <c r="C253" s="57"/>
      <c r="D253" s="57"/>
      <c r="E253" s="82"/>
      <c r="F253" s="57"/>
      <c r="G253" s="80"/>
      <c r="K253" s="57"/>
      <c r="L253" s="57"/>
      <c r="M253" s="6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</row>
    <row r="254">
      <c r="A254" s="57"/>
      <c r="B254" s="57"/>
      <c r="C254" s="57"/>
      <c r="D254" s="57"/>
      <c r="E254" s="82"/>
      <c r="F254" s="57"/>
      <c r="G254" s="80"/>
      <c r="K254" s="57"/>
      <c r="L254" s="57"/>
      <c r="M254" s="6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</row>
    <row r="255">
      <c r="A255" s="57"/>
      <c r="B255" s="57"/>
      <c r="C255" s="57"/>
      <c r="D255" s="57"/>
      <c r="E255" s="82"/>
      <c r="F255" s="57"/>
      <c r="G255" s="80"/>
      <c r="K255" s="57"/>
      <c r="L255" s="57"/>
      <c r="M255" s="6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</row>
    <row r="256">
      <c r="A256" s="57"/>
      <c r="B256" s="57"/>
      <c r="C256" s="57"/>
      <c r="D256" s="57"/>
      <c r="E256" s="82"/>
      <c r="F256" s="57"/>
      <c r="G256" s="80"/>
      <c r="K256" s="57"/>
      <c r="L256" s="57"/>
      <c r="M256" s="6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</row>
    <row r="257">
      <c r="A257" s="57"/>
      <c r="B257" s="57"/>
      <c r="C257" s="57"/>
      <c r="D257" s="57"/>
      <c r="E257" s="82"/>
      <c r="F257" s="57"/>
      <c r="G257" s="80"/>
      <c r="K257" s="57"/>
      <c r="L257" s="57"/>
      <c r="M257" s="6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</row>
    <row r="258">
      <c r="A258" s="57"/>
      <c r="B258" s="57"/>
      <c r="C258" s="57"/>
      <c r="D258" s="57"/>
      <c r="E258" s="82"/>
      <c r="F258" s="57"/>
      <c r="G258" s="80"/>
      <c r="K258" s="57"/>
      <c r="L258" s="57"/>
      <c r="M258" s="6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</row>
    <row r="259">
      <c r="A259" s="57"/>
      <c r="B259" s="57"/>
      <c r="C259" s="57"/>
      <c r="D259" s="57"/>
      <c r="E259" s="82"/>
      <c r="F259" s="57"/>
      <c r="G259" s="80"/>
      <c r="K259" s="57"/>
      <c r="L259" s="57"/>
      <c r="M259" s="6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</row>
    <row r="260">
      <c r="A260" s="57"/>
      <c r="B260" s="57"/>
      <c r="C260" s="57"/>
      <c r="D260" s="57"/>
      <c r="E260" s="82"/>
      <c r="F260" s="57"/>
      <c r="G260" s="80"/>
      <c r="K260" s="57"/>
      <c r="L260" s="57"/>
      <c r="M260" s="6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</row>
    <row r="261">
      <c r="A261" s="57"/>
      <c r="B261" s="57"/>
      <c r="C261" s="57"/>
      <c r="D261" s="57"/>
      <c r="E261" s="82"/>
      <c r="F261" s="57"/>
      <c r="G261" s="80"/>
      <c r="K261" s="57"/>
      <c r="L261" s="57"/>
      <c r="M261" s="6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</row>
    <row r="262">
      <c r="A262" s="57"/>
      <c r="B262" s="57"/>
      <c r="C262" s="57"/>
      <c r="D262" s="57"/>
      <c r="E262" s="82"/>
      <c r="F262" s="57"/>
      <c r="G262" s="80"/>
      <c r="K262" s="57"/>
      <c r="L262" s="57"/>
      <c r="M262" s="6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</row>
    <row r="263">
      <c r="A263" s="57"/>
      <c r="B263" s="57"/>
      <c r="C263" s="57"/>
      <c r="D263" s="57"/>
      <c r="E263" s="82"/>
      <c r="F263" s="57"/>
      <c r="G263" s="80"/>
      <c r="K263" s="57"/>
      <c r="L263" s="57"/>
      <c r="M263" s="6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</row>
    <row r="264">
      <c r="A264" s="57"/>
      <c r="B264" s="57"/>
      <c r="C264" s="57"/>
      <c r="D264" s="57"/>
      <c r="E264" s="82"/>
      <c r="F264" s="57"/>
      <c r="G264" s="80"/>
      <c r="K264" s="57"/>
      <c r="L264" s="57"/>
      <c r="M264" s="6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</row>
    <row r="265">
      <c r="A265" s="57"/>
      <c r="B265" s="57"/>
      <c r="C265" s="57"/>
      <c r="D265" s="57"/>
      <c r="E265" s="82"/>
      <c r="F265" s="57"/>
      <c r="G265" s="80"/>
      <c r="K265" s="57"/>
      <c r="L265" s="57"/>
      <c r="M265" s="6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</row>
    <row r="266">
      <c r="A266" s="57"/>
      <c r="B266" s="57"/>
      <c r="C266" s="57"/>
      <c r="D266" s="57"/>
      <c r="E266" s="82"/>
      <c r="F266" s="57"/>
      <c r="G266" s="80"/>
      <c r="K266" s="57"/>
      <c r="L266" s="57"/>
      <c r="M266" s="6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</row>
    <row r="267">
      <c r="A267" s="57"/>
      <c r="B267" s="57"/>
      <c r="C267" s="57"/>
      <c r="D267" s="57"/>
      <c r="E267" s="82"/>
      <c r="F267" s="57"/>
      <c r="G267" s="80"/>
      <c r="K267" s="57"/>
      <c r="L267" s="57"/>
      <c r="M267" s="6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</row>
    <row r="268">
      <c r="A268" s="57"/>
      <c r="B268" s="57"/>
      <c r="C268" s="57"/>
      <c r="D268" s="57"/>
      <c r="E268" s="82"/>
      <c r="F268" s="57"/>
      <c r="G268" s="80"/>
      <c r="K268" s="57"/>
      <c r="L268" s="57"/>
      <c r="M268" s="6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</row>
    <row r="269">
      <c r="A269" s="57"/>
      <c r="B269" s="57"/>
      <c r="C269" s="57"/>
      <c r="D269" s="57"/>
      <c r="E269" s="82"/>
      <c r="F269" s="57"/>
      <c r="G269" s="80"/>
      <c r="K269" s="57"/>
      <c r="L269" s="57"/>
      <c r="M269" s="6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</row>
    <row r="270">
      <c r="A270" s="57"/>
      <c r="B270" s="57"/>
      <c r="C270" s="57"/>
      <c r="D270" s="57"/>
      <c r="E270" s="82"/>
      <c r="F270" s="57"/>
      <c r="G270" s="80"/>
      <c r="K270" s="57"/>
      <c r="L270" s="57"/>
      <c r="M270" s="6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</row>
    <row r="271">
      <c r="A271" s="57"/>
      <c r="B271" s="57"/>
      <c r="C271" s="57"/>
      <c r="D271" s="57"/>
      <c r="E271" s="82"/>
      <c r="F271" s="57"/>
      <c r="G271" s="80"/>
      <c r="K271" s="57"/>
      <c r="L271" s="57"/>
      <c r="M271" s="6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</row>
    <row r="272">
      <c r="A272" s="57"/>
      <c r="B272" s="57"/>
      <c r="C272" s="57"/>
      <c r="D272" s="57"/>
      <c r="E272" s="82"/>
      <c r="F272" s="57"/>
      <c r="G272" s="80"/>
      <c r="K272" s="57"/>
      <c r="L272" s="57"/>
      <c r="M272" s="6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</row>
    <row r="273">
      <c r="A273" s="57"/>
      <c r="B273" s="57"/>
      <c r="C273" s="57"/>
      <c r="D273" s="57"/>
      <c r="E273" s="82"/>
      <c r="F273" s="57"/>
      <c r="G273" s="80"/>
      <c r="K273" s="57"/>
      <c r="L273" s="57"/>
      <c r="M273" s="6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</row>
    <row r="274">
      <c r="A274" s="57"/>
      <c r="B274" s="57"/>
      <c r="C274" s="57"/>
      <c r="D274" s="57"/>
      <c r="E274" s="82"/>
      <c r="F274" s="57"/>
      <c r="G274" s="80"/>
      <c r="K274" s="57"/>
      <c r="L274" s="57"/>
      <c r="M274" s="6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</row>
    <row r="275">
      <c r="A275" s="57"/>
      <c r="B275" s="57"/>
      <c r="C275" s="57"/>
      <c r="D275" s="57"/>
      <c r="E275" s="82"/>
      <c r="F275" s="57"/>
      <c r="G275" s="80"/>
      <c r="K275" s="57"/>
      <c r="L275" s="57"/>
      <c r="M275" s="6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</row>
    <row r="276">
      <c r="A276" s="57"/>
      <c r="B276" s="57"/>
      <c r="C276" s="57"/>
      <c r="D276" s="57"/>
      <c r="E276" s="82"/>
      <c r="F276" s="57"/>
      <c r="G276" s="80"/>
      <c r="K276" s="57"/>
      <c r="L276" s="57"/>
      <c r="M276" s="6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</row>
    <row r="277">
      <c r="A277" s="57"/>
      <c r="B277" s="57"/>
      <c r="C277" s="57"/>
      <c r="D277" s="57"/>
      <c r="E277" s="82"/>
      <c r="F277" s="57"/>
      <c r="G277" s="80"/>
      <c r="K277" s="57"/>
      <c r="L277" s="57"/>
      <c r="M277" s="6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</row>
    <row r="278">
      <c r="A278" s="57"/>
      <c r="B278" s="57"/>
      <c r="C278" s="57"/>
      <c r="D278" s="57"/>
      <c r="E278" s="82"/>
      <c r="F278" s="57"/>
      <c r="G278" s="80"/>
      <c r="K278" s="57"/>
      <c r="L278" s="57"/>
      <c r="M278" s="6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</row>
    <row r="279">
      <c r="A279" s="57"/>
      <c r="B279" s="57"/>
      <c r="C279" s="57"/>
      <c r="D279" s="57"/>
      <c r="E279" s="82"/>
      <c r="F279" s="57"/>
      <c r="G279" s="80"/>
      <c r="K279" s="57"/>
      <c r="L279" s="57"/>
      <c r="M279" s="6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</row>
    <row r="280">
      <c r="A280" s="57"/>
      <c r="B280" s="57"/>
      <c r="C280" s="57"/>
      <c r="D280" s="57"/>
      <c r="E280" s="82"/>
      <c r="F280" s="57"/>
      <c r="G280" s="80"/>
      <c r="K280" s="57"/>
      <c r="L280" s="57"/>
      <c r="M280" s="6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</row>
    <row r="281">
      <c r="A281" s="57"/>
      <c r="B281" s="57"/>
      <c r="C281" s="57"/>
      <c r="D281" s="57"/>
      <c r="E281" s="82"/>
      <c r="F281" s="57"/>
      <c r="G281" s="80"/>
      <c r="K281" s="57"/>
      <c r="L281" s="57"/>
      <c r="M281" s="6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</row>
    <row r="282">
      <c r="A282" s="57"/>
      <c r="B282" s="57"/>
      <c r="C282" s="57"/>
      <c r="D282" s="57"/>
      <c r="E282" s="82"/>
      <c r="F282" s="57"/>
      <c r="G282" s="80"/>
      <c r="K282" s="57"/>
      <c r="L282" s="57"/>
      <c r="M282" s="6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</row>
    <row r="283">
      <c r="A283" s="57"/>
      <c r="B283" s="57"/>
      <c r="C283" s="57"/>
      <c r="D283" s="57"/>
      <c r="E283" s="82"/>
      <c r="F283" s="57"/>
      <c r="G283" s="80"/>
      <c r="K283" s="57"/>
      <c r="L283" s="57"/>
      <c r="M283" s="6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</row>
    <row r="284">
      <c r="A284" s="57"/>
      <c r="B284" s="57"/>
      <c r="C284" s="57"/>
      <c r="D284" s="57"/>
      <c r="E284" s="82"/>
      <c r="F284" s="57"/>
      <c r="G284" s="80"/>
      <c r="K284" s="57"/>
      <c r="L284" s="57"/>
      <c r="M284" s="6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</row>
    <row r="285">
      <c r="A285" s="57"/>
      <c r="B285" s="57"/>
      <c r="C285" s="57"/>
      <c r="D285" s="57"/>
      <c r="E285" s="82"/>
      <c r="F285" s="57"/>
      <c r="G285" s="80"/>
      <c r="K285" s="57"/>
      <c r="L285" s="57"/>
      <c r="M285" s="6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</row>
    <row r="286">
      <c r="A286" s="57"/>
      <c r="B286" s="57"/>
      <c r="C286" s="57"/>
      <c r="D286" s="57"/>
      <c r="E286" s="82"/>
      <c r="F286" s="57"/>
      <c r="G286" s="80"/>
      <c r="K286" s="57"/>
      <c r="L286" s="57"/>
      <c r="M286" s="6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</row>
    <row r="287">
      <c r="A287" s="57"/>
      <c r="B287" s="57"/>
      <c r="C287" s="57"/>
      <c r="D287" s="57"/>
      <c r="E287" s="82"/>
      <c r="F287" s="57"/>
      <c r="G287" s="80"/>
      <c r="K287" s="57"/>
      <c r="L287" s="57"/>
      <c r="M287" s="6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</row>
    <row r="288">
      <c r="A288" s="57"/>
      <c r="B288" s="57"/>
      <c r="C288" s="57"/>
      <c r="D288" s="57"/>
      <c r="E288" s="82"/>
      <c r="F288" s="57"/>
      <c r="G288" s="80"/>
      <c r="K288" s="57"/>
      <c r="L288" s="57"/>
      <c r="M288" s="6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</row>
    <row r="289">
      <c r="A289" s="57"/>
      <c r="B289" s="57"/>
      <c r="C289" s="57"/>
      <c r="D289" s="57"/>
      <c r="E289" s="82"/>
      <c r="F289" s="57"/>
      <c r="G289" s="80"/>
      <c r="K289" s="57"/>
      <c r="L289" s="57"/>
      <c r="M289" s="6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</row>
    <row r="290">
      <c r="A290" s="57"/>
      <c r="B290" s="57"/>
      <c r="C290" s="57"/>
      <c r="D290" s="57"/>
      <c r="E290" s="82"/>
      <c r="F290" s="57"/>
      <c r="G290" s="80"/>
      <c r="K290" s="57"/>
      <c r="L290" s="57"/>
      <c r="M290" s="6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</row>
    <row r="291">
      <c r="A291" s="57"/>
      <c r="B291" s="57"/>
      <c r="C291" s="57"/>
      <c r="D291" s="57"/>
      <c r="E291" s="82"/>
      <c r="F291" s="57"/>
      <c r="G291" s="80"/>
      <c r="K291" s="57"/>
      <c r="L291" s="57"/>
      <c r="M291" s="6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</row>
    <row r="292">
      <c r="A292" s="57"/>
      <c r="B292" s="57"/>
      <c r="C292" s="57"/>
      <c r="D292" s="57"/>
      <c r="E292" s="82"/>
      <c r="F292" s="57"/>
      <c r="G292" s="80"/>
      <c r="K292" s="57"/>
      <c r="L292" s="57"/>
      <c r="M292" s="6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</row>
    <row r="293">
      <c r="A293" s="57"/>
      <c r="B293" s="57"/>
      <c r="C293" s="57"/>
      <c r="D293" s="57"/>
      <c r="E293" s="82"/>
      <c r="F293" s="57"/>
      <c r="G293" s="80"/>
      <c r="K293" s="57"/>
      <c r="L293" s="57"/>
      <c r="M293" s="6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</row>
    <row r="294">
      <c r="A294" s="57"/>
      <c r="B294" s="57"/>
      <c r="C294" s="57"/>
      <c r="D294" s="57"/>
      <c r="E294" s="82"/>
      <c r="F294" s="57"/>
      <c r="G294" s="80"/>
      <c r="K294" s="57"/>
      <c r="L294" s="57"/>
      <c r="M294" s="6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</row>
    <row r="295">
      <c r="A295" s="57"/>
      <c r="B295" s="57"/>
      <c r="C295" s="57"/>
      <c r="D295" s="57"/>
      <c r="E295" s="82"/>
      <c r="F295" s="57"/>
      <c r="G295" s="80"/>
      <c r="K295" s="57"/>
      <c r="L295" s="57"/>
      <c r="M295" s="6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</row>
    <row r="296">
      <c r="A296" s="57"/>
      <c r="B296" s="57"/>
      <c r="C296" s="57"/>
      <c r="D296" s="57"/>
      <c r="E296" s="82"/>
      <c r="F296" s="57"/>
      <c r="G296" s="80"/>
      <c r="K296" s="57"/>
      <c r="L296" s="57"/>
      <c r="M296" s="6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</row>
    <row r="297">
      <c r="A297" s="57"/>
      <c r="B297" s="57"/>
      <c r="C297" s="57"/>
      <c r="D297" s="57"/>
      <c r="E297" s="82"/>
      <c r="F297" s="57"/>
      <c r="G297" s="80"/>
      <c r="K297" s="57"/>
      <c r="L297" s="57"/>
      <c r="M297" s="6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</row>
    <row r="298">
      <c r="A298" s="57"/>
      <c r="B298" s="57"/>
      <c r="C298" s="57"/>
      <c r="D298" s="57"/>
      <c r="E298" s="82"/>
      <c r="F298" s="57"/>
      <c r="G298" s="80"/>
      <c r="K298" s="57"/>
      <c r="L298" s="57"/>
      <c r="M298" s="6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</row>
    <row r="299">
      <c r="A299" s="57"/>
      <c r="B299" s="57"/>
      <c r="C299" s="57"/>
      <c r="D299" s="57"/>
      <c r="E299" s="82"/>
      <c r="F299" s="57"/>
      <c r="G299" s="80"/>
      <c r="K299" s="57"/>
      <c r="L299" s="57"/>
      <c r="M299" s="6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</row>
    <row r="300">
      <c r="A300" s="57"/>
      <c r="B300" s="57"/>
      <c r="C300" s="57"/>
      <c r="D300" s="57"/>
      <c r="E300" s="57"/>
      <c r="F300" s="57"/>
      <c r="G300" s="57"/>
      <c r="K300" s="57"/>
      <c r="L300" s="57"/>
      <c r="M300" s="6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</row>
    <row r="301">
      <c r="A301" s="57"/>
      <c r="B301" s="57"/>
      <c r="C301" s="57"/>
      <c r="D301" s="57"/>
      <c r="E301" s="57"/>
      <c r="F301" s="57"/>
      <c r="G301" s="57"/>
      <c r="K301" s="57"/>
      <c r="L301" s="57"/>
      <c r="M301" s="6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</row>
    <row r="302">
      <c r="A302" s="57"/>
      <c r="B302" s="57"/>
      <c r="C302" s="57"/>
      <c r="D302" s="57"/>
      <c r="E302" s="57"/>
      <c r="F302" s="57"/>
      <c r="G302" s="57"/>
      <c r="K302" s="57"/>
      <c r="L302" s="57"/>
      <c r="M302" s="6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</row>
    <row r="303">
      <c r="A303" s="57"/>
      <c r="B303" s="57"/>
      <c r="C303" s="57"/>
      <c r="D303" s="57"/>
      <c r="E303" s="57"/>
      <c r="F303" s="57"/>
      <c r="G303" s="57"/>
      <c r="K303" s="57"/>
      <c r="L303" s="57"/>
      <c r="M303" s="6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</row>
    <row r="304">
      <c r="A304" s="57"/>
      <c r="B304" s="57"/>
      <c r="C304" s="57"/>
      <c r="D304" s="57"/>
      <c r="E304" s="57"/>
      <c r="F304" s="57"/>
      <c r="G304" s="57"/>
      <c r="K304" s="57"/>
      <c r="L304" s="57"/>
      <c r="M304" s="6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</row>
    <row r="305">
      <c r="A305" s="57"/>
      <c r="B305" s="57"/>
      <c r="C305" s="57"/>
      <c r="D305" s="57"/>
      <c r="E305" s="57"/>
      <c r="F305" s="57"/>
      <c r="G305" s="57"/>
      <c r="K305" s="57"/>
      <c r="L305" s="57"/>
      <c r="M305" s="6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</row>
    <row r="306">
      <c r="A306" s="57"/>
      <c r="B306" s="57"/>
      <c r="C306" s="57"/>
      <c r="D306" s="57"/>
      <c r="E306" s="57"/>
      <c r="F306" s="57"/>
      <c r="G306" s="57"/>
      <c r="K306" s="57"/>
      <c r="L306" s="57"/>
      <c r="M306" s="6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</row>
    <row r="307">
      <c r="A307" s="57"/>
      <c r="B307" s="57"/>
      <c r="C307" s="57"/>
      <c r="D307" s="57"/>
      <c r="E307" s="57"/>
      <c r="F307" s="57"/>
      <c r="G307" s="57"/>
      <c r="K307" s="57"/>
      <c r="L307" s="57"/>
      <c r="M307" s="6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</row>
    <row r="308">
      <c r="A308" s="57"/>
      <c r="B308" s="57"/>
      <c r="C308" s="57"/>
      <c r="D308" s="57"/>
      <c r="E308" s="57"/>
      <c r="F308" s="57"/>
      <c r="G308" s="57"/>
      <c r="K308" s="57"/>
      <c r="L308" s="57"/>
      <c r="M308" s="6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</row>
    <row r="309">
      <c r="A309" s="57"/>
      <c r="B309" s="57"/>
      <c r="C309" s="57"/>
      <c r="D309" s="57"/>
      <c r="E309" s="57"/>
      <c r="F309" s="57"/>
      <c r="G309" s="57"/>
      <c r="K309" s="57"/>
      <c r="L309" s="57"/>
      <c r="M309" s="6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</row>
    <row r="310">
      <c r="A310" s="57"/>
      <c r="B310" s="57"/>
      <c r="C310" s="57"/>
      <c r="D310" s="57"/>
      <c r="E310" s="57"/>
      <c r="F310" s="57"/>
      <c r="G310" s="57"/>
      <c r="K310" s="57"/>
      <c r="L310" s="57"/>
      <c r="M310" s="6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</row>
    <row r="311">
      <c r="A311" s="57"/>
      <c r="B311" s="57"/>
      <c r="C311" s="57"/>
      <c r="D311" s="57"/>
      <c r="E311" s="57"/>
      <c r="F311" s="57"/>
      <c r="G311" s="57"/>
      <c r="K311" s="57"/>
      <c r="L311" s="57"/>
      <c r="M311" s="6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</row>
    <row r="312">
      <c r="A312" s="57"/>
      <c r="B312" s="57"/>
      <c r="C312" s="57"/>
      <c r="D312" s="57"/>
      <c r="E312" s="57"/>
      <c r="F312" s="57"/>
      <c r="G312" s="57"/>
      <c r="K312" s="57"/>
      <c r="L312" s="57"/>
      <c r="M312" s="6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</row>
    <row r="313">
      <c r="A313" s="57"/>
      <c r="B313" s="57"/>
      <c r="C313" s="57"/>
      <c r="D313" s="57"/>
      <c r="E313" s="57"/>
      <c r="F313" s="57"/>
      <c r="G313" s="57"/>
      <c r="K313" s="57"/>
      <c r="L313" s="57"/>
      <c r="M313" s="6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</row>
    <row r="314">
      <c r="A314" s="57"/>
      <c r="B314" s="57"/>
      <c r="C314" s="57"/>
      <c r="D314" s="57"/>
      <c r="E314" s="57"/>
      <c r="F314" s="57"/>
      <c r="G314" s="57"/>
      <c r="K314" s="57"/>
      <c r="L314" s="57"/>
      <c r="M314" s="6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</row>
    <row r="315">
      <c r="A315" s="57"/>
      <c r="B315" s="57"/>
      <c r="C315" s="57"/>
      <c r="D315" s="57"/>
      <c r="E315" s="57"/>
      <c r="F315" s="57"/>
      <c r="G315" s="57"/>
      <c r="K315" s="57"/>
      <c r="L315" s="57"/>
      <c r="M315" s="6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</row>
    <row r="316">
      <c r="A316" s="57"/>
      <c r="B316" s="57"/>
      <c r="C316" s="57"/>
      <c r="D316" s="57"/>
      <c r="E316" s="57"/>
      <c r="F316" s="57"/>
      <c r="G316" s="57"/>
      <c r="K316" s="57"/>
      <c r="L316" s="57"/>
      <c r="M316" s="6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</row>
    <row r="317">
      <c r="A317" s="57"/>
      <c r="B317" s="57"/>
      <c r="C317" s="57"/>
      <c r="D317" s="57"/>
      <c r="E317" s="57"/>
      <c r="F317" s="57"/>
      <c r="G317" s="57"/>
      <c r="K317" s="57"/>
      <c r="L317" s="57"/>
      <c r="M317" s="6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</row>
    <row r="318">
      <c r="A318" s="57"/>
      <c r="B318" s="57"/>
      <c r="C318" s="57"/>
      <c r="D318" s="57"/>
      <c r="E318" s="57"/>
      <c r="F318" s="57"/>
      <c r="G318" s="57"/>
      <c r="K318" s="57"/>
      <c r="L318" s="57"/>
      <c r="M318" s="6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</row>
    <row r="319">
      <c r="A319" s="57"/>
      <c r="B319" s="57"/>
      <c r="C319" s="57"/>
      <c r="D319" s="57"/>
      <c r="E319" s="57"/>
      <c r="F319" s="57"/>
      <c r="G319" s="57"/>
      <c r="K319" s="57"/>
      <c r="L319" s="57"/>
      <c r="M319" s="6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</row>
    <row r="320">
      <c r="A320" s="57"/>
      <c r="B320" s="57"/>
      <c r="C320" s="57"/>
      <c r="D320" s="57"/>
      <c r="E320" s="57"/>
      <c r="F320" s="57"/>
      <c r="G320" s="57"/>
      <c r="K320" s="57"/>
      <c r="L320" s="57"/>
      <c r="M320" s="6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</row>
    <row r="321">
      <c r="A321" s="57"/>
      <c r="B321" s="57"/>
      <c r="C321" s="57"/>
      <c r="D321" s="57"/>
      <c r="E321" s="57"/>
      <c r="F321" s="57"/>
      <c r="G321" s="57"/>
      <c r="K321" s="57"/>
      <c r="L321" s="57"/>
      <c r="M321" s="6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</row>
    <row r="322">
      <c r="A322" s="57"/>
      <c r="B322" s="57"/>
      <c r="C322" s="57"/>
      <c r="D322" s="57"/>
      <c r="E322" s="57"/>
      <c r="F322" s="57"/>
      <c r="G322" s="57"/>
      <c r="K322" s="57"/>
      <c r="L322" s="57"/>
      <c r="M322" s="6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</row>
    <row r="323">
      <c r="A323" s="57"/>
      <c r="B323" s="57"/>
      <c r="C323" s="57"/>
      <c r="D323" s="57"/>
      <c r="E323" s="57"/>
      <c r="F323" s="57"/>
      <c r="G323" s="57"/>
      <c r="K323" s="57"/>
      <c r="L323" s="57"/>
      <c r="M323" s="6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</row>
    <row r="324">
      <c r="A324" s="57"/>
      <c r="B324" s="57"/>
      <c r="C324" s="57"/>
      <c r="D324" s="57"/>
      <c r="E324" s="57"/>
      <c r="F324" s="57"/>
      <c r="G324" s="57"/>
      <c r="K324" s="57"/>
      <c r="L324" s="57"/>
      <c r="M324" s="6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</row>
    <row r="325">
      <c r="A325" s="57"/>
      <c r="B325" s="57"/>
      <c r="C325" s="57"/>
      <c r="D325" s="57"/>
      <c r="E325" s="57"/>
      <c r="F325" s="57"/>
      <c r="G325" s="57"/>
      <c r="K325" s="57"/>
      <c r="L325" s="57"/>
      <c r="M325" s="6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</row>
    <row r="326">
      <c r="A326" s="57"/>
      <c r="B326" s="57"/>
      <c r="C326" s="57"/>
      <c r="D326" s="57"/>
      <c r="E326" s="57"/>
      <c r="F326" s="57"/>
      <c r="G326" s="57"/>
      <c r="K326" s="57"/>
      <c r="L326" s="57"/>
      <c r="M326" s="6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</row>
    <row r="327">
      <c r="A327" s="57"/>
      <c r="B327" s="57"/>
      <c r="C327" s="57"/>
      <c r="D327" s="57"/>
      <c r="E327" s="57"/>
      <c r="F327" s="57"/>
      <c r="G327" s="57"/>
      <c r="K327" s="57"/>
      <c r="L327" s="57"/>
      <c r="M327" s="6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</row>
    <row r="328">
      <c r="A328" s="57"/>
      <c r="B328" s="57"/>
      <c r="C328" s="57"/>
      <c r="D328" s="57"/>
      <c r="E328" s="57"/>
      <c r="F328" s="57"/>
      <c r="G328" s="57"/>
      <c r="K328" s="57"/>
      <c r="L328" s="57"/>
      <c r="M328" s="6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</row>
    <row r="329">
      <c r="A329" s="57"/>
      <c r="B329" s="57"/>
      <c r="C329" s="57"/>
      <c r="D329" s="57"/>
      <c r="E329" s="57"/>
      <c r="F329" s="57"/>
      <c r="G329" s="57"/>
      <c r="K329" s="57"/>
      <c r="L329" s="57"/>
      <c r="M329" s="6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</row>
    <row r="330">
      <c r="A330" s="57"/>
      <c r="B330" s="57"/>
      <c r="C330" s="57"/>
      <c r="D330" s="57"/>
      <c r="E330" s="57"/>
      <c r="F330" s="57"/>
      <c r="G330" s="57"/>
      <c r="K330" s="57"/>
      <c r="L330" s="57"/>
      <c r="M330" s="6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</row>
    <row r="331">
      <c r="A331" s="57"/>
      <c r="B331" s="57"/>
      <c r="C331" s="57"/>
      <c r="D331" s="57"/>
      <c r="E331" s="57"/>
      <c r="F331" s="57"/>
      <c r="G331" s="57"/>
      <c r="K331" s="57"/>
      <c r="L331" s="57"/>
      <c r="M331" s="6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</row>
    <row r="332">
      <c r="A332" s="57"/>
      <c r="B332" s="57"/>
      <c r="C332" s="57"/>
      <c r="D332" s="57"/>
      <c r="E332" s="57"/>
      <c r="F332" s="57"/>
      <c r="G332" s="57"/>
      <c r="K332" s="57"/>
      <c r="L332" s="57"/>
      <c r="M332" s="6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</row>
    <row r="333">
      <c r="A333" s="57"/>
      <c r="B333" s="57"/>
      <c r="C333" s="57"/>
      <c r="D333" s="57"/>
      <c r="E333" s="57"/>
      <c r="F333" s="57"/>
      <c r="G333" s="57"/>
      <c r="K333" s="57"/>
      <c r="L333" s="57"/>
      <c r="M333" s="6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</row>
    <row r="334">
      <c r="A334" s="57"/>
      <c r="B334" s="57"/>
      <c r="C334" s="57"/>
      <c r="D334" s="57"/>
      <c r="E334" s="57"/>
      <c r="F334" s="57"/>
      <c r="G334" s="57"/>
      <c r="K334" s="57"/>
      <c r="L334" s="57"/>
      <c r="M334" s="6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</row>
    <row r="335">
      <c r="A335" s="57"/>
      <c r="B335" s="57"/>
      <c r="C335" s="57"/>
      <c r="D335" s="57"/>
      <c r="E335" s="57"/>
      <c r="F335" s="57"/>
      <c r="G335" s="57"/>
      <c r="K335" s="57"/>
      <c r="L335" s="57"/>
      <c r="M335" s="6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</row>
    <row r="336">
      <c r="A336" s="57"/>
      <c r="B336" s="57"/>
      <c r="C336" s="57"/>
      <c r="D336" s="57"/>
      <c r="E336" s="57"/>
      <c r="F336" s="57"/>
      <c r="G336" s="57"/>
      <c r="K336" s="57"/>
      <c r="L336" s="57"/>
      <c r="M336" s="6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</row>
    <row r="337">
      <c r="A337" s="57"/>
      <c r="B337" s="57"/>
      <c r="C337" s="57"/>
      <c r="D337" s="57"/>
      <c r="E337" s="57"/>
      <c r="F337" s="57"/>
      <c r="G337" s="57"/>
      <c r="K337" s="57"/>
      <c r="L337" s="57"/>
      <c r="M337" s="6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</row>
    <row r="338">
      <c r="A338" s="57"/>
      <c r="B338" s="57"/>
      <c r="C338" s="57"/>
      <c r="D338" s="57"/>
      <c r="E338" s="57"/>
      <c r="F338" s="57"/>
      <c r="G338" s="57"/>
      <c r="K338" s="57"/>
      <c r="L338" s="57"/>
      <c r="M338" s="6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</row>
    <row r="339">
      <c r="A339" s="57"/>
      <c r="B339" s="57"/>
      <c r="C339" s="57"/>
      <c r="D339" s="57"/>
      <c r="E339" s="57"/>
      <c r="F339" s="57"/>
      <c r="G339" s="57"/>
      <c r="K339" s="57"/>
      <c r="L339" s="57"/>
      <c r="M339" s="6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</row>
    <row r="340">
      <c r="A340" s="57"/>
      <c r="B340" s="57"/>
      <c r="C340" s="57"/>
      <c r="D340" s="57"/>
      <c r="E340" s="57"/>
      <c r="F340" s="57"/>
      <c r="G340" s="57"/>
      <c r="K340" s="57"/>
      <c r="L340" s="57"/>
      <c r="M340" s="6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</row>
    <row r="341">
      <c r="A341" s="57"/>
      <c r="B341" s="57"/>
      <c r="C341" s="57"/>
      <c r="D341" s="57"/>
      <c r="E341" s="57"/>
      <c r="F341" s="57"/>
      <c r="G341" s="57"/>
      <c r="K341" s="57"/>
      <c r="L341" s="57"/>
      <c r="M341" s="6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</row>
    <row r="342">
      <c r="A342" s="57"/>
      <c r="B342" s="57"/>
      <c r="C342" s="57"/>
      <c r="D342" s="57"/>
      <c r="E342" s="57"/>
      <c r="F342" s="57"/>
      <c r="G342" s="57"/>
      <c r="K342" s="57"/>
      <c r="L342" s="57"/>
      <c r="M342" s="6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</row>
    <row r="343">
      <c r="A343" s="57"/>
      <c r="B343" s="57"/>
      <c r="C343" s="57"/>
      <c r="D343" s="57"/>
      <c r="E343" s="57"/>
      <c r="F343" s="57"/>
      <c r="G343" s="57"/>
      <c r="K343" s="57"/>
      <c r="L343" s="57"/>
      <c r="M343" s="6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</row>
    <row r="344">
      <c r="A344" s="57"/>
      <c r="B344" s="57"/>
      <c r="C344" s="57"/>
      <c r="D344" s="57"/>
      <c r="E344" s="57"/>
      <c r="F344" s="57"/>
      <c r="G344" s="57"/>
      <c r="K344" s="57"/>
      <c r="L344" s="57"/>
      <c r="M344" s="6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</row>
    <row r="345">
      <c r="A345" s="57"/>
      <c r="B345" s="57"/>
      <c r="C345" s="57"/>
      <c r="D345" s="57"/>
      <c r="E345" s="57"/>
      <c r="F345" s="57"/>
      <c r="G345" s="57"/>
      <c r="K345" s="57"/>
      <c r="L345" s="57"/>
      <c r="M345" s="6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</row>
    <row r="346">
      <c r="A346" s="57"/>
      <c r="B346" s="57"/>
      <c r="C346" s="57"/>
      <c r="D346" s="57"/>
      <c r="E346" s="57"/>
      <c r="F346" s="57"/>
      <c r="G346" s="57"/>
      <c r="K346" s="57"/>
      <c r="L346" s="57"/>
      <c r="M346" s="6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</row>
    <row r="347">
      <c r="A347" s="57"/>
      <c r="B347" s="57"/>
      <c r="C347" s="57"/>
      <c r="D347" s="57"/>
      <c r="E347" s="57"/>
      <c r="F347" s="57"/>
      <c r="G347" s="57"/>
      <c r="K347" s="57"/>
      <c r="L347" s="57"/>
      <c r="M347" s="6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</row>
    <row r="348">
      <c r="A348" s="57"/>
      <c r="B348" s="57"/>
      <c r="C348" s="57"/>
      <c r="D348" s="57"/>
      <c r="E348" s="57"/>
      <c r="F348" s="57"/>
      <c r="G348" s="57"/>
      <c r="K348" s="57"/>
      <c r="L348" s="57"/>
      <c r="M348" s="6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</row>
    <row r="349">
      <c r="A349" s="57"/>
      <c r="B349" s="57"/>
      <c r="C349" s="57"/>
      <c r="D349" s="57"/>
      <c r="E349" s="57"/>
      <c r="F349" s="57"/>
      <c r="G349" s="57"/>
      <c r="K349" s="57"/>
      <c r="L349" s="57"/>
      <c r="M349" s="6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</row>
    <row r="350">
      <c r="A350" s="57"/>
      <c r="B350" s="57"/>
      <c r="C350" s="57"/>
      <c r="D350" s="57"/>
      <c r="E350" s="57"/>
      <c r="F350" s="57"/>
      <c r="G350" s="57"/>
      <c r="K350" s="57"/>
      <c r="L350" s="57"/>
      <c r="M350" s="6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</row>
    <row r="351">
      <c r="A351" s="57"/>
      <c r="B351" s="57"/>
      <c r="C351" s="57"/>
      <c r="D351" s="57"/>
      <c r="E351" s="57"/>
      <c r="F351" s="57"/>
      <c r="G351" s="57"/>
      <c r="K351" s="57"/>
      <c r="L351" s="57"/>
      <c r="M351" s="6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</row>
    <row r="352">
      <c r="A352" s="57"/>
      <c r="B352" s="57"/>
      <c r="C352" s="57"/>
      <c r="D352" s="57"/>
      <c r="E352" s="57"/>
      <c r="F352" s="57"/>
      <c r="G352" s="57"/>
      <c r="K352" s="57"/>
      <c r="L352" s="57"/>
      <c r="M352" s="6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</row>
    <row r="353">
      <c r="A353" s="57"/>
      <c r="B353" s="57"/>
      <c r="C353" s="57"/>
      <c r="D353" s="57"/>
      <c r="E353" s="57"/>
      <c r="F353" s="57"/>
      <c r="G353" s="57"/>
      <c r="K353" s="57"/>
      <c r="L353" s="57"/>
      <c r="M353" s="6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</row>
    <row r="354">
      <c r="A354" s="57"/>
      <c r="B354" s="57"/>
      <c r="C354" s="57"/>
      <c r="D354" s="57"/>
      <c r="E354" s="57"/>
      <c r="F354" s="57"/>
      <c r="G354" s="57"/>
      <c r="K354" s="57"/>
      <c r="L354" s="57"/>
      <c r="M354" s="6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</row>
    <row r="355">
      <c r="A355" s="57"/>
      <c r="B355" s="57"/>
      <c r="C355" s="57"/>
      <c r="D355" s="57"/>
      <c r="E355" s="57"/>
      <c r="F355" s="57"/>
      <c r="G355" s="57"/>
      <c r="K355" s="57"/>
      <c r="L355" s="57"/>
      <c r="M355" s="6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</row>
    <row r="356">
      <c r="A356" s="57"/>
      <c r="B356" s="57"/>
      <c r="C356" s="57"/>
      <c r="D356" s="57"/>
      <c r="E356" s="57"/>
      <c r="F356" s="57"/>
      <c r="G356" s="57"/>
      <c r="K356" s="57"/>
      <c r="L356" s="57"/>
      <c r="M356" s="6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</row>
    <row r="357">
      <c r="A357" s="57"/>
      <c r="B357" s="57"/>
      <c r="C357" s="57"/>
      <c r="D357" s="57"/>
      <c r="E357" s="57"/>
      <c r="F357" s="57"/>
      <c r="G357" s="57"/>
      <c r="K357" s="57"/>
      <c r="L357" s="57"/>
      <c r="M357" s="6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</row>
    <row r="358">
      <c r="A358" s="57"/>
      <c r="B358" s="57"/>
      <c r="C358" s="57"/>
      <c r="D358" s="57"/>
      <c r="E358" s="57"/>
      <c r="F358" s="57"/>
      <c r="G358" s="57"/>
      <c r="K358" s="57"/>
      <c r="L358" s="57"/>
      <c r="M358" s="6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</row>
    <row r="359">
      <c r="A359" s="57"/>
      <c r="B359" s="57"/>
      <c r="C359" s="57"/>
      <c r="D359" s="57"/>
      <c r="E359" s="57"/>
      <c r="F359" s="57"/>
      <c r="G359" s="57"/>
      <c r="K359" s="57"/>
      <c r="L359" s="57"/>
      <c r="M359" s="6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</row>
    <row r="360">
      <c r="A360" s="57"/>
      <c r="B360" s="57"/>
      <c r="C360" s="57"/>
      <c r="D360" s="57"/>
      <c r="E360" s="57"/>
      <c r="F360" s="57"/>
      <c r="G360" s="57"/>
      <c r="K360" s="57"/>
      <c r="L360" s="57"/>
      <c r="M360" s="6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</row>
    <row r="361">
      <c r="A361" s="57"/>
      <c r="B361" s="57"/>
      <c r="C361" s="57"/>
      <c r="D361" s="57"/>
      <c r="E361" s="57"/>
      <c r="F361" s="57"/>
      <c r="G361" s="57"/>
      <c r="K361" s="57"/>
      <c r="L361" s="57"/>
      <c r="M361" s="6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</row>
    <row r="362">
      <c r="A362" s="57"/>
      <c r="B362" s="57"/>
      <c r="C362" s="57"/>
      <c r="D362" s="57"/>
      <c r="E362" s="57"/>
      <c r="F362" s="57"/>
      <c r="G362" s="57"/>
      <c r="K362" s="57"/>
      <c r="L362" s="57"/>
      <c r="M362" s="6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</row>
    <row r="363">
      <c r="A363" s="57"/>
      <c r="B363" s="57"/>
      <c r="C363" s="57"/>
      <c r="D363" s="57"/>
      <c r="E363" s="57"/>
      <c r="F363" s="57"/>
      <c r="G363" s="57"/>
      <c r="K363" s="57"/>
      <c r="L363" s="57"/>
      <c r="M363" s="6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</row>
    <row r="364">
      <c r="A364" s="57"/>
      <c r="B364" s="57"/>
      <c r="C364" s="57"/>
      <c r="D364" s="57"/>
      <c r="E364" s="57"/>
      <c r="F364" s="57"/>
      <c r="G364" s="57"/>
      <c r="K364" s="57"/>
      <c r="L364" s="57"/>
      <c r="M364" s="6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</row>
    <row r="365">
      <c r="A365" s="57"/>
      <c r="B365" s="57"/>
      <c r="C365" s="57"/>
      <c r="D365" s="57"/>
      <c r="E365" s="57"/>
      <c r="F365" s="57"/>
      <c r="G365" s="57"/>
      <c r="K365" s="57"/>
      <c r="L365" s="57"/>
      <c r="M365" s="6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</row>
    <row r="366">
      <c r="A366" s="57"/>
      <c r="B366" s="57"/>
      <c r="C366" s="57"/>
      <c r="D366" s="57"/>
      <c r="E366" s="57"/>
      <c r="F366" s="57"/>
      <c r="G366" s="57"/>
      <c r="K366" s="57"/>
      <c r="L366" s="57"/>
      <c r="M366" s="6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</row>
    <row r="367">
      <c r="A367" s="57"/>
      <c r="B367" s="57"/>
      <c r="C367" s="57"/>
      <c r="D367" s="57"/>
      <c r="E367" s="57"/>
      <c r="F367" s="57"/>
      <c r="G367" s="57"/>
      <c r="K367" s="57"/>
      <c r="L367" s="57"/>
      <c r="M367" s="6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</row>
    <row r="368">
      <c r="A368" s="57"/>
      <c r="B368" s="57"/>
      <c r="C368" s="57"/>
      <c r="D368" s="57"/>
      <c r="E368" s="57"/>
      <c r="F368" s="57"/>
      <c r="G368" s="57"/>
      <c r="K368" s="57"/>
      <c r="L368" s="57"/>
      <c r="M368" s="6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</row>
    <row r="369">
      <c r="A369" s="57"/>
      <c r="B369" s="57"/>
      <c r="C369" s="57"/>
      <c r="D369" s="57"/>
      <c r="E369" s="57"/>
      <c r="F369" s="57"/>
      <c r="G369" s="57"/>
      <c r="K369" s="57"/>
      <c r="L369" s="57"/>
      <c r="M369" s="6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</row>
    <row r="370">
      <c r="A370" s="57"/>
      <c r="B370" s="57"/>
      <c r="C370" s="57"/>
      <c r="D370" s="57"/>
      <c r="E370" s="57"/>
      <c r="F370" s="57"/>
      <c r="G370" s="57"/>
      <c r="K370" s="57"/>
      <c r="L370" s="57"/>
      <c r="M370" s="6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</row>
    <row r="371">
      <c r="A371" s="57"/>
      <c r="B371" s="57"/>
      <c r="C371" s="57"/>
      <c r="D371" s="57"/>
      <c r="E371" s="57"/>
      <c r="F371" s="57"/>
      <c r="G371" s="57"/>
      <c r="K371" s="57"/>
      <c r="L371" s="57"/>
      <c r="M371" s="6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</row>
    <row r="372">
      <c r="A372" s="57"/>
      <c r="B372" s="57"/>
      <c r="C372" s="57"/>
      <c r="D372" s="57"/>
      <c r="E372" s="57"/>
      <c r="F372" s="57"/>
      <c r="G372" s="57"/>
      <c r="K372" s="57"/>
      <c r="L372" s="57"/>
      <c r="M372" s="6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</row>
    <row r="373">
      <c r="A373" s="57"/>
      <c r="B373" s="57"/>
      <c r="C373" s="57"/>
      <c r="D373" s="57"/>
      <c r="E373" s="57"/>
      <c r="F373" s="57"/>
      <c r="G373" s="57"/>
      <c r="K373" s="57"/>
      <c r="L373" s="57"/>
      <c r="M373" s="6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</row>
    <row r="374">
      <c r="A374" s="57"/>
      <c r="B374" s="57"/>
      <c r="C374" s="57"/>
      <c r="D374" s="57"/>
      <c r="E374" s="57"/>
      <c r="F374" s="57"/>
      <c r="G374" s="57"/>
      <c r="K374" s="57"/>
      <c r="L374" s="57"/>
      <c r="M374" s="6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</row>
    <row r="375">
      <c r="A375" s="57"/>
      <c r="B375" s="57"/>
      <c r="C375" s="57"/>
      <c r="D375" s="57"/>
      <c r="E375" s="57"/>
      <c r="F375" s="57"/>
      <c r="G375" s="57"/>
      <c r="K375" s="57"/>
      <c r="L375" s="57"/>
      <c r="M375" s="6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</row>
    <row r="376">
      <c r="A376" s="57"/>
      <c r="B376" s="57"/>
      <c r="C376" s="57"/>
      <c r="D376" s="57"/>
      <c r="E376" s="57"/>
      <c r="F376" s="57"/>
      <c r="G376" s="57"/>
      <c r="K376" s="57"/>
      <c r="L376" s="57"/>
      <c r="M376" s="6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</row>
    <row r="377">
      <c r="A377" s="57"/>
      <c r="B377" s="57"/>
      <c r="C377" s="57"/>
      <c r="D377" s="57"/>
      <c r="E377" s="57"/>
      <c r="F377" s="57"/>
      <c r="G377" s="57"/>
      <c r="K377" s="57"/>
      <c r="L377" s="57"/>
      <c r="M377" s="6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</row>
    <row r="378">
      <c r="A378" s="57"/>
      <c r="B378" s="57"/>
      <c r="C378" s="57"/>
      <c r="D378" s="57"/>
      <c r="E378" s="57"/>
      <c r="F378" s="57"/>
      <c r="G378" s="57"/>
      <c r="K378" s="57"/>
      <c r="L378" s="57"/>
      <c r="M378" s="6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</row>
    <row r="379">
      <c r="A379" s="57"/>
      <c r="B379" s="57"/>
      <c r="C379" s="57"/>
      <c r="D379" s="57"/>
      <c r="E379" s="57"/>
      <c r="F379" s="57"/>
      <c r="G379" s="57"/>
      <c r="K379" s="57"/>
      <c r="L379" s="57"/>
      <c r="M379" s="6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</row>
    <row r="380">
      <c r="A380" s="57"/>
      <c r="B380" s="57"/>
      <c r="C380" s="57"/>
      <c r="D380" s="57"/>
      <c r="E380" s="57"/>
      <c r="F380" s="57"/>
      <c r="G380" s="57"/>
      <c r="K380" s="57"/>
      <c r="L380" s="57"/>
      <c r="M380" s="6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</row>
    <row r="381">
      <c r="A381" s="57"/>
      <c r="B381" s="57"/>
      <c r="C381" s="57"/>
      <c r="D381" s="57"/>
      <c r="E381" s="57"/>
      <c r="F381" s="57"/>
      <c r="G381" s="57"/>
      <c r="K381" s="57"/>
      <c r="L381" s="57"/>
      <c r="M381" s="6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</row>
    <row r="382">
      <c r="A382" s="57"/>
      <c r="B382" s="57"/>
      <c r="C382" s="57"/>
      <c r="D382" s="57"/>
      <c r="E382" s="57"/>
      <c r="F382" s="57"/>
      <c r="G382" s="57"/>
      <c r="K382" s="57"/>
      <c r="L382" s="57"/>
      <c r="M382" s="6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</row>
    <row r="383">
      <c r="A383" s="57"/>
      <c r="B383" s="57"/>
      <c r="C383" s="57"/>
      <c r="D383" s="57"/>
      <c r="E383" s="57"/>
      <c r="F383" s="57"/>
      <c r="G383" s="57"/>
      <c r="K383" s="57"/>
      <c r="L383" s="57"/>
      <c r="M383" s="6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</row>
    <row r="384">
      <c r="A384" s="57"/>
      <c r="B384" s="57"/>
      <c r="C384" s="57"/>
      <c r="D384" s="57"/>
      <c r="E384" s="57"/>
      <c r="F384" s="57"/>
      <c r="G384" s="57"/>
      <c r="K384" s="57"/>
      <c r="L384" s="57"/>
      <c r="M384" s="6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</row>
    <row r="385">
      <c r="A385" s="57"/>
      <c r="B385" s="57"/>
      <c r="C385" s="57"/>
      <c r="D385" s="57"/>
      <c r="E385" s="57"/>
      <c r="F385" s="57"/>
      <c r="G385" s="57"/>
      <c r="K385" s="57"/>
      <c r="L385" s="57"/>
      <c r="M385" s="6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</row>
    <row r="386">
      <c r="A386" s="57"/>
      <c r="B386" s="57"/>
      <c r="C386" s="57"/>
      <c r="D386" s="57"/>
      <c r="E386" s="57"/>
      <c r="F386" s="57"/>
      <c r="G386" s="57"/>
      <c r="K386" s="57"/>
      <c r="L386" s="57"/>
      <c r="M386" s="6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</row>
    <row r="387">
      <c r="A387" s="57"/>
      <c r="B387" s="57"/>
      <c r="C387" s="57"/>
      <c r="D387" s="57"/>
      <c r="E387" s="57"/>
      <c r="F387" s="57"/>
      <c r="G387" s="57"/>
      <c r="K387" s="57"/>
      <c r="L387" s="57"/>
      <c r="M387" s="6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</row>
    <row r="388">
      <c r="A388" s="57"/>
      <c r="B388" s="57"/>
      <c r="C388" s="57"/>
      <c r="D388" s="57"/>
      <c r="E388" s="57"/>
      <c r="F388" s="57"/>
      <c r="G388" s="57"/>
      <c r="K388" s="57"/>
      <c r="L388" s="57"/>
      <c r="M388" s="6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</row>
    <row r="389">
      <c r="A389" s="57"/>
      <c r="B389" s="57"/>
      <c r="C389" s="57"/>
      <c r="D389" s="57"/>
      <c r="E389" s="57"/>
      <c r="F389" s="57"/>
      <c r="G389" s="57"/>
      <c r="K389" s="57"/>
      <c r="L389" s="57"/>
      <c r="M389" s="6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</row>
    <row r="390">
      <c r="A390" s="57"/>
      <c r="B390" s="57"/>
      <c r="C390" s="57"/>
      <c r="D390" s="57"/>
      <c r="E390" s="57"/>
      <c r="F390" s="57"/>
      <c r="G390" s="57"/>
      <c r="K390" s="57"/>
      <c r="L390" s="57"/>
      <c r="M390" s="6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</row>
    <row r="391">
      <c r="A391" s="57"/>
      <c r="B391" s="57"/>
      <c r="C391" s="57"/>
      <c r="D391" s="57"/>
      <c r="E391" s="57"/>
      <c r="F391" s="57"/>
      <c r="G391" s="57"/>
      <c r="K391" s="57"/>
      <c r="L391" s="57"/>
      <c r="M391" s="6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</row>
    <row r="392">
      <c r="A392" s="57"/>
      <c r="B392" s="57"/>
      <c r="C392" s="57"/>
      <c r="D392" s="57"/>
      <c r="E392" s="57"/>
      <c r="F392" s="57"/>
      <c r="G392" s="57"/>
      <c r="K392" s="57"/>
      <c r="L392" s="57"/>
      <c r="M392" s="6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</row>
    <row r="393">
      <c r="A393" s="57"/>
      <c r="B393" s="57"/>
      <c r="C393" s="57"/>
      <c r="D393" s="57"/>
      <c r="E393" s="57"/>
      <c r="F393" s="57"/>
      <c r="G393" s="57"/>
      <c r="K393" s="57"/>
      <c r="L393" s="57"/>
      <c r="M393" s="6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</row>
    <row r="394">
      <c r="A394" s="57"/>
      <c r="B394" s="57"/>
      <c r="C394" s="57"/>
      <c r="D394" s="57"/>
      <c r="E394" s="57"/>
      <c r="F394" s="57"/>
      <c r="G394" s="57"/>
      <c r="K394" s="57"/>
      <c r="L394" s="57"/>
      <c r="M394" s="6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</row>
    <row r="395">
      <c r="A395" s="57"/>
      <c r="B395" s="57"/>
      <c r="C395" s="57"/>
      <c r="D395" s="57"/>
      <c r="E395" s="57"/>
      <c r="F395" s="57"/>
      <c r="G395" s="57"/>
      <c r="K395" s="57"/>
      <c r="L395" s="57"/>
      <c r="M395" s="6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</row>
    <row r="396">
      <c r="A396" s="57"/>
      <c r="B396" s="57"/>
      <c r="C396" s="57"/>
      <c r="D396" s="57"/>
      <c r="E396" s="57"/>
      <c r="F396" s="57"/>
      <c r="G396" s="57"/>
      <c r="K396" s="57"/>
      <c r="L396" s="57"/>
      <c r="M396" s="6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</row>
    <row r="397">
      <c r="A397" s="57"/>
      <c r="B397" s="57"/>
      <c r="C397" s="57"/>
      <c r="D397" s="57"/>
      <c r="E397" s="57"/>
      <c r="F397" s="57"/>
      <c r="G397" s="57"/>
      <c r="K397" s="57"/>
      <c r="L397" s="57"/>
      <c r="M397" s="6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</row>
    <row r="398">
      <c r="A398" s="57"/>
      <c r="B398" s="57"/>
      <c r="C398" s="57"/>
      <c r="D398" s="57"/>
      <c r="E398" s="57"/>
      <c r="F398" s="57"/>
      <c r="G398" s="57"/>
      <c r="K398" s="57"/>
      <c r="L398" s="57"/>
      <c r="M398" s="6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</row>
    <row r="399">
      <c r="A399" s="57"/>
      <c r="B399" s="57"/>
      <c r="C399" s="57"/>
      <c r="D399" s="57"/>
      <c r="E399" s="57"/>
      <c r="F399" s="57"/>
      <c r="G399" s="57"/>
      <c r="K399" s="57"/>
      <c r="L399" s="57"/>
      <c r="M399" s="6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</row>
    <row r="400">
      <c r="A400" s="57"/>
      <c r="B400" s="57"/>
      <c r="C400" s="57"/>
      <c r="D400" s="57"/>
      <c r="E400" s="57"/>
      <c r="F400" s="57"/>
      <c r="G400" s="57"/>
      <c r="K400" s="57"/>
      <c r="L400" s="57"/>
      <c r="M400" s="6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</row>
    <row r="401">
      <c r="A401" s="57"/>
      <c r="B401" s="57"/>
      <c r="C401" s="57"/>
      <c r="D401" s="57"/>
      <c r="E401" s="57"/>
      <c r="F401" s="57"/>
      <c r="G401" s="57"/>
      <c r="K401" s="57"/>
      <c r="L401" s="57"/>
      <c r="M401" s="6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</row>
    <row r="402">
      <c r="A402" s="57"/>
      <c r="B402" s="57"/>
      <c r="C402" s="57"/>
      <c r="D402" s="57"/>
      <c r="E402" s="57"/>
      <c r="F402" s="57"/>
      <c r="G402" s="57"/>
      <c r="K402" s="57"/>
      <c r="L402" s="57"/>
      <c r="M402" s="6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</row>
    <row r="403">
      <c r="A403" s="57"/>
      <c r="B403" s="57"/>
      <c r="C403" s="57"/>
      <c r="D403" s="57"/>
      <c r="E403" s="57"/>
      <c r="F403" s="57"/>
      <c r="G403" s="57"/>
      <c r="K403" s="57"/>
      <c r="L403" s="57"/>
      <c r="M403" s="6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</row>
    <row r="404">
      <c r="A404" s="57"/>
      <c r="B404" s="57"/>
      <c r="C404" s="57"/>
      <c r="D404" s="57"/>
      <c r="E404" s="57"/>
      <c r="F404" s="57"/>
      <c r="G404" s="57"/>
      <c r="K404" s="57"/>
      <c r="L404" s="57"/>
      <c r="M404" s="6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</row>
    <row r="405">
      <c r="A405" s="57"/>
      <c r="B405" s="57"/>
      <c r="C405" s="57"/>
      <c r="D405" s="57"/>
      <c r="E405" s="57"/>
      <c r="F405" s="57"/>
      <c r="G405" s="57"/>
      <c r="K405" s="57"/>
      <c r="L405" s="57"/>
      <c r="M405" s="6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</row>
    <row r="406">
      <c r="A406" s="57"/>
      <c r="B406" s="57"/>
      <c r="C406" s="57"/>
      <c r="D406" s="57"/>
      <c r="E406" s="57"/>
      <c r="F406" s="57"/>
      <c r="G406" s="57"/>
      <c r="K406" s="57"/>
      <c r="L406" s="57"/>
      <c r="M406" s="6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</row>
    <row r="407">
      <c r="A407" s="57"/>
      <c r="B407" s="57"/>
      <c r="C407" s="57"/>
      <c r="D407" s="57"/>
      <c r="E407" s="57"/>
      <c r="F407" s="57"/>
      <c r="G407" s="57"/>
      <c r="K407" s="57"/>
      <c r="L407" s="57"/>
      <c r="M407" s="6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</row>
    <row r="408">
      <c r="A408" s="57"/>
      <c r="B408" s="57"/>
      <c r="C408" s="57"/>
      <c r="D408" s="57"/>
      <c r="E408" s="57"/>
      <c r="F408" s="57"/>
      <c r="G408" s="57"/>
      <c r="K408" s="57"/>
      <c r="L408" s="57"/>
      <c r="M408" s="6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</row>
    <row r="409">
      <c r="A409" s="57"/>
      <c r="B409" s="57"/>
      <c r="C409" s="57"/>
      <c r="D409" s="57"/>
      <c r="E409" s="57"/>
      <c r="F409" s="57"/>
      <c r="G409" s="57"/>
      <c r="K409" s="57"/>
      <c r="L409" s="57"/>
      <c r="M409" s="6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</row>
    <row r="410">
      <c r="A410" s="57"/>
      <c r="B410" s="57"/>
      <c r="C410" s="57"/>
      <c r="D410" s="57"/>
      <c r="E410" s="57"/>
      <c r="F410" s="57"/>
      <c r="G410" s="57"/>
      <c r="K410" s="57"/>
      <c r="L410" s="57"/>
      <c r="M410" s="6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</row>
    <row r="411">
      <c r="A411" s="57"/>
      <c r="B411" s="57"/>
      <c r="C411" s="57"/>
      <c r="D411" s="57"/>
      <c r="E411" s="57"/>
      <c r="F411" s="57"/>
      <c r="G411" s="57"/>
      <c r="K411" s="57"/>
      <c r="L411" s="57"/>
      <c r="M411" s="6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</row>
    <row r="412">
      <c r="A412" s="57"/>
      <c r="B412" s="57"/>
      <c r="C412" s="57"/>
      <c r="D412" s="57"/>
      <c r="E412" s="57"/>
      <c r="F412" s="57"/>
      <c r="G412" s="57"/>
      <c r="K412" s="57"/>
      <c r="L412" s="57"/>
      <c r="M412" s="6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</row>
    <row r="413">
      <c r="A413" s="57"/>
      <c r="B413" s="57"/>
      <c r="C413" s="57"/>
      <c r="D413" s="57"/>
      <c r="E413" s="57"/>
      <c r="F413" s="57"/>
      <c r="G413" s="57"/>
      <c r="K413" s="57"/>
      <c r="L413" s="57"/>
      <c r="M413" s="6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</row>
    <row r="414">
      <c r="A414" s="57"/>
      <c r="B414" s="57"/>
      <c r="C414" s="57"/>
      <c r="D414" s="57"/>
      <c r="E414" s="57"/>
      <c r="F414" s="57"/>
      <c r="G414" s="57"/>
      <c r="K414" s="57"/>
      <c r="L414" s="57"/>
      <c r="M414" s="6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</row>
    <row r="415">
      <c r="A415" s="57"/>
      <c r="B415" s="57"/>
      <c r="C415" s="57"/>
      <c r="D415" s="57"/>
      <c r="E415" s="57"/>
      <c r="F415" s="57"/>
      <c r="G415" s="57"/>
      <c r="K415" s="57"/>
      <c r="L415" s="57"/>
      <c r="M415" s="6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</row>
    <row r="416">
      <c r="A416" s="57"/>
      <c r="B416" s="57"/>
      <c r="C416" s="57"/>
      <c r="D416" s="57"/>
      <c r="E416" s="57"/>
      <c r="F416" s="57"/>
      <c r="G416" s="57"/>
      <c r="K416" s="57"/>
      <c r="L416" s="57"/>
      <c r="M416" s="6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</row>
    <row r="417">
      <c r="A417" s="57"/>
      <c r="B417" s="57"/>
      <c r="C417" s="57"/>
      <c r="D417" s="57"/>
      <c r="E417" s="57"/>
      <c r="F417" s="57"/>
      <c r="G417" s="57"/>
      <c r="K417" s="57"/>
      <c r="L417" s="57"/>
      <c r="M417" s="6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</row>
    <row r="418">
      <c r="A418" s="57"/>
      <c r="B418" s="57"/>
      <c r="C418" s="57"/>
      <c r="D418" s="57"/>
      <c r="E418" s="57"/>
      <c r="F418" s="57"/>
      <c r="G418" s="57"/>
      <c r="K418" s="57"/>
      <c r="L418" s="57"/>
      <c r="M418" s="6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</row>
    <row r="419">
      <c r="A419" s="57"/>
      <c r="B419" s="57"/>
      <c r="C419" s="57"/>
      <c r="D419" s="57"/>
      <c r="E419" s="57"/>
      <c r="F419" s="57"/>
      <c r="G419" s="57"/>
      <c r="K419" s="57"/>
      <c r="L419" s="57"/>
      <c r="M419" s="6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</row>
    <row r="420">
      <c r="A420" s="57"/>
      <c r="B420" s="57"/>
      <c r="C420" s="57"/>
      <c r="D420" s="57"/>
      <c r="E420" s="57"/>
      <c r="F420" s="57"/>
      <c r="G420" s="57"/>
      <c r="K420" s="57"/>
      <c r="L420" s="57"/>
      <c r="M420" s="6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</row>
    <row r="421">
      <c r="A421" s="57"/>
      <c r="B421" s="57"/>
      <c r="C421" s="57"/>
      <c r="D421" s="57"/>
      <c r="E421" s="57"/>
      <c r="F421" s="57"/>
      <c r="G421" s="57"/>
      <c r="K421" s="57"/>
      <c r="L421" s="57"/>
      <c r="M421" s="6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</row>
    <row r="422">
      <c r="A422" s="57"/>
      <c r="B422" s="57"/>
      <c r="C422" s="57"/>
      <c r="D422" s="57"/>
      <c r="E422" s="57"/>
      <c r="F422" s="57"/>
      <c r="G422" s="57"/>
      <c r="K422" s="57"/>
      <c r="L422" s="57"/>
      <c r="M422" s="6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</row>
    <row r="423">
      <c r="A423" s="57"/>
      <c r="B423" s="57"/>
      <c r="C423" s="57"/>
      <c r="D423" s="57"/>
      <c r="E423" s="57"/>
      <c r="F423" s="57"/>
      <c r="G423" s="57"/>
      <c r="K423" s="57"/>
      <c r="L423" s="57"/>
      <c r="M423" s="6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</row>
    <row r="424">
      <c r="A424" s="57"/>
      <c r="B424" s="57"/>
      <c r="C424" s="57"/>
      <c r="D424" s="57"/>
      <c r="E424" s="57"/>
      <c r="F424" s="57"/>
      <c r="G424" s="57"/>
      <c r="K424" s="57"/>
      <c r="L424" s="57"/>
      <c r="M424" s="6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</row>
    <row r="425">
      <c r="A425" s="57"/>
      <c r="B425" s="57"/>
      <c r="C425" s="57"/>
      <c r="D425" s="57"/>
      <c r="E425" s="57"/>
      <c r="F425" s="57"/>
      <c r="G425" s="57"/>
      <c r="K425" s="57"/>
      <c r="L425" s="57"/>
      <c r="M425" s="6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</row>
    <row r="426">
      <c r="A426" s="57"/>
      <c r="B426" s="57"/>
      <c r="C426" s="57"/>
      <c r="D426" s="57"/>
      <c r="E426" s="57"/>
      <c r="F426" s="57"/>
      <c r="G426" s="57"/>
      <c r="K426" s="57"/>
      <c r="L426" s="57"/>
      <c r="M426" s="6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</row>
    <row r="427">
      <c r="A427" s="57"/>
      <c r="B427" s="57"/>
      <c r="C427" s="57"/>
      <c r="D427" s="57"/>
      <c r="E427" s="57"/>
      <c r="F427" s="57"/>
      <c r="G427" s="57"/>
      <c r="K427" s="57"/>
      <c r="L427" s="57"/>
      <c r="M427" s="6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</row>
    <row r="428">
      <c r="A428" s="57"/>
      <c r="B428" s="57"/>
      <c r="C428" s="57"/>
      <c r="D428" s="57"/>
      <c r="E428" s="57"/>
      <c r="F428" s="57"/>
      <c r="G428" s="57"/>
      <c r="K428" s="57"/>
      <c r="L428" s="57"/>
      <c r="M428" s="6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</row>
    <row r="429">
      <c r="A429" s="57"/>
      <c r="B429" s="57"/>
      <c r="C429" s="57"/>
      <c r="D429" s="57"/>
      <c r="E429" s="57"/>
      <c r="F429" s="57"/>
      <c r="G429" s="57"/>
      <c r="K429" s="57"/>
      <c r="L429" s="57"/>
      <c r="M429" s="6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</row>
    <row r="430">
      <c r="A430" s="57"/>
      <c r="B430" s="57"/>
      <c r="C430" s="57"/>
      <c r="D430" s="57"/>
      <c r="E430" s="57"/>
      <c r="F430" s="57"/>
      <c r="G430" s="57"/>
      <c r="K430" s="57"/>
      <c r="L430" s="57"/>
      <c r="M430" s="6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</row>
    <row r="431">
      <c r="A431" s="57"/>
      <c r="B431" s="57"/>
      <c r="C431" s="57"/>
      <c r="D431" s="57"/>
      <c r="E431" s="57"/>
      <c r="F431" s="57"/>
      <c r="G431" s="57"/>
      <c r="K431" s="57"/>
      <c r="L431" s="57"/>
      <c r="M431" s="6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</row>
    <row r="432">
      <c r="A432" s="57"/>
      <c r="B432" s="57"/>
      <c r="C432" s="57"/>
      <c r="D432" s="57"/>
      <c r="E432" s="57"/>
      <c r="F432" s="57"/>
      <c r="G432" s="57"/>
      <c r="K432" s="57"/>
      <c r="L432" s="57"/>
      <c r="M432" s="6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</row>
    <row r="433">
      <c r="A433" s="57"/>
      <c r="B433" s="57"/>
      <c r="C433" s="57"/>
      <c r="D433" s="57"/>
      <c r="E433" s="57"/>
      <c r="F433" s="57"/>
      <c r="G433" s="57"/>
      <c r="K433" s="57"/>
      <c r="L433" s="57"/>
      <c r="M433" s="6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</row>
    <row r="434">
      <c r="A434" s="57"/>
      <c r="B434" s="57"/>
      <c r="C434" s="57"/>
      <c r="D434" s="57"/>
      <c r="E434" s="57"/>
      <c r="F434" s="57"/>
      <c r="G434" s="57"/>
      <c r="K434" s="57"/>
      <c r="L434" s="57"/>
      <c r="M434" s="6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</row>
    <row r="435">
      <c r="A435" s="57"/>
      <c r="B435" s="57"/>
      <c r="C435" s="57"/>
      <c r="D435" s="57"/>
      <c r="E435" s="57"/>
      <c r="F435" s="57"/>
      <c r="G435" s="57"/>
      <c r="K435" s="57"/>
      <c r="L435" s="57"/>
      <c r="M435" s="6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</row>
    <row r="436">
      <c r="A436" s="57"/>
      <c r="B436" s="57"/>
      <c r="C436" s="57"/>
      <c r="D436" s="57"/>
      <c r="E436" s="57"/>
      <c r="F436" s="57"/>
      <c r="G436" s="57"/>
      <c r="K436" s="57"/>
      <c r="L436" s="57"/>
      <c r="M436" s="6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</row>
    <row r="437">
      <c r="A437" s="57"/>
      <c r="B437" s="57"/>
      <c r="C437" s="57"/>
      <c r="D437" s="57"/>
      <c r="E437" s="57"/>
      <c r="F437" s="57"/>
      <c r="G437" s="57"/>
      <c r="K437" s="57"/>
      <c r="L437" s="57"/>
      <c r="M437" s="6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</row>
    <row r="438">
      <c r="A438" s="57"/>
      <c r="B438" s="57"/>
      <c r="C438" s="57"/>
      <c r="D438" s="57"/>
      <c r="E438" s="57"/>
      <c r="F438" s="57"/>
      <c r="G438" s="57"/>
      <c r="K438" s="57"/>
      <c r="L438" s="57"/>
      <c r="M438" s="6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</row>
    <row r="439">
      <c r="A439" s="57"/>
      <c r="B439" s="57"/>
      <c r="C439" s="57"/>
      <c r="D439" s="57"/>
      <c r="E439" s="57"/>
      <c r="F439" s="57"/>
      <c r="G439" s="57"/>
      <c r="K439" s="57"/>
      <c r="L439" s="57"/>
      <c r="M439" s="6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</row>
    <row r="440">
      <c r="A440" s="57"/>
      <c r="B440" s="57"/>
      <c r="C440" s="57"/>
      <c r="D440" s="57"/>
      <c r="E440" s="57"/>
      <c r="F440" s="57"/>
      <c r="G440" s="57"/>
      <c r="K440" s="57"/>
      <c r="L440" s="57"/>
      <c r="M440" s="6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</row>
    <row r="441">
      <c r="A441" s="57"/>
      <c r="B441" s="57"/>
      <c r="C441" s="57"/>
      <c r="D441" s="57"/>
      <c r="E441" s="57"/>
      <c r="F441" s="57"/>
      <c r="G441" s="57"/>
      <c r="K441" s="57"/>
      <c r="L441" s="57"/>
      <c r="M441" s="6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</row>
    <row r="442">
      <c r="A442" s="57"/>
      <c r="B442" s="57"/>
      <c r="C442" s="57"/>
      <c r="D442" s="57"/>
      <c r="E442" s="57"/>
      <c r="F442" s="57"/>
      <c r="G442" s="57"/>
      <c r="K442" s="57"/>
      <c r="L442" s="57"/>
      <c r="M442" s="6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</row>
    <row r="443">
      <c r="A443" s="57"/>
      <c r="B443" s="57"/>
      <c r="C443" s="57"/>
      <c r="D443" s="57"/>
      <c r="E443" s="57"/>
      <c r="F443" s="57"/>
      <c r="G443" s="57"/>
      <c r="K443" s="57"/>
      <c r="L443" s="57"/>
      <c r="M443" s="6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</row>
    <row r="444">
      <c r="A444" s="57"/>
      <c r="B444" s="57"/>
      <c r="C444" s="57"/>
      <c r="D444" s="57"/>
      <c r="E444" s="57"/>
      <c r="F444" s="57"/>
      <c r="G444" s="57"/>
      <c r="K444" s="57"/>
      <c r="L444" s="57"/>
      <c r="M444" s="6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</row>
    <row r="445">
      <c r="A445" s="57"/>
      <c r="B445" s="57"/>
      <c r="C445" s="57"/>
      <c r="D445" s="57"/>
      <c r="E445" s="57"/>
      <c r="F445" s="57"/>
      <c r="G445" s="57"/>
      <c r="K445" s="57"/>
      <c r="L445" s="57"/>
      <c r="M445" s="6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</row>
    <row r="446">
      <c r="A446" s="57"/>
      <c r="B446" s="57"/>
      <c r="C446" s="57"/>
      <c r="D446" s="57"/>
      <c r="E446" s="57"/>
      <c r="F446" s="57"/>
      <c r="G446" s="57"/>
      <c r="K446" s="57"/>
      <c r="L446" s="57"/>
      <c r="M446" s="6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</row>
    <row r="447">
      <c r="A447" s="57"/>
      <c r="B447" s="57"/>
      <c r="C447" s="57"/>
      <c r="D447" s="57"/>
      <c r="E447" s="57"/>
      <c r="F447" s="57"/>
      <c r="G447" s="57"/>
      <c r="K447" s="57"/>
      <c r="L447" s="57"/>
      <c r="M447" s="6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</row>
    <row r="448">
      <c r="A448" s="57"/>
      <c r="B448" s="57"/>
      <c r="C448" s="57"/>
      <c r="D448" s="57"/>
      <c r="E448" s="57"/>
      <c r="F448" s="57"/>
      <c r="G448" s="57"/>
      <c r="K448" s="57"/>
      <c r="L448" s="57"/>
      <c r="M448" s="6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</row>
    <row r="449">
      <c r="A449" s="57"/>
      <c r="B449" s="57"/>
      <c r="C449" s="57"/>
      <c r="D449" s="57"/>
      <c r="E449" s="57"/>
      <c r="F449" s="57"/>
      <c r="G449" s="57"/>
      <c r="K449" s="57"/>
      <c r="L449" s="57"/>
      <c r="M449" s="6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</row>
    <row r="450">
      <c r="A450" s="57"/>
      <c r="B450" s="57"/>
      <c r="C450" s="57"/>
      <c r="D450" s="57"/>
      <c r="E450" s="57"/>
      <c r="F450" s="57"/>
      <c r="G450" s="57"/>
      <c r="K450" s="57"/>
      <c r="L450" s="57"/>
      <c r="M450" s="6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</row>
    <row r="451">
      <c r="A451" s="57"/>
      <c r="B451" s="57"/>
      <c r="C451" s="57"/>
      <c r="D451" s="57"/>
      <c r="E451" s="57"/>
      <c r="F451" s="57"/>
      <c r="G451" s="57"/>
      <c r="K451" s="57"/>
      <c r="L451" s="57"/>
      <c r="M451" s="6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</row>
    <row r="452">
      <c r="A452" s="57"/>
      <c r="B452" s="57"/>
      <c r="C452" s="57"/>
      <c r="D452" s="57"/>
      <c r="E452" s="57"/>
      <c r="F452" s="57"/>
      <c r="G452" s="57"/>
      <c r="K452" s="57"/>
      <c r="L452" s="57"/>
      <c r="M452" s="6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</row>
    <row r="453">
      <c r="A453" s="57"/>
      <c r="B453" s="57"/>
      <c r="C453" s="57"/>
      <c r="D453" s="57"/>
      <c r="E453" s="57"/>
      <c r="F453" s="57"/>
      <c r="G453" s="57"/>
      <c r="K453" s="57"/>
      <c r="L453" s="57"/>
      <c r="M453" s="6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</row>
    <row r="454">
      <c r="A454" s="57"/>
      <c r="B454" s="57"/>
      <c r="C454" s="57"/>
      <c r="D454" s="57"/>
      <c r="E454" s="57"/>
      <c r="F454" s="57"/>
      <c r="G454" s="57"/>
      <c r="K454" s="57"/>
      <c r="L454" s="57"/>
      <c r="M454" s="6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</row>
    <row r="455">
      <c r="A455" s="57"/>
      <c r="B455" s="57"/>
      <c r="C455" s="57"/>
      <c r="D455" s="57"/>
      <c r="E455" s="57"/>
      <c r="F455" s="57"/>
      <c r="G455" s="57"/>
      <c r="K455" s="57"/>
      <c r="L455" s="57"/>
      <c r="M455" s="6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</row>
    <row r="456">
      <c r="A456" s="57"/>
      <c r="B456" s="57"/>
      <c r="C456" s="57"/>
      <c r="D456" s="57"/>
      <c r="E456" s="57"/>
      <c r="F456" s="57"/>
      <c r="G456" s="57"/>
      <c r="K456" s="57"/>
      <c r="L456" s="57"/>
      <c r="M456" s="6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</row>
    <row r="457">
      <c r="A457" s="57"/>
      <c r="B457" s="57"/>
      <c r="C457" s="57"/>
      <c r="D457" s="57"/>
      <c r="E457" s="57"/>
      <c r="F457" s="57"/>
      <c r="G457" s="57"/>
      <c r="K457" s="57"/>
      <c r="L457" s="57"/>
      <c r="M457" s="6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</row>
    <row r="458">
      <c r="A458" s="57"/>
      <c r="B458" s="57"/>
      <c r="C458" s="57"/>
      <c r="D458" s="57"/>
      <c r="E458" s="57"/>
      <c r="F458" s="57"/>
      <c r="G458" s="57"/>
      <c r="K458" s="57"/>
      <c r="L458" s="57"/>
      <c r="M458" s="6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</row>
    <row r="459">
      <c r="A459" s="57"/>
      <c r="B459" s="57"/>
      <c r="C459" s="57"/>
      <c r="D459" s="57"/>
      <c r="E459" s="57"/>
      <c r="F459" s="57"/>
      <c r="G459" s="57"/>
      <c r="K459" s="57"/>
      <c r="L459" s="57"/>
      <c r="M459" s="6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</row>
    <row r="460">
      <c r="A460" s="57"/>
      <c r="B460" s="57"/>
      <c r="C460" s="57"/>
      <c r="D460" s="57"/>
      <c r="E460" s="57"/>
      <c r="F460" s="57"/>
      <c r="G460" s="57"/>
      <c r="K460" s="57"/>
      <c r="L460" s="57"/>
      <c r="M460" s="6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</row>
    <row r="461">
      <c r="A461" s="57"/>
      <c r="B461" s="57"/>
      <c r="C461" s="57"/>
      <c r="D461" s="57"/>
      <c r="E461" s="57"/>
      <c r="F461" s="57"/>
      <c r="G461" s="57"/>
      <c r="K461" s="57"/>
      <c r="L461" s="57"/>
      <c r="M461" s="6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</row>
    <row r="462">
      <c r="A462" s="57"/>
      <c r="B462" s="57"/>
      <c r="C462" s="57"/>
      <c r="D462" s="57"/>
      <c r="E462" s="57"/>
      <c r="F462" s="57"/>
      <c r="G462" s="57"/>
      <c r="K462" s="57"/>
      <c r="L462" s="57"/>
      <c r="M462" s="6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</row>
    <row r="463">
      <c r="A463" s="57"/>
      <c r="B463" s="57"/>
      <c r="C463" s="57"/>
      <c r="D463" s="57"/>
      <c r="E463" s="57"/>
      <c r="F463" s="57"/>
      <c r="G463" s="57"/>
      <c r="K463" s="57"/>
      <c r="L463" s="57"/>
      <c r="M463" s="6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</row>
    <row r="464">
      <c r="A464" s="57"/>
      <c r="B464" s="57"/>
      <c r="C464" s="57"/>
      <c r="D464" s="57"/>
      <c r="E464" s="57"/>
      <c r="F464" s="57"/>
      <c r="G464" s="57"/>
      <c r="K464" s="57"/>
      <c r="L464" s="57"/>
      <c r="M464" s="6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</row>
    <row r="465">
      <c r="A465" s="57"/>
      <c r="B465" s="57"/>
      <c r="C465" s="57"/>
      <c r="D465" s="57"/>
      <c r="E465" s="57"/>
      <c r="F465" s="57"/>
      <c r="G465" s="57"/>
      <c r="K465" s="57"/>
      <c r="L465" s="57"/>
      <c r="M465" s="6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</row>
    <row r="466">
      <c r="A466" s="57"/>
      <c r="B466" s="57"/>
      <c r="C466" s="57"/>
      <c r="D466" s="57"/>
      <c r="E466" s="57"/>
      <c r="F466" s="57"/>
      <c r="G466" s="57"/>
      <c r="K466" s="57"/>
      <c r="L466" s="57"/>
      <c r="M466" s="6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</row>
    <row r="467">
      <c r="A467" s="57"/>
      <c r="B467" s="57"/>
      <c r="C467" s="57"/>
      <c r="D467" s="57"/>
      <c r="E467" s="57"/>
      <c r="F467" s="57"/>
      <c r="G467" s="57"/>
      <c r="K467" s="57"/>
      <c r="L467" s="57"/>
      <c r="M467" s="6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</row>
    <row r="468">
      <c r="A468" s="57"/>
      <c r="B468" s="57"/>
      <c r="C468" s="57"/>
      <c r="D468" s="57"/>
      <c r="E468" s="57"/>
      <c r="F468" s="57"/>
      <c r="G468" s="57"/>
      <c r="K468" s="57"/>
      <c r="L468" s="57"/>
      <c r="M468" s="6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</row>
    <row r="469">
      <c r="A469" s="57"/>
      <c r="B469" s="57"/>
      <c r="C469" s="57"/>
      <c r="D469" s="57"/>
      <c r="E469" s="57"/>
      <c r="F469" s="57"/>
      <c r="G469" s="57"/>
      <c r="K469" s="57"/>
      <c r="L469" s="57"/>
      <c r="M469" s="6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</row>
    <row r="470">
      <c r="A470" s="57"/>
      <c r="B470" s="57"/>
      <c r="C470" s="57"/>
      <c r="D470" s="57"/>
      <c r="E470" s="57"/>
      <c r="F470" s="57"/>
      <c r="G470" s="57"/>
      <c r="K470" s="57"/>
      <c r="L470" s="57"/>
      <c r="M470" s="6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</row>
    <row r="471">
      <c r="A471" s="57"/>
      <c r="B471" s="57"/>
      <c r="C471" s="57"/>
      <c r="D471" s="57"/>
      <c r="E471" s="57"/>
      <c r="F471" s="57"/>
      <c r="G471" s="57"/>
      <c r="K471" s="57"/>
      <c r="L471" s="57"/>
      <c r="M471" s="6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</row>
    <row r="472">
      <c r="A472" s="57"/>
      <c r="B472" s="57"/>
      <c r="C472" s="57"/>
      <c r="D472" s="57"/>
      <c r="E472" s="57"/>
      <c r="F472" s="57"/>
      <c r="G472" s="57"/>
      <c r="K472" s="57"/>
      <c r="L472" s="57"/>
      <c r="M472" s="6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</row>
    <row r="473">
      <c r="A473" s="57"/>
      <c r="B473" s="57"/>
      <c r="C473" s="57"/>
      <c r="D473" s="57"/>
      <c r="E473" s="57"/>
      <c r="F473" s="57"/>
      <c r="G473" s="57"/>
      <c r="K473" s="57"/>
      <c r="L473" s="57"/>
      <c r="M473" s="6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</row>
    <row r="474">
      <c r="A474" s="57"/>
      <c r="B474" s="57"/>
      <c r="C474" s="57"/>
      <c r="D474" s="57"/>
      <c r="E474" s="57"/>
      <c r="F474" s="57"/>
      <c r="G474" s="57"/>
      <c r="K474" s="57"/>
      <c r="L474" s="57"/>
      <c r="M474" s="6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</row>
    <row r="475">
      <c r="A475" s="57"/>
      <c r="B475" s="57"/>
      <c r="C475" s="57"/>
      <c r="D475" s="57"/>
      <c r="E475" s="57"/>
      <c r="F475" s="57"/>
      <c r="G475" s="57"/>
      <c r="K475" s="57"/>
      <c r="L475" s="57"/>
      <c r="M475" s="6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</row>
    <row r="476">
      <c r="A476" s="57"/>
      <c r="B476" s="57"/>
      <c r="C476" s="57"/>
      <c r="D476" s="57"/>
      <c r="E476" s="57"/>
      <c r="F476" s="57"/>
      <c r="G476" s="57"/>
      <c r="K476" s="57"/>
      <c r="L476" s="57"/>
      <c r="M476" s="6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</row>
    <row r="477">
      <c r="A477" s="57"/>
      <c r="B477" s="57"/>
      <c r="C477" s="57"/>
      <c r="D477" s="57"/>
      <c r="E477" s="57"/>
      <c r="F477" s="57"/>
      <c r="G477" s="57"/>
      <c r="K477" s="57"/>
      <c r="L477" s="57"/>
      <c r="M477" s="6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</row>
    <row r="478">
      <c r="A478" s="57"/>
      <c r="B478" s="57"/>
      <c r="C478" s="57"/>
      <c r="D478" s="57"/>
      <c r="E478" s="57"/>
      <c r="F478" s="57"/>
      <c r="G478" s="57"/>
      <c r="K478" s="57"/>
      <c r="L478" s="57"/>
      <c r="M478" s="6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</row>
    <row r="479">
      <c r="A479" s="57"/>
      <c r="B479" s="57"/>
      <c r="C479" s="57"/>
      <c r="D479" s="57"/>
      <c r="E479" s="57"/>
      <c r="F479" s="57"/>
      <c r="G479" s="57"/>
      <c r="K479" s="57"/>
      <c r="L479" s="57"/>
      <c r="M479" s="6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</row>
    <row r="480">
      <c r="A480" s="57"/>
      <c r="B480" s="57"/>
      <c r="C480" s="57"/>
      <c r="D480" s="57"/>
      <c r="E480" s="57"/>
      <c r="F480" s="57"/>
      <c r="G480" s="57"/>
      <c r="K480" s="57"/>
      <c r="L480" s="57"/>
      <c r="M480" s="6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</row>
    <row r="481">
      <c r="A481" s="57"/>
      <c r="B481" s="57"/>
      <c r="C481" s="57"/>
      <c r="D481" s="57"/>
      <c r="E481" s="57"/>
      <c r="F481" s="57"/>
      <c r="G481" s="57"/>
      <c r="K481" s="57"/>
      <c r="L481" s="57"/>
      <c r="M481" s="6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</row>
    <row r="482">
      <c r="A482" s="57"/>
      <c r="B482" s="57"/>
      <c r="C482" s="57"/>
      <c r="D482" s="57"/>
      <c r="E482" s="57"/>
      <c r="F482" s="57"/>
      <c r="G482" s="57"/>
      <c r="K482" s="57"/>
      <c r="L482" s="57"/>
      <c r="M482" s="6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</row>
    <row r="483">
      <c r="A483" s="57"/>
      <c r="B483" s="57"/>
      <c r="C483" s="57"/>
      <c r="D483" s="57"/>
      <c r="E483" s="57"/>
      <c r="F483" s="57"/>
      <c r="G483" s="57"/>
      <c r="K483" s="57"/>
      <c r="L483" s="57"/>
      <c r="M483" s="6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</row>
    <row r="484">
      <c r="A484" s="57"/>
      <c r="B484" s="57"/>
      <c r="C484" s="57"/>
      <c r="D484" s="57"/>
      <c r="E484" s="57"/>
      <c r="F484" s="57"/>
      <c r="G484" s="57"/>
      <c r="K484" s="57"/>
      <c r="L484" s="57"/>
      <c r="M484" s="6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</row>
    <row r="485">
      <c r="A485" s="57"/>
      <c r="B485" s="57"/>
      <c r="C485" s="57"/>
      <c r="D485" s="57"/>
      <c r="E485" s="57"/>
      <c r="F485" s="57"/>
      <c r="G485" s="57"/>
      <c r="K485" s="57"/>
      <c r="L485" s="57"/>
      <c r="M485" s="6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</row>
    <row r="486">
      <c r="A486" s="57"/>
      <c r="B486" s="57"/>
      <c r="C486" s="57"/>
      <c r="D486" s="57"/>
      <c r="E486" s="57"/>
      <c r="F486" s="57"/>
      <c r="G486" s="57"/>
      <c r="K486" s="57"/>
      <c r="L486" s="57"/>
      <c r="M486" s="6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</row>
    <row r="487">
      <c r="A487" s="57"/>
      <c r="B487" s="57"/>
      <c r="C487" s="57"/>
      <c r="D487" s="57"/>
      <c r="E487" s="57"/>
      <c r="F487" s="57"/>
      <c r="G487" s="57"/>
      <c r="K487" s="57"/>
      <c r="L487" s="57"/>
      <c r="M487" s="6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</row>
    <row r="488">
      <c r="A488" s="57"/>
      <c r="B488" s="57"/>
      <c r="C488" s="57"/>
      <c r="D488" s="57"/>
      <c r="E488" s="57"/>
      <c r="F488" s="57"/>
      <c r="G488" s="57"/>
      <c r="K488" s="57"/>
      <c r="L488" s="57"/>
      <c r="M488" s="6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</row>
    <row r="489">
      <c r="A489" s="57"/>
      <c r="B489" s="57"/>
      <c r="C489" s="57"/>
      <c r="D489" s="57"/>
      <c r="E489" s="57"/>
      <c r="F489" s="57"/>
      <c r="G489" s="57"/>
      <c r="K489" s="57"/>
      <c r="L489" s="57"/>
      <c r="M489" s="6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</row>
    <row r="490">
      <c r="A490" s="57"/>
      <c r="B490" s="57"/>
      <c r="C490" s="57"/>
      <c r="D490" s="57"/>
      <c r="E490" s="57"/>
      <c r="F490" s="57"/>
      <c r="G490" s="57"/>
      <c r="K490" s="57"/>
      <c r="L490" s="57"/>
      <c r="M490" s="6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</row>
    <row r="491">
      <c r="A491" s="57"/>
      <c r="B491" s="57"/>
      <c r="C491" s="57"/>
      <c r="D491" s="57"/>
      <c r="E491" s="57"/>
      <c r="F491" s="57"/>
      <c r="G491" s="57"/>
      <c r="K491" s="57"/>
      <c r="L491" s="57"/>
      <c r="M491" s="6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</row>
    <row r="492">
      <c r="A492" s="57"/>
      <c r="B492" s="57"/>
      <c r="C492" s="57"/>
      <c r="D492" s="57"/>
      <c r="E492" s="57"/>
      <c r="F492" s="57"/>
      <c r="G492" s="57"/>
      <c r="K492" s="57"/>
      <c r="L492" s="57"/>
      <c r="M492" s="6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</row>
    <row r="493">
      <c r="A493" s="57"/>
      <c r="B493" s="57"/>
      <c r="C493" s="57"/>
      <c r="D493" s="57"/>
      <c r="E493" s="57"/>
      <c r="F493" s="57"/>
      <c r="G493" s="57"/>
      <c r="K493" s="57"/>
      <c r="L493" s="57"/>
      <c r="M493" s="6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</row>
    <row r="494">
      <c r="A494" s="57"/>
      <c r="B494" s="57"/>
      <c r="C494" s="57"/>
      <c r="D494" s="57"/>
      <c r="E494" s="57"/>
      <c r="F494" s="57"/>
      <c r="G494" s="57"/>
      <c r="K494" s="57"/>
      <c r="L494" s="57"/>
      <c r="M494" s="6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</row>
    <row r="495">
      <c r="A495" s="57"/>
      <c r="B495" s="57"/>
      <c r="C495" s="57"/>
      <c r="D495" s="57"/>
      <c r="E495" s="57"/>
      <c r="F495" s="57"/>
      <c r="G495" s="57"/>
      <c r="K495" s="57"/>
      <c r="L495" s="57"/>
      <c r="M495" s="6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</row>
    <row r="496">
      <c r="A496" s="57"/>
      <c r="B496" s="57"/>
      <c r="C496" s="57"/>
      <c r="D496" s="57"/>
      <c r="E496" s="57"/>
      <c r="F496" s="57"/>
      <c r="G496" s="57"/>
      <c r="K496" s="57"/>
      <c r="L496" s="57"/>
      <c r="M496" s="6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</row>
    <row r="497">
      <c r="A497" s="57"/>
      <c r="B497" s="57"/>
      <c r="C497" s="57"/>
      <c r="D497" s="57"/>
      <c r="E497" s="57"/>
      <c r="F497" s="57"/>
      <c r="G497" s="57"/>
      <c r="K497" s="57"/>
      <c r="L497" s="57"/>
      <c r="M497" s="6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</row>
    <row r="498">
      <c r="A498" s="57"/>
      <c r="B498" s="57"/>
      <c r="C498" s="57"/>
      <c r="D498" s="57"/>
      <c r="E498" s="57"/>
      <c r="F498" s="57"/>
      <c r="G498" s="57"/>
      <c r="K498" s="57"/>
      <c r="L498" s="57"/>
      <c r="M498" s="6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</row>
    <row r="499">
      <c r="A499" s="57"/>
      <c r="B499" s="57"/>
      <c r="C499" s="57"/>
      <c r="D499" s="57"/>
      <c r="E499" s="57"/>
      <c r="F499" s="57"/>
      <c r="G499" s="57"/>
      <c r="K499" s="57"/>
      <c r="L499" s="57"/>
      <c r="M499" s="6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</row>
    <row r="500">
      <c r="A500" s="57"/>
      <c r="B500" s="57"/>
      <c r="C500" s="57"/>
      <c r="D500" s="57"/>
      <c r="E500" s="57"/>
      <c r="F500" s="57"/>
      <c r="G500" s="57"/>
      <c r="K500" s="57"/>
      <c r="L500" s="57"/>
      <c r="M500" s="6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</row>
    <row r="501">
      <c r="A501" s="57"/>
      <c r="B501" s="57"/>
      <c r="C501" s="57"/>
      <c r="D501" s="57"/>
      <c r="E501" s="57"/>
      <c r="F501" s="57"/>
      <c r="G501" s="57"/>
      <c r="K501" s="57"/>
      <c r="L501" s="57"/>
      <c r="M501" s="6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</row>
    <row r="502">
      <c r="A502" s="57"/>
      <c r="B502" s="57"/>
      <c r="C502" s="57"/>
      <c r="D502" s="57"/>
      <c r="E502" s="57"/>
      <c r="F502" s="57"/>
      <c r="G502" s="57"/>
      <c r="K502" s="57"/>
      <c r="L502" s="57"/>
      <c r="M502" s="6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</row>
    <row r="503">
      <c r="A503" s="57"/>
      <c r="B503" s="57"/>
      <c r="C503" s="57"/>
      <c r="D503" s="57"/>
      <c r="E503" s="57"/>
      <c r="F503" s="57"/>
      <c r="G503" s="57"/>
      <c r="K503" s="57"/>
      <c r="L503" s="57"/>
      <c r="M503" s="6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</row>
    <row r="504">
      <c r="A504" s="57"/>
      <c r="B504" s="57"/>
      <c r="C504" s="57"/>
      <c r="D504" s="57"/>
      <c r="E504" s="57"/>
      <c r="F504" s="57"/>
      <c r="G504" s="57"/>
      <c r="K504" s="57"/>
      <c r="L504" s="57"/>
      <c r="M504" s="6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</row>
    <row r="505">
      <c r="A505" s="57"/>
      <c r="B505" s="57"/>
      <c r="C505" s="57"/>
      <c r="D505" s="57"/>
      <c r="E505" s="57"/>
      <c r="F505" s="57"/>
      <c r="G505" s="57"/>
      <c r="K505" s="57"/>
      <c r="L505" s="57"/>
      <c r="M505" s="6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</row>
    <row r="506">
      <c r="A506" s="57"/>
      <c r="B506" s="57"/>
      <c r="C506" s="57"/>
      <c r="D506" s="57"/>
      <c r="E506" s="57"/>
      <c r="F506" s="57"/>
      <c r="G506" s="57"/>
      <c r="K506" s="57"/>
      <c r="L506" s="57"/>
      <c r="M506" s="6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</row>
    <row r="507">
      <c r="A507" s="57"/>
      <c r="B507" s="57"/>
      <c r="C507" s="57"/>
      <c r="D507" s="57"/>
      <c r="E507" s="57"/>
      <c r="F507" s="57"/>
      <c r="G507" s="57"/>
      <c r="K507" s="57"/>
      <c r="L507" s="57"/>
      <c r="M507" s="6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</row>
    <row r="508">
      <c r="A508" s="57"/>
      <c r="B508" s="57"/>
      <c r="C508" s="57"/>
      <c r="D508" s="57"/>
      <c r="E508" s="57"/>
      <c r="F508" s="57"/>
      <c r="G508" s="57"/>
      <c r="K508" s="57"/>
      <c r="L508" s="57"/>
      <c r="M508" s="6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</row>
    <row r="509">
      <c r="A509" s="57"/>
      <c r="B509" s="57"/>
      <c r="C509" s="57"/>
      <c r="D509" s="57"/>
      <c r="E509" s="57"/>
      <c r="F509" s="57"/>
      <c r="G509" s="57"/>
      <c r="K509" s="57"/>
      <c r="L509" s="57"/>
      <c r="M509" s="6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</row>
    <row r="510">
      <c r="A510" s="57"/>
      <c r="B510" s="57"/>
      <c r="C510" s="57"/>
      <c r="D510" s="57"/>
      <c r="E510" s="57"/>
      <c r="F510" s="57"/>
      <c r="G510" s="57"/>
      <c r="K510" s="57"/>
      <c r="L510" s="57"/>
      <c r="M510" s="6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</row>
    <row r="511">
      <c r="A511" s="57"/>
      <c r="B511" s="57"/>
      <c r="C511" s="57"/>
      <c r="D511" s="57"/>
      <c r="E511" s="57"/>
      <c r="F511" s="57"/>
      <c r="G511" s="57"/>
      <c r="K511" s="57"/>
      <c r="L511" s="57"/>
      <c r="M511" s="6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</row>
    <row r="512">
      <c r="A512" s="57"/>
      <c r="B512" s="57"/>
      <c r="C512" s="57"/>
      <c r="D512" s="57"/>
      <c r="E512" s="57"/>
      <c r="F512" s="57"/>
      <c r="G512" s="57"/>
      <c r="K512" s="57"/>
      <c r="L512" s="57"/>
      <c r="M512" s="6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</row>
    <row r="513">
      <c r="A513" s="57"/>
      <c r="B513" s="57"/>
      <c r="C513" s="57"/>
      <c r="D513" s="57"/>
      <c r="E513" s="57"/>
      <c r="F513" s="57"/>
      <c r="G513" s="57"/>
      <c r="K513" s="57"/>
      <c r="L513" s="57"/>
      <c r="M513" s="6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</row>
    <row r="514">
      <c r="A514" s="57"/>
      <c r="B514" s="57"/>
      <c r="C514" s="57"/>
      <c r="D514" s="57"/>
      <c r="E514" s="57"/>
      <c r="F514" s="57"/>
      <c r="G514" s="57"/>
      <c r="K514" s="57"/>
      <c r="L514" s="57"/>
      <c r="M514" s="6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</row>
    <row r="515">
      <c r="A515" s="57"/>
      <c r="B515" s="57"/>
      <c r="C515" s="57"/>
      <c r="D515" s="57"/>
      <c r="E515" s="57"/>
      <c r="F515" s="57"/>
      <c r="G515" s="57"/>
      <c r="K515" s="57"/>
      <c r="L515" s="57"/>
      <c r="M515" s="6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</row>
    <row r="516">
      <c r="A516" s="57"/>
      <c r="B516" s="57"/>
      <c r="C516" s="57"/>
      <c r="D516" s="57"/>
      <c r="E516" s="57"/>
      <c r="F516" s="57"/>
      <c r="G516" s="57"/>
      <c r="K516" s="57"/>
      <c r="L516" s="57"/>
      <c r="M516" s="6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</row>
    <row r="517">
      <c r="A517" s="57"/>
      <c r="B517" s="57"/>
      <c r="C517" s="57"/>
      <c r="D517" s="57"/>
      <c r="E517" s="57"/>
      <c r="F517" s="57"/>
      <c r="G517" s="57"/>
      <c r="K517" s="57"/>
      <c r="L517" s="57"/>
      <c r="M517" s="6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</row>
    <row r="518">
      <c r="A518" s="57"/>
      <c r="B518" s="57"/>
      <c r="C518" s="57"/>
      <c r="D518" s="57"/>
      <c r="E518" s="57"/>
      <c r="F518" s="57"/>
      <c r="G518" s="57"/>
      <c r="K518" s="57"/>
      <c r="L518" s="57"/>
      <c r="M518" s="6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</row>
    <row r="519">
      <c r="A519" s="57"/>
      <c r="B519" s="57"/>
      <c r="C519" s="57"/>
      <c r="D519" s="57"/>
      <c r="E519" s="57"/>
      <c r="F519" s="57"/>
      <c r="G519" s="57"/>
      <c r="K519" s="57"/>
      <c r="L519" s="57"/>
      <c r="M519" s="6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</row>
    <row r="520">
      <c r="A520" s="57"/>
      <c r="B520" s="57"/>
      <c r="C520" s="57"/>
      <c r="D520" s="57"/>
      <c r="E520" s="57"/>
      <c r="F520" s="57"/>
      <c r="G520" s="57"/>
      <c r="K520" s="57"/>
      <c r="L520" s="57"/>
      <c r="M520" s="6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</row>
    <row r="521">
      <c r="A521" s="57"/>
      <c r="B521" s="57"/>
      <c r="C521" s="57"/>
      <c r="D521" s="57"/>
      <c r="E521" s="57"/>
      <c r="F521" s="57"/>
      <c r="G521" s="57"/>
      <c r="K521" s="57"/>
      <c r="L521" s="57"/>
      <c r="M521" s="6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</row>
    <row r="522">
      <c r="A522" s="57"/>
      <c r="B522" s="57"/>
      <c r="C522" s="57"/>
      <c r="D522" s="57"/>
      <c r="E522" s="57"/>
      <c r="F522" s="57"/>
      <c r="G522" s="57"/>
      <c r="K522" s="57"/>
      <c r="L522" s="57"/>
      <c r="M522" s="6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</row>
    <row r="523">
      <c r="A523" s="57"/>
      <c r="B523" s="57"/>
      <c r="C523" s="57"/>
      <c r="D523" s="57"/>
      <c r="E523" s="57"/>
      <c r="F523" s="57"/>
      <c r="G523" s="57"/>
      <c r="K523" s="57"/>
      <c r="L523" s="57"/>
      <c r="M523" s="6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</row>
    <row r="524">
      <c r="A524" s="57"/>
      <c r="B524" s="57"/>
      <c r="C524" s="57"/>
      <c r="D524" s="57"/>
      <c r="E524" s="57"/>
      <c r="F524" s="57"/>
      <c r="G524" s="57"/>
      <c r="K524" s="57"/>
      <c r="L524" s="57"/>
      <c r="M524" s="6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</row>
    <row r="525">
      <c r="A525" s="57"/>
      <c r="B525" s="57"/>
      <c r="C525" s="57"/>
      <c r="D525" s="57"/>
      <c r="E525" s="57"/>
      <c r="F525" s="57"/>
      <c r="G525" s="57"/>
      <c r="K525" s="57"/>
      <c r="L525" s="57"/>
      <c r="M525" s="6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</row>
    <row r="526">
      <c r="A526" s="57"/>
      <c r="B526" s="57"/>
      <c r="C526" s="57"/>
      <c r="D526" s="57"/>
      <c r="E526" s="57"/>
      <c r="F526" s="57"/>
      <c r="G526" s="57"/>
      <c r="K526" s="57"/>
      <c r="L526" s="57"/>
      <c r="M526" s="6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</row>
    <row r="527">
      <c r="A527" s="57"/>
      <c r="B527" s="57"/>
      <c r="C527" s="57"/>
      <c r="D527" s="57"/>
      <c r="E527" s="57"/>
      <c r="F527" s="57"/>
      <c r="G527" s="57"/>
      <c r="K527" s="57"/>
      <c r="L527" s="57"/>
      <c r="M527" s="6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</row>
    <row r="528">
      <c r="A528" s="57"/>
      <c r="B528" s="57"/>
      <c r="C528" s="57"/>
      <c r="D528" s="57"/>
      <c r="E528" s="57"/>
      <c r="F528" s="57"/>
      <c r="G528" s="57"/>
      <c r="K528" s="57"/>
      <c r="L528" s="57"/>
      <c r="M528" s="6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</row>
    <row r="529">
      <c r="A529" s="57"/>
      <c r="B529" s="57"/>
      <c r="C529" s="57"/>
      <c r="D529" s="57"/>
      <c r="E529" s="57"/>
      <c r="F529" s="57"/>
      <c r="G529" s="57"/>
      <c r="K529" s="57"/>
      <c r="L529" s="57"/>
      <c r="M529" s="6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</row>
    <row r="530">
      <c r="A530" s="57"/>
      <c r="B530" s="57"/>
      <c r="C530" s="57"/>
      <c r="D530" s="57"/>
      <c r="E530" s="57"/>
      <c r="F530" s="57"/>
      <c r="G530" s="57"/>
      <c r="K530" s="57"/>
      <c r="L530" s="57"/>
      <c r="M530" s="6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</row>
    <row r="531">
      <c r="A531" s="57"/>
      <c r="B531" s="57"/>
      <c r="C531" s="57"/>
      <c r="D531" s="57"/>
      <c r="E531" s="57"/>
      <c r="F531" s="57"/>
      <c r="G531" s="57"/>
      <c r="K531" s="57"/>
      <c r="L531" s="57"/>
      <c r="M531" s="6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</row>
    <row r="532">
      <c r="A532" s="57"/>
      <c r="B532" s="57"/>
      <c r="C532" s="57"/>
      <c r="D532" s="57"/>
      <c r="E532" s="57"/>
      <c r="F532" s="57"/>
      <c r="G532" s="57"/>
      <c r="K532" s="57"/>
      <c r="L532" s="57"/>
      <c r="M532" s="6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</row>
    <row r="533">
      <c r="A533" s="57"/>
      <c r="B533" s="57"/>
      <c r="C533" s="57"/>
      <c r="D533" s="57"/>
      <c r="E533" s="57"/>
      <c r="F533" s="57"/>
      <c r="G533" s="57"/>
      <c r="K533" s="57"/>
      <c r="L533" s="57"/>
      <c r="M533" s="6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</row>
    <row r="534">
      <c r="A534" s="57"/>
      <c r="B534" s="57"/>
      <c r="C534" s="57"/>
      <c r="D534" s="57"/>
      <c r="E534" s="57"/>
      <c r="F534" s="57"/>
      <c r="G534" s="57"/>
      <c r="K534" s="57"/>
      <c r="L534" s="57"/>
      <c r="M534" s="6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</row>
    <row r="535">
      <c r="A535" s="57"/>
      <c r="B535" s="57"/>
      <c r="C535" s="57"/>
      <c r="D535" s="57"/>
      <c r="E535" s="57"/>
      <c r="F535" s="57"/>
      <c r="G535" s="57"/>
      <c r="K535" s="57"/>
      <c r="L535" s="57"/>
      <c r="M535" s="6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</row>
    <row r="536">
      <c r="A536" s="57"/>
      <c r="B536" s="57"/>
      <c r="C536" s="57"/>
      <c r="D536" s="57"/>
      <c r="E536" s="57"/>
      <c r="F536" s="57"/>
      <c r="G536" s="57"/>
      <c r="K536" s="57"/>
      <c r="L536" s="57"/>
      <c r="M536" s="6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</row>
    <row r="537">
      <c r="A537" s="57"/>
      <c r="B537" s="57"/>
      <c r="C537" s="57"/>
      <c r="D537" s="57"/>
      <c r="E537" s="57"/>
      <c r="F537" s="57"/>
      <c r="G537" s="57"/>
      <c r="K537" s="57"/>
      <c r="L537" s="57"/>
      <c r="M537" s="6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</row>
    <row r="538">
      <c r="A538" s="57"/>
      <c r="B538" s="57"/>
      <c r="C538" s="57"/>
      <c r="D538" s="57"/>
      <c r="E538" s="57"/>
      <c r="F538" s="57"/>
      <c r="G538" s="57"/>
      <c r="K538" s="57"/>
      <c r="L538" s="57"/>
      <c r="M538" s="6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</row>
    <row r="539">
      <c r="A539" s="57"/>
      <c r="B539" s="57"/>
      <c r="C539" s="57"/>
      <c r="D539" s="57"/>
      <c r="E539" s="57"/>
      <c r="F539" s="57"/>
      <c r="G539" s="57"/>
      <c r="K539" s="57"/>
      <c r="L539" s="57"/>
      <c r="M539" s="6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</row>
    <row r="540">
      <c r="A540" s="57"/>
      <c r="B540" s="57"/>
      <c r="C540" s="57"/>
      <c r="D540" s="57"/>
      <c r="E540" s="57"/>
      <c r="F540" s="57"/>
      <c r="G540" s="57"/>
      <c r="K540" s="57"/>
      <c r="L540" s="57"/>
      <c r="M540" s="6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</row>
    <row r="541">
      <c r="A541" s="57"/>
      <c r="B541" s="57"/>
      <c r="C541" s="57"/>
      <c r="D541" s="57"/>
      <c r="E541" s="57"/>
      <c r="F541" s="57"/>
      <c r="G541" s="57"/>
      <c r="K541" s="57"/>
      <c r="L541" s="57"/>
      <c r="M541" s="6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</row>
    <row r="542">
      <c r="A542" s="57"/>
      <c r="B542" s="57"/>
      <c r="C542" s="57"/>
      <c r="D542" s="57"/>
      <c r="E542" s="57"/>
      <c r="F542" s="57"/>
      <c r="G542" s="57"/>
      <c r="K542" s="57"/>
      <c r="L542" s="57"/>
      <c r="M542" s="6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</row>
    <row r="543">
      <c r="A543" s="57"/>
      <c r="B543" s="57"/>
      <c r="C543" s="57"/>
      <c r="D543" s="57"/>
      <c r="E543" s="57"/>
      <c r="F543" s="57"/>
      <c r="G543" s="57"/>
      <c r="K543" s="57"/>
      <c r="L543" s="57"/>
      <c r="M543" s="6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</row>
    <row r="544">
      <c r="A544" s="57"/>
      <c r="B544" s="57"/>
      <c r="C544" s="57"/>
      <c r="D544" s="57"/>
      <c r="E544" s="57"/>
      <c r="F544" s="57"/>
      <c r="G544" s="57"/>
      <c r="K544" s="57"/>
      <c r="L544" s="57"/>
      <c r="M544" s="6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</row>
    <row r="545">
      <c r="A545" s="57"/>
      <c r="B545" s="57"/>
      <c r="C545" s="57"/>
      <c r="D545" s="57"/>
      <c r="E545" s="57"/>
      <c r="F545" s="57"/>
      <c r="G545" s="57"/>
      <c r="K545" s="57"/>
      <c r="L545" s="57"/>
      <c r="M545" s="6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</row>
    <row r="546">
      <c r="A546" s="57"/>
      <c r="B546" s="57"/>
      <c r="C546" s="57"/>
      <c r="D546" s="57"/>
      <c r="E546" s="57"/>
      <c r="F546" s="57"/>
      <c r="G546" s="57"/>
      <c r="K546" s="57"/>
      <c r="L546" s="57"/>
      <c r="M546" s="6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</row>
    <row r="547">
      <c r="A547" s="57"/>
      <c r="B547" s="57"/>
      <c r="C547" s="57"/>
      <c r="D547" s="57"/>
      <c r="E547" s="57"/>
      <c r="F547" s="57"/>
      <c r="G547" s="57"/>
      <c r="K547" s="57"/>
      <c r="L547" s="57"/>
      <c r="M547" s="6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</row>
    <row r="548">
      <c r="A548" s="57"/>
      <c r="B548" s="57"/>
      <c r="C548" s="57"/>
      <c r="D548" s="57"/>
      <c r="E548" s="57"/>
      <c r="F548" s="57"/>
      <c r="G548" s="57"/>
      <c r="K548" s="57"/>
      <c r="L548" s="57"/>
      <c r="M548" s="6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</row>
    <row r="549">
      <c r="A549" s="57"/>
      <c r="B549" s="57"/>
      <c r="C549" s="57"/>
      <c r="D549" s="57"/>
      <c r="E549" s="57"/>
      <c r="F549" s="57"/>
      <c r="G549" s="57"/>
      <c r="K549" s="57"/>
      <c r="L549" s="57"/>
      <c r="M549" s="6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</row>
    <row r="550">
      <c r="A550" s="57"/>
      <c r="B550" s="57"/>
      <c r="C550" s="57"/>
      <c r="D550" s="57"/>
      <c r="E550" s="57"/>
      <c r="F550" s="57"/>
      <c r="G550" s="57"/>
      <c r="K550" s="57"/>
      <c r="L550" s="57"/>
      <c r="M550" s="6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</row>
    <row r="551">
      <c r="A551" s="57"/>
      <c r="B551" s="57"/>
      <c r="C551" s="57"/>
      <c r="D551" s="57"/>
      <c r="E551" s="57"/>
      <c r="F551" s="57"/>
      <c r="G551" s="57"/>
      <c r="K551" s="57"/>
      <c r="L551" s="57"/>
      <c r="M551" s="6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</row>
    <row r="552">
      <c r="A552" s="57"/>
      <c r="B552" s="57"/>
      <c r="C552" s="57"/>
      <c r="D552" s="57"/>
      <c r="E552" s="57"/>
      <c r="F552" s="57"/>
      <c r="G552" s="57"/>
      <c r="K552" s="57"/>
      <c r="L552" s="57"/>
      <c r="M552" s="6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</row>
    <row r="553">
      <c r="A553" s="57"/>
      <c r="B553" s="57"/>
      <c r="C553" s="57"/>
      <c r="D553" s="57"/>
      <c r="E553" s="57"/>
      <c r="F553" s="57"/>
      <c r="G553" s="57"/>
      <c r="K553" s="57"/>
      <c r="L553" s="57"/>
      <c r="M553" s="6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</row>
    <row r="554">
      <c r="A554" s="57"/>
      <c r="B554" s="57"/>
      <c r="C554" s="57"/>
      <c r="D554" s="57"/>
      <c r="E554" s="57"/>
      <c r="F554" s="57"/>
      <c r="G554" s="57"/>
      <c r="K554" s="57"/>
      <c r="L554" s="57"/>
      <c r="M554" s="6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</row>
    <row r="555">
      <c r="A555" s="57"/>
      <c r="B555" s="57"/>
      <c r="C555" s="57"/>
      <c r="D555" s="57"/>
      <c r="E555" s="57"/>
      <c r="F555" s="57"/>
      <c r="G555" s="57"/>
      <c r="K555" s="57"/>
      <c r="L555" s="57"/>
      <c r="M555" s="6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</row>
    <row r="556">
      <c r="A556" s="57"/>
      <c r="B556" s="57"/>
      <c r="C556" s="57"/>
      <c r="D556" s="57"/>
      <c r="E556" s="57"/>
      <c r="F556" s="57"/>
      <c r="G556" s="57"/>
      <c r="K556" s="57"/>
      <c r="L556" s="57"/>
      <c r="M556" s="6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</row>
    <row r="557">
      <c r="A557" s="57"/>
      <c r="B557" s="57"/>
      <c r="C557" s="57"/>
      <c r="D557" s="57"/>
      <c r="E557" s="57"/>
      <c r="F557" s="57"/>
      <c r="G557" s="57"/>
      <c r="K557" s="57"/>
      <c r="L557" s="57"/>
      <c r="M557" s="6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</row>
    <row r="558">
      <c r="A558" s="57"/>
      <c r="B558" s="57"/>
      <c r="C558" s="57"/>
      <c r="D558" s="57"/>
      <c r="E558" s="57"/>
      <c r="F558" s="57"/>
      <c r="G558" s="57"/>
      <c r="K558" s="57"/>
      <c r="L558" s="57"/>
      <c r="M558" s="6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</row>
    <row r="559">
      <c r="A559" s="57"/>
      <c r="B559" s="57"/>
      <c r="C559" s="57"/>
      <c r="D559" s="57"/>
      <c r="E559" s="57"/>
      <c r="F559" s="57"/>
      <c r="G559" s="57"/>
      <c r="K559" s="57"/>
      <c r="L559" s="57"/>
      <c r="M559" s="6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</row>
    <row r="560">
      <c r="A560" s="57"/>
      <c r="B560" s="57"/>
      <c r="C560" s="57"/>
      <c r="D560" s="57"/>
      <c r="E560" s="57"/>
      <c r="F560" s="57"/>
      <c r="G560" s="57"/>
      <c r="K560" s="57"/>
      <c r="L560" s="57"/>
      <c r="M560" s="6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</row>
    <row r="561">
      <c r="A561" s="57"/>
      <c r="B561" s="57"/>
      <c r="C561" s="57"/>
      <c r="D561" s="57"/>
      <c r="E561" s="57"/>
      <c r="F561" s="57"/>
      <c r="G561" s="57"/>
      <c r="K561" s="57"/>
      <c r="L561" s="57"/>
      <c r="M561" s="6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</row>
    <row r="562">
      <c r="A562" s="57"/>
      <c r="B562" s="57"/>
      <c r="C562" s="57"/>
      <c r="D562" s="57"/>
      <c r="E562" s="57"/>
      <c r="F562" s="57"/>
      <c r="G562" s="57"/>
      <c r="K562" s="57"/>
      <c r="L562" s="57"/>
      <c r="M562" s="6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</row>
    <row r="563">
      <c r="A563" s="57"/>
      <c r="B563" s="57"/>
      <c r="C563" s="57"/>
      <c r="D563" s="57"/>
      <c r="E563" s="57"/>
      <c r="F563" s="57"/>
      <c r="G563" s="57"/>
      <c r="K563" s="57"/>
      <c r="L563" s="57"/>
      <c r="M563" s="6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</row>
    <row r="564">
      <c r="A564" s="57"/>
      <c r="B564" s="57"/>
      <c r="C564" s="57"/>
      <c r="D564" s="57"/>
      <c r="E564" s="57"/>
      <c r="F564" s="57"/>
      <c r="G564" s="57"/>
      <c r="K564" s="57"/>
      <c r="L564" s="57"/>
      <c r="M564" s="6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</row>
    <row r="565">
      <c r="A565" s="57"/>
      <c r="B565" s="57"/>
      <c r="C565" s="57"/>
      <c r="D565" s="57"/>
      <c r="E565" s="57"/>
      <c r="F565" s="57"/>
      <c r="G565" s="57"/>
      <c r="K565" s="57"/>
      <c r="L565" s="57"/>
      <c r="M565" s="6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</row>
    <row r="566">
      <c r="A566" s="57"/>
      <c r="B566" s="57"/>
      <c r="C566" s="57"/>
      <c r="D566" s="57"/>
      <c r="E566" s="57"/>
      <c r="F566" s="57"/>
      <c r="G566" s="57"/>
      <c r="K566" s="57"/>
      <c r="L566" s="57"/>
      <c r="M566" s="6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</row>
    <row r="567">
      <c r="A567" s="57"/>
      <c r="B567" s="57"/>
      <c r="C567" s="57"/>
      <c r="D567" s="57"/>
      <c r="E567" s="57"/>
      <c r="F567" s="57"/>
      <c r="G567" s="57"/>
      <c r="K567" s="57"/>
      <c r="L567" s="57"/>
      <c r="M567" s="6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</row>
    <row r="568">
      <c r="A568" s="57"/>
      <c r="B568" s="57"/>
      <c r="C568" s="57"/>
      <c r="D568" s="57"/>
      <c r="E568" s="57"/>
      <c r="F568" s="57"/>
      <c r="G568" s="57"/>
      <c r="K568" s="57"/>
      <c r="L568" s="57"/>
      <c r="M568" s="6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</row>
    <row r="569">
      <c r="A569" s="57"/>
      <c r="B569" s="57"/>
      <c r="C569" s="57"/>
      <c r="D569" s="57"/>
      <c r="E569" s="57"/>
      <c r="F569" s="57"/>
      <c r="G569" s="57"/>
      <c r="K569" s="57"/>
      <c r="L569" s="57"/>
      <c r="M569" s="6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</row>
    <row r="570">
      <c r="A570" s="57"/>
      <c r="B570" s="57"/>
      <c r="C570" s="57"/>
      <c r="D570" s="57"/>
      <c r="E570" s="57"/>
      <c r="F570" s="57"/>
      <c r="G570" s="57"/>
      <c r="K570" s="57"/>
      <c r="L570" s="57"/>
      <c r="M570" s="6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</row>
    <row r="571">
      <c r="A571" s="57"/>
      <c r="B571" s="57"/>
      <c r="C571" s="57"/>
      <c r="D571" s="57"/>
      <c r="E571" s="57"/>
      <c r="F571" s="57"/>
      <c r="G571" s="57"/>
      <c r="K571" s="57"/>
      <c r="L571" s="57"/>
      <c r="M571" s="6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</row>
    <row r="572">
      <c r="A572" s="57"/>
      <c r="B572" s="57"/>
      <c r="C572" s="57"/>
      <c r="D572" s="57"/>
      <c r="E572" s="57"/>
      <c r="F572" s="57"/>
      <c r="G572" s="57"/>
      <c r="K572" s="57"/>
      <c r="L572" s="57"/>
      <c r="M572" s="6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</row>
    <row r="573">
      <c r="A573" s="57"/>
      <c r="B573" s="57"/>
      <c r="C573" s="57"/>
      <c r="D573" s="57"/>
      <c r="E573" s="57"/>
      <c r="F573" s="57"/>
      <c r="G573" s="57"/>
      <c r="K573" s="57"/>
      <c r="L573" s="57"/>
      <c r="M573" s="6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</row>
    <row r="574">
      <c r="A574" s="57"/>
      <c r="B574" s="57"/>
      <c r="C574" s="57"/>
      <c r="D574" s="57"/>
      <c r="E574" s="57"/>
      <c r="F574" s="57"/>
      <c r="G574" s="57"/>
      <c r="K574" s="57"/>
      <c r="L574" s="57"/>
      <c r="M574" s="6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</row>
    <row r="575">
      <c r="A575" s="57"/>
      <c r="B575" s="57"/>
      <c r="C575" s="57"/>
      <c r="D575" s="57"/>
      <c r="E575" s="57"/>
      <c r="F575" s="57"/>
      <c r="G575" s="57"/>
      <c r="K575" s="57"/>
      <c r="L575" s="57"/>
      <c r="M575" s="6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</row>
    <row r="576">
      <c r="A576" s="57"/>
      <c r="B576" s="57"/>
      <c r="C576" s="57"/>
      <c r="D576" s="57"/>
      <c r="E576" s="57"/>
      <c r="F576" s="57"/>
      <c r="G576" s="57"/>
      <c r="K576" s="57"/>
      <c r="L576" s="57"/>
      <c r="M576" s="6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</row>
    <row r="577">
      <c r="A577" s="57"/>
      <c r="B577" s="57"/>
      <c r="C577" s="57"/>
      <c r="D577" s="57"/>
      <c r="E577" s="57"/>
      <c r="F577" s="57"/>
      <c r="G577" s="57"/>
      <c r="K577" s="57"/>
      <c r="L577" s="57"/>
      <c r="M577" s="6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</row>
    <row r="578">
      <c r="A578" s="57"/>
      <c r="B578" s="57"/>
      <c r="C578" s="57"/>
      <c r="D578" s="57"/>
      <c r="E578" s="57"/>
      <c r="F578" s="57"/>
      <c r="G578" s="57"/>
      <c r="K578" s="57"/>
      <c r="L578" s="57"/>
      <c r="M578" s="6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</row>
    <row r="579">
      <c r="A579" s="57"/>
      <c r="B579" s="57"/>
      <c r="C579" s="57"/>
      <c r="D579" s="57"/>
      <c r="E579" s="57"/>
      <c r="F579" s="57"/>
      <c r="G579" s="57"/>
      <c r="K579" s="57"/>
      <c r="L579" s="57"/>
      <c r="M579" s="6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</row>
    <row r="580">
      <c r="A580" s="57"/>
      <c r="B580" s="57"/>
      <c r="C580" s="57"/>
      <c r="D580" s="57"/>
      <c r="E580" s="57"/>
      <c r="F580" s="57"/>
      <c r="G580" s="57"/>
      <c r="K580" s="57"/>
      <c r="L580" s="57"/>
      <c r="M580" s="6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</row>
    <row r="581">
      <c r="A581" s="57"/>
      <c r="B581" s="57"/>
      <c r="C581" s="57"/>
      <c r="D581" s="57"/>
      <c r="E581" s="57"/>
      <c r="F581" s="57"/>
      <c r="G581" s="57"/>
      <c r="K581" s="57"/>
      <c r="L581" s="57"/>
      <c r="M581" s="6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</row>
    <row r="582">
      <c r="A582" s="57"/>
      <c r="B582" s="57"/>
      <c r="C582" s="57"/>
      <c r="D582" s="57"/>
      <c r="E582" s="57"/>
      <c r="F582" s="57"/>
      <c r="G582" s="57"/>
      <c r="K582" s="57"/>
      <c r="L582" s="57"/>
      <c r="M582" s="6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</row>
    <row r="583">
      <c r="A583" s="57"/>
      <c r="B583" s="57"/>
      <c r="C583" s="57"/>
      <c r="D583" s="57"/>
      <c r="E583" s="57"/>
      <c r="F583" s="57"/>
      <c r="G583" s="57"/>
      <c r="K583" s="57"/>
      <c r="L583" s="57"/>
      <c r="M583" s="6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</row>
    <row r="584">
      <c r="A584" s="57"/>
      <c r="B584" s="57"/>
      <c r="C584" s="57"/>
      <c r="D584" s="57"/>
      <c r="E584" s="57"/>
      <c r="F584" s="57"/>
      <c r="G584" s="57"/>
      <c r="K584" s="57"/>
      <c r="L584" s="57"/>
      <c r="M584" s="6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</row>
    <row r="585">
      <c r="A585" s="57"/>
      <c r="B585" s="57"/>
      <c r="C585" s="57"/>
      <c r="D585" s="57"/>
      <c r="E585" s="57"/>
      <c r="F585" s="57"/>
      <c r="G585" s="57"/>
      <c r="K585" s="57"/>
      <c r="L585" s="57"/>
      <c r="M585" s="6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</row>
    <row r="586">
      <c r="A586" s="57"/>
      <c r="B586" s="57"/>
      <c r="C586" s="57"/>
      <c r="D586" s="57"/>
      <c r="E586" s="57"/>
      <c r="F586" s="57"/>
      <c r="G586" s="57"/>
      <c r="K586" s="57"/>
      <c r="L586" s="57"/>
      <c r="M586" s="6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</row>
    <row r="587">
      <c r="A587" s="57"/>
      <c r="B587" s="57"/>
      <c r="C587" s="57"/>
      <c r="D587" s="57"/>
      <c r="E587" s="57"/>
      <c r="F587" s="57"/>
      <c r="G587" s="57"/>
      <c r="K587" s="57"/>
      <c r="L587" s="57"/>
      <c r="M587" s="6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</row>
    <row r="588">
      <c r="A588" s="57"/>
      <c r="B588" s="57"/>
      <c r="C588" s="57"/>
      <c r="D588" s="57"/>
      <c r="E588" s="57"/>
      <c r="F588" s="57"/>
      <c r="G588" s="57"/>
      <c r="K588" s="57"/>
      <c r="L588" s="57"/>
      <c r="M588" s="6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</row>
    <row r="589">
      <c r="A589" s="57"/>
      <c r="B589" s="57"/>
      <c r="C589" s="57"/>
      <c r="D589" s="57"/>
      <c r="E589" s="57"/>
      <c r="F589" s="57"/>
      <c r="G589" s="57"/>
      <c r="K589" s="57"/>
      <c r="L589" s="57"/>
      <c r="M589" s="6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</row>
    <row r="590">
      <c r="A590" s="57"/>
      <c r="B590" s="57"/>
      <c r="C590" s="57"/>
      <c r="D590" s="57"/>
      <c r="E590" s="57"/>
      <c r="F590" s="57"/>
      <c r="G590" s="57"/>
      <c r="K590" s="57"/>
      <c r="L590" s="57"/>
      <c r="M590" s="6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</row>
    <row r="591">
      <c r="A591" s="57"/>
      <c r="B591" s="57"/>
      <c r="C591" s="57"/>
      <c r="D591" s="57"/>
      <c r="E591" s="57"/>
      <c r="F591" s="57"/>
      <c r="G591" s="57"/>
      <c r="K591" s="57"/>
      <c r="L591" s="57"/>
      <c r="M591" s="6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</row>
    <row r="592">
      <c r="A592" s="57"/>
      <c r="B592" s="57"/>
      <c r="C592" s="57"/>
      <c r="D592" s="57"/>
      <c r="E592" s="57"/>
      <c r="F592" s="57"/>
      <c r="G592" s="57"/>
      <c r="K592" s="57"/>
      <c r="L592" s="57"/>
      <c r="M592" s="6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</row>
    <row r="593">
      <c r="A593" s="57"/>
      <c r="B593" s="57"/>
      <c r="C593" s="57"/>
      <c r="D593" s="57"/>
      <c r="E593" s="57"/>
      <c r="F593" s="57"/>
      <c r="G593" s="57"/>
      <c r="K593" s="57"/>
      <c r="L593" s="57"/>
      <c r="M593" s="6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</row>
    <row r="594">
      <c r="A594" s="57"/>
      <c r="B594" s="57"/>
      <c r="C594" s="57"/>
      <c r="D594" s="57"/>
      <c r="E594" s="57"/>
      <c r="F594" s="57"/>
      <c r="G594" s="57"/>
      <c r="K594" s="57"/>
      <c r="L594" s="57"/>
      <c r="M594" s="6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</row>
    <row r="595">
      <c r="A595" s="57"/>
      <c r="B595" s="57"/>
      <c r="C595" s="57"/>
      <c r="D595" s="57"/>
      <c r="E595" s="57"/>
      <c r="F595" s="57"/>
      <c r="G595" s="57"/>
      <c r="K595" s="57"/>
      <c r="L595" s="57"/>
      <c r="M595" s="6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</row>
    <row r="596">
      <c r="A596" s="57"/>
      <c r="B596" s="57"/>
      <c r="C596" s="57"/>
      <c r="D596" s="57"/>
      <c r="E596" s="57"/>
      <c r="F596" s="57"/>
      <c r="G596" s="57"/>
      <c r="K596" s="57"/>
      <c r="L596" s="57"/>
      <c r="M596" s="6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</row>
    <row r="597">
      <c r="A597" s="57"/>
      <c r="B597" s="57"/>
      <c r="C597" s="57"/>
      <c r="D597" s="57"/>
      <c r="E597" s="57"/>
      <c r="F597" s="57"/>
      <c r="G597" s="57"/>
      <c r="K597" s="57"/>
      <c r="L597" s="57"/>
      <c r="M597" s="6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</row>
    <row r="598">
      <c r="A598" s="57"/>
      <c r="B598" s="57"/>
      <c r="C598" s="57"/>
      <c r="D598" s="57"/>
      <c r="E598" s="57"/>
      <c r="F598" s="57"/>
      <c r="G598" s="57"/>
      <c r="K598" s="57"/>
      <c r="L598" s="57"/>
      <c r="M598" s="6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</row>
    <row r="599">
      <c r="A599" s="57"/>
      <c r="B599" s="57"/>
      <c r="C599" s="57"/>
      <c r="D599" s="57"/>
      <c r="E599" s="57"/>
      <c r="F599" s="57"/>
      <c r="G599" s="57"/>
      <c r="K599" s="57"/>
      <c r="L599" s="57"/>
      <c r="M599" s="6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</row>
    <row r="600">
      <c r="A600" s="57"/>
      <c r="B600" s="57"/>
      <c r="C600" s="57"/>
      <c r="D600" s="57"/>
      <c r="E600" s="57"/>
      <c r="F600" s="57"/>
      <c r="G600" s="57"/>
      <c r="K600" s="57"/>
      <c r="L600" s="57"/>
      <c r="M600" s="6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</row>
    <row r="601">
      <c r="A601" s="57"/>
      <c r="B601" s="57"/>
      <c r="C601" s="57"/>
      <c r="D601" s="57"/>
      <c r="E601" s="57"/>
      <c r="F601" s="57"/>
      <c r="G601" s="57"/>
      <c r="K601" s="57"/>
      <c r="L601" s="57"/>
      <c r="M601" s="6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</row>
    <row r="602">
      <c r="A602" s="57"/>
      <c r="B602" s="57"/>
      <c r="C602" s="57"/>
      <c r="D602" s="57"/>
      <c r="E602" s="57"/>
      <c r="F602" s="57"/>
      <c r="G602" s="57"/>
      <c r="K602" s="57"/>
      <c r="L602" s="57"/>
      <c r="M602" s="6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</row>
    <row r="603">
      <c r="A603" s="57"/>
      <c r="B603" s="57"/>
      <c r="C603" s="57"/>
      <c r="D603" s="57"/>
      <c r="E603" s="57"/>
      <c r="F603" s="57"/>
      <c r="G603" s="57"/>
      <c r="K603" s="57"/>
      <c r="L603" s="57"/>
      <c r="M603" s="6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</row>
    <row r="604">
      <c r="A604" s="57"/>
      <c r="B604" s="57"/>
      <c r="C604" s="57"/>
      <c r="D604" s="57"/>
      <c r="E604" s="57"/>
      <c r="F604" s="57"/>
      <c r="G604" s="57"/>
      <c r="K604" s="57"/>
      <c r="L604" s="57"/>
      <c r="M604" s="6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</row>
    <row r="605">
      <c r="A605" s="57"/>
      <c r="B605" s="57"/>
      <c r="C605" s="57"/>
      <c r="D605" s="57"/>
      <c r="E605" s="57"/>
      <c r="F605" s="57"/>
      <c r="G605" s="57"/>
      <c r="K605" s="57"/>
      <c r="L605" s="57"/>
      <c r="M605" s="6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</row>
    <row r="606">
      <c r="A606" s="57"/>
      <c r="B606" s="57"/>
      <c r="C606" s="57"/>
      <c r="D606" s="57"/>
      <c r="E606" s="57"/>
      <c r="F606" s="57"/>
      <c r="G606" s="57"/>
      <c r="K606" s="57"/>
      <c r="L606" s="57"/>
      <c r="M606" s="6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</row>
    <row r="607">
      <c r="A607" s="57"/>
      <c r="B607" s="57"/>
      <c r="C607" s="57"/>
      <c r="D607" s="57"/>
      <c r="E607" s="57"/>
      <c r="F607" s="57"/>
      <c r="G607" s="57"/>
      <c r="K607" s="57"/>
      <c r="L607" s="57"/>
      <c r="M607" s="6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</row>
    <row r="608">
      <c r="A608" s="57"/>
      <c r="B608" s="57"/>
      <c r="C608" s="57"/>
      <c r="D608" s="57"/>
      <c r="E608" s="57"/>
      <c r="F608" s="57"/>
      <c r="G608" s="57"/>
      <c r="K608" s="57"/>
      <c r="L608" s="57"/>
      <c r="M608" s="6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</row>
    <row r="609">
      <c r="A609" s="57"/>
      <c r="B609" s="57"/>
      <c r="C609" s="57"/>
      <c r="D609" s="57"/>
      <c r="E609" s="57"/>
      <c r="F609" s="57"/>
      <c r="G609" s="57"/>
      <c r="K609" s="57"/>
      <c r="L609" s="57"/>
      <c r="M609" s="6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</row>
    <row r="610">
      <c r="A610" s="57"/>
      <c r="B610" s="57"/>
      <c r="C610" s="57"/>
      <c r="D610" s="57"/>
      <c r="E610" s="57"/>
      <c r="F610" s="57"/>
      <c r="G610" s="57"/>
      <c r="K610" s="57"/>
      <c r="L610" s="57"/>
      <c r="M610" s="6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</row>
    <row r="611">
      <c r="A611" s="57"/>
      <c r="B611" s="57"/>
      <c r="C611" s="57"/>
      <c r="D611" s="57"/>
      <c r="E611" s="57"/>
      <c r="F611" s="57"/>
      <c r="G611" s="57"/>
      <c r="K611" s="57"/>
      <c r="L611" s="57"/>
      <c r="M611" s="6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</row>
    <row r="612">
      <c r="A612" s="57"/>
      <c r="B612" s="57"/>
      <c r="C612" s="57"/>
      <c r="D612" s="57"/>
      <c r="E612" s="57"/>
      <c r="F612" s="57"/>
      <c r="G612" s="57"/>
      <c r="K612" s="57"/>
      <c r="L612" s="57"/>
      <c r="M612" s="6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</row>
    <row r="613">
      <c r="A613" s="57"/>
      <c r="B613" s="57"/>
      <c r="C613" s="57"/>
      <c r="D613" s="57"/>
      <c r="E613" s="57"/>
      <c r="F613" s="57"/>
      <c r="G613" s="57"/>
      <c r="K613" s="57"/>
      <c r="L613" s="57"/>
      <c r="M613" s="6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</row>
    <row r="614">
      <c r="A614" s="57"/>
      <c r="B614" s="57"/>
      <c r="C614" s="57"/>
      <c r="D614" s="57"/>
      <c r="E614" s="57"/>
      <c r="F614" s="57"/>
      <c r="G614" s="57"/>
      <c r="K614" s="57"/>
      <c r="L614" s="57"/>
      <c r="M614" s="6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</row>
    <row r="615">
      <c r="A615" s="57"/>
      <c r="B615" s="57"/>
      <c r="C615" s="57"/>
      <c r="D615" s="57"/>
      <c r="E615" s="57"/>
      <c r="F615" s="57"/>
      <c r="G615" s="57"/>
      <c r="K615" s="57"/>
      <c r="L615" s="57"/>
      <c r="M615" s="6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</row>
    <row r="616">
      <c r="A616" s="57"/>
      <c r="B616" s="57"/>
      <c r="C616" s="57"/>
      <c r="D616" s="57"/>
      <c r="E616" s="57"/>
      <c r="F616" s="57"/>
      <c r="G616" s="57"/>
      <c r="K616" s="57"/>
      <c r="L616" s="57"/>
      <c r="M616" s="6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</row>
    <row r="617">
      <c r="A617" s="57"/>
      <c r="B617" s="57"/>
      <c r="C617" s="57"/>
      <c r="D617" s="57"/>
      <c r="E617" s="57"/>
      <c r="F617" s="57"/>
      <c r="G617" s="57"/>
      <c r="K617" s="57"/>
      <c r="L617" s="57"/>
      <c r="M617" s="6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</row>
    <row r="618">
      <c r="A618" s="57"/>
      <c r="B618" s="57"/>
      <c r="C618" s="57"/>
      <c r="D618" s="57"/>
      <c r="E618" s="57"/>
      <c r="F618" s="57"/>
      <c r="G618" s="57"/>
      <c r="K618" s="57"/>
      <c r="L618" s="57"/>
      <c r="M618" s="6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</row>
    <row r="619">
      <c r="A619" s="57"/>
      <c r="B619" s="57"/>
      <c r="C619" s="57"/>
      <c r="D619" s="57"/>
      <c r="E619" s="57"/>
      <c r="F619" s="57"/>
      <c r="G619" s="57"/>
      <c r="K619" s="57"/>
      <c r="L619" s="57"/>
      <c r="M619" s="6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</row>
    <row r="620">
      <c r="A620" s="57"/>
      <c r="B620" s="57"/>
      <c r="C620" s="57"/>
      <c r="D620" s="57"/>
      <c r="E620" s="57"/>
      <c r="F620" s="57"/>
      <c r="G620" s="57"/>
      <c r="K620" s="57"/>
      <c r="L620" s="57"/>
      <c r="M620" s="6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</row>
    <row r="621">
      <c r="A621" s="57"/>
      <c r="B621" s="57"/>
      <c r="C621" s="57"/>
      <c r="D621" s="57"/>
      <c r="E621" s="57"/>
      <c r="F621" s="57"/>
      <c r="G621" s="57"/>
      <c r="K621" s="57"/>
      <c r="L621" s="57"/>
      <c r="M621" s="6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</row>
    <row r="622">
      <c r="A622" s="57"/>
      <c r="B622" s="57"/>
      <c r="C622" s="57"/>
      <c r="D622" s="57"/>
      <c r="E622" s="57"/>
      <c r="F622" s="57"/>
      <c r="G622" s="57"/>
      <c r="K622" s="57"/>
      <c r="L622" s="57"/>
      <c r="M622" s="6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</row>
    <row r="623">
      <c r="A623" s="57"/>
      <c r="B623" s="57"/>
      <c r="C623" s="57"/>
      <c r="D623" s="57"/>
      <c r="E623" s="57"/>
      <c r="F623" s="57"/>
      <c r="G623" s="57"/>
      <c r="K623" s="57"/>
      <c r="L623" s="57"/>
      <c r="M623" s="6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</row>
    <row r="624">
      <c r="A624" s="57"/>
      <c r="B624" s="57"/>
      <c r="C624" s="57"/>
      <c r="D624" s="57"/>
      <c r="E624" s="57"/>
      <c r="F624" s="57"/>
      <c r="G624" s="57"/>
      <c r="K624" s="57"/>
      <c r="L624" s="57"/>
      <c r="M624" s="6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</row>
    <row r="625">
      <c r="A625" s="57"/>
      <c r="B625" s="57"/>
      <c r="C625" s="57"/>
      <c r="D625" s="57"/>
      <c r="E625" s="57"/>
      <c r="F625" s="57"/>
      <c r="G625" s="57"/>
      <c r="K625" s="57"/>
      <c r="L625" s="57"/>
      <c r="M625" s="6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</row>
    <row r="626">
      <c r="A626" s="57"/>
      <c r="B626" s="57"/>
      <c r="C626" s="57"/>
      <c r="D626" s="57"/>
      <c r="E626" s="57"/>
      <c r="F626" s="57"/>
      <c r="G626" s="57"/>
      <c r="K626" s="57"/>
      <c r="L626" s="57"/>
      <c r="M626" s="6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</row>
    <row r="627">
      <c r="A627" s="57"/>
      <c r="B627" s="57"/>
      <c r="C627" s="57"/>
      <c r="D627" s="57"/>
      <c r="E627" s="57"/>
      <c r="F627" s="57"/>
      <c r="G627" s="57"/>
      <c r="K627" s="57"/>
      <c r="L627" s="57"/>
      <c r="M627" s="6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</row>
    <row r="628">
      <c r="A628" s="57"/>
      <c r="B628" s="57"/>
      <c r="C628" s="57"/>
      <c r="D628" s="57"/>
      <c r="E628" s="57"/>
      <c r="F628" s="57"/>
      <c r="G628" s="57"/>
      <c r="K628" s="57"/>
      <c r="L628" s="57"/>
      <c r="M628" s="6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</row>
    <row r="629">
      <c r="A629" s="57"/>
      <c r="B629" s="57"/>
      <c r="C629" s="57"/>
      <c r="D629" s="57"/>
      <c r="E629" s="57"/>
      <c r="F629" s="57"/>
      <c r="G629" s="57"/>
      <c r="K629" s="57"/>
      <c r="L629" s="57"/>
      <c r="M629" s="6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</row>
    <row r="630">
      <c r="A630" s="57"/>
      <c r="B630" s="57"/>
      <c r="C630" s="57"/>
      <c r="D630" s="57"/>
      <c r="E630" s="57"/>
      <c r="F630" s="57"/>
      <c r="G630" s="57"/>
      <c r="K630" s="57"/>
      <c r="L630" s="57"/>
      <c r="M630" s="6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</row>
    <row r="631">
      <c r="A631" s="57"/>
      <c r="B631" s="57"/>
      <c r="C631" s="57"/>
      <c r="D631" s="57"/>
      <c r="E631" s="57"/>
      <c r="F631" s="57"/>
      <c r="G631" s="57"/>
      <c r="K631" s="57"/>
      <c r="L631" s="57"/>
      <c r="M631" s="6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</row>
    <row r="632">
      <c r="A632" s="57"/>
      <c r="B632" s="57"/>
      <c r="C632" s="57"/>
      <c r="D632" s="57"/>
      <c r="E632" s="57"/>
      <c r="F632" s="57"/>
      <c r="G632" s="57"/>
      <c r="K632" s="57"/>
      <c r="L632" s="57"/>
      <c r="M632" s="6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</row>
    <row r="633">
      <c r="A633" s="57"/>
      <c r="B633" s="57"/>
      <c r="C633" s="57"/>
      <c r="D633" s="57"/>
      <c r="E633" s="57"/>
      <c r="F633" s="57"/>
      <c r="G633" s="57"/>
      <c r="K633" s="57"/>
      <c r="L633" s="57"/>
      <c r="M633" s="6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</row>
    <row r="634">
      <c r="A634" s="57"/>
      <c r="B634" s="57"/>
      <c r="C634" s="57"/>
      <c r="D634" s="57"/>
      <c r="E634" s="57"/>
      <c r="F634" s="57"/>
      <c r="G634" s="57"/>
      <c r="K634" s="57"/>
      <c r="L634" s="57"/>
      <c r="M634" s="6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</row>
    <row r="635">
      <c r="A635" s="57"/>
      <c r="B635" s="57"/>
      <c r="C635" s="57"/>
      <c r="D635" s="57"/>
      <c r="E635" s="57"/>
      <c r="F635" s="57"/>
      <c r="G635" s="57"/>
      <c r="K635" s="57"/>
      <c r="L635" s="57"/>
      <c r="M635" s="6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</row>
    <row r="636">
      <c r="A636" s="57"/>
      <c r="B636" s="57"/>
      <c r="C636" s="57"/>
      <c r="D636" s="57"/>
      <c r="E636" s="57"/>
      <c r="F636" s="57"/>
      <c r="G636" s="57"/>
      <c r="K636" s="57"/>
      <c r="L636" s="57"/>
      <c r="M636" s="6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</row>
    <row r="637">
      <c r="A637" s="57"/>
      <c r="B637" s="57"/>
      <c r="C637" s="57"/>
      <c r="D637" s="57"/>
      <c r="E637" s="57"/>
      <c r="F637" s="57"/>
      <c r="G637" s="57"/>
      <c r="K637" s="57"/>
      <c r="L637" s="57"/>
      <c r="M637" s="6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</row>
    <row r="638">
      <c r="A638" s="57"/>
      <c r="B638" s="57"/>
      <c r="C638" s="57"/>
      <c r="D638" s="57"/>
      <c r="E638" s="57"/>
      <c r="F638" s="57"/>
      <c r="G638" s="57"/>
      <c r="K638" s="57"/>
      <c r="L638" s="57"/>
      <c r="M638" s="6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</row>
    <row r="639">
      <c r="A639" s="57"/>
      <c r="B639" s="57"/>
      <c r="C639" s="57"/>
      <c r="D639" s="57"/>
      <c r="E639" s="57"/>
      <c r="F639" s="57"/>
      <c r="G639" s="57"/>
      <c r="K639" s="57"/>
      <c r="L639" s="57"/>
      <c r="M639" s="6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</row>
    <row r="640">
      <c r="A640" s="57"/>
      <c r="B640" s="57"/>
      <c r="C640" s="57"/>
      <c r="D640" s="57"/>
      <c r="E640" s="57"/>
      <c r="F640" s="57"/>
      <c r="G640" s="57"/>
      <c r="K640" s="57"/>
      <c r="L640" s="57"/>
      <c r="M640" s="6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</row>
    <row r="641">
      <c r="A641" s="57"/>
      <c r="B641" s="57"/>
      <c r="C641" s="57"/>
      <c r="D641" s="57"/>
      <c r="E641" s="57"/>
      <c r="F641" s="57"/>
      <c r="G641" s="57"/>
      <c r="K641" s="57"/>
      <c r="L641" s="57"/>
      <c r="M641" s="6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</row>
    <row r="642">
      <c r="A642" s="57"/>
      <c r="B642" s="57"/>
      <c r="C642" s="57"/>
      <c r="D642" s="57"/>
      <c r="E642" s="57"/>
      <c r="F642" s="57"/>
      <c r="G642" s="57"/>
      <c r="K642" s="57"/>
      <c r="L642" s="57"/>
      <c r="M642" s="6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</row>
    <row r="643">
      <c r="A643" s="57"/>
      <c r="B643" s="57"/>
      <c r="C643" s="57"/>
      <c r="D643" s="57"/>
      <c r="E643" s="57"/>
      <c r="F643" s="57"/>
      <c r="G643" s="57"/>
      <c r="K643" s="57"/>
      <c r="L643" s="57"/>
      <c r="M643" s="6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</row>
    <row r="644">
      <c r="A644" s="57"/>
      <c r="B644" s="57"/>
      <c r="C644" s="57"/>
      <c r="D644" s="57"/>
      <c r="E644" s="57"/>
      <c r="F644" s="57"/>
      <c r="G644" s="57"/>
      <c r="K644" s="57"/>
      <c r="L644" s="57"/>
      <c r="M644" s="6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</row>
    <row r="645">
      <c r="A645" s="57"/>
      <c r="B645" s="57"/>
      <c r="C645" s="57"/>
      <c r="D645" s="57"/>
      <c r="E645" s="57"/>
      <c r="F645" s="57"/>
      <c r="G645" s="57"/>
      <c r="K645" s="57"/>
      <c r="L645" s="57"/>
      <c r="M645" s="6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</row>
    <row r="646">
      <c r="A646" s="57"/>
      <c r="B646" s="57"/>
      <c r="C646" s="57"/>
      <c r="D646" s="57"/>
      <c r="E646" s="57"/>
      <c r="F646" s="57"/>
      <c r="G646" s="57"/>
      <c r="K646" s="57"/>
      <c r="L646" s="57"/>
      <c r="M646" s="6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</row>
    <row r="647">
      <c r="A647" s="57"/>
      <c r="B647" s="57"/>
      <c r="C647" s="57"/>
      <c r="D647" s="57"/>
      <c r="E647" s="57"/>
      <c r="F647" s="57"/>
      <c r="G647" s="57"/>
      <c r="K647" s="57"/>
      <c r="L647" s="57"/>
      <c r="M647" s="6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</row>
    <row r="648">
      <c r="A648" s="57"/>
      <c r="B648" s="57"/>
      <c r="C648" s="57"/>
      <c r="D648" s="57"/>
      <c r="E648" s="57"/>
      <c r="F648" s="57"/>
      <c r="G648" s="57"/>
      <c r="K648" s="57"/>
      <c r="L648" s="57"/>
      <c r="M648" s="6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</row>
    <row r="649">
      <c r="A649" s="57"/>
      <c r="B649" s="57"/>
      <c r="C649" s="57"/>
      <c r="D649" s="57"/>
      <c r="E649" s="57"/>
      <c r="F649" s="57"/>
      <c r="G649" s="57"/>
      <c r="K649" s="57"/>
      <c r="L649" s="57"/>
      <c r="M649" s="6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</row>
    <row r="650">
      <c r="A650" s="57"/>
      <c r="B650" s="57"/>
      <c r="C650" s="57"/>
      <c r="D650" s="57"/>
      <c r="E650" s="57"/>
      <c r="F650" s="57"/>
      <c r="G650" s="57"/>
      <c r="K650" s="57"/>
      <c r="L650" s="57"/>
      <c r="M650" s="6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</row>
    <row r="651">
      <c r="A651" s="57"/>
      <c r="B651" s="57"/>
      <c r="C651" s="57"/>
      <c r="D651" s="57"/>
      <c r="E651" s="57"/>
      <c r="F651" s="57"/>
      <c r="G651" s="57"/>
      <c r="K651" s="57"/>
      <c r="L651" s="57"/>
      <c r="M651" s="6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</row>
    <row r="652">
      <c r="A652" s="57"/>
      <c r="B652" s="57"/>
      <c r="C652" s="57"/>
      <c r="D652" s="57"/>
      <c r="E652" s="57"/>
      <c r="F652" s="57"/>
      <c r="G652" s="57"/>
      <c r="K652" s="57"/>
      <c r="L652" s="57"/>
      <c r="M652" s="6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</row>
    <row r="653">
      <c r="A653" s="57"/>
      <c r="B653" s="57"/>
      <c r="C653" s="57"/>
      <c r="D653" s="57"/>
      <c r="E653" s="57"/>
      <c r="F653" s="57"/>
      <c r="G653" s="57"/>
      <c r="K653" s="57"/>
      <c r="L653" s="57"/>
      <c r="M653" s="6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</row>
    <row r="654">
      <c r="A654" s="57"/>
      <c r="B654" s="57"/>
      <c r="C654" s="57"/>
      <c r="D654" s="57"/>
      <c r="E654" s="57"/>
      <c r="F654" s="57"/>
      <c r="G654" s="57"/>
      <c r="K654" s="57"/>
      <c r="L654" s="57"/>
      <c r="M654" s="6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</row>
    <row r="655">
      <c r="A655" s="57"/>
      <c r="B655" s="57"/>
      <c r="C655" s="57"/>
      <c r="D655" s="57"/>
      <c r="E655" s="57"/>
      <c r="F655" s="57"/>
      <c r="G655" s="57"/>
      <c r="K655" s="57"/>
      <c r="L655" s="57"/>
      <c r="M655" s="6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</row>
    <row r="656">
      <c r="A656" s="57"/>
      <c r="B656" s="57"/>
      <c r="C656" s="57"/>
      <c r="D656" s="57"/>
      <c r="E656" s="57"/>
      <c r="F656" s="57"/>
      <c r="G656" s="57"/>
      <c r="K656" s="57"/>
      <c r="L656" s="57"/>
      <c r="M656" s="6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</row>
    <row r="657">
      <c r="A657" s="57"/>
      <c r="B657" s="57"/>
      <c r="C657" s="57"/>
      <c r="D657" s="57"/>
      <c r="E657" s="57"/>
      <c r="F657" s="57"/>
      <c r="G657" s="57"/>
      <c r="K657" s="57"/>
      <c r="L657" s="57"/>
      <c r="M657" s="6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</row>
    <row r="658">
      <c r="A658" s="57"/>
      <c r="B658" s="57"/>
      <c r="C658" s="57"/>
      <c r="D658" s="57"/>
      <c r="E658" s="57"/>
      <c r="F658" s="57"/>
      <c r="G658" s="57"/>
      <c r="K658" s="57"/>
      <c r="L658" s="57"/>
      <c r="M658" s="6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</row>
    <row r="659">
      <c r="A659" s="57"/>
      <c r="B659" s="57"/>
      <c r="C659" s="57"/>
      <c r="D659" s="57"/>
      <c r="E659" s="57"/>
      <c r="F659" s="57"/>
      <c r="G659" s="57"/>
      <c r="K659" s="57"/>
      <c r="L659" s="57"/>
      <c r="M659" s="6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</row>
    <row r="660">
      <c r="A660" s="57"/>
      <c r="B660" s="57"/>
      <c r="C660" s="57"/>
      <c r="D660" s="57"/>
      <c r="E660" s="57"/>
      <c r="F660" s="57"/>
      <c r="G660" s="57"/>
      <c r="K660" s="57"/>
      <c r="L660" s="57"/>
      <c r="M660" s="6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</row>
    <row r="661">
      <c r="A661" s="57"/>
      <c r="B661" s="57"/>
      <c r="C661" s="57"/>
      <c r="D661" s="57"/>
      <c r="E661" s="57"/>
      <c r="F661" s="57"/>
      <c r="G661" s="57"/>
      <c r="K661" s="57"/>
      <c r="L661" s="57"/>
      <c r="M661" s="6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</row>
    <row r="662">
      <c r="A662" s="57"/>
      <c r="B662" s="57"/>
      <c r="C662" s="57"/>
      <c r="D662" s="57"/>
      <c r="E662" s="57"/>
      <c r="F662" s="57"/>
      <c r="G662" s="57"/>
      <c r="K662" s="57"/>
      <c r="L662" s="57"/>
      <c r="M662" s="6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</row>
    <row r="663">
      <c r="A663" s="57"/>
      <c r="B663" s="57"/>
      <c r="C663" s="57"/>
      <c r="D663" s="57"/>
      <c r="E663" s="57"/>
      <c r="F663" s="57"/>
      <c r="G663" s="57"/>
      <c r="K663" s="57"/>
      <c r="L663" s="57"/>
      <c r="M663" s="6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</row>
    <row r="664">
      <c r="A664" s="57"/>
      <c r="B664" s="57"/>
      <c r="C664" s="57"/>
      <c r="D664" s="57"/>
      <c r="E664" s="57"/>
      <c r="F664" s="57"/>
      <c r="G664" s="57"/>
      <c r="K664" s="57"/>
      <c r="L664" s="57"/>
      <c r="M664" s="6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</row>
    <row r="665">
      <c r="A665" s="57"/>
      <c r="B665" s="57"/>
      <c r="C665" s="57"/>
      <c r="D665" s="57"/>
      <c r="E665" s="57"/>
      <c r="F665" s="57"/>
      <c r="G665" s="57"/>
      <c r="K665" s="57"/>
      <c r="L665" s="57"/>
      <c r="M665" s="6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</row>
    <row r="666">
      <c r="A666" s="57"/>
      <c r="B666" s="57"/>
      <c r="C666" s="57"/>
      <c r="D666" s="57"/>
      <c r="E666" s="57"/>
      <c r="F666" s="57"/>
      <c r="G666" s="57"/>
      <c r="K666" s="57"/>
      <c r="L666" s="57"/>
      <c r="M666" s="6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</row>
    <row r="667">
      <c r="A667" s="57"/>
      <c r="B667" s="57"/>
      <c r="C667" s="57"/>
      <c r="D667" s="57"/>
      <c r="E667" s="57"/>
      <c r="F667" s="57"/>
      <c r="G667" s="57"/>
      <c r="K667" s="57"/>
      <c r="L667" s="57"/>
      <c r="M667" s="6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</row>
    <row r="668">
      <c r="A668" s="57"/>
      <c r="B668" s="57"/>
      <c r="C668" s="57"/>
      <c r="D668" s="57"/>
      <c r="E668" s="57"/>
      <c r="F668" s="57"/>
      <c r="G668" s="57"/>
      <c r="K668" s="57"/>
      <c r="L668" s="57"/>
      <c r="M668" s="6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</row>
    <row r="669">
      <c r="A669" s="57"/>
      <c r="B669" s="57"/>
      <c r="C669" s="57"/>
      <c r="D669" s="57"/>
      <c r="E669" s="57"/>
      <c r="F669" s="57"/>
      <c r="G669" s="57"/>
      <c r="K669" s="57"/>
      <c r="L669" s="57"/>
      <c r="M669" s="6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</row>
    <row r="670">
      <c r="A670" s="57"/>
      <c r="B670" s="57"/>
      <c r="C670" s="57"/>
      <c r="D670" s="57"/>
      <c r="E670" s="57"/>
      <c r="F670" s="57"/>
      <c r="G670" s="57"/>
      <c r="K670" s="57"/>
      <c r="L670" s="57"/>
      <c r="M670" s="6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</row>
    <row r="671">
      <c r="A671" s="57"/>
      <c r="B671" s="57"/>
      <c r="C671" s="57"/>
      <c r="D671" s="57"/>
      <c r="E671" s="57"/>
      <c r="F671" s="57"/>
      <c r="G671" s="57"/>
      <c r="K671" s="57"/>
      <c r="L671" s="57"/>
      <c r="M671" s="6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</row>
    <row r="672">
      <c r="A672" s="57"/>
      <c r="B672" s="57"/>
      <c r="C672" s="57"/>
      <c r="D672" s="57"/>
      <c r="E672" s="57"/>
      <c r="F672" s="57"/>
      <c r="G672" s="57"/>
      <c r="K672" s="57"/>
      <c r="L672" s="57"/>
      <c r="M672" s="6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</row>
    <row r="673">
      <c r="A673" s="57"/>
      <c r="B673" s="57"/>
      <c r="C673" s="57"/>
      <c r="D673" s="57"/>
      <c r="E673" s="57"/>
      <c r="F673" s="57"/>
      <c r="G673" s="57"/>
      <c r="K673" s="57"/>
      <c r="L673" s="57"/>
      <c r="M673" s="6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</row>
    <row r="674">
      <c r="A674" s="57"/>
      <c r="B674" s="57"/>
      <c r="C674" s="57"/>
      <c r="D674" s="57"/>
      <c r="E674" s="57"/>
      <c r="F674" s="57"/>
      <c r="G674" s="57"/>
      <c r="K674" s="57"/>
      <c r="L674" s="57"/>
      <c r="M674" s="6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</row>
    <row r="675">
      <c r="A675" s="57"/>
      <c r="B675" s="57"/>
      <c r="C675" s="57"/>
      <c r="D675" s="57"/>
      <c r="E675" s="57"/>
      <c r="F675" s="57"/>
      <c r="G675" s="57"/>
      <c r="K675" s="57"/>
      <c r="L675" s="57"/>
      <c r="M675" s="6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</row>
    <row r="676">
      <c r="A676" s="57"/>
      <c r="B676" s="57"/>
      <c r="C676" s="57"/>
      <c r="D676" s="57"/>
      <c r="E676" s="57"/>
      <c r="F676" s="57"/>
      <c r="G676" s="57"/>
      <c r="K676" s="57"/>
      <c r="L676" s="57"/>
      <c r="M676" s="6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</row>
    <row r="677">
      <c r="A677" s="57"/>
      <c r="B677" s="57"/>
      <c r="C677" s="57"/>
      <c r="D677" s="57"/>
      <c r="E677" s="57"/>
      <c r="F677" s="57"/>
      <c r="G677" s="57"/>
      <c r="K677" s="57"/>
      <c r="L677" s="57"/>
      <c r="M677" s="6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</row>
    <row r="678">
      <c r="A678" s="57"/>
      <c r="B678" s="57"/>
      <c r="C678" s="57"/>
      <c r="D678" s="57"/>
      <c r="E678" s="57"/>
      <c r="F678" s="57"/>
      <c r="G678" s="57"/>
      <c r="K678" s="57"/>
      <c r="L678" s="57"/>
      <c r="M678" s="6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</row>
    <row r="679">
      <c r="A679" s="57"/>
      <c r="B679" s="57"/>
      <c r="C679" s="57"/>
      <c r="D679" s="57"/>
      <c r="E679" s="57"/>
      <c r="F679" s="57"/>
      <c r="G679" s="57"/>
      <c r="K679" s="57"/>
      <c r="L679" s="57"/>
      <c r="M679" s="6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</row>
    <row r="680">
      <c r="A680" s="57"/>
      <c r="B680" s="57"/>
      <c r="C680" s="57"/>
      <c r="D680" s="57"/>
      <c r="E680" s="57"/>
      <c r="F680" s="57"/>
      <c r="G680" s="57"/>
      <c r="K680" s="57"/>
      <c r="L680" s="57"/>
      <c r="M680" s="6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</row>
    <row r="681">
      <c r="A681" s="57"/>
      <c r="B681" s="57"/>
      <c r="C681" s="57"/>
      <c r="D681" s="57"/>
      <c r="E681" s="57"/>
      <c r="F681" s="57"/>
      <c r="G681" s="57"/>
      <c r="K681" s="57"/>
      <c r="L681" s="57"/>
      <c r="M681" s="6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</row>
    <row r="682">
      <c r="A682" s="57"/>
      <c r="B682" s="57"/>
      <c r="C682" s="57"/>
      <c r="D682" s="57"/>
      <c r="E682" s="57"/>
      <c r="F682" s="57"/>
      <c r="G682" s="57"/>
      <c r="K682" s="57"/>
      <c r="L682" s="57"/>
      <c r="M682" s="6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</row>
    <row r="683">
      <c r="A683" s="57"/>
      <c r="B683" s="57"/>
      <c r="C683" s="57"/>
      <c r="D683" s="57"/>
      <c r="E683" s="57"/>
      <c r="F683" s="57"/>
      <c r="G683" s="57"/>
      <c r="K683" s="57"/>
      <c r="L683" s="57"/>
      <c r="M683" s="6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</row>
    <row r="684">
      <c r="A684" s="57"/>
      <c r="B684" s="57"/>
      <c r="C684" s="57"/>
      <c r="D684" s="57"/>
      <c r="E684" s="57"/>
      <c r="F684" s="57"/>
      <c r="G684" s="57"/>
      <c r="K684" s="57"/>
      <c r="L684" s="57"/>
      <c r="M684" s="6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</row>
    <row r="685">
      <c r="A685" s="57"/>
      <c r="B685" s="57"/>
      <c r="C685" s="57"/>
      <c r="D685" s="57"/>
      <c r="E685" s="57"/>
      <c r="F685" s="57"/>
      <c r="G685" s="57"/>
      <c r="K685" s="57"/>
      <c r="L685" s="57"/>
      <c r="M685" s="6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</row>
    <row r="686">
      <c r="A686" s="57"/>
      <c r="B686" s="57"/>
      <c r="C686" s="57"/>
      <c r="D686" s="57"/>
      <c r="E686" s="57"/>
      <c r="F686" s="57"/>
      <c r="G686" s="57"/>
      <c r="K686" s="57"/>
      <c r="L686" s="57"/>
      <c r="M686" s="6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</row>
    <row r="687">
      <c r="A687" s="57"/>
      <c r="B687" s="57"/>
      <c r="C687" s="57"/>
      <c r="D687" s="57"/>
      <c r="E687" s="57"/>
      <c r="F687" s="57"/>
      <c r="G687" s="57"/>
      <c r="K687" s="57"/>
      <c r="L687" s="57"/>
      <c r="M687" s="6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</row>
    <row r="688">
      <c r="A688" s="57"/>
      <c r="B688" s="57"/>
      <c r="C688" s="57"/>
      <c r="D688" s="57"/>
      <c r="E688" s="57"/>
      <c r="F688" s="57"/>
      <c r="G688" s="57"/>
      <c r="K688" s="57"/>
      <c r="L688" s="57"/>
      <c r="M688" s="6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</row>
    <row r="689">
      <c r="A689" s="57"/>
      <c r="B689" s="57"/>
      <c r="C689" s="57"/>
      <c r="D689" s="57"/>
      <c r="E689" s="57"/>
      <c r="F689" s="57"/>
      <c r="G689" s="57"/>
      <c r="K689" s="57"/>
      <c r="L689" s="57"/>
      <c r="M689" s="6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</row>
    <row r="690">
      <c r="A690" s="57"/>
      <c r="B690" s="57"/>
      <c r="C690" s="57"/>
      <c r="D690" s="57"/>
      <c r="E690" s="57"/>
      <c r="F690" s="57"/>
      <c r="G690" s="57"/>
      <c r="K690" s="57"/>
      <c r="L690" s="57"/>
      <c r="M690" s="6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</row>
    <row r="691">
      <c r="A691" s="57"/>
      <c r="B691" s="57"/>
      <c r="C691" s="57"/>
      <c r="D691" s="57"/>
      <c r="E691" s="57"/>
      <c r="F691" s="57"/>
      <c r="G691" s="57"/>
      <c r="K691" s="57"/>
      <c r="L691" s="57"/>
      <c r="M691" s="6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</row>
    <row r="692">
      <c r="A692" s="57"/>
      <c r="B692" s="57"/>
      <c r="C692" s="57"/>
      <c r="D692" s="57"/>
      <c r="E692" s="57"/>
      <c r="F692" s="57"/>
      <c r="G692" s="57"/>
      <c r="K692" s="57"/>
      <c r="L692" s="57"/>
      <c r="M692" s="6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</row>
    <row r="693">
      <c r="A693" s="57"/>
      <c r="B693" s="57"/>
      <c r="C693" s="57"/>
      <c r="D693" s="57"/>
      <c r="E693" s="57"/>
      <c r="F693" s="57"/>
      <c r="G693" s="57"/>
      <c r="K693" s="57"/>
      <c r="L693" s="57"/>
      <c r="M693" s="6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</row>
    <row r="694">
      <c r="A694" s="57"/>
      <c r="B694" s="57"/>
      <c r="C694" s="57"/>
      <c r="D694" s="57"/>
      <c r="E694" s="57"/>
      <c r="F694" s="57"/>
      <c r="G694" s="57"/>
      <c r="K694" s="57"/>
      <c r="L694" s="57"/>
      <c r="M694" s="6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</row>
    <row r="695">
      <c r="A695" s="57"/>
      <c r="B695" s="57"/>
      <c r="C695" s="57"/>
      <c r="D695" s="57"/>
      <c r="E695" s="57"/>
      <c r="F695" s="57"/>
      <c r="G695" s="57"/>
      <c r="K695" s="57"/>
      <c r="L695" s="57"/>
      <c r="M695" s="6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</row>
    <row r="696">
      <c r="A696" s="57"/>
      <c r="B696" s="57"/>
      <c r="C696" s="57"/>
      <c r="D696" s="57"/>
      <c r="E696" s="57"/>
      <c r="F696" s="57"/>
      <c r="G696" s="57"/>
      <c r="K696" s="57"/>
      <c r="L696" s="57"/>
      <c r="M696" s="6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</row>
    <row r="697">
      <c r="A697" s="57"/>
      <c r="B697" s="57"/>
      <c r="C697" s="57"/>
      <c r="D697" s="57"/>
      <c r="E697" s="57"/>
      <c r="F697" s="57"/>
      <c r="G697" s="57"/>
      <c r="K697" s="57"/>
      <c r="L697" s="57"/>
      <c r="M697" s="6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</row>
    <row r="698">
      <c r="A698" s="57"/>
      <c r="B698" s="57"/>
      <c r="C698" s="57"/>
      <c r="D698" s="57"/>
      <c r="E698" s="57"/>
      <c r="F698" s="57"/>
      <c r="G698" s="57"/>
      <c r="K698" s="57"/>
      <c r="L698" s="57"/>
      <c r="M698" s="6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</row>
    <row r="699">
      <c r="A699" s="57"/>
      <c r="B699" s="57"/>
      <c r="C699" s="57"/>
      <c r="D699" s="57"/>
      <c r="E699" s="57"/>
      <c r="F699" s="57"/>
      <c r="G699" s="57"/>
      <c r="K699" s="57"/>
      <c r="L699" s="57"/>
      <c r="M699" s="6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</row>
    <row r="700">
      <c r="A700" s="57"/>
      <c r="B700" s="57"/>
      <c r="C700" s="57"/>
      <c r="D700" s="57"/>
      <c r="E700" s="57"/>
      <c r="F700" s="57"/>
      <c r="G700" s="57"/>
      <c r="K700" s="57"/>
      <c r="L700" s="57"/>
      <c r="M700" s="6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</row>
    <row r="701">
      <c r="A701" s="57"/>
      <c r="B701" s="57"/>
      <c r="C701" s="57"/>
      <c r="D701" s="57"/>
      <c r="E701" s="57"/>
      <c r="F701" s="57"/>
      <c r="G701" s="57"/>
      <c r="K701" s="57"/>
      <c r="L701" s="57"/>
      <c r="M701" s="6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</row>
    <row r="702">
      <c r="A702" s="57"/>
      <c r="B702" s="57"/>
      <c r="C702" s="57"/>
      <c r="D702" s="57"/>
      <c r="E702" s="57"/>
      <c r="F702" s="57"/>
      <c r="G702" s="57"/>
      <c r="K702" s="57"/>
      <c r="L702" s="57"/>
      <c r="M702" s="6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</row>
    <row r="703">
      <c r="A703" s="57"/>
      <c r="B703" s="57"/>
      <c r="C703" s="57"/>
      <c r="D703" s="57"/>
      <c r="E703" s="57"/>
      <c r="F703" s="57"/>
      <c r="G703" s="57"/>
      <c r="K703" s="57"/>
      <c r="L703" s="57"/>
      <c r="M703" s="6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</row>
    <row r="704">
      <c r="A704" s="57"/>
      <c r="B704" s="57"/>
      <c r="C704" s="57"/>
      <c r="D704" s="57"/>
      <c r="E704" s="57"/>
      <c r="F704" s="57"/>
      <c r="G704" s="57"/>
      <c r="K704" s="57"/>
      <c r="L704" s="57"/>
      <c r="M704" s="6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</row>
    <row r="705">
      <c r="A705" s="57"/>
      <c r="B705" s="57"/>
      <c r="C705" s="57"/>
      <c r="D705" s="57"/>
      <c r="E705" s="57"/>
      <c r="F705" s="57"/>
      <c r="G705" s="57"/>
      <c r="K705" s="57"/>
      <c r="L705" s="57"/>
      <c r="M705" s="6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</row>
    <row r="706">
      <c r="A706" s="57"/>
      <c r="B706" s="57"/>
      <c r="C706" s="57"/>
      <c r="D706" s="57"/>
      <c r="E706" s="57"/>
      <c r="F706" s="57"/>
      <c r="G706" s="57"/>
      <c r="K706" s="57"/>
      <c r="L706" s="57"/>
      <c r="M706" s="6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</row>
    <row r="707">
      <c r="A707" s="57"/>
      <c r="B707" s="57"/>
      <c r="C707" s="57"/>
      <c r="D707" s="57"/>
      <c r="E707" s="57"/>
      <c r="F707" s="57"/>
      <c r="G707" s="57"/>
      <c r="K707" s="57"/>
      <c r="L707" s="57"/>
      <c r="M707" s="6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</row>
    <row r="708">
      <c r="A708" s="57"/>
      <c r="B708" s="57"/>
      <c r="C708" s="57"/>
      <c r="D708" s="57"/>
      <c r="E708" s="57"/>
      <c r="F708" s="57"/>
      <c r="G708" s="57"/>
      <c r="K708" s="57"/>
      <c r="L708" s="57"/>
      <c r="M708" s="6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</row>
    <row r="709">
      <c r="A709" s="57"/>
      <c r="B709" s="57"/>
      <c r="C709" s="57"/>
      <c r="D709" s="57"/>
      <c r="E709" s="57"/>
      <c r="F709" s="57"/>
      <c r="G709" s="57"/>
      <c r="K709" s="57"/>
      <c r="L709" s="57"/>
      <c r="M709" s="6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</row>
    <row r="710">
      <c r="A710" s="57"/>
      <c r="B710" s="57"/>
      <c r="C710" s="57"/>
      <c r="D710" s="57"/>
      <c r="E710" s="57"/>
      <c r="F710" s="57"/>
      <c r="G710" s="57"/>
      <c r="K710" s="57"/>
      <c r="L710" s="57"/>
      <c r="M710" s="6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</row>
    <row r="711">
      <c r="A711" s="57"/>
      <c r="B711" s="57"/>
      <c r="C711" s="57"/>
      <c r="D711" s="57"/>
      <c r="E711" s="57"/>
      <c r="F711" s="57"/>
      <c r="G711" s="57"/>
      <c r="K711" s="57"/>
      <c r="L711" s="57"/>
      <c r="M711" s="6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</row>
    <row r="712">
      <c r="A712" s="57"/>
      <c r="B712" s="57"/>
      <c r="C712" s="57"/>
      <c r="D712" s="57"/>
      <c r="E712" s="57"/>
      <c r="F712" s="57"/>
      <c r="G712" s="57"/>
      <c r="K712" s="57"/>
      <c r="L712" s="57"/>
      <c r="M712" s="6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</row>
    <row r="713">
      <c r="A713" s="57"/>
      <c r="B713" s="57"/>
      <c r="C713" s="57"/>
      <c r="D713" s="57"/>
      <c r="E713" s="57"/>
      <c r="F713" s="57"/>
      <c r="G713" s="57"/>
      <c r="K713" s="57"/>
      <c r="L713" s="57"/>
      <c r="M713" s="6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</row>
    <row r="714">
      <c r="A714" s="57"/>
      <c r="B714" s="57"/>
      <c r="C714" s="57"/>
      <c r="D714" s="57"/>
      <c r="E714" s="57"/>
      <c r="F714" s="57"/>
      <c r="G714" s="57"/>
      <c r="K714" s="57"/>
      <c r="L714" s="57"/>
      <c r="M714" s="6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</row>
    <row r="715">
      <c r="A715" s="57"/>
      <c r="B715" s="57"/>
      <c r="C715" s="57"/>
      <c r="D715" s="57"/>
      <c r="E715" s="57"/>
      <c r="F715" s="57"/>
      <c r="G715" s="57"/>
      <c r="K715" s="57"/>
      <c r="L715" s="57"/>
      <c r="M715" s="6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</row>
    <row r="716">
      <c r="A716" s="57"/>
      <c r="B716" s="57"/>
      <c r="C716" s="57"/>
      <c r="D716" s="57"/>
      <c r="E716" s="57"/>
      <c r="F716" s="57"/>
      <c r="G716" s="57"/>
      <c r="K716" s="57"/>
      <c r="L716" s="57"/>
      <c r="M716" s="6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</row>
    <row r="717">
      <c r="A717" s="57"/>
      <c r="B717" s="57"/>
      <c r="C717" s="57"/>
      <c r="D717" s="57"/>
      <c r="E717" s="57"/>
      <c r="F717" s="57"/>
      <c r="G717" s="57"/>
      <c r="K717" s="57"/>
      <c r="L717" s="57"/>
      <c r="M717" s="6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</row>
    <row r="718">
      <c r="A718" s="57"/>
      <c r="B718" s="57"/>
      <c r="C718" s="57"/>
      <c r="D718" s="57"/>
      <c r="E718" s="57"/>
      <c r="F718" s="57"/>
      <c r="G718" s="57"/>
      <c r="K718" s="57"/>
      <c r="L718" s="57"/>
      <c r="M718" s="6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</row>
    <row r="719">
      <c r="A719" s="57"/>
      <c r="B719" s="57"/>
      <c r="C719" s="57"/>
      <c r="D719" s="57"/>
      <c r="E719" s="57"/>
      <c r="F719" s="57"/>
      <c r="G719" s="57"/>
      <c r="K719" s="57"/>
      <c r="L719" s="57"/>
      <c r="M719" s="6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</row>
    <row r="720">
      <c r="A720" s="57"/>
      <c r="B720" s="57"/>
      <c r="C720" s="57"/>
      <c r="D720" s="57"/>
      <c r="E720" s="57"/>
      <c r="F720" s="57"/>
      <c r="G720" s="57"/>
      <c r="K720" s="57"/>
      <c r="L720" s="57"/>
      <c r="M720" s="6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</row>
    <row r="721">
      <c r="A721" s="57"/>
      <c r="B721" s="57"/>
      <c r="C721" s="57"/>
      <c r="D721" s="57"/>
      <c r="E721" s="57"/>
      <c r="F721" s="57"/>
      <c r="G721" s="57"/>
      <c r="K721" s="57"/>
      <c r="L721" s="57"/>
      <c r="M721" s="6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</row>
    <row r="722">
      <c r="A722" s="57"/>
      <c r="B722" s="57"/>
      <c r="C722" s="57"/>
      <c r="D722" s="57"/>
      <c r="E722" s="57"/>
      <c r="F722" s="57"/>
      <c r="G722" s="57"/>
      <c r="K722" s="57"/>
      <c r="L722" s="57"/>
      <c r="M722" s="6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</row>
    <row r="723">
      <c r="A723" s="57"/>
      <c r="B723" s="57"/>
      <c r="C723" s="57"/>
      <c r="D723" s="57"/>
      <c r="E723" s="57"/>
      <c r="F723" s="57"/>
      <c r="G723" s="57"/>
      <c r="K723" s="57"/>
      <c r="L723" s="57"/>
      <c r="M723" s="6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</row>
    <row r="724">
      <c r="A724" s="57"/>
      <c r="B724" s="57"/>
      <c r="C724" s="57"/>
      <c r="D724" s="57"/>
      <c r="E724" s="57"/>
      <c r="F724" s="57"/>
      <c r="G724" s="57"/>
      <c r="K724" s="57"/>
      <c r="L724" s="57"/>
      <c r="M724" s="6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</row>
    <row r="725">
      <c r="A725" s="57"/>
      <c r="B725" s="57"/>
      <c r="C725" s="57"/>
      <c r="D725" s="57"/>
      <c r="E725" s="57"/>
      <c r="F725" s="57"/>
      <c r="G725" s="57"/>
      <c r="K725" s="57"/>
      <c r="L725" s="57"/>
      <c r="M725" s="6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</row>
    <row r="726">
      <c r="A726" s="57"/>
      <c r="B726" s="57"/>
      <c r="C726" s="57"/>
      <c r="D726" s="57"/>
      <c r="E726" s="57"/>
      <c r="F726" s="57"/>
      <c r="G726" s="57"/>
      <c r="K726" s="57"/>
      <c r="L726" s="57"/>
      <c r="M726" s="6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</row>
    <row r="727">
      <c r="A727" s="57"/>
      <c r="B727" s="57"/>
      <c r="C727" s="57"/>
      <c r="D727" s="57"/>
      <c r="E727" s="57"/>
      <c r="F727" s="57"/>
      <c r="G727" s="57"/>
      <c r="K727" s="57"/>
      <c r="L727" s="57"/>
      <c r="M727" s="6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</row>
    <row r="728">
      <c r="A728" s="57"/>
      <c r="B728" s="57"/>
      <c r="C728" s="57"/>
      <c r="D728" s="57"/>
      <c r="E728" s="57"/>
      <c r="F728" s="57"/>
      <c r="G728" s="57"/>
      <c r="K728" s="57"/>
      <c r="L728" s="57"/>
      <c r="M728" s="6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</row>
    <row r="729">
      <c r="A729" s="57"/>
      <c r="B729" s="57"/>
      <c r="C729" s="57"/>
      <c r="D729" s="57"/>
      <c r="E729" s="57"/>
      <c r="F729" s="57"/>
      <c r="G729" s="57"/>
      <c r="K729" s="57"/>
      <c r="L729" s="57"/>
      <c r="M729" s="6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</row>
    <row r="730">
      <c r="A730" s="57"/>
      <c r="B730" s="57"/>
      <c r="C730" s="57"/>
      <c r="D730" s="57"/>
      <c r="E730" s="57"/>
      <c r="F730" s="57"/>
      <c r="G730" s="57"/>
      <c r="K730" s="57"/>
      <c r="L730" s="57"/>
      <c r="M730" s="6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</row>
    <row r="731">
      <c r="A731" s="57"/>
      <c r="B731" s="57"/>
      <c r="C731" s="57"/>
      <c r="D731" s="57"/>
      <c r="E731" s="57"/>
      <c r="F731" s="57"/>
      <c r="G731" s="57"/>
      <c r="K731" s="57"/>
      <c r="L731" s="57"/>
      <c r="M731" s="6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</row>
    <row r="732">
      <c r="A732" s="57"/>
      <c r="B732" s="57"/>
      <c r="C732" s="57"/>
      <c r="D732" s="57"/>
      <c r="E732" s="57"/>
      <c r="F732" s="57"/>
      <c r="G732" s="57"/>
      <c r="K732" s="57"/>
      <c r="L732" s="57"/>
      <c r="M732" s="6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</row>
    <row r="733">
      <c r="A733" s="57"/>
      <c r="B733" s="57"/>
      <c r="C733" s="57"/>
      <c r="D733" s="57"/>
      <c r="E733" s="57"/>
      <c r="F733" s="57"/>
      <c r="G733" s="57"/>
      <c r="K733" s="57"/>
      <c r="L733" s="57"/>
      <c r="M733" s="6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</row>
    <row r="734">
      <c r="A734" s="57"/>
      <c r="B734" s="57"/>
      <c r="C734" s="57"/>
      <c r="D734" s="57"/>
      <c r="E734" s="57"/>
      <c r="F734" s="57"/>
      <c r="G734" s="57"/>
      <c r="K734" s="57"/>
      <c r="L734" s="57"/>
      <c r="M734" s="6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</row>
    <row r="735">
      <c r="A735" s="57"/>
      <c r="B735" s="57"/>
      <c r="C735" s="57"/>
      <c r="D735" s="57"/>
      <c r="E735" s="57"/>
      <c r="F735" s="57"/>
      <c r="G735" s="57"/>
      <c r="K735" s="57"/>
      <c r="L735" s="57"/>
      <c r="M735" s="6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</row>
    <row r="736">
      <c r="A736" s="57"/>
      <c r="B736" s="57"/>
      <c r="C736" s="57"/>
      <c r="D736" s="57"/>
      <c r="E736" s="57"/>
      <c r="F736" s="57"/>
      <c r="G736" s="57"/>
      <c r="K736" s="57"/>
      <c r="L736" s="57"/>
      <c r="M736" s="6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</row>
    <row r="737">
      <c r="A737" s="57"/>
      <c r="B737" s="57"/>
      <c r="C737" s="57"/>
      <c r="D737" s="57"/>
      <c r="E737" s="57"/>
      <c r="F737" s="57"/>
      <c r="G737" s="57"/>
      <c r="K737" s="57"/>
      <c r="L737" s="57"/>
      <c r="M737" s="6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</row>
    <row r="738">
      <c r="A738" s="57"/>
      <c r="B738" s="57"/>
      <c r="C738" s="57"/>
      <c r="D738" s="57"/>
      <c r="E738" s="57"/>
      <c r="F738" s="57"/>
      <c r="G738" s="57"/>
      <c r="K738" s="57"/>
      <c r="L738" s="57"/>
      <c r="M738" s="6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</row>
    <row r="739">
      <c r="A739" s="57"/>
      <c r="B739" s="57"/>
      <c r="C739" s="57"/>
      <c r="D739" s="57"/>
      <c r="E739" s="57"/>
      <c r="F739" s="57"/>
      <c r="G739" s="57"/>
      <c r="K739" s="57"/>
      <c r="L739" s="57"/>
      <c r="M739" s="6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</row>
    <row r="740">
      <c r="A740" s="57"/>
      <c r="B740" s="57"/>
      <c r="C740" s="57"/>
      <c r="D740" s="57"/>
      <c r="E740" s="57"/>
      <c r="F740" s="57"/>
      <c r="G740" s="57"/>
      <c r="K740" s="57"/>
      <c r="L740" s="57"/>
      <c r="M740" s="6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</row>
    <row r="741">
      <c r="A741" s="57"/>
      <c r="B741" s="57"/>
      <c r="C741" s="57"/>
      <c r="D741" s="57"/>
      <c r="E741" s="57"/>
      <c r="F741" s="57"/>
      <c r="G741" s="57"/>
      <c r="K741" s="57"/>
      <c r="L741" s="57"/>
      <c r="M741" s="6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</row>
    <row r="742">
      <c r="A742" s="57"/>
      <c r="B742" s="57"/>
      <c r="C742" s="57"/>
      <c r="D742" s="57"/>
      <c r="E742" s="57"/>
      <c r="F742" s="57"/>
      <c r="G742" s="57"/>
      <c r="K742" s="57"/>
      <c r="L742" s="57"/>
      <c r="M742" s="6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</row>
    <row r="743">
      <c r="A743" s="57"/>
      <c r="B743" s="57"/>
      <c r="C743" s="57"/>
      <c r="D743" s="57"/>
      <c r="E743" s="57"/>
      <c r="F743" s="57"/>
      <c r="G743" s="57"/>
      <c r="K743" s="57"/>
      <c r="L743" s="57"/>
      <c r="M743" s="6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</row>
    <row r="744">
      <c r="A744" s="57"/>
      <c r="B744" s="57"/>
      <c r="C744" s="57"/>
      <c r="D744" s="57"/>
      <c r="E744" s="57"/>
      <c r="F744" s="57"/>
      <c r="G744" s="57"/>
      <c r="K744" s="57"/>
      <c r="L744" s="57"/>
      <c r="M744" s="6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</row>
    <row r="745">
      <c r="A745" s="57"/>
      <c r="B745" s="57"/>
      <c r="C745" s="57"/>
      <c r="D745" s="57"/>
      <c r="E745" s="57"/>
      <c r="F745" s="57"/>
      <c r="G745" s="57"/>
      <c r="K745" s="57"/>
      <c r="L745" s="57"/>
      <c r="M745" s="6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</row>
    <row r="746">
      <c r="A746" s="57"/>
      <c r="B746" s="57"/>
      <c r="C746" s="57"/>
      <c r="D746" s="57"/>
      <c r="E746" s="57"/>
      <c r="F746" s="57"/>
      <c r="G746" s="57"/>
      <c r="K746" s="57"/>
      <c r="L746" s="57"/>
      <c r="M746" s="6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</row>
    <row r="747">
      <c r="A747" s="57"/>
      <c r="B747" s="57"/>
      <c r="C747" s="57"/>
      <c r="D747" s="57"/>
      <c r="E747" s="57"/>
      <c r="F747" s="57"/>
      <c r="G747" s="57"/>
      <c r="K747" s="57"/>
      <c r="L747" s="57"/>
      <c r="M747" s="6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</row>
    <row r="748">
      <c r="A748" s="57"/>
      <c r="B748" s="57"/>
      <c r="C748" s="57"/>
      <c r="D748" s="57"/>
      <c r="E748" s="57"/>
      <c r="F748" s="57"/>
      <c r="G748" s="57"/>
      <c r="K748" s="57"/>
      <c r="L748" s="57"/>
      <c r="M748" s="6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</row>
    <row r="749">
      <c r="A749" s="57"/>
      <c r="B749" s="57"/>
      <c r="C749" s="57"/>
      <c r="D749" s="57"/>
      <c r="E749" s="57"/>
      <c r="F749" s="57"/>
      <c r="G749" s="57"/>
      <c r="K749" s="57"/>
      <c r="L749" s="57"/>
      <c r="M749" s="6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</row>
    <row r="750">
      <c r="A750" s="57"/>
      <c r="B750" s="57"/>
      <c r="C750" s="57"/>
      <c r="D750" s="57"/>
      <c r="E750" s="57"/>
      <c r="F750" s="57"/>
      <c r="G750" s="57"/>
      <c r="K750" s="57"/>
      <c r="L750" s="57"/>
      <c r="M750" s="6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</row>
    <row r="751">
      <c r="A751" s="57"/>
      <c r="B751" s="57"/>
      <c r="C751" s="57"/>
      <c r="D751" s="57"/>
      <c r="E751" s="57"/>
      <c r="F751" s="57"/>
      <c r="G751" s="57"/>
      <c r="K751" s="57"/>
      <c r="L751" s="57"/>
      <c r="M751" s="6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</row>
    <row r="752">
      <c r="A752" s="57"/>
      <c r="B752" s="57"/>
      <c r="C752" s="57"/>
      <c r="D752" s="57"/>
      <c r="E752" s="57"/>
      <c r="F752" s="57"/>
      <c r="G752" s="57"/>
      <c r="K752" s="57"/>
      <c r="L752" s="57"/>
      <c r="M752" s="6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</row>
    <row r="753">
      <c r="A753" s="57"/>
      <c r="B753" s="57"/>
      <c r="C753" s="57"/>
      <c r="D753" s="57"/>
      <c r="E753" s="57"/>
      <c r="F753" s="57"/>
      <c r="G753" s="57"/>
      <c r="K753" s="57"/>
      <c r="L753" s="57"/>
      <c r="M753" s="6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</row>
    <row r="754">
      <c r="A754" s="57"/>
      <c r="B754" s="57"/>
      <c r="C754" s="57"/>
      <c r="D754" s="57"/>
      <c r="E754" s="57"/>
      <c r="F754" s="57"/>
      <c r="G754" s="57"/>
      <c r="K754" s="57"/>
      <c r="L754" s="57"/>
      <c r="M754" s="6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</row>
    <row r="755">
      <c r="A755" s="57"/>
      <c r="B755" s="57"/>
      <c r="C755" s="57"/>
      <c r="D755" s="57"/>
      <c r="E755" s="57"/>
      <c r="F755" s="57"/>
      <c r="G755" s="57"/>
      <c r="K755" s="57"/>
      <c r="L755" s="57"/>
      <c r="M755" s="6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</row>
    <row r="756">
      <c r="A756" s="57"/>
      <c r="B756" s="57"/>
      <c r="C756" s="57"/>
      <c r="D756" s="57"/>
      <c r="E756" s="57"/>
      <c r="F756" s="57"/>
      <c r="G756" s="57"/>
      <c r="K756" s="57"/>
      <c r="L756" s="57"/>
      <c r="M756" s="6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</row>
    <row r="757">
      <c r="A757" s="57"/>
      <c r="B757" s="57"/>
      <c r="C757" s="57"/>
      <c r="D757" s="57"/>
      <c r="E757" s="57"/>
      <c r="F757" s="57"/>
      <c r="G757" s="57"/>
      <c r="K757" s="57"/>
      <c r="L757" s="57"/>
      <c r="M757" s="6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</row>
    <row r="758">
      <c r="A758" s="57"/>
      <c r="B758" s="57"/>
      <c r="C758" s="57"/>
      <c r="D758" s="57"/>
      <c r="E758" s="57"/>
      <c r="F758" s="57"/>
      <c r="G758" s="57"/>
      <c r="K758" s="57"/>
      <c r="L758" s="57"/>
      <c r="M758" s="6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</row>
    <row r="759">
      <c r="A759" s="57"/>
      <c r="B759" s="57"/>
      <c r="C759" s="57"/>
      <c r="D759" s="57"/>
      <c r="E759" s="57"/>
      <c r="F759" s="57"/>
      <c r="G759" s="57"/>
      <c r="K759" s="57"/>
      <c r="L759" s="57"/>
      <c r="M759" s="6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</row>
    <row r="760">
      <c r="A760" s="57"/>
      <c r="B760" s="57"/>
      <c r="C760" s="57"/>
      <c r="D760" s="57"/>
      <c r="E760" s="57"/>
      <c r="F760" s="57"/>
      <c r="G760" s="57"/>
      <c r="K760" s="57"/>
      <c r="L760" s="57"/>
      <c r="M760" s="6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</row>
    <row r="761">
      <c r="A761" s="57"/>
      <c r="B761" s="57"/>
      <c r="C761" s="57"/>
      <c r="D761" s="57"/>
      <c r="E761" s="57"/>
      <c r="F761" s="57"/>
      <c r="G761" s="57"/>
      <c r="K761" s="57"/>
      <c r="L761" s="57"/>
      <c r="M761" s="6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</row>
    <row r="762">
      <c r="A762" s="57"/>
      <c r="B762" s="57"/>
      <c r="C762" s="57"/>
      <c r="D762" s="57"/>
      <c r="E762" s="57"/>
      <c r="F762" s="57"/>
      <c r="G762" s="57"/>
      <c r="K762" s="57"/>
      <c r="L762" s="57"/>
      <c r="M762" s="6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</row>
    <row r="763">
      <c r="A763" s="57"/>
      <c r="B763" s="57"/>
      <c r="C763" s="57"/>
      <c r="D763" s="57"/>
      <c r="E763" s="57"/>
      <c r="F763" s="57"/>
      <c r="G763" s="57"/>
      <c r="K763" s="57"/>
      <c r="L763" s="57"/>
      <c r="M763" s="6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</row>
    <row r="764">
      <c r="A764" s="57"/>
      <c r="B764" s="57"/>
      <c r="C764" s="57"/>
      <c r="D764" s="57"/>
      <c r="E764" s="57"/>
      <c r="F764" s="57"/>
      <c r="G764" s="57"/>
      <c r="K764" s="57"/>
      <c r="L764" s="57"/>
      <c r="M764" s="6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</row>
    <row r="765">
      <c r="A765" s="57"/>
      <c r="B765" s="57"/>
      <c r="C765" s="57"/>
      <c r="D765" s="57"/>
      <c r="E765" s="57"/>
      <c r="F765" s="57"/>
      <c r="G765" s="57"/>
      <c r="K765" s="57"/>
      <c r="L765" s="57"/>
      <c r="M765" s="6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</row>
    <row r="766">
      <c r="A766" s="57"/>
      <c r="B766" s="57"/>
      <c r="C766" s="57"/>
      <c r="D766" s="57"/>
      <c r="E766" s="57"/>
      <c r="F766" s="57"/>
      <c r="G766" s="57"/>
      <c r="K766" s="57"/>
      <c r="L766" s="57"/>
      <c r="M766" s="6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</row>
    <row r="767">
      <c r="A767" s="57"/>
      <c r="B767" s="57"/>
      <c r="C767" s="57"/>
      <c r="D767" s="57"/>
      <c r="E767" s="57"/>
      <c r="F767" s="57"/>
      <c r="G767" s="57"/>
      <c r="K767" s="57"/>
      <c r="L767" s="57"/>
      <c r="M767" s="6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</row>
    <row r="768">
      <c r="A768" s="57"/>
      <c r="B768" s="57"/>
      <c r="C768" s="57"/>
      <c r="D768" s="57"/>
      <c r="E768" s="57"/>
      <c r="F768" s="57"/>
      <c r="G768" s="57"/>
      <c r="K768" s="57"/>
      <c r="L768" s="57"/>
      <c r="M768" s="6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</row>
    <row r="769">
      <c r="A769" s="57"/>
      <c r="B769" s="57"/>
      <c r="C769" s="57"/>
      <c r="D769" s="57"/>
      <c r="E769" s="57"/>
      <c r="F769" s="57"/>
      <c r="G769" s="57"/>
      <c r="K769" s="57"/>
      <c r="L769" s="57"/>
      <c r="M769" s="6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</row>
    <row r="770">
      <c r="A770" s="57"/>
      <c r="B770" s="57"/>
      <c r="C770" s="57"/>
      <c r="D770" s="57"/>
      <c r="E770" s="57"/>
      <c r="F770" s="57"/>
      <c r="G770" s="57"/>
      <c r="K770" s="57"/>
      <c r="L770" s="57"/>
      <c r="M770" s="6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</row>
    <row r="771">
      <c r="A771" s="57"/>
      <c r="B771" s="57"/>
      <c r="C771" s="57"/>
      <c r="D771" s="57"/>
      <c r="E771" s="57"/>
      <c r="F771" s="57"/>
      <c r="G771" s="57"/>
      <c r="K771" s="57"/>
      <c r="L771" s="57"/>
      <c r="M771" s="6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</row>
    <row r="772">
      <c r="A772" s="57"/>
      <c r="B772" s="57"/>
      <c r="C772" s="57"/>
      <c r="D772" s="57"/>
      <c r="E772" s="57"/>
      <c r="F772" s="57"/>
      <c r="G772" s="57"/>
      <c r="K772" s="57"/>
      <c r="L772" s="57"/>
      <c r="M772" s="6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</row>
    <row r="773">
      <c r="A773" s="57"/>
      <c r="B773" s="57"/>
      <c r="C773" s="57"/>
      <c r="D773" s="57"/>
      <c r="E773" s="57"/>
      <c r="F773" s="57"/>
      <c r="G773" s="57"/>
      <c r="K773" s="57"/>
      <c r="L773" s="57"/>
      <c r="M773" s="6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</row>
    <row r="774">
      <c r="A774" s="57"/>
      <c r="B774" s="57"/>
      <c r="C774" s="57"/>
      <c r="D774" s="57"/>
      <c r="E774" s="57"/>
      <c r="F774" s="57"/>
      <c r="G774" s="57"/>
      <c r="K774" s="57"/>
      <c r="L774" s="57"/>
      <c r="M774" s="6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</row>
    <row r="775">
      <c r="A775" s="57"/>
      <c r="B775" s="57"/>
      <c r="C775" s="57"/>
      <c r="D775" s="57"/>
      <c r="E775" s="57"/>
      <c r="F775" s="57"/>
      <c r="G775" s="57"/>
      <c r="K775" s="57"/>
      <c r="L775" s="57"/>
      <c r="M775" s="6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</row>
    <row r="776">
      <c r="A776" s="57"/>
      <c r="B776" s="57"/>
      <c r="C776" s="57"/>
      <c r="D776" s="57"/>
      <c r="E776" s="57"/>
      <c r="F776" s="57"/>
      <c r="G776" s="57"/>
      <c r="K776" s="57"/>
      <c r="L776" s="57"/>
      <c r="M776" s="6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</row>
    <row r="777">
      <c r="A777" s="57"/>
      <c r="B777" s="57"/>
      <c r="C777" s="57"/>
      <c r="D777" s="57"/>
      <c r="E777" s="57"/>
      <c r="F777" s="57"/>
      <c r="G777" s="57"/>
      <c r="K777" s="57"/>
      <c r="L777" s="57"/>
      <c r="M777" s="6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</row>
    <row r="778">
      <c r="A778" s="57"/>
      <c r="B778" s="57"/>
      <c r="C778" s="57"/>
      <c r="D778" s="57"/>
      <c r="E778" s="57"/>
      <c r="F778" s="57"/>
      <c r="G778" s="57"/>
      <c r="K778" s="57"/>
      <c r="L778" s="57"/>
      <c r="M778" s="6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</row>
    <row r="779">
      <c r="A779" s="57"/>
      <c r="B779" s="57"/>
      <c r="C779" s="57"/>
      <c r="D779" s="57"/>
      <c r="E779" s="57"/>
      <c r="F779" s="57"/>
      <c r="G779" s="57"/>
      <c r="K779" s="57"/>
      <c r="L779" s="57"/>
      <c r="M779" s="6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</row>
    <row r="780">
      <c r="A780" s="57"/>
      <c r="B780" s="57"/>
      <c r="C780" s="57"/>
      <c r="D780" s="57"/>
      <c r="E780" s="57"/>
      <c r="F780" s="57"/>
      <c r="G780" s="57"/>
      <c r="K780" s="57"/>
      <c r="L780" s="57"/>
      <c r="M780" s="6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</row>
    <row r="781">
      <c r="A781" s="57"/>
      <c r="B781" s="57"/>
      <c r="C781" s="57"/>
      <c r="D781" s="57"/>
      <c r="E781" s="57"/>
      <c r="F781" s="57"/>
      <c r="G781" s="57"/>
      <c r="K781" s="57"/>
      <c r="L781" s="57"/>
      <c r="M781" s="6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</row>
    <row r="782">
      <c r="A782" s="57"/>
      <c r="B782" s="57"/>
      <c r="C782" s="57"/>
      <c r="D782" s="57"/>
      <c r="E782" s="57"/>
      <c r="F782" s="57"/>
      <c r="G782" s="57"/>
      <c r="K782" s="57"/>
      <c r="L782" s="57"/>
      <c r="M782" s="6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</row>
    <row r="783">
      <c r="A783" s="57"/>
      <c r="B783" s="57"/>
      <c r="C783" s="57"/>
      <c r="D783" s="57"/>
      <c r="E783" s="57"/>
      <c r="F783" s="57"/>
      <c r="G783" s="57"/>
      <c r="K783" s="57"/>
      <c r="L783" s="57"/>
      <c r="M783" s="6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</row>
    <row r="784">
      <c r="A784" s="57"/>
      <c r="B784" s="57"/>
      <c r="C784" s="57"/>
      <c r="D784" s="57"/>
      <c r="E784" s="57"/>
      <c r="F784" s="57"/>
      <c r="G784" s="57"/>
      <c r="K784" s="57"/>
      <c r="L784" s="57"/>
      <c r="M784" s="6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</row>
    <row r="785">
      <c r="A785" s="57"/>
      <c r="B785" s="57"/>
      <c r="C785" s="57"/>
      <c r="D785" s="57"/>
      <c r="E785" s="57"/>
      <c r="F785" s="57"/>
      <c r="G785" s="57"/>
      <c r="K785" s="57"/>
      <c r="L785" s="57"/>
      <c r="M785" s="6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</row>
    <row r="786">
      <c r="A786" s="57"/>
      <c r="B786" s="57"/>
      <c r="C786" s="57"/>
      <c r="D786" s="57"/>
      <c r="E786" s="57"/>
      <c r="F786" s="57"/>
      <c r="G786" s="57"/>
      <c r="K786" s="57"/>
      <c r="L786" s="57"/>
      <c r="M786" s="6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</row>
    <row r="787">
      <c r="A787" s="57"/>
      <c r="B787" s="57"/>
      <c r="C787" s="57"/>
      <c r="D787" s="57"/>
      <c r="E787" s="57"/>
      <c r="F787" s="57"/>
      <c r="G787" s="57"/>
      <c r="K787" s="57"/>
      <c r="L787" s="57"/>
      <c r="M787" s="6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</row>
    <row r="788">
      <c r="A788" s="57"/>
      <c r="B788" s="57"/>
      <c r="C788" s="57"/>
      <c r="D788" s="57"/>
      <c r="E788" s="57"/>
      <c r="F788" s="57"/>
      <c r="G788" s="57"/>
      <c r="K788" s="57"/>
      <c r="L788" s="57"/>
      <c r="M788" s="6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</row>
    <row r="789">
      <c r="A789" s="57"/>
      <c r="B789" s="57"/>
      <c r="C789" s="57"/>
      <c r="D789" s="57"/>
      <c r="E789" s="57"/>
      <c r="F789" s="57"/>
      <c r="G789" s="57"/>
      <c r="K789" s="57"/>
      <c r="L789" s="57"/>
      <c r="M789" s="6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</row>
    <row r="790">
      <c r="A790" s="57"/>
      <c r="B790" s="57"/>
      <c r="C790" s="57"/>
      <c r="D790" s="57"/>
      <c r="E790" s="57"/>
      <c r="F790" s="57"/>
      <c r="G790" s="57"/>
      <c r="K790" s="57"/>
      <c r="L790" s="57"/>
      <c r="M790" s="6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</row>
    <row r="791">
      <c r="A791" s="57"/>
      <c r="B791" s="57"/>
      <c r="C791" s="57"/>
      <c r="D791" s="57"/>
      <c r="E791" s="57"/>
      <c r="F791" s="57"/>
      <c r="G791" s="57"/>
      <c r="K791" s="57"/>
      <c r="L791" s="57"/>
      <c r="M791" s="6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</row>
    <row r="792">
      <c r="A792" s="57"/>
      <c r="B792" s="57"/>
      <c r="C792" s="57"/>
      <c r="D792" s="57"/>
      <c r="E792" s="57"/>
      <c r="F792" s="57"/>
      <c r="G792" s="57"/>
      <c r="K792" s="57"/>
      <c r="L792" s="57"/>
      <c r="M792" s="6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</row>
    <row r="793">
      <c r="A793" s="57"/>
      <c r="B793" s="57"/>
      <c r="C793" s="57"/>
      <c r="D793" s="57"/>
      <c r="E793" s="57"/>
      <c r="F793" s="57"/>
      <c r="G793" s="57"/>
      <c r="K793" s="57"/>
      <c r="L793" s="57"/>
      <c r="M793" s="6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</row>
    <row r="794">
      <c r="A794" s="57"/>
      <c r="B794" s="57"/>
      <c r="C794" s="57"/>
      <c r="D794" s="57"/>
      <c r="E794" s="57"/>
      <c r="F794" s="57"/>
      <c r="G794" s="57"/>
      <c r="K794" s="57"/>
      <c r="L794" s="57"/>
      <c r="M794" s="6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</row>
    <row r="795">
      <c r="A795" s="57"/>
      <c r="B795" s="57"/>
      <c r="C795" s="57"/>
      <c r="D795" s="57"/>
      <c r="E795" s="57"/>
      <c r="F795" s="57"/>
      <c r="G795" s="57"/>
      <c r="K795" s="57"/>
      <c r="L795" s="57"/>
      <c r="M795" s="6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</row>
    <row r="796">
      <c r="A796" s="57"/>
      <c r="B796" s="57"/>
      <c r="C796" s="57"/>
      <c r="D796" s="57"/>
      <c r="E796" s="57"/>
      <c r="F796" s="57"/>
      <c r="G796" s="57"/>
      <c r="K796" s="57"/>
      <c r="L796" s="57"/>
      <c r="M796" s="6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</row>
    <row r="797">
      <c r="A797" s="57"/>
      <c r="B797" s="57"/>
      <c r="C797" s="57"/>
      <c r="D797" s="57"/>
      <c r="E797" s="57"/>
      <c r="F797" s="57"/>
      <c r="G797" s="57"/>
      <c r="K797" s="57"/>
      <c r="L797" s="57"/>
      <c r="M797" s="6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</row>
    <row r="798">
      <c r="A798" s="57"/>
      <c r="B798" s="57"/>
      <c r="C798" s="57"/>
      <c r="D798" s="57"/>
      <c r="E798" s="57"/>
      <c r="F798" s="57"/>
      <c r="G798" s="57"/>
      <c r="K798" s="57"/>
      <c r="L798" s="57"/>
      <c r="M798" s="6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</row>
    <row r="799">
      <c r="A799" s="57"/>
      <c r="B799" s="57"/>
      <c r="C799" s="57"/>
      <c r="D799" s="57"/>
      <c r="E799" s="57"/>
      <c r="F799" s="57"/>
      <c r="G799" s="57"/>
      <c r="K799" s="57"/>
      <c r="L799" s="57"/>
      <c r="M799" s="6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</row>
    <row r="800">
      <c r="A800" s="57"/>
      <c r="B800" s="57"/>
      <c r="C800" s="57"/>
      <c r="D800" s="57"/>
      <c r="E800" s="57"/>
      <c r="F800" s="57"/>
      <c r="G800" s="57"/>
      <c r="K800" s="57"/>
      <c r="L800" s="57"/>
      <c r="M800" s="6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</row>
    <row r="801">
      <c r="A801" s="57"/>
      <c r="B801" s="57"/>
      <c r="C801" s="57"/>
      <c r="D801" s="57"/>
      <c r="E801" s="57"/>
      <c r="F801" s="57"/>
      <c r="G801" s="57"/>
      <c r="K801" s="57"/>
      <c r="L801" s="57"/>
      <c r="M801" s="6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</row>
    <row r="802">
      <c r="A802" s="57"/>
      <c r="B802" s="57"/>
      <c r="C802" s="57"/>
      <c r="D802" s="57"/>
      <c r="E802" s="57"/>
      <c r="F802" s="57"/>
      <c r="G802" s="57"/>
      <c r="K802" s="57"/>
      <c r="L802" s="57"/>
      <c r="M802" s="6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</row>
    <row r="803">
      <c r="A803" s="57"/>
      <c r="B803" s="57"/>
      <c r="C803" s="57"/>
      <c r="D803" s="57"/>
      <c r="E803" s="57"/>
      <c r="F803" s="57"/>
      <c r="G803" s="57"/>
      <c r="K803" s="57"/>
      <c r="L803" s="57"/>
      <c r="M803" s="6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</row>
    <row r="804">
      <c r="A804" s="57"/>
      <c r="B804" s="57"/>
      <c r="C804" s="57"/>
      <c r="D804" s="57"/>
      <c r="E804" s="57"/>
      <c r="F804" s="57"/>
      <c r="G804" s="57"/>
      <c r="K804" s="57"/>
      <c r="L804" s="57"/>
      <c r="M804" s="6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</row>
    <row r="805">
      <c r="A805" s="57"/>
      <c r="B805" s="57"/>
      <c r="C805" s="57"/>
      <c r="D805" s="57"/>
      <c r="E805" s="57"/>
      <c r="F805" s="57"/>
      <c r="G805" s="57"/>
      <c r="K805" s="57"/>
      <c r="L805" s="57"/>
      <c r="M805" s="6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</row>
    <row r="806">
      <c r="A806" s="57"/>
      <c r="B806" s="57"/>
      <c r="C806" s="57"/>
      <c r="D806" s="57"/>
      <c r="E806" s="57"/>
      <c r="F806" s="57"/>
      <c r="G806" s="57"/>
      <c r="K806" s="57"/>
      <c r="L806" s="57"/>
      <c r="M806" s="6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</row>
    <row r="807">
      <c r="A807" s="57"/>
      <c r="B807" s="57"/>
      <c r="C807" s="57"/>
      <c r="D807" s="57"/>
      <c r="E807" s="57"/>
      <c r="F807" s="57"/>
      <c r="G807" s="57"/>
      <c r="K807" s="57"/>
      <c r="L807" s="57"/>
      <c r="M807" s="6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</row>
    <row r="808">
      <c r="A808" s="57"/>
      <c r="B808" s="57"/>
      <c r="C808" s="57"/>
      <c r="D808" s="57"/>
      <c r="E808" s="57"/>
      <c r="F808" s="57"/>
      <c r="G808" s="57"/>
      <c r="K808" s="57"/>
      <c r="L808" s="57"/>
      <c r="M808" s="6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</row>
    <row r="809">
      <c r="A809" s="57"/>
      <c r="B809" s="57"/>
      <c r="C809" s="57"/>
      <c r="D809" s="57"/>
      <c r="E809" s="57"/>
      <c r="F809" s="57"/>
      <c r="G809" s="57"/>
      <c r="K809" s="57"/>
      <c r="L809" s="57"/>
      <c r="M809" s="6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</row>
    <row r="810">
      <c r="A810" s="57"/>
      <c r="B810" s="57"/>
      <c r="C810" s="57"/>
      <c r="D810" s="57"/>
      <c r="E810" s="57"/>
      <c r="F810" s="57"/>
      <c r="G810" s="57"/>
      <c r="K810" s="57"/>
      <c r="L810" s="57"/>
      <c r="M810" s="6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</row>
    <row r="811">
      <c r="A811" s="57"/>
      <c r="B811" s="57"/>
      <c r="C811" s="57"/>
      <c r="D811" s="57"/>
      <c r="E811" s="57"/>
      <c r="F811" s="57"/>
      <c r="G811" s="57"/>
      <c r="K811" s="57"/>
      <c r="L811" s="57"/>
      <c r="M811" s="6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</row>
    <row r="812">
      <c r="A812" s="57"/>
      <c r="B812" s="57"/>
      <c r="C812" s="57"/>
      <c r="D812" s="57"/>
      <c r="E812" s="57"/>
      <c r="F812" s="57"/>
      <c r="G812" s="57"/>
      <c r="K812" s="57"/>
      <c r="L812" s="57"/>
      <c r="M812" s="6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</row>
    <row r="813">
      <c r="A813" s="57"/>
      <c r="B813" s="57"/>
      <c r="C813" s="57"/>
      <c r="D813" s="57"/>
      <c r="E813" s="57"/>
      <c r="F813" s="57"/>
      <c r="G813" s="57"/>
      <c r="K813" s="57"/>
      <c r="L813" s="57"/>
      <c r="M813" s="6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</row>
    <row r="814">
      <c r="A814" s="57"/>
      <c r="B814" s="57"/>
      <c r="C814" s="57"/>
      <c r="D814" s="57"/>
      <c r="E814" s="57"/>
      <c r="F814" s="57"/>
      <c r="G814" s="57"/>
      <c r="K814" s="57"/>
      <c r="L814" s="57"/>
      <c r="M814" s="6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</row>
    <row r="815">
      <c r="A815" s="57"/>
      <c r="B815" s="57"/>
      <c r="C815" s="57"/>
      <c r="D815" s="57"/>
      <c r="E815" s="57"/>
      <c r="F815" s="57"/>
      <c r="G815" s="57"/>
      <c r="K815" s="57"/>
      <c r="L815" s="57"/>
      <c r="M815" s="6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</row>
    <row r="816">
      <c r="A816" s="57"/>
      <c r="B816" s="57"/>
      <c r="C816" s="57"/>
      <c r="D816" s="57"/>
      <c r="E816" s="57"/>
      <c r="F816" s="57"/>
      <c r="G816" s="57"/>
      <c r="K816" s="57"/>
      <c r="L816" s="57"/>
      <c r="M816" s="6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</row>
    <row r="817">
      <c r="A817" s="57"/>
      <c r="B817" s="57"/>
      <c r="C817" s="57"/>
      <c r="D817" s="57"/>
      <c r="E817" s="57"/>
      <c r="F817" s="57"/>
      <c r="G817" s="57"/>
      <c r="K817" s="57"/>
      <c r="L817" s="57"/>
      <c r="M817" s="6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</row>
    <row r="818">
      <c r="A818" s="57"/>
      <c r="B818" s="57"/>
      <c r="C818" s="57"/>
      <c r="D818" s="57"/>
      <c r="E818" s="57"/>
      <c r="F818" s="57"/>
      <c r="G818" s="57"/>
      <c r="K818" s="57"/>
      <c r="L818" s="57"/>
      <c r="M818" s="6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</row>
    <row r="819">
      <c r="A819" s="57"/>
      <c r="B819" s="57"/>
      <c r="C819" s="57"/>
      <c r="D819" s="57"/>
      <c r="E819" s="57"/>
      <c r="F819" s="57"/>
      <c r="G819" s="57"/>
      <c r="K819" s="57"/>
      <c r="L819" s="57"/>
      <c r="M819" s="6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</row>
    <row r="820">
      <c r="A820" s="57"/>
      <c r="B820" s="57"/>
      <c r="C820" s="57"/>
      <c r="D820" s="57"/>
      <c r="E820" s="57"/>
      <c r="F820" s="57"/>
      <c r="G820" s="57"/>
      <c r="K820" s="57"/>
      <c r="L820" s="57"/>
      <c r="M820" s="6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</row>
    <row r="821">
      <c r="A821" s="57"/>
      <c r="B821" s="57"/>
      <c r="C821" s="57"/>
      <c r="D821" s="57"/>
      <c r="E821" s="57"/>
      <c r="F821" s="57"/>
      <c r="G821" s="57"/>
      <c r="K821" s="57"/>
      <c r="L821" s="57"/>
      <c r="M821" s="6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</row>
    <row r="822">
      <c r="A822" s="57"/>
      <c r="B822" s="57"/>
      <c r="C822" s="57"/>
      <c r="D822" s="57"/>
      <c r="E822" s="57"/>
      <c r="F822" s="57"/>
      <c r="G822" s="57"/>
      <c r="K822" s="57"/>
      <c r="L822" s="57"/>
      <c r="M822" s="6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</row>
    <row r="823">
      <c r="A823" s="57"/>
      <c r="B823" s="57"/>
      <c r="C823" s="57"/>
      <c r="D823" s="57"/>
      <c r="E823" s="57"/>
      <c r="F823" s="57"/>
      <c r="G823" s="57"/>
      <c r="K823" s="57"/>
      <c r="L823" s="57"/>
      <c r="M823" s="6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</row>
    <row r="824">
      <c r="A824" s="57"/>
      <c r="B824" s="57"/>
      <c r="C824" s="57"/>
      <c r="D824" s="57"/>
      <c r="E824" s="57"/>
      <c r="F824" s="57"/>
      <c r="G824" s="57"/>
      <c r="K824" s="57"/>
      <c r="L824" s="57"/>
      <c r="M824" s="6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</row>
    <row r="825">
      <c r="A825" s="57"/>
      <c r="B825" s="57"/>
      <c r="C825" s="57"/>
      <c r="D825" s="57"/>
      <c r="E825" s="57"/>
      <c r="F825" s="57"/>
      <c r="G825" s="57"/>
      <c r="K825" s="57"/>
      <c r="L825" s="57"/>
      <c r="M825" s="6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</row>
    <row r="826">
      <c r="A826" s="57"/>
      <c r="B826" s="57"/>
      <c r="C826" s="57"/>
      <c r="D826" s="57"/>
      <c r="E826" s="57"/>
      <c r="F826" s="57"/>
      <c r="G826" s="57"/>
      <c r="K826" s="57"/>
      <c r="L826" s="57"/>
      <c r="M826" s="6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</row>
    <row r="827">
      <c r="A827" s="57"/>
      <c r="B827" s="57"/>
      <c r="C827" s="57"/>
      <c r="D827" s="57"/>
      <c r="E827" s="57"/>
      <c r="F827" s="57"/>
      <c r="G827" s="57"/>
      <c r="K827" s="57"/>
      <c r="L827" s="57"/>
      <c r="M827" s="6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</row>
    <row r="828">
      <c r="A828" s="57"/>
      <c r="B828" s="57"/>
      <c r="C828" s="57"/>
      <c r="D828" s="57"/>
      <c r="E828" s="57"/>
      <c r="F828" s="57"/>
      <c r="G828" s="57"/>
      <c r="K828" s="57"/>
      <c r="L828" s="57"/>
      <c r="M828" s="6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</row>
    <row r="829">
      <c r="A829" s="57"/>
      <c r="B829" s="57"/>
      <c r="C829" s="57"/>
      <c r="D829" s="57"/>
      <c r="E829" s="57"/>
      <c r="F829" s="57"/>
      <c r="G829" s="57"/>
      <c r="K829" s="57"/>
      <c r="L829" s="57"/>
      <c r="M829" s="6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</row>
    <row r="830">
      <c r="A830" s="57"/>
      <c r="B830" s="57"/>
      <c r="C830" s="57"/>
      <c r="D830" s="57"/>
      <c r="E830" s="57"/>
      <c r="F830" s="57"/>
      <c r="G830" s="57"/>
      <c r="K830" s="57"/>
      <c r="L830" s="57"/>
      <c r="M830" s="6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</row>
    <row r="831">
      <c r="A831" s="57"/>
      <c r="B831" s="57"/>
      <c r="C831" s="57"/>
      <c r="D831" s="57"/>
      <c r="E831" s="57"/>
      <c r="F831" s="57"/>
      <c r="G831" s="57"/>
      <c r="K831" s="57"/>
      <c r="L831" s="57"/>
      <c r="M831" s="6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</row>
    <row r="832">
      <c r="A832" s="57"/>
      <c r="B832" s="57"/>
      <c r="C832" s="57"/>
      <c r="D832" s="57"/>
      <c r="E832" s="57"/>
      <c r="F832" s="57"/>
      <c r="G832" s="57"/>
      <c r="K832" s="57"/>
      <c r="L832" s="57"/>
      <c r="M832" s="6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</row>
    <row r="833">
      <c r="A833" s="57"/>
      <c r="B833" s="57"/>
      <c r="C833" s="57"/>
      <c r="D833" s="57"/>
      <c r="E833" s="57"/>
      <c r="F833" s="57"/>
      <c r="G833" s="57"/>
      <c r="K833" s="57"/>
      <c r="L833" s="57"/>
      <c r="M833" s="6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</row>
    <row r="834">
      <c r="A834" s="57"/>
      <c r="B834" s="57"/>
      <c r="C834" s="57"/>
      <c r="D834" s="57"/>
      <c r="E834" s="57"/>
      <c r="F834" s="57"/>
      <c r="G834" s="57"/>
      <c r="K834" s="57"/>
      <c r="L834" s="57"/>
      <c r="M834" s="6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</row>
    <row r="835">
      <c r="A835" s="57"/>
      <c r="B835" s="57"/>
      <c r="C835" s="57"/>
      <c r="D835" s="57"/>
      <c r="E835" s="57"/>
      <c r="F835" s="57"/>
      <c r="G835" s="57"/>
      <c r="K835" s="57"/>
      <c r="L835" s="57"/>
      <c r="M835" s="6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</row>
    <row r="836">
      <c r="A836" s="57"/>
      <c r="B836" s="57"/>
      <c r="C836" s="57"/>
      <c r="D836" s="57"/>
      <c r="E836" s="57"/>
      <c r="F836" s="57"/>
      <c r="G836" s="57"/>
      <c r="K836" s="57"/>
      <c r="L836" s="57"/>
      <c r="M836" s="6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</row>
    <row r="837">
      <c r="A837" s="57"/>
      <c r="B837" s="57"/>
      <c r="C837" s="57"/>
      <c r="D837" s="57"/>
      <c r="E837" s="57"/>
      <c r="F837" s="57"/>
      <c r="G837" s="57"/>
      <c r="K837" s="57"/>
      <c r="L837" s="57"/>
      <c r="M837" s="6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</row>
    <row r="838">
      <c r="A838" s="57"/>
      <c r="B838" s="57"/>
      <c r="C838" s="57"/>
      <c r="D838" s="57"/>
      <c r="E838" s="57"/>
      <c r="F838" s="57"/>
      <c r="G838" s="57"/>
      <c r="K838" s="57"/>
      <c r="L838" s="57"/>
      <c r="M838" s="6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</row>
    <row r="839">
      <c r="A839" s="57"/>
      <c r="B839" s="57"/>
      <c r="C839" s="57"/>
      <c r="D839" s="57"/>
      <c r="E839" s="57"/>
      <c r="F839" s="57"/>
      <c r="G839" s="57"/>
      <c r="K839" s="57"/>
      <c r="L839" s="57"/>
      <c r="M839" s="6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</row>
    <row r="840">
      <c r="A840" s="57"/>
      <c r="B840" s="57"/>
      <c r="C840" s="57"/>
      <c r="D840" s="57"/>
      <c r="E840" s="57"/>
      <c r="F840" s="57"/>
      <c r="G840" s="57"/>
      <c r="K840" s="57"/>
      <c r="L840" s="57"/>
      <c r="M840" s="6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</row>
    <row r="841">
      <c r="A841" s="57"/>
      <c r="B841" s="57"/>
      <c r="C841" s="57"/>
      <c r="D841" s="57"/>
      <c r="E841" s="57"/>
      <c r="F841" s="57"/>
      <c r="G841" s="57"/>
      <c r="K841" s="57"/>
      <c r="L841" s="57"/>
      <c r="M841" s="6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</row>
    <row r="842">
      <c r="A842" s="57"/>
      <c r="B842" s="57"/>
      <c r="C842" s="57"/>
      <c r="D842" s="57"/>
      <c r="E842" s="57"/>
      <c r="F842" s="57"/>
      <c r="G842" s="57"/>
      <c r="K842" s="57"/>
      <c r="L842" s="57"/>
      <c r="M842" s="6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</row>
    <row r="843">
      <c r="A843" s="57"/>
      <c r="B843" s="57"/>
      <c r="C843" s="57"/>
      <c r="D843" s="57"/>
      <c r="E843" s="57"/>
      <c r="F843" s="57"/>
      <c r="G843" s="57"/>
      <c r="K843" s="57"/>
      <c r="L843" s="57"/>
      <c r="M843" s="6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</row>
    <row r="844">
      <c r="A844" s="57"/>
      <c r="B844" s="57"/>
      <c r="C844" s="57"/>
      <c r="D844" s="57"/>
      <c r="E844" s="57"/>
      <c r="F844" s="57"/>
      <c r="G844" s="57"/>
      <c r="K844" s="57"/>
      <c r="L844" s="57"/>
      <c r="M844" s="6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</row>
    <row r="845">
      <c r="A845" s="57"/>
      <c r="B845" s="57"/>
      <c r="C845" s="57"/>
      <c r="D845" s="57"/>
      <c r="E845" s="57"/>
      <c r="F845" s="57"/>
      <c r="G845" s="57"/>
      <c r="K845" s="57"/>
      <c r="L845" s="57"/>
      <c r="M845" s="6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</row>
    <row r="846">
      <c r="A846" s="57"/>
      <c r="B846" s="57"/>
      <c r="C846" s="57"/>
      <c r="D846" s="57"/>
      <c r="E846" s="57"/>
      <c r="F846" s="57"/>
      <c r="G846" s="57"/>
      <c r="K846" s="57"/>
      <c r="L846" s="57"/>
      <c r="M846" s="6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</row>
    <row r="847">
      <c r="A847" s="57"/>
      <c r="B847" s="57"/>
      <c r="C847" s="57"/>
      <c r="D847" s="57"/>
      <c r="E847" s="57"/>
      <c r="F847" s="57"/>
      <c r="G847" s="57"/>
      <c r="K847" s="57"/>
      <c r="L847" s="57"/>
      <c r="M847" s="6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</row>
    <row r="848">
      <c r="A848" s="57"/>
      <c r="B848" s="57"/>
      <c r="C848" s="57"/>
      <c r="D848" s="57"/>
      <c r="E848" s="57"/>
      <c r="F848" s="57"/>
      <c r="G848" s="57"/>
      <c r="K848" s="57"/>
      <c r="L848" s="57"/>
      <c r="M848" s="6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</row>
    <row r="849">
      <c r="A849" s="57"/>
      <c r="B849" s="57"/>
      <c r="C849" s="57"/>
      <c r="D849" s="57"/>
      <c r="E849" s="57"/>
      <c r="F849" s="57"/>
      <c r="G849" s="57"/>
      <c r="K849" s="57"/>
      <c r="L849" s="57"/>
      <c r="M849" s="6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</row>
    <row r="850">
      <c r="A850" s="57"/>
      <c r="B850" s="57"/>
      <c r="C850" s="57"/>
      <c r="D850" s="57"/>
      <c r="E850" s="57"/>
      <c r="F850" s="57"/>
      <c r="G850" s="57"/>
      <c r="K850" s="57"/>
      <c r="L850" s="57"/>
      <c r="M850" s="6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</row>
    <row r="851">
      <c r="A851" s="57"/>
      <c r="B851" s="57"/>
      <c r="C851" s="57"/>
      <c r="D851" s="57"/>
      <c r="E851" s="57"/>
      <c r="F851" s="57"/>
      <c r="G851" s="57"/>
      <c r="K851" s="57"/>
      <c r="L851" s="57"/>
      <c r="M851" s="6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</row>
    <row r="852">
      <c r="A852" s="57"/>
      <c r="B852" s="57"/>
      <c r="C852" s="57"/>
      <c r="D852" s="57"/>
      <c r="E852" s="57"/>
      <c r="F852" s="57"/>
      <c r="G852" s="57"/>
      <c r="K852" s="57"/>
      <c r="L852" s="57"/>
      <c r="M852" s="6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</row>
    <row r="853">
      <c r="A853" s="57"/>
      <c r="B853" s="57"/>
      <c r="C853" s="57"/>
      <c r="D853" s="57"/>
      <c r="E853" s="57"/>
      <c r="F853" s="57"/>
      <c r="G853" s="57"/>
      <c r="K853" s="57"/>
      <c r="L853" s="57"/>
      <c r="M853" s="6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</row>
    <row r="854">
      <c r="A854" s="57"/>
      <c r="B854" s="57"/>
      <c r="C854" s="57"/>
      <c r="D854" s="57"/>
      <c r="E854" s="57"/>
      <c r="F854" s="57"/>
      <c r="G854" s="57"/>
      <c r="K854" s="57"/>
      <c r="L854" s="57"/>
      <c r="M854" s="6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</row>
    <row r="855">
      <c r="A855" s="57"/>
      <c r="B855" s="57"/>
      <c r="C855" s="57"/>
      <c r="D855" s="57"/>
      <c r="E855" s="57"/>
      <c r="F855" s="57"/>
      <c r="G855" s="57"/>
      <c r="K855" s="57"/>
      <c r="L855" s="57"/>
      <c r="M855" s="6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</row>
    <row r="856">
      <c r="A856" s="57"/>
      <c r="B856" s="57"/>
      <c r="C856" s="57"/>
      <c r="D856" s="57"/>
      <c r="E856" s="57"/>
      <c r="F856" s="57"/>
      <c r="G856" s="57"/>
      <c r="K856" s="57"/>
      <c r="L856" s="57"/>
      <c r="M856" s="6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</row>
    <row r="857">
      <c r="A857" s="57"/>
      <c r="B857" s="57"/>
      <c r="C857" s="57"/>
      <c r="D857" s="57"/>
      <c r="E857" s="57"/>
      <c r="F857" s="57"/>
      <c r="G857" s="57"/>
      <c r="K857" s="57"/>
      <c r="L857" s="57"/>
      <c r="M857" s="6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</row>
    <row r="858">
      <c r="A858" s="57"/>
      <c r="B858" s="57"/>
      <c r="C858" s="57"/>
      <c r="D858" s="57"/>
      <c r="E858" s="57"/>
      <c r="F858" s="57"/>
      <c r="G858" s="57"/>
      <c r="K858" s="57"/>
      <c r="L858" s="57"/>
      <c r="M858" s="6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</row>
    <row r="859">
      <c r="A859" s="57"/>
      <c r="B859" s="57"/>
      <c r="C859" s="57"/>
      <c r="D859" s="57"/>
      <c r="E859" s="57"/>
      <c r="F859" s="57"/>
      <c r="G859" s="57"/>
      <c r="K859" s="57"/>
      <c r="L859" s="57"/>
      <c r="M859" s="6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</row>
    <row r="860">
      <c r="A860" s="57"/>
      <c r="B860" s="57"/>
      <c r="C860" s="57"/>
      <c r="D860" s="57"/>
      <c r="E860" s="57"/>
      <c r="F860" s="57"/>
      <c r="G860" s="57"/>
      <c r="K860" s="57"/>
      <c r="L860" s="57"/>
      <c r="M860" s="6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</row>
    <row r="861">
      <c r="A861" s="57"/>
      <c r="B861" s="57"/>
      <c r="C861" s="57"/>
      <c r="D861" s="57"/>
      <c r="E861" s="57"/>
      <c r="F861" s="57"/>
      <c r="G861" s="57"/>
      <c r="K861" s="57"/>
      <c r="L861" s="57"/>
      <c r="M861" s="6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</row>
    <row r="862">
      <c r="A862" s="57"/>
      <c r="B862" s="57"/>
      <c r="C862" s="57"/>
      <c r="D862" s="57"/>
      <c r="E862" s="57"/>
      <c r="F862" s="57"/>
      <c r="G862" s="57"/>
      <c r="K862" s="57"/>
      <c r="L862" s="57"/>
      <c r="M862" s="6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</row>
    <row r="863">
      <c r="A863" s="57"/>
      <c r="B863" s="57"/>
      <c r="C863" s="57"/>
      <c r="D863" s="57"/>
      <c r="E863" s="57"/>
      <c r="F863" s="57"/>
      <c r="G863" s="57"/>
      <c r="K863" s="57"/>
      <c r="L863" s="57"/>
      <c r="M863" s="6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</row>
    <row r="864">
      <c r="A864" s="57"/>
      <c r="B864" s="57"/>
      <c r="C864" s="57"/>
      <c r="D864" s="57"/>
      <c r="E864" s="57"/>
      <c r="F864" s="57"/>
      <c r="G864" s="57"/>
      <c r="K864" s="57"/>
      <c r="L864" s="57"/>
      <c r="M864" s="6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</row>
    <row r="865">
      <c r="A865" s="57"/>
      <c r="B865" s="57"/>
      <c r="C865" s="57"/>
      <c r="D865" s="57"/>
      <c r="E865" s="57"/>
      <c r="F865" s="57"/>
      <c r="G865" s="57"/>
      <c r="K865" s="57"/>
      <c r="L865" s="57"/>
      <c r="M865" s="6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</row>
    <row r="866">
      <c r="A866" s="57"/>
      <c r="B866" s="57"/>
      <c r="C866" s="57"/>
      <c r="D866" s="57"/>
      <c r="E866" s="57"/>
      <c r="F866" s="57"/>
      <c r="G866" s="57"/>
      <c r="K866" s="57"/>
      <c r="L866" s="57"/>
      <c r="M866" s="6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</row>
    <row r="867">
      <c r="A867" s="57"/>
      <c r="B867" s="57"/>
      <c r="C867" s="57"/>
      <c r="D867" s="57"/>
      <c r="E867" s="57"/>
      <c r="F867" s="57"/>
      <c r="G867" s="57"/>
      <c r="K867" s="57"/>
      <c r="L867" s="57"/>
      <c r="M867" s="6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</row>
    <row r="868">
      <c r="A868" s="57"/>
      <c r="B868" s="57"/>
      <c r="C868" s="57"/>
      <c r="D868" s="57"/>
      <c r="E868" s="57"/>
      <c r="F868" s="57"/>
      <c r="G868" s="57"/>
      <c r="K868" s="57"/>
      <c r="L868" s="57"/>
      <c r="M868" s="6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</row>
    <row r="869">
      <c r="A869" s="57"/>
      <c r="B869" s="57"/>
      <c r="C869" s="57"/>
      <c r="D869" s="57"/>
      <c r="E869" s="57"/>
      <c r="F869" s="57"/>
      <c r="G869" s="57"/>
      <c r="K869" s="57"/>
      <c r="L869" s="57"/>
      <c r="M869" s="6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</row>
    <row r="870">
      <c r="A870" s="57"/>
      <c r="B870" s="57"/>
      <c r="C870" s="57"/>
      <c r="D870" s="57"/>
      <c r="E870" s="57"/>
      <c r="F870" s="57"/>
      <c r="G870" s="57"/>
      <c r="K870" s="57"/>
      <c r="L870" s="57"/>
      <c r="M870" s="6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</row>
    <row r="871">
      <c r="A871" s="57"/>
      <c r="B871" s="57"/>
      <c r="C871" s="57"/>
      <c r="D871" s="57"/>
      <c r="E871" s="57"/>
      <c r="F871" s="57"/>
      <c r="G871" s="57"/>
      <c r="K871" s="57"/>
      <c r="L871" s="57"/>
      <c r="M871" s="6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</row>
    <row r="872">
      <c r="A872" s="57"/>
      <c r="B872" s="57"/>
      <c r="C872" s="57"/>
      <c r="D872" s="57"/>
      <c r="E872" s="57"/>
      <c r="F872" s="57"/>
      <c r="G872" s="57"/>
      <c r="K872" s="57"/>
      <c r="L872" s="57"/>
      <c r="M872" s="6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</row>
    <row r="873">
      <c r="A873" s="57"/>
      <c r="B873" s="57"/>
      <c r="C873" s="57"/>
      <c r="D873" s="57"/>
      <c r="E873" s="57"/>
      <c r="F873" s="57"/>
      <c r="G873" s="57"/>
      <c r="K873" s="57"/>
      <c r="L873" s="57"/>
      <c r="M873" s="6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</row>
    <row r="874">
      <c r="A874" s="57"/>
      <c r="B874" s="57"/>
      <c r="C874" s="57"/>
      <c r="D874" s="57"/>
      <c r="E874" s="57"/>
      <c r="F874" s="57"/>
      <c r="G874" s="57"/>
      <c r="K874" s="57"/>
      <c r="L874" s="57"/>
      <c r="M874" s="6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</row>
    <row r="875">
      <c r="A875" s="57"/>
      <c r="B875" s="57"/>
      <c r="C875" s="57"/>
      <c r="D875" s="57"/>
      <c r="E875" s="57"/>
      <c r="F875" s="57"/>
      <c r="G875" s="57"/>
      <c r="K875" s="57"/>
      <c r="L875" s="57"/>
      <c r="M875" s="6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</row>
    <row r="876">
      <c r="A876" s="57"/>
      <c r="B876" s="57"/>
      <c r="C876" s="57"/>
      <c r="D876" s="57"/>
      <c r="E876" s="57"/>
      <c r="F876" s="57"/>
      <c r="G876" s="57"/>
      <c r="K876" s="57"/>
      <c r="L876" s="57"/>
      <c r="M876" s="6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</row>
    <row r="877">
      <c r="A877" s="57"/>
      <c r="B877" s="57"/>
      <c r="C877" s="57"/>
      <c r="D877" s="57"/>
      <c r="E877" s="57"/>
      <c r="F877" s="57"/>
      <c r="G877" s="57"/>
      <c r="K877" s="57"/>
      <c r="L877" s="57"/>
      <c r="M877" s="6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</row>
    <row r="878">
      <c r="A878" s="57"/>
      <c r="B878" s="57"/>
      <c r="C878" s="57"/>
      <c r="D878" s="57"/>
      <c r="E878" s="57"/>
      <c r="F878" s="57"/>
      <c r="G878" s="57"/>
      <c r="K878" s="57"/>
      <c r="L878" s="57"/>
      <c r="M878" s="6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</row>
    <row r="879">
      <c r="A879" s="57"/>
      <c r="B879" s="57"/>
      <c r="C879" s="57"/>
      <c r="D879" s="57"/>
      <c r="E879" s="57"/>
      <c r="F879" s="57"/>
      <c r="G879" s="57"/>
      <c r="K879" s="57"/>
      <c r="L879" s="57"/>
      <c r="M879" s="6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</row>
    <row r="880">
      <c r="A880" s="57"/>
      <c r="B880" s="57"/>
      <c r="C880" s="57"/>
      <c r="D880" s="57"/>
      <c r="E880" s="57"/>
      <c r="F880" s="57"/>
      <c r="G880" s="57"/>
      <c r="K880" s="57"/>
      <c r="L880" s="57"/>
      <c r="M880" s="6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</row>
    <row r="881">
      <c r="A881" s="57"/>
      <c r="B881" s="57"/>
      <c r="C881" s="57"/>
      <c r="D881" s="57"/>
      <c r="E881" s="57"/>
      <c r="F881" s="57"/>
      <c r="G881" s="57"/>
      <c r="K881" s="57"/>
      <c r="L881" s="57"/>
      <c r="M881" s="6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</row>
    <row r="882">
      <c r="A882" s="57"/>
      <c r="B882" s="57"/>
      <c r="C882" s="57"/>
      <c r="D882" s="57"/>
      <c r="E882" s="57"/>
      <c r="F882" s="57"/>
      <c r="G882" s="57"/>
      <c r="K882" s="57"/>
      <c r="L882" s="57"/>
      <c r="M882" s="6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</row>
    <row r="883">
      <c r="A883" s="57"/>
      <c r="B883" s="57"/>
      <c r="C883" s="57"/>
      <c r="D883" s="57"/>
      <c r="E883" s="57"/>
      <c r="F883" s="57"/>
      <c r="G883" s="57"/>
      <c r="K883" s="57"/>
      <c r="L883" s="57"/>
      <c r="M883" s="6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</row>
    <row r="884">
      <c r="A884" s="57"/>
      <c r="B884" s="57"/>
      <c r="C884" s="57"/>
      <c r="D884" s="57"/>
      <c r="E884" s="57"/>
      <c r="F884" s="57"/>
      <c r="G884" s="57"/>
      <c r="K884" s="57"/>
      <c r="L884" s="57"/>
      <c r="M884" s="6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</row>
    <row r="885">
      <c r="A885" s="57"/>
      <c r="B885" s="57"/>
      <c r="C885" s="57"/>
      <c r="D885" s="57"/>
      <c r="E885" s="57"/>
      <c r="F885" s="57"/>
      <c r="G885" s="57"/>
      <c r="K885" s="57"/>
      <c r="L885" s="57"/>
      <c r="M885" s="6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</row>
    <row r="886">
      <c r="A886" s="57"/>
      <c r="B886" s="57"/>
      <c r="C886" s="57"/>
      <c r="D886" s="57"/>
      <c r="E886" s="57"/>
      <c r="F886" s="57"/>
      <c r="G886" s="57"/>
      <c r="K886" s="57"/>
      <c r="L886" s="57"/>
      <c r="M886" s="6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</row>
    <row r="887">
      <c r="A887" s="57"/>
      <c r="B887" s="57"/>
      <c r="C887" s="57"/>
      <c r="D887" s="57"/>
      <c r="E887" s="57"/>
      <c r="F887" s="57"/>
      <c r="G887" s="57"/>
      <c r="K887" s="57"/>
      <c r="L887" s="57"/>
      <c r="M887" s="6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</row>
    <row r="888">
      <c r="A888" s="57"/>
      <c r="B888" s="57"/>
      <c r="C888" s="57"/>
      <c r="D888" s="57"/>
      <c r="E888" s="57"/>
      <c r="F888" s="57"/>
      <c r="G888" s="57"/>
      <c r="K888" s="57"/>
      <c r="L888" s="57"/>
      <c r="M888" s="6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</row>
    <row r="889">
      <c r="A889" s="57"/>
      <c r="B889" s="57"/>
      <c r="C889" s="57"/>
      <c r="D889" s="57"/>
      <c r="E889" s="57"/>
      <c r="F889" s="57"/>
      <c r="G889" s="57"/>
      <c r="K889" s="57"/>
      <c r="L889" s="57"/>
      <c r="M889" s="6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</row>
    <row r="890">
      <c r="A890" s="57"/>
      <c r="B890" s="57"/>
      <c r="C890" s="57"/>
      <c r="D890" s="57"/>
      <c r="E890" s="57"/>
      <c r="F890" s="57"/>
      <c r="G890" s="57"/>
      <c r="K890" s="57"/>
      <c r="L890" s="57"/>
      <c r="M890" s="6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</row>
    <row r="891">
      <c r="A891" s="57"/>
      <c r="B891" s="57"/>
      <c r="C891" s="57"/>
      <c r="D891" s="57"/>
      <c r="E891" s="57"/>
      <c r="F891" s="57"/>
      <c r="G891" s="57"/>
      <c r="K891" s="57"/>
      <c r="L891" s="57"/>
      <c r="M891" s="6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</row>
    <row r="892">
      <c r="A892" s="57"/>
      <c r="B892" s="57"/>
      <c r="C892" s="57"/>
      <c r="D892" s="57"/>
      <c r="E892" s="57"/>
      <c r="F892" s="57"/>
      <c r="G892" s="57"/>
      <c r="K892" s="57"/>
      <c r="L892" s="57"/>
      <c r="M892" s="6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</row>
    <row r="893">
      <c r="A893" s="57"/>
      <c r="B893" s="57"/>
      <c r="C893" s="57"/>
      <c r="D893" s="57"/>
      <c r="E893" s="57"/>
      <c r="F893" s="57"/>
      <c r="G893" s="57"/>
      <c r="K893" s="57"/>
      <c r="L893" s="57"/>
      <c r="M893" s="6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</row>
    <row r="894">
      <c r="A894" s="57"/>
      <c r="B894" s="57"/>
      <c r="C894" s="57"/>
      <c r="D894" s="57"/>
      <c r="E894" s="57"/>
      <c r="F894" s="57"/>
      <c r="G894" s="57"/>
      <c r="K894" s="57"/>
      <c r="L894" s="57"/>
      <c r="M894" s="6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</row>
    <row r="895">
      <c r="A895" s="57"/>
      <c r="B895" s="57"/>
      <c r="C895" s="57"/>
      <c r="D895" s="57"/>
      <c r="E895" s="57"/>
      <c r="F895" s="57"/>
      <c r="G895" s="57"/>
      <c r="K895" s="57"/>
      <c r="L895" s="57"/>
      <c r="M895" s="6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</row>
    <row r="896">
      <c r="A896" s="57"/>
      <c r="B896" s="57"/>
      <c r="C896" s="57"/>
      <c r="D896" s="57"/>
      <c r="E896" s="57"/>
      <c r="F896" s="57"/>
      <c r="G896" s="57"/>
      <c r="K896" s="57"/>
      <c r="L896" s="57"/>
      <c r="M896" s="6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</row>
    <row r="897">
      <c r="A897" s="57"/>
      <c r="B897" s="57"/>
      <c r="C897" s="57"/>
      <c r="D897" s="57"/>
      <c r="E897" s="57"/>
      <c r="F897" s="57"/>
      <c r="G897" s="57"/>
      <c r="K897" s="57"/>
      <c r="L897" s="57"/>
      <c r="M897" s="6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</row>
    <row r="898">
      <c r="A898" s="57"/>
      <c r="B898" s="57"/>
      <c r="C898" s="57"/>
      <c r="D898" s="57"/>
      <c r="E898" s="57"/>
      <c r="F898" s="57"/>
      <c r="G898" s="57"/>
      <c r="K898" s="57"/>
      <c r="L898" s="57"/>
      <c r="M898" s="6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</row>
    <row r="899">
      <c r="A899" s="57"/>
      <c r="B899" s="57"/>
      <c r="C899" s="57"/>
      <c r="D899" s="57"/>
      <c r="E899" s="57"/>
      <c r="F899" s="57"/>
      <c r="G899" s="57"/>
      <c r="K899" s="57"/>
      <c r="L899" s="57"/>
      <c r="M899" s="6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</row>
    <row r="900">
      <c r="A900" s="57"/>
      <c r="B900" s="57"/>
      <c r="C900" s="57"/>
      <c r="D900" s="57"/>
      <c r="E900" s="57"/>
      <c r="F900" s="57"/>
      <c r="G900" s="57"/>
      <c r="K900" s="57"/>
      <c r="L900" s="57"/>
      <c r="M900" s="6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</row>
    <row r="901">
      <c r="A901" s="57"/>
      <c r="B901" s="57"/>
      <c r="C901" s="57"/>
      <c r="D901" s="57"/>
      <c r="E901" s="57"/>
      <c r="F901" s="57"/>
      <c r="G901" s="57"/>
      <c r="K901" s="57"/>
      <c r="L901" s="57"/>
      <c r="M901" s="6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</row>
    <row r="902">
      <c r="A902" s="57"/>
      <c r="B902" s="57"/>
      <c r="C902" s="57"/>
      <c r="D902" s="57"/>
      <c r="E902" s="57"/>
      <c r="F902" s="57"/>
      <c r="G902" s="57"/>
      <c r="K902" s="57"/>
      <c r="L902" s="57"/>
      <c r="M902" s="6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</row>
    <row r="903">
      <c r="A903" s="57"/>
      <c r="B903" s="57"/>
      <c r="C903" s="57"/>
      <c r="D903" s="57"/>
      <c r="E903" s="57"/>
      <c r="F903" s="57"/>
      <c r="G903" s="57"/>
      <c r="K903" s="57"/>
      <c r="L903" s="57"/>
      <c r="M903" s="6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</row>
    <row r="904">
      <c r="A904" s="57"/>
      <c r="B904" s="57"/>
      <c r="C904" s="57"/>
      <c r="D904" s="57"/>
      <c r="E904" s="57"/>
      <c r="F904" s="57"/>
      <c r="G904" s="57"/>
      <c r="K904" s="57"/>
      <c r="L904" s="57"/>
      <c r="M904" s="6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</row>
    <row r="905">
      <c r="A905" s="57"/>
      <c r="B905" s="57"/>
      <c r="C905" s="57"/>
      <c r="D905" s="57"/>
      <c r="E905" s="57"/>
      <c r="F905" s="57"/>
      <c r="G905" s="57"/>
      <c r="K905" s="57"/>
      <c r="L905" s="57"/>
      <c r="M905" s="6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</row>
    <row r="906">
      <c r="A906" s="57"/>
      <c r="B906" s="57"/>
      <c r="C906" s="57"/>
      <c r="D906" s="57"/>
      <c r="E906" s="57"/>
      <c r="F906" s="57"/>
      <c r="G906" s="57"/>
      <c r="K906" s="57"/>
      <c r="L906" s="57"/>
      <c r="M906" s="6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</row>
    <row r="907">
      <c r="A907" s="57"/>
      <c r="B907" s="57"/>
      <c r="C907" s="57"/>
      <c r="D907" s="57"/>
      <c r="E907" s="57"/>
      <c r="F907" s="57"/>
      <c r="G907" s="57"/>
      <c r="K907" s="57"/>
      <c r="L907" s="57"/>
      <c r="M907" s="6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</row>
    <row r="908">
      <c r="A908" s="57"/>
      <c r="B908" s="57"/>
      <c r="C908" s="57"/>
      <c r="D908" s="57"/>
      <c r="E908" s="57"/>
      <c r="F908" s="57"/>
      <c r="G908" s="57"/>
      <c r="K908" s="57"/>
      <c r="L908" s="57"/>
      <c r="M908" s="6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</row>
    <row r="909">
      <c r="A909" s="57"/>
      <c r="B909" s="57"/>
      <c r="C909" s="57"/>
      <c r="D909" s="57"/>
      <c r="E909" s="57"/>
      <c r="F909" s="57"/>
      <c r="G909" s="57"/>
      <c r="K909" s="57"/>
      <c r="L909" s="57"/>
      <c r="M909" s="6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</row>
    <row r="910">
      <c r="A910" s="57"/>
      <c r="B910" s="57"/>
      <c r="C910" s="57"/>
      <c r="D910" s="57"/>
      <c r="E910" s="57"/>
      <c r="F910" s="57"/>
      <c r="G910" s="57"/>
      <c r="K910" s="57"/>
      <c r="L910" s="57"/>
      <c r="M910" s="6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</row>
    <row r="911">
      <c r="A911" s="57"/>
      <c r="B911" s="57"/>
      <c r="C911" s="57"/>
      <c r="D911" s="57"/>
      <c r="E911" s="57"/>
      <c r="F911" s="57"/>
      <c r="G911" s="57"/>
      <c r="K911" s="57"/>
      <c r="L911" s="57"/>
      <c r="M911" s="6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</row>
    <row r="912">
      <c r="A912" s="57"/>
      <c r="B912" s="57"/>
      <c r="C912" s="57"/>
      <c r="D912" s="57"/>
      <c r="E912" s="57"/>
      <c r="F912" s="57"/>
      <c r="G912" s="57"/>
      <c r="K912" s="57"/>
      <c r="L912" s="57"/>
      <c r="M912" s="6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</row>
    <row r="913">
      <c r="A913" s="57"/>
      <c r="B913" s="57"/>
      <c r="C913" s="57"/>
      <c r="D913" s="57"/>
      <c r="E913" s="57"/>
      <c r="F913" s="57"/>
      <c r="G913" s="57"/>
      <c r="K913" s="57"/>
      <c r="L913" s="57"/>
      <c r="M913" s="6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</row>
    <row r="914">
      <c r="A914" s="57"/>
      <c r="B914" s="57"/>
      <c r="C914" s="57"/>
      <c r="D914" s="57"/>
      <c r="E914" s="57"/>
      <c r="F914" s="57"/>
      <c r="G914" s="57"/>
      <c r="K914" s="57"/>
      <c r="L914" s="57"/>
      <c r="M914" s="6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</row>
    <row r="915">
      <c r="A915" s="57"/>
      <c r="B915" s="57"/>
      <c r="C915" s="57"/>
      <c r="D915" s="57"/>
      <c r="E915" s="57"/>
      <c r="F915" s="57"/>
      <c r="G915" s="57"/>
      <c r="K915" s="57"/>
      <c r="L915" s="57"/>
      <c r="M915" s="6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</row>
    <row r="916">
      <c r="A916" s="57"/>
      <c r="B916" s="57"/>
      <c r="C916" s="57"/>
      <c r="D916" s="57"/>
      <c r="E916" s="57"/>
      <c r="F916" s="57"/>
      <c r="G916" s="57"/>
      <c r="K916" s="57"/>
      <c r="L916" s="57"/>
      <c r="M916" s="6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</row>
    <row r="917">
      <c r="A917" s="57"/>
      <c r="B917" s="57"/>
      <c r="C917" s="57"/>
      <c r="D917" s="57"/>
      <c r="E917" s="57"/>
      <c r="F917" s="57"/>
      <c r="G917" s="57"/>
      <c r="K917" s="57"/>
      <c r="L917" s="57"/>
      <c r="M917" s="6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</row>
    <row r="918">
      <c r="A918" s="57"/>
      <c r="B918" s="57"/>
      <c r="C918" s="57"/>
      <c r="D918" s="57"/>
      <c r="E918" s="57"/>
      <c r="F918" s="57"/>
      <c r="G918" s="57"/>
      <c r="K918" s="57"/>
      <c r="L918" s="57"/>
      <c r="M918" s="6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</row>
    <row r="919">
      <c r="A919" s="57"/>
      <c r="B919" s="57"/>
      <c r="C919" s="57"/>
      <c r="D919" s="57"/>
      <c r="E919" s="57"/>
      <c r="F919" s="57"/>
      <c r="G919" s="57"/>
      <c r="K919" s="57"/>
      <c r="L919" s="57"/>
      <c r="M919" s="6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</row>
    <row r="920">
      <c r="A920" s="57"/>
      <c r="B920" s="57"/>
      <c r="C920" s="57"/>
      <c r="D920" s="57"/>
      <c r="E920" s="57"/>
      <c r="F920" s="57"/>
      <c r="G920" s="57"/>
      <c r="K920" s="57"/>
      <c r="L920" s="57"/>
      <c r="M920" s="6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</row>
    <row r="921">
      <c r="A921" s="57"/>
      <c r="B921" s="57"/>
      <c r="C921" s="57"/>
      <c r="D921" s="57"/>
      <c r="E921" s="57"/>
      <c r="F921" s="57"/>
      <c r="G921" s="57"/>
      <c r="K921" s="57"/>
      <c r="L921" s="57"/>
      <c r="M921" s="6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</row>
    <row r="922">
      <c r="A922" s="57"/>
      <c r="B922" s="57"/>
      <c r="C922" s="57"/>
      <c r="D922" s="57"/>
      <c r="E922" s="57"/>
      <c r="F922" s="57"/>
      <c r="G922" s="57"/>
      <c r="K922" s="57"/>
      <c r="L922" s="57"/>
      <c r="M922" s="6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</row>
    <row r="923">
      <c r="A923" s="57"/>
      <c r="B923" s="57"/>
      <c r="C923" s="57"/>
      <c r="D923" s="57"/>
      <c r="E923" s="57"/>
      <c r="F923" s="57"/>
      <c r="G923" s="57"/>
      <c r="K923" s="57"/>
      <c r="L923" s="57"/>
      <c r="M923" s="6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</row>
    <row r="924">
      <c r="A924" s="57"/>
      <c r="B924" s="57"/>
      <c r="C924" s="57"/>
      <c r="D924" s="57"/>
      <c r="E924" s="57"/>
      <c r="F924" s="57"/>
      <c r="G924" s="57"/>
      <c r="K924" s="57"/>
      <c r="L924" s="57"/>
      <c r="M924" s="6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</row>
    <row r="925">
      <c r="A925" s="57"/>
      <c r="B925" s="57"/>
      <c r="C925" s="57"/>
      <c r="D925" s="57"/>
      <c r="E925" s="57"/>
      <c r="F925" s="57"/>
      <c r="G925" s="57"/>
      <c r="K925" s="57"/>
      <c r="L925" s="57"/>
      <c r="M925" s="6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</row>
    <row r="926">
      <c r="A926" s="57"/>
      <c r="B926" s="57"/>
      <c r="C926" s="57"/>
      <c r="D926" s="57"/>
      <c r="E926" s="57"/>
      <c r="F926" s="57"/>
      <c r="G926" s="57"/>
      <c r="K926" s="57"/>
      <c r="L926" s="57"/>
      <c r="M926" s="6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</row>
    <row r="927">
      <c r="A927" s="57"/>
      <c r="B927" s="57"/>
      <c r="C927" s="57"/>
      <c r="D927" s="57"/>
      <c r="E927" s="57"/>
      <c r="F927" s="57"/>
      <c r="G927" s="57"/>
      <c r="K927" s="57"/>
      <c r="L927" s="57"/>
      <c r="M927" s="6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</row>
    <row r="928">
      <c r="A928" s="57"/>
      <c r="B928" s="57"/>
      <c r="C928" s="57"/>
      <c r="D928" s="57"/>
      <c r="E928" s="57"/>
      <c r="F928" s="57"/>
      <c r="G928" s="57"/>
      <c r="K928" s="57"/>
      <c r="L928" s="57"/>
      <c r="M928" s="6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</row>
    <row r="929">
      <c r="A929" s="57"/>
      <c r="B929" s="57"/>
      <c r="C929" s="57"/>
      <c r="D929" s="57"/>
      <c r="E929" s="57"/>
      <c r="F929" s="57"/>
      <c r="G929" s="57"/>
      <c r="K929" s="57"/>
      <c r="L929" s="57"/>
      <c r="M929" s="6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</row>
    <row r="930">
      <c r="A930" s="57"/>
      <c r="B930" s="57"/>
      <c r="C930" s="57"/>
      <c r="D930" s="57"/>
      <c r="E930" s="57"/>
      <c r="F930" s="57"/>
      <c r="G930" s="57"/>
      <c r="K930" s="57"/>
      <c r="L930" s="57"/>
      <c r="M930" s="6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</row>
    <row r="931">
      <c r="A931" s="57"/>
      <c r="B931" s="57"/>
      <c r="C931" s="57"/>
      <c r="D931" s="57"/>
      <c r="E931" s="57"/>
      <c r="F931" s="57"/>
      <c r="G931" s="57"/>
      <c r="K931" s="57"/>
      <c r="L931" s="57"/>
      <c r="M931" s="6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</row>
    <row r="932">
      <c r="A932" s="57"/>
      <c r="B932" s="57"/>
      <c r="C932" s="57"/>
      <c r="D932" s="57"/>
      <c r="E932" s="57"/>
      <c r="F932" s="57"/>
      <c r="G932" s="57"/>
      <c r="K932" s="57"/>
      <c r="L932" s="57"/>
      <c r="M932" s="6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</row>
    <row r="933">
      <c r="A933" s="57"/>
      <c r="B933" s="57"/>
      <c r="C933" s="57"/>
      <c r="D933" s="57"/>
      <c r="E933" s="57"/>
      <c r="F933" s="57"/>
      <c r="G933" s="57"/>
      <c r="K933" s="57"/>
      <c r="L933" s="57"/>
      <c r="M933" s="6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</row>
    <row r="934">
      <c r="A934" s="57"/>
      <c r="B934" s="57"/>
      <c r="C934" s="57"/>
      <c r="D934" s="57"/>
      <c r="E934" s="57"/>
      <c r="F934" s="57"/>
      <c r="G934" s="57"/>
      <c r="K934" s="57"/>
      <c r="L934" s="57"/>
      <c r="M934" s="6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</row>
    <row r="935">
      <c r="A935" s="57"/>
      <c r="B935" s="57"/>
      <c r="C935" s="57"/>
      <c r="D935" s="57"/>
      <c r="E935" s="57"/>
      <c r="F935" s="57"/>
      <c r="G935" s="57"/>
      <c r="K935" s="57"/>
      <c r="L935" s="57"/>
      <c r="M935" s="6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</row>
    <row r="936">
      <c r="A936" s="57"/>
      <c r="B936" s="57"/>
      <c r="C936" s="57"/>
      <c r="D936" s="57"/>
      <c r="E936" s="57"/>
      <c r="F936" s="57"/>
      <c r="G936" s="57"/>
      <c r="K936" s="57"/>
      <c r="L936" s="57"/>
      <c r="M936" s="6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</row>
    <row r="937">
      <c r="A937" s="57"/>
      <c r="B937" s="57"/>
      <c r="C937" s="57"/>
      <c r="D937" s="57"/>
      <c r="E937" s="57"/>
      <c r="F937" s="57"/>
      <c r="G937" s="57"/>
      <c r="K937" s="57"/>
      <c r="L937" s="57"/>
      <c r="M937" s="6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</row>
    <row r="938">
      <c r="A938" s="57"/>
      <c r="B938" s="57"/>
      <c r="C938" s="57"/>
      <c r="D938" s="57"/>
      <c r="E938" s="57"/>
      <c r="F938" s="57"/>
      <c r="G938" s="57"/>
      <c r="K938" s="57"/>
      <c r="L938" s="57"/>
      <c r="M938" s="6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</row>
    <row r="939">
      <c r="A939" s="57"/>
      <c r="B939" s="57"/>
      <c r="C939" s="57"/>
      <c r="D939" s="57"/>
      <c r="E939" s="57"/>
      <c r="F939" s="57"/>
      <c r="G939" s="57"/>
      <c r="K939" s="57"/>
      <c r="L939" s="57"/>
      <c r="M939" s="6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</row>
    <row r="940">
      <c r="A940" s="57"/>
      <c r="B940" s="57"/>
      <c r="C940" s="57"/>
      <c r="D940" s="57"/>
      <c r="E940" s="57"/>
      <c r="F940" s="57"/>
      <c r="G940" s="57"/>
      <c r="K940" s="57"/>
      <c r="L940" s="57"/>
      <c r="M940" s="6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</row>
    <row r="941">
      <c r="A941" s="57"/>
      <c r="B941" s="57"/>
      <c r="C941" s="57"/>
      <c r="D941" s="57"/>
      <c r="E941" s="57"/>
      <c r="F941" s="57"/>
      <c r="G941" s="57"/>
      <c r="K941" s="57"/>
      <c r="L941" s="57"/>
      <c r="M941" s="6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</row>
    <row r="942">
      <c r="A942" s="57"/>
      <c r="B942" s="57"/>
      <c r="C942" s="57"/>
      <c r="D942" s="57"/>
      <c r="E942" s="57"/>
      <c r="F942" s="57"/>
      <c r="G942" s="57"/>
      <c r="K942" s="57"/>
      <c r="L942" s="57"/>
      <c r="M942" s="6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</row>
    <row r="943">
      <c r="A943" s="57"/>
      <c r="B943" s="57"/>
      <c r="C943" s="57"/>
      <c r="D943" s="57"/>
      <c r="E943" s="57"/>
      <c r="F943" s="57"/>
      <c r="G943" s="57"/>
      <c r="K943" s="57"/>
      <c r="L943" s="57"/>
      <c r="M943" s="6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</row>
    <row r="944">
      <c r="A944" s="57"/>
      <c r="B944" s="57"/>
      <c r="C944" s="57"/>
      <c r="D944" s="57"/>
      <c r="E944" s="57"/>
      <c r="F944" s="57"/>
      <c r="G944" s="57"/>
      <c r="K944" s="57"/>
      <c r="L944" s="57"/>
      <c r="M944" s="6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</row>
    <row r="945">
      <c r="A945" s="57"/>
      <c r="B945" s="57"/>
      <c r="C945" s="57"/>
      <c r="D945" s="57"/>
      <c r="E945" s="57"/>
      <c r="F945" s="57"/>
      <c r="G945" s="57"/>
      <c r="K945" s="57"/>
      <c r="L945" s="57"/>
      <c r="M945" s="6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</row>
    <row r="946">
      <c r="A946" s="57"/>
      <c r="B946" s="57"/>
      <c r="C946" s="57"/>
      <c r="D946" s="57"/>
      <c r="E946" s="57"/>
      <c r="F946" s="57"/>
      <c r="G946" s="57"/>
      <c r="K946" s="57"/>
      <c r="L946" s="57"/>
      <c r="M946" s="6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</row>
    <row r="947">
      <c r="A947" s="57"/>
      <c r="B947" s="57"/>
      <c r="C947" s="57"/>
      <c r="D947" s="57"/>
      <c r="E947" s="57"/>
      <c r="F947" s="57"/>
      <c r="G947" s="57"/>
      <c r="K947" s="57"/>
      <c r="L947" s="57"/>
      <c r="M947" s="6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</row>
    <row r="948">
      <c r="A948" s="57"/>
      <c r="B948" s="57"/>
      <c r="C948" s="57"/>
      <c r="D948" s="57"/>
      <c r="E948" s="57"/>
      <c r="F948" s="57"/>
      <c r="G948" s="57"/>
      <c r="K948" s="57"/>
      <c r="L948" s="57"/>
      <c r="M948" s="6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</row>
    <row r="949">
      <c r="A949" s="57"/>
      <c r="B949" s="57"/>
      <c r="C949" s="57"/>
      <c r="D949" s="57"/>
      <c r="E949" s="57"/>
      <c r="F949" s="57"/>
      <c r="G949" s="57"/>
      <c r="K949" s="57"/>
      <c r="L949" s="57"/>
      <c r="M949" s="6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</row>
    <row r="950">
      <c r="A950" s="57"/>
      <c r="B950" s="57"/>
      <c r="C950" s="57"/>
      <c r="D950" s="57"/>
      <c r="E950" s="57"/>
      <c r="F950" s="57"/>
      <c r="G950" s="57"/>
      <c r="K950" s="57"/>
      <c r="L950" s="57"/>
      <c r="M950" s="6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</row>
    <row r="951">
      <c r="A951" s="57"/>
      <c r="B951" s="57"/>
      <c r="C951" s="57"/>
      <c r="D951" s="57"/>
      <c r="E951" s="57"/>
      <c r="F951" s="57"/>
      <c r="G951" s="57"/>
      <c r="K951" s="57"/>
      <c r="L951" s="57"/>
      <c r="M951" s="6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</row>
    <row r="952">
      <c r="A952" s="57"/>
      <c r="B952" s="57"/>
      <c r="C952" s="57"/>
      <c r="D952" s="57"/>
      <c r="E952" s="57"/>
      <c r="F952" s="57"/>
      <c r="G952" s="57"/>
      <c r="K952" s="57"/>
      <c r="L952" s="57"/>
      <c r="M952" s="6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</row>
    <row r="953">
      <c r="A953" s="57"/>
      <c r="B953" s="57"/>
      <c r="C953" s="57"/>
      <c r="D953" s="57"/>
      <c r="E953" s="57"/>
      <c r="F953" s="57"/>
      <c r="G953" s="57"/>
      <c r="K953" s="57"/>
      <c r="L953" s="57"/>
      <c r="M953" s="6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</row>
    <row r="954">
      <c r="A954" s="57"/>
      <c r="B954" s="57"/>
      <c r="C954" s="57"/>
      <c r="D954" s="57"/>
      <c r="E954" s="57"/>
      <c r="F954" s="57"/>
      <c r="G954" s="57"/>
      <c r="K954" s="57"/>
      <c r="L954" s="57"/>
      <c r="M954" s="6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</row>
    <row r="955">
      <c r="A955" s="57"/>
      <c r="B955" s="57"/>
      <c r="C955" s="57"/>
      <c r="D955" s="57"/>
      <c r="E955" s="57"/>
      <c r="F955" s="57"/>
      <c r="G955" s="57"/>
      <c r="K955" s="57"/>
      <c r="L955" s="57"/>
      <c r="M955" s="6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</row>
    <row r="956">
      <c r="A956" s="57"/>
      <c r="B956" s="57"/>
      <c r="C956" s="57"/>
      <c r="D956" s="57"/>
      <c r="E956" s="57"/>
      <c r="F956" s="57"/>
      <c r="G956" s="57"/>
      <c r="K956" s="57"/>
      <c r="L956" s="57"/>
      <c r="M956" s="6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</row>
    <row r="957">
      <c r="A957" s="57"/>
      <c r="B957" s="57"/>
      <c r="C957" s="57"/>
      <c r="D957" s="57"/>
      <c r="E957" s="57"/>
      <c r="F957" s="57"/>
      <c r="G957" s="57"/>
      <c r="K957" s="57"/>
      <c r="L957" s="57"/>
      <c r="M957" s="6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</row>
    <row r="958">
      <c r="A958" s="57"/>
      <c r="B958" s="57"/>
      <c r="C958" s="57"/>
      <c r="D958" s="57"/>
      <c r="E958" s="57"/>
      <c r="F958" s="57"/>
      <c r="G958" s="57"/>
      <c r="K958" s="57"/>
      <c r="L958" s="57"/>
      <c r="M958" s="6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</row>
    <row r="959">
      <c r="A959" s="57"/>
      <c r="B959" s="57"/>
      <c r="C959" s="57"/>
      <c r="D959" s="57"/>
      <c r="E959" s="57"/>
      <c r="F959" s="57"/>
      <c r="G959" s="57"/>
      <c r="K959" s="57"/>
      <c r="L959" s="57"/>
      <c r="M959" s="6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</row>
    <row r="960">
      <c r="A960" s="57"/>
      <c r="B960" s="57"/>
      <c r="C960" s="57"/>
      <c r="D960" s="57"/>
      <c r="E960" s="57"/>
      <c r="F960" s="57"/>
      <c r="G960" s="57"/>
      <c r="K960" s="57"/>
      <c r="L960" s="57"/>
      <c r="M960" s="6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</row>
    <row r="961">
      <c r="A961" s="57"/>
      <c r="B961" s="57"/>
      <c r="C961" s="57"/>
      <c r="D961" s="57"/>
      <c r="E961" s="57"/>
      <c r="F961" s="57"/>
      <c r="G961" s="57"/>
      <c r="K961" s="57"/>
      <c r="L961" s="57"/>
      <c r="M961" s="6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</row>
    <row r="962">
      <c r="A962" s="57"/>
      <c r="B962" s="57"/>
      <c r="C962" s="57"/>
      <c r="D962" s="57"/>
      <c r="E962" s="57"/>
      <c r="F962" s="57"/>
      <c r="G962" s="57"/>
      <c r="K962" s="57"/>
      <c r="L962" s="57"/>
      <c r="M962" s="6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</row>
    <row r="963">
      <c r="A963" s="57"/>
      <c r="B963" s="57"/>
      <c r="C963" s="57"/>
      <c r="D963" s="57"/>
      <c r="E963" s="57"/>
      <c r="F963" s="57"/>
      <c r="G963" s="57"/>
      <c r="K963" s="57"/>
      <c r="L963" s="57"/>
      <c r="M963" s="6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</row>
    <row r="964">
      <c r="A964" s="57"/>
      <c r="B964" s="57"/>
      <c r="C964" s="57"/>
      <c r="D964" s="57"/>
      <c r="E964" s="57"/>
      <c r="F964" s="57"/>
      <c r="G964" s="57"/>
      <c r="K964" s="57"/>
      <c r="L964" s="57"/>
      <c r="M964" s="6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</row>
    <row r="965">
      <c r="A965" s="57"/>
      <c r="B965" s="57"/>
      <c r="C965" s="57"/>
      <c r="D965" s="57"/>
      <c r="E965" s="57"/>
      <c r="F965" s="57"/>
      <c r="G965" s="57"/>
      <c r="K965" s="57"/>
      <c r="L965" s="57"/>
      <c r="M965" s="6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</row>
    <row r="966">
      <c r="A966" s="57"/>
      <c r="B966" s="57"/>
      <c r="C966" s="57"/>
      <c r="D966" s="57"/>
      <c r="E966" s="57"/>
      <c r="F966" s="57"/>
      <c r="G966" s="57"/>
      <c r="K966" s="57"/>
      <c r="L966" s="57"/>
      <c r="M966" s="6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</row>
    <row r="967">
      <c r="A967" s="57"/>
      <c r="B967" s="57"/>
      <c r="C967" s="57"/>
      <c r="D967" s="57"/>
      <c r="E967" s="57"/>
      <c r="F967" s="57"/>
      <c r="G967" s="57"/>
      <c r="K967" s="57"/>
      <c r="L967" s="57"/>
      <c r="M967" s="6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</row>
    <row r="968">
      <c r="A968" s="57"/>
      <c r="B968" s="57"/>
      <c r="C968" s="57"/>
      <c r="D968" s="57"/>
      <c r="E968" s="57"/>
      <c r="F968" s="57"/>
      <c r="G968" s="57"/>
      <c r="K968" s="57"/>
      <c r="L968" s="57"/>
      <c r="M968" s="6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</row>
    <row r="969">
      <c r="A969" s="57"/>
      <c r="B969" s="57"/>
      <c r="C969" s="57"/>
      <c r="D969" s="57"/>
      <c r="E969" s="57"/>
      <c r="F969" s="57"/>
      <c r="G969" s="57"/>
      <c r="K969" s="57"/>
      <c r="L969" s="57"/>
      <c r="M969" s="6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</row>
    <row r="970">
      <c r="A970" s="57"/>
      <c r="B970" s="57"/>
      <c r="C970" s="57"/>
      <c r="D970" s="57"/>
      <c r="E970" s="57"/>
      <c r="F970" s="57"/>
      <c r="G970" s="57"/>
      <c r="K970" s="57"/>
      <c r="L970" s="57"/>
      <c r="M970" s="6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</row>
    <row r="971">
      <c r="A971" s="57"/>
      <c r="B971" s="57"/>
      <c r="C971" s="57"/>
      <c r="D971" s="57"/>
      <c r="E971" s="57"/>
      <c r="F971" s="57"/>
      <c r="G971" s="57"/>
      <c r="K971" s="57"/>
      <c r="L971" s="57"/>
      <c r="M971" s="6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</row>
    <row r="972">
      <c r="A972" s="57"/>
      <c r="B972" s="57"/>
      <c r="C972" s="57"/>
      <c r="D972" s="57"/>
      <c r="E972" s="57"/>
      <c r="F972" s="57"/>
      <c r="G972" s="57"/>
      <c r="K972" s="57"/>
      <c r="L972" s="57"/>
      <c r="M972" s="6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</row>
    <row r="973">
      <c r="A973" s="57"/>
      <c r="B973" s="57"/>
      <c r="C973" s="57"/>
      <c r="D973" s="57"/>
      <c r="E973" s="57"/>
      <c r="F973" s="57"/>
      <c r="G973" s="57"/>
      <c r="K973" s="57"/>
      <c r="L973" s="57"/>
      <c r="M973" s="6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</row>
    <row r="974">
      <c r="A974" s="57"/>
      <c r="B974" s="57"/>
      <c r="C974" s="57"/>
      <c r="D974" s="57"/>
      <c r="E974" s="57"/>
      <c r="F974" s="57"/>
      <c r="G974" s="57"/>
      <c r="K974" s="57"/>
      <c r="L974" s="57"/>
      <c r="M974" s="6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</row>
    <row r="975">
      <c r="A975" s="57"/>
      <c r="B975" s="57"/>
      <c r="C975" s="57"/>
      <c r="D975" s="57"/>
      <c r="E975" s="57"/>
      <c r="F975" s="57"/>
      <c r="G975" s="57"/>
      <c r="K975" s="57"/>
      <c r="L975" s="57"/>
      <c r="M975" s="6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</row>
    <row r="976">
      <c r="A976" s="57"/>
      <c r="B976" s="57"/>
      <c r="C976" s="57"/>
      <c r="D976" s="57"/>
      <c r="E976" s="57"/>
      <c r="F976" s="57"/>
      <c r="G976" s="57"/>
      <c r="K976" s="57"/>
      <c r="L976" s="57"/>
      <c r="M976" s="6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</row>
    <row r="977">
      <c r="A977" s="57"/>
      <c r="B977" s="57"/>
      <c r="C977" s="57"/>
      <c r="D977" s="57"/>
      <c r="E977" s="57"/>
      <c r="F977" s="57"/>
      <c r="G977" s="57"/>
      <c r="K977" s="57"/>
      <c r="L977" s="57"/>
      <c r="M977" s="6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</row>
    <row r="978">
      <c r="A978" s="57"/>
      <c r="B978" s="57"/>
      <c r="C978" s="57"/>
      <c r="D978" s="57"/>
      <c r="E978" s="57"/>
      <c r="F978" s="57"/>
      <c r="G978" s="57"/>
      <c r="K978" s="57"/>
      <c r="L978" s="57"/>
      <c r="M978" s="6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</row>
    <row r="979">
      <c r="A979" s="57"/>
      <c r="B979" s="57"/>
      <c r="C979" s="57"/>
      <c r="D979" s="57"/>
      <c r="E979" s="57"/>
      <c r="F979" s="57"/>
      <c r="G979" s="57"/>
      <c r="K979" s="57"/>
      <c r="L979" s="57"/>
      <c r="M979" s="6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</row>
    <row r="980">
      <c r="A980" s="57"/>
      <c r="B980" s="57"/>
      <c r="C980" s="57"/>
      <c r="D980" s="57"/>
      <c r="E980" s="57"/>
      <c r="F980" s="57"/>
      <c r="G980" s="57"/>
      <c r="K980" s="57"/>
      <c r="L980" s="57"/>
      <c r="M980" s="6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</row>
    <row r="981">
      <c r="A981" s="57"/>
      <c r="B981" s="57"/>
      <c r="C981" s="57"/>
      <c r="D981" s="57"/>
      <c r="E981" s="57"/>
      <c r="F981" s="57"/>
      <c r="G981" s="57"/>
      <c r="K981" s="57"/>
      <c r="L981" s="57"/>
      <c r="M981" s="6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</row>
    <row r="982">
      <c r="A982" s="57"/>
      <c r="B982" s="57"/>
      <c r="C982" s="57"/>
      <c r="D982" s="57"/>
      <c r="E982" s="57"/>
      <c r="F982" s="57"/>
      <c r="G982" s="57"/>
      <c r="K982" s="57"/>
      <c r="L982" s="57"/>
      <c r="M982" s="6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</row>
    <row r="983">
      <c r="A983" s="57"/>
      <c r="B983" s="57"/>
      <c r="C983" s="57"/>
      <c r="D983" s="57"/>
      <c r="E983" s="57"/>
      <c r="F983" s="57"/>
      <c r="G983" s="57"/>
      <c r="K983" s="57"/>
      <c r="L983" s="57"/>
      <c r="M983" s="6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</row>
    <row r="984">
      <c r="A984" s="57"/>
      <c r="B984" s="57"/>
      <c r="C984" s="57"/>
      <c r="D984" s="57"/>
      <c r="E984" s="57"/>
      <c r="F984" s="57"/>
      <c r="G984" s="57"/>
      <c r="K984" s="57"/>
      <c r="L984" s="57"/>
      <c r="M984" s="6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</row>
    <row r="985">
      <c r="A985" s="57"/>
      <c r="B985" s="57"/>
      <c r="C985" s="57"/>
      <c r="D985" s="57"/>
      <c r="E985" s="57"/>
      <c r="F985" s="57"/>
      <c r="G985" s="57"/>
      <c r="K985" s="57"/>
      <c r="L985" s="57"/>
      <c r="M985" s="6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</row>
    <row r="986">
      <c r="A986" s="57"/>
      <c r="B986" s="57"/>
      <c r="C986" s="57"/>
      <c r="D986" s="57"/>
      <c r="E986" s="57"/>
      <c r="F986" s="57"/>
      <c r="G986" s="57"/>
      <c r="K986" s="57"/>
      <c r="L986" s="57"/>
      <c r="M986" s="6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</row>
    <row r="987">
      <c r="A987" s="57"/>
      <c r="B987" s="57"/>
      <c r="C987" s="57"/>
      <c r="D987" s="57"/>
      <c r="E987" s="57"/>
      <c r="F987" s="57"/>
      <c r="G987" s="57"/>
      <c r="K987" s="57"/>
      <c r="L987" s="57"/>
      <c r="M987" s="6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</row>
    <row r="988">
      <c r="A988" s="57"/>
      <c r="B988" s="57"/>
      <c r="C988" s="57"/>
      <c r="D988" s="57"/>
      <c r="E988" s="57"/>
      <c r="F988" s="57"/>
      <c r="G988" s="57"/>
      <c r="K988" s="57"/>
      <c r="L988" s="57"/>
      <c r="M988" s="6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</row>
    <row r="989">
      <c r="A989" s="57"/>
      <c r="B989" s="57"/>
      <c r="C989" s="57"/>
      <c r="D989" s="57"/>
      <c r="E989" s="57"/>
      <c r="F989" s="57"/>
      <c r="G989" s="57"/>
      <c r="K989" s="57"/>
      <c r="L989" s="57"/>
      <c r="M989" s="6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</row>
    <row r="990">
      <c r="A990" s="57"/>
      <c r="B990" s="57"/>
      <c r="C990" s="57"/>
      <c r="D990" s="57"/>
      <c r="E990" s="57"/>
      <c r="F990" s="57"/>
      <c r="G990" s="57"/>
      <c r="K990" s="57"/>
      <c r="L990" s="57"/>
      <c r="M990" s="6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</row>
    <row r="991">
      <c r="A991" s="57"/>
      <c r="B991" s="57"/>
      <c r="C991" s="57"/>
      <c r="D991" s="57"/>
      <c r="E991" s="57"/>
      <c r="F991" s="57"/>
      <c r="G991" s="57"/>
      <c r="K991" s="57"/>
      <c r="L991" s="57"/>
      <c r="M991" s="6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</row>
    <row r="992">
      <c r="A992" s="57"/>
      <c r="B992" s="57"/>
      <c r="C992" s="57"/>
      <c r="D992" s="57"/>
      <c r="E992" s="57"/>
      <c r="F992" s="57"/>
      <c r="G992" s="57"/>
      <c r="K992" s="57"/>
      <c r="L992" s="57"/>
      <c r="M992" s="6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</row>
    <row r="993">
      <c r="A993" s="57"/>
      <c r="B993" s="57"/>
      <c r="C993" s="57"/>
      <c r="D993" s="57"/>
      <c r="E993" s="57"/>
      <c r="F993" s="57"/>
      <c r="G993" s="57"/>
      <c r="K993" s="57"/>
      <c r="L993" s="57"/>
      <c r="M993" s="6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</row>
    <row r="994">
      <c r="A994" s="57"/>
      <c r="B994" s="57"/>
      <c r="C994" s="57"/>
      <c r="D994" s="57"/>
      <c r="E994" s="57"/>
      <c r="F994" s="57"/>
      <c r="G994" s="57"/>
      <c r="K994" s="57"/>
      <c r="L994" s="57"/>
      <c r="M994" s="6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</row>
    <row r="995">
      <c r="A995" s="57"/>
      <c r="B995" s="57"/>
      <c r="C995" s="57"/>
      <c r="D995" s="57"/>
      <c r="E995" s="57"/>
      <c r="F995" s="57"/>
      <c r="G995" s="57"/>
      <c r="K995" s="57"/>
      <c r="L995" s="57"/>
      <c r="M995" s="6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</row>
    <row r="996">
      <c r="A996" s="57"/>
      <c r="B996" s="57"/>
      <c r="C996" s="57"/>
      <c r="D996" s="57"/>
      <c r="E996" s="57"/>
      <c r="F996" s="57"/>
      <c r="G996" s="57"/>
      <c r="K996" s="57"/>
      <c r="L996" s="57"/>
      <c r="M996" s="6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</row>
    <row r="997">
      <c r="A997" s="57"/>
      <c r="B997" s="57"/>
      <c r="C997" s="57"/>
      <c r="D997" s="57"/>
      <c r="E997" s="57"/>
      <c r="F997" s="57"/>
      <c r="G997" s="57"/>
      <c r="K997" s="57"/>
      <c r="L997" s="57"/>
      <c r="M997" s="6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</row>
    <row r="998">
      <c r="A998" s="57"/>
      <c r="B998" s="57"/>
      <c r="C998" s="57"/>
      <c r="D998" s="57"/>
      <c r="E998" s="57"/>
      <c r="F998" s="57"/>
      <c r="G998" s="57"/>
      <c r="K998" s="57"/>
      <c r="L998" s="57"/>
      <c r="M998" s="6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</row>
    <row r="999">
      <c r="A999" s="57"/>
      <c r="B999" s="57"/>
      <c r="C999" s="57"/>
      <c r="D999" s="57"/>
      <c r="E999" s="57"/>
      <c r="F999" s="57"/>
      <c r="G999" s="57"/>
      <c r="K999" s="57"/>
      <c r="L999" s="57"/>
      <c r="M999" s="6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  <c r="AC999" s="57"/>
    </row>
    <row r="1000">
      <c r="A1000" s="57"/>
      <c r="B1000" s="57"/>
      <c r="C1000" s="57"/>
      <c r="D1000" s="57"/>
      <c r="E1000" s="57"/>
      <c r="F1000" s="57"/>
      <c r="G1000" s="57"/>
      <c r="K1000" s="57"/>
      <c r="L1000" s="57"/>
      <c r="M1000" s="6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  <c r="AB1000" s="57"/>
      <c r="AC1000" s="57"/>
    </row>
  </sheetData>
  <conditionalFormatting sqref="A1">
    <cfRule type="expression" dxfId="5" priority="1">
      <formula>AND($B1&lt;&gt;"", $J1="")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9.25"/>
    <col customWidth="1" min="2" max="2" width="18.0"/>
    <col customWidth="1" min="4" max="4" width="41.88"/>
    <col customWidth="1" min="5" max="5" width="13.38"/>
    <col customWidth="1" min="7" max="7" width="14.5"/>
  </cols>
  <sheetData>
    <row r="1" ht="51.75" customHeight="1">
      <c r="A1" s="2" t="s">
        <v>1330</v>
      </c>
      <c r="C1" s="55"/>
      <c r="D1" s="2"/>
      <c r="E1" s="2"/>
      <c r="F1" s="4"/>
      <c r="G1" s="87"/>
      <c r="H1" s="2"/>
      <c r="I1" s="2"/>
      <c r="U1" s="88"/>
    </row>
    <row r="2">
      <c r="A2" s="89" t="s">
        <v>1331</v>
      </c>
      <c r="B2" s="89" t="s">
        <v>2</v>
      </c>
      <c r="C2" s="90" t="s">
        <v>3</v>
      </c>
      <c r="D2" s="89" t="s">
        <v>1332</v>
      </c>
      <c r="E2" s="89" t="s">
        <v>5</v>
      </c>
      <c r="F2" s="13" t="s">
        <v>1333</v>
      </c>
      <c r="G2" s="91" t="s">
        <v>1334</v>
      </c>
      <c r="H2" s="89" t="s">
        <v>8</v>
      </c>
      <c r="I2" s="89" t="s">
        <v>1335</v>
      </c>
      <c r="U2" s="88" t="s">
        <v>1336</v>
      </c>
    </row>
    <row r="3">
      <c r="A3" s="2" t="str">
        <f t="shared" ref="A3:A4" si="1">if(isblank(B3)=true,"", TEXT(F3,"YYYYMMDD")&amp;"-"&amp;UPPER(BASE(MOD(SUMPRODUCT(CODE(MID(UPPER(B3&amp;C3&amp;D3&amp;E3),ROW(INDIRECT("1:"&amp;LEN(B3&amp;C3&amp;D3&amp;E3))),1))*ROW(INDIRECT("1:"&amp;LEN(B3&amp;C3&amp;D3&amp;E3)))),1679616),36)))</f>
        <v>20060820-4IOV</v>
      </c>
      <c r="B3" s="2" t="s">
        <v>1270</v>
      </c>
      <c r="C3" s="55" t="s">
        <v>1338</v>
      </c>
      <c r="D3" s="2" t="s">
        <v>1339</v>
      </c>
      <c r="E3" s="2" t="s">
        <v>41</v>
      </c>
      <c r="F3" s="4">
        <v>38949.0</v>
      </c>
      <c r="G3" s="87">
        <v>0.8229166666666666</v>
      </c>
      <c r="U3" s="92"/>
    </row>
    <row r="4">
      <c r="A4" s="2" t="str">
        <f t="shared" si="1"/>
        <v>20250822-ZIR</v>
      </c>
      <c r="B4" s="2" t="s">
        <v>1285</v>
      </c>
      <c r="C4" s="55" t="s">
        <v>1341</v>
      </c>
      <c r="D4" s="2" t="s">
        <v>1342</v>
      </c>
      <c r="E4" s="2" t="s">
        <v>41</v>
      </c>
      <c r="F4" s="4">
        <v>45891.0</v>
      </c>
      <c r="G4" s="87">
        <v>0.4375</v>
      </c>
      <c r="H4" s="7">
        <v>46254.0</v>
      </c>
      <c r="U4" s="92"/>
    </row>
    <row r="5">
      <c r="A5" s="2" t="s">
        <v>1343</v>
      </c>
      <c r="B5" s="2" t="s">
        <v>76</v>
      </c>
      <c r="C5" s="55" t="s">
        <v>1344</v>
      </c>
      <c r="D5" s="2" t="s">
        <v>1345</v>
      </c>
      <c r="E5" s="2" t="s">
        <v>56</v>
      </c>
      <c r="F5" s="4">
        <v>46001.0</v>
      </c>
      <c r="G5" s="87">
        <v>0.75</v>
      </c>
      <c r="H5" s="2" t="s">
        <v>1343</v>
      </c>
      <c r="I5" s="2" t="s">
        <v>1346</v>
      </c>
      <c r="U5" s="92"/>
    </row>
    <row r="6">
      <c r="A6" s="2" t="str">
        <f t="shared" ref="A6:A21" si="2">if(isblank(B6)=true,"", TEXT(F6,"YYYYMMDD")&amp;"-"&amp;UPPER(BASE(MOD(SUMPRODUCT(CODE(MID(UPPER(B6&amp;C6&amp;D6&amp;E6),ROW(INDIRECT("1:"&amp;LEN(B6&amp;C6&amp;D6&amp;E6))),1))*ROW(INDIRECT("1:"&amp;LEN(B6&amp;C6&amp;D6&amp;E6)))),1679616),36)))</f>
        <v>20251210-38L1</v>
      </c>
      <c r="B6" s="2" t="s">
        <v>1347</v>
      </c>
      <c r="C6" s="55"/>
      <c r="D6" s="2" t="s">
        <v>1348</v>
      </c>
      <c r="E6" s="2" t="s">
        <v>56</v>
      </c>
      <c r="F6" s="4">
        <v>46001.0</v>
      </c>
      <c r="G6" s="87">
        <v>0.7604166666666666</v>
      </c>
      <c r="I6" s="2" t="s">
        <v>43</v>
      </c>
      <c r="L6" s="50"/>
      <c r="O6" s="39"/>
      <c r="P6" s="93"/>
      <c r="U6" s="92"/>
    </row>
    <row r="7">
      <c r="A7" s="2" t="str">
        <f t="shared" si="2"/>
        <v>20251211-1MWA</v>
      </c>
      <c r="B7" s="2" t="s">
        <v>1349</v>
      </c>
      <c r="C7" s="55" t="s">
        <v>1350</v>
      </c>
      <c r="D7" s="2" t="s">
        <v>885</v>
      </c>
      <c r="E7" s="2" t="s">
        <v>41</v>
      </c>
      <c r="F7" s="4">
        <v>46002.0</v>
      </c>
      <c r="G7" s="87">
        <v>0.75</v>
      </c>
      <c r="H7" s="10"/>
      <c r="I7" s="2" t="s">
        <v>43</v>
      </c>
      <c r="L7" s="50"/>
      <c r="O7" s="39"/>
      <c r="P7" s="93"/>
      <c r="Q7" s="94"/>
      <c r="U7" s="92"/>
    </row>
    <row r="8">
      <c r="A8" s="2" t="str">
        <f t="shared" si="2"/>
        <v>20251213-36BR</v>
      </c>
      <c r="B8" s="2" t="s">
        <v>1352</v>
      </c>
      <c r="C8" s="55" t="s">
        <v>1353</v>
      </c>
      <c r="D8" s="2" t="s">
        <v>1354</v>
      </c>
      <c r="E8" s="2" t="s">
        <v>41</v>
      </c>
      <c r="F8" s="4">
        <v>46004.0</v>
      </c>
      <c r="G8" s="87">
        <v>0.4583333333333333</v>
      </c>
      <c r="H8" s="10"/>
      <c r="I8" s="2" t="s">
        <v>43</v>
      </c>
      <c r="L8" s="50"/>
      <c r="O8" s="39"/>
      <c r="P8" s="93"/>
      <c r="Q8" s="94"/>
      <c r="U8" s="92"/>
    </row>
    <row r="9" ht="15.0" customHeight="1">
      <c r="A9" s="2" t="str">
        <f t="shared" si="2"/>
        <v>20251214-2NHF</v>
      </c>
      <c r="B9" s="2" t="s">
        <v>1355</v>
      </c>
      <c r="C9" s="55" t="s">
        <v>1356</v>
      </c>
      <c r="D9" s="2" t="s">
        <v>1357</v>
      </c>
      <c r="E9" s="2" t="s">
        <v>56</v>
      </c>
      <c r="F9" s="4">
        <v>46005.0</v>
      </c>
      <c r="G9" s="87">
        <v>0.7604166666666666</v>
      </c>
      <c r="H9" s="10"/>
      <c r="I9" s="2" t="s">
        <v>43</v>
      </c>
      <c r="L9" s="50"/>
      <c r="O9" s="39"/>
      <c r="P9" s="93"/>
      <c r="Q9" s="94"/>
      <c r="U9" s="92"/>
    </row>
    <row r="10">
      <c r="A10" s="2" t="str">
        <f t="shared" si="2"/>
        <v>20251214-2QHD</v>
      </c>
      <c r="B10" s="2" t="s">
        <v>1358</v>
      </c>
      <c r="C10" s="55" t="s">
        <v>1359</v>
      </c>
      <c r="D10" s="2" t="s">
        <v>1360</v>
      </c>
      <c r="E10" s="2" t="s">
        <v>56</v>
      </c>
      <c r="F10" s="4">
        <v>46005.0</v>
      </c>
      <c r="G10" s="87">
        <v>0.6875</v>
      </c>
      <c r="I10" s="2" t="s">
        <v>43</v>
      </c>
      <c r="L10" s="50"/>
      <c r="O10" s="39"/>
      <c r="P10" s="93"/>
      <c r="U10" s="92"/>
    </row>
    <row r="11">
      <c r="A11" s="2" t="str">
        <f t="shared" si="2"/>
        <v>20251217-2FK9</v>
      </c>
      <c r="B11" s="2" t="s">
        <v>1361</v>
      </c>
      <c r="C11" s="55" t="s">
        <v>1362</v>
      </c>
      <c r="D11" s="2" t="s">
        <v>1363</v>
      </c>
      <c r="E11" s="2" t="s">
        <v>56</v>
      </c>
      <c r="F11" s="4">
        <v>46008.0</v>
      </c>
      <c r="G11" s="87">
        <v>0.7604166666666666</v>
      </c>
      <c r="H11" s="10"/>
      <c r="I11" s="2" t="s">
        <v>43</v>
      </c>
      <c r="L11" s="50"/>
      <c r="O11" s="39"/>
      <c r="P11" s="93"/>
      <c r="Q11" s="94"/>
      <c r="U11" s="92"/>
    </row>
    <row r="12">
      <c r="A12" s="2" t="str">
        <f t="shared" si="2"/>
        <v>20251217-YVQ</v>
      </c>
      <c r="B12" s="2" t="s">
        <v>1243</v>
      </c>
      <c r="C12" s="50"/>
      <c r="D12" s="2" t="s">
        <v>1364</v>
      </c>
      <c r="E12" s="2" t="s">
        <v>56</v>
      </c>
      <c r="F12" s="4">
        <v>46008.0</v>
      </c>
      <c r="G12" s="87">
        <v>0.7916666666666666</v>
      </c>
      <c r="I12" s="2" t="s">
        <v>43</v>
      </c>
      <c r="L12" s="50"/>
      <c r="O12" s="39"/>
      <c r="P12" s="93"/>
      <c r="U12" s="92"/>
    </row>
    <row r="13">
      <c r="A13" s="2" t="str">
        <f t="shared" si="2"/>
        <v>20251218-13XU</v>
      </c>
      <c r="B13" s="2" t="s">
        <v>1365</v>
      </c>
      <c r="C13" s="50"/>
      <c r="D13" s="2" t="s">
        <v>1366</v>
      </c>
      <c r="E13" s="2" t="s">
        <v>41</v>
      </c>
      <c r="F13" s="4">
        <v>46009.0</v>
      </c>
      <c r="G13" s="87">
        <v>0.7604166666666666</v>
      </c>
      <c r="I13" s="2" t="s">
        <v>43</v>
      </c>
      <c r="L13" s="50"/>
      <c r="O13" s="39"/>
      <c r="P13" s="93"/>
      <c r="U13" s="92"/>
    </row>
    <row r="14">
      <c r="A14" s="2" t="str">
        <f t="shared" si="2"/>
        <v>20251220-2TYX</v>
      </c>
      <c r="B14" s="11" t="s">
        <v>1368</v>
      </c>
      <c r="C14" s="95" t="s">
        <v>1369</v>
      </c>
      <c r="D14" s="11" t="s">
        <v>1370</v>
      </c>
      <c r="E14" s="11" t="s">
        <v>41</v>
      </c>
      <c r="F14" s="14">
        <v>46011.0</v>
      </c>
      <c r="G14" s="96">
        <v>0.46875</v>
      </c>
      <c r="H14" s="12"/>
      <c r="I14" s="11" t="s">
        <v>43</v>
      </c>
      <c r="L14" s="50"/>
      <c r="O14" s="39"/>
      <c r="P14" s="93"/>
      <c r="Q14" s="97"/>
      <c r="U14" s="92"/>
    </row>
    <row r="15">
      <c r="A15" s="2" t="str">
        <f t="shared" si="2"/>
        <v>20251220-1T4M</v>
      </c>
      <c r="B15" s="11" t="s">
        <v>1371</v>
      </c>
      <c r="C15" s="90"/>
      <c r="D15" s="11" t="s">
        <v>1372</v>
      </c>
      <c r="E15" s="11" t="s">
        <v>41</v>
      </c>
      <c r="F15" s="98">
        <v>46011.0</v>
      </c>
      <c r="G15" s="99">
        <v>0.5104166666666666</v>
      </c>
      <c r="H15" s="100"/>
      <c r="I15" s="11" t="s">
        <v>43</v>
      </c>
      <c r="L15" s="50"/>
      <c r="O15" s="39"/>
      <c r="P15" s="93"/>
      <c r="U15" s="92"/>
    </row>
    <row r="16">
      <c r="A16" s="2" t="str">
        <f t="shared" si="2"/>
        <v>20251221-2VVJ</v>
      </c>
      <c r="B16" s="2" t="s">
        <v>1373</v>
      </c>
      <c r="C16" s="55">
        <v>8.147776567E9</v>
      </c>
      <c r="D16" s="2" t="s">
        <v>1374</v>
      </c>
      <c r="E16" s="2" t="s">
        <v>56</v>
      </c>
      <c r="F16" s="4">
        <v>46012.0</v>
      </c>
      <c r="G16" s="87">
        <v>0.7291666666666666</v>
      </c>
      <c r="I16" s="2" t="s">
        <v>43</v>
      </c>
      <c r="L16" s="50"/>
      <c r="O16" s="39"/>
      <c r="P16" s="93"/>
      <c r="Q16" s="97"/>
      <c r="U16" s="92"/>
    </row>
    <row r="17">
      <c r="A17" s="2" t="str">
        <f t="shared" si="2"/>
        <v>20251227-34P0</v>
      </c>
      <c r="B17" s="2" t="s">
        <v>1375</v>
      </c>
      <c r="C17" s="55" t="s">
        <v>1376</v>
      </c>
      <c r="D17" s="2" t="s">
        <v>1377</v>
      </c>
      <c r="E17" s="2" t="s">
        <v>56</v>
      </c>
      <c r="F17" s="4">
        <v>46018.0</v>
      </c>
      <c r="G17" s="87">
        <v>0.6875</v>
      </c>
      <c r="I17" s="2" t="s">
        <v>43</v>
      </c>
      <c r="L17" s="50"/>
      <c r="O17" s="39"/>
      <c r="P17" s="93"/>
      <c r="U17" s="92"/>
    </row>
    <row r="18">
      <c r="A18" s="2" t="str">
        <f t="shared" si="2"/>
        <v>20251227-12IB</v>
      </c>
      <c r="B18" s="2" t="s">
        <v>1378</v>
      </c>
      <c r="C18" s="50"/>
      <c r="D18" s="2" t="s">
        <v>1379</v>
      </c>
      <c r="E18" s="2" t="s">
        <v>56</v>
      </c>
      <c r="F18" s="4">
        <v>46018.0</v>
      </c>
      <c r="G18" s="87">
        <v>0.7083333333333334</v>
      </c>
      <c r="I18" s="2" t="s">
        <v>43</v>
      </c>
      <c r="L18" s="50"/>
      <c r="O18" s="39"/>
      <c r="P18" s="93"/>
      <c r="U18" s="92"/>
    </row>
    <row r="19">
      <c r="A19" s="2" t="str">
        <f t="shared" si="2"/>
        <v>20251230-173E</v>
      </c>
      <c r="B19" s="2" t="s">
        <v>1380</v>
      </c>
      <c r="C19" s="55" t="s">
        <v>1381</v>
      </c>
      <c r="D19" s="2" t="s">
        <v>1382</v>
      </c>
      <c r="E19" s="2" t="s">
        <v>41</v>
      </c>
      <c r="F19" s="4">
        <v>46021.0</v>
      </c>
      <c r="G19" s="87">
        <v>0.7708333333333334</v>
      </c>
      <c r="I19" s="2" t="s">
        <v>43</v>
      </c>
      <c r="L19" s="50"/>
      <c r="O19" s="39"/>
      <c r="P19" s="93"/>
      <c r="U19" s="92"/>
    </row>
    <row r="20">
      <c r="A20" s="2" t="str">
        <f t="shared" si="2"/>
        <v>20251230-S0M</v>
      </c>
      <c r="B20" s="2" t="s">
        <v>1384</v>
      </c>
      <c r="C20" s="50"/>
      <c r="D20" s="2" t="s">
        <v>1382</v>
      </c>
      <c r="E20" s="2" t="s">
        <v>41</v>
      </c>
      <c r="F20" s="4">
        <v>46021.0</v>
      </c>
      <c r="G20" s="87">
        <v>0.5</v>
      </c>
      <c r="I20" s="2" t="s">
        <v>43</v>
      </c>
      <c r="L20" s="50"/>
      <c r="O20" s="39"/>
      <c r="P20" s="93"/>
      <c r="U20" s="92"/>
    </row>
    <row r="21">
      <c r="A21" s="2" t="str">
        <f t="shared" si="2"/>
        <v>20251230-N1B</v>
      </c>
      <c r="B21" s="2" t="s">
        <v>1385</v>
      </c>
      <c r="C21" s="50"/>
      <c r="D21" s="2" t="s">
        <v>1382</v>
      </c>
      <c r="E21" s="2" t="s">
        <v>41</v>
      </c>
      <c r="F21" s="4">
        <v>46021.0</v>
      </c>
      <c r="G21" s="87">
        <v>0.8125</v>
      </c>
      <c r="I21" s="2" t="s">
        <v>43</v>
      </c>
      <c r="L21" s="50"/>
      <c r="O21" s="39"/>
      <c r="P21" s="93"/>
      <c r="Q21" s="94"/>
      <c r="U21" s="92"/>
    </row>
    <row r="22">
      <c r="A22" s="2" t="s">
        <v>1386</v>
      </c>
      <c r="B22" s="2" t="s">
        <v>76</v>
      </c>
      <c r="C22" s="55">
        <v>5.555555555E9</v>
      </c>
      <c r="D22" s="2" t="s">
        <v>77</v>
      </c>
      <c r="E22" s="2" t="s">
        <v>56</v>
      </c>
      <c r="F22" s="4">
        <v>46022.0</v>
      </c>
      <c r="G22" s="87">
        <v>0.8333333333333334</v>
      </c>
      <c r="H22" s="10">
        <v>46015.008935983795</v>
      </c>
      <c r="L22" s="50"/>
      <c r="O22" s="39"/>
      <c r="P22" s="93"/>
      <c r="U22" s="92"/>
    </row>
    <row r="23">
      <c r="A23" s="2" t="str">
        <f t="shared" ref="A23:A30" si="3">if(isblank(B23)=true,"", TEXT(F23,"YYYYMMDD")&amp;"-"&amp;UPPER(BASE(MOD(SUMPRODUCT(CODE(MID(UPPER(B23&amp;C23&amp;D23&amp;E23),ROW(INDIRECT("1:"&amp;LEN(B23&amp;C23&amp;D23&amp;E23))),1))*ROW(INDIRECT("1:"&amp;LEN(B23&amp;C23&amp;D23&amp;E23)))),1679616),36)))</f>
        <v>20260103-1U01</v>
      </c>
      <c r="B23" s="2" t="s">
        <v>1387</v>
      </c>
      <c r="C23" s="55" t="s">
        <v>1388</v>
      </c>
      <c r="D23" s="2" t="s">
        <v>1389</v>
      </c>
      <c r="E23" s="2" t="s">
        <v>41</v>
      </c>
      <c r="F23" s="4">
        <v>46025.0</v>
      </c>
      <c r="G23" s="87">
        <v>0.3854166666666667</v>
      </c>
      <c r="I23" s="2" t="s">
        <v>43</v>
      </c>
      <c r="U23" s="92"/>
    </row>
    <row r="24">
      <c r="A24" s="2" t="str">
        <f t="shared" si="3"/>
        <v>20260103-2O5R</v>
      </c>
      <c r="B24" s="2" t="s">
        <v>1390</v>
      </c>
      <c r="C24" s="55" t="s">
        <v>1391</v>
      </c>
      <c r="D24" s="2" t="s">
        <v>1392</v>
      </c>
      <c r="E24" s="2" t="s">
        <v>41</v>
      </c>
      <c r="F24" s="4">
        <v>46025.0</v>
      </c>
      <c r="G24" s="87">
        <v>0.4583333333333333</v>
      </c>
      <c r="I24" s="2" t="s">
        <v>43</v>
      </c>
      <c r="U24" s="92"/>
    </row>
    <row r="25">
      <c r="A25" s="2" t="str">
        <f t="shared" si="3"/>
        <v>20260104-1LI1</v>
      </c>
      <c r="B25" s="2" t="s">
        <v>1394</v>
      </c>
      <c r="C25" s="55" t="s">
        <v>274</v>
      </c>
      <c r="D25" s="2" t="s">
        <v>1382</v>
      </c>
      <c r="E25" s="2" t="s">
        <v>56</v>
      </c>
      <c r="F25" s="4">
        <v>46026.0</v>
      </c>
      <c r="G25" s="87">
        <v>0.7083333333333334</v>
      </c>
      <c r="H25" s="10"/>
      <c r="I25" s="2" t="s">
        <v>43</v>
      </c>
      <c r="L25" s="50"/>
      <c r="O25" s="39"/>
      <c r="P25" s="93"/>
      <c r="U25" s="92"/>
    </row>
    <row r="26">
      <c r="A26" s="2" t="str">
        <f t="shared" si="3"/>
        <v>20260104-O2J</v>
      </c>
      <c r="B26" s="2" t="s">
        <v>1395</v>
      </c>
      <c r="C26" s="50"/>
      <c r="D26" s="2" t="s">
        <v>1382</v>
      </c>
      <c r="E26" s="2" t="s">
        <v>56</v>
      </c>
      <c r="F26" s="4">
        <v>46026.0</v>
      </c>
      <c r="G26" s="87">
        <v>0.7395833333333334</v>
      </c>
      <c r="I26" s="2" t="s">
        <v>43</v>
      </c>
      <c r="L26" s="50"/>
      <c r="O26" s="39"/>
      <c r="P26" s="93"/>
      <c r="U26" s="92"/>
    </row>
    <row r="27">
      <c r="A27" s="2" t="str">
        <f t="shared" si="3"/>
        <v>20260104-Z9I</v>
      </c>
      <c r="B27" s="2" t="s">
        <v>1396</v>
      </c>
      <c r="C27" s="50"/>
      <c r="D27" s="2" t="s">
        <v>1397</v>
      </c>
      <c r="E27" s="2" t="s">
        <v>56</v>
      </c>
      <c r="F27" s="4">
        <v>46026.0</v>
      </c>
      <c r="G27" s="87">
        <v>0.6770833333333334</v>
      </c>
      <c r="L27" s="50"/>
      <c r="O27" s="39"/>
      <c r="P27" s="93"/>
      <c r="U27" s="92"/>
    </row>
    <row r="28">
      <c r="A28" s="2" t="str">
        <f t="shared" si="3"/>
        <v>20260106-PAQ</v>
      </c>
      <c r="B28" s="2" t="s">
        <v>1398</v>
      </c>
      <c r="C28" s="50"/>
      <c r="D28" s="2" t="s">
        <v>1399</v>
      </c>
      <c r="E28" s="2" t="s">
        <v>41</v>
      </c>
      <c r="F28" s="4">
        <v>46028.0</v>
      </c>
      <c r="G28" s="87">
        <v>0.8125</v>
      </c>
      <c r="I28" s="2" t="s">
        <v>43</v>
      </c>
      <c r="U28" s="92"/>
    </row>
    <row r="29">
      <c r="A29" s="2" t="str">
        <f t="shared" si="3"/>
        <v>20260106-Z4Z</v>
      </c>
      <c r="B29" s="2" t="s">
        <v>1400</v>
      </c>
      <c r="C29" s="50"/>
      <c r="D29" s="2" t="s">
        <v>1401</v>
      </c>
      <c r="E29" s="2" t="s">
        <v>41</v>
      </c>
      <c r="F29" s="4">
        <v>46028.0</v>
      </c>
      <c r="G29" s="87">
        <v>0.7604166666666666</v>
      </c>
      <c r="I29" s="2" t="s">
        <v>43</v>
      </c>
      <c r="U29" s="92"/>
    </row>
    <row r="30">
      <c r="A30" s="2" t="str">
        <f t="shared" si="3"/>
        <v>20260107-1V8B</v>
      </c>
      <c r="B30" s="2" t="s">
        <v>1402</v>
      </c>
      <c r="C30" s="2" t="s">
        <v>1403</v>
      </c>
      <c r="D30" s="2" t="s">
        <v>1404</v>
      </c>
      <c r="E30" s="2" t="s">
        <v>56</v>
      </c>
      <c r="F30" s="4">
        <v>46029.0</v>
      </c>
      <c r="G30" s="87">
        <v>0.78125</v>
      </c>
      <c r="U30" s="92"/>
    </row>
    <row r="31">
      <c r="B31" s="2" t="s">
        <v>1405</v>
      </c>
      <c r="C31" s="55" t="s">
        <v>1406</v>
      </c>
      <c r="D31" s="2" t="s">
        <v>1399</v>
      </c>
      <c r="E31" s="2" t="s">
        <v>56</v>
      </c>
      <c r="F31" s="4">
        <v>46029.0</v>
      </c>
      <c r="G31" s="87">
        <v>0.75</v>
      </c>
      <c r="H31" s="101"/>
      <c r="I31" s="2" t="s">
        <v>43</v>
      </c>
      <c r="U31" s="92"/>
    </row>
    <row r="32">
      <c r="A32" s="2" t="str">
        <f t="shared" ref="A32:A44" si="4">if(isblank(B32)=true,"", TEXT(F32,"YYYYMMDD")&amp;"-"&amp;UPPER(BASE(MOD(SUMPRODUCT(CODE(MID(UPPER(B32&amp;C32&amp;D32&amp;E32),ROW(INDIRECT("1:"&amp;LEN(B32&amp;C32&amp;D32&amp;E32))),1))*ROW(INDIRECT("1:"&amp;LEN(B32&amp;C32&amp;D32&amp;E32)))),1679616),36)))</f>
        <v>20260107-1K2T</v>
      </c>
      <c r="B32" s="2" t="s">
        <v>1408</v>
      </c>
      <c r="C32" s="55" t="s">
        <v>1409</v>
      </c>
      <c r="D32" s="2" t="s">
        <v>1382</v>
      </c>
      <c r="E32" s="2" t="s">
        <v>56</v>
      </c>
      <c r="F32" s="4">
        <v>46029.0</v>
      </c>
      <c r="G32" s="87">
        <v>0.8125</v>
      </c>
      <c r="I32" s="2" t="s">
        <v>43</v>
      </c>
      <c r="U32" s="92"/>
    </row>
    <row r="33">
      <c r="A33" s="2" t="str">
        <f t="shared" si="4"/>
        <v>20260110-1UL3</v>
      </c>
      <c r="B33" s="2" t="s">
        <v>1410</v>
      </c>
      <c r="C33" s="55" t="s">
        <v>1411</v>
      </c>
      <c r="D33" s="2" t="s">
        <v>1412</v>
      </c>
      <c r="E33" s="2" t="s">
        <v>41</v>
      </c>
      <c r="F33" s="4">
        <v>46032.0</v>
      </c>
      <c r="G33" s="87">
        <v>0.3958333333333333</v>
      </c>
      <c r="I33" s="2" t="s">
        <v>43</v>
      </c>
      <c r="U33" s="92"/>
    </row>
    <row r="34">
      <c r="A34" s="2" t="str">
        <f t="shared" si="4"/>
        <v>20260111-WVB</v>
      </c>
      <c r="B34" s="2" t="s">
        <v>1413</v>
      </c>
      <c r="C34" s="50"/>
      <c r="D34" s="2" t="s">
        <v>1382</v>
      </c>
      <c r="E34" s="2" t="s">
        <v>56</v>
      </c>
      <c r="F34" s="4">
        <v>46033.0</v>
      </c>
      <c r="G34" s="87">
        <v>0.6770833333333334</v>
      </c>
      <c r="I34" s="2" t="s">
        <v>43</v>
      </c>
      <c r="U34" s="92"/>
    </row>
    <row r="35">
      <c r="A35" s="2" t="str">
        <f t="shared" si="4"/>
        <v>20260111-10R4</v>
      </c>
      <c r="B35" s="2" t="s">
        <v>1414</v>
      </c>
      <c r="C35" s="50"/>
      <c r="D35" s="2" t="s">
        <v>1382</v>
      </c>
      <c r="E35" s="2" t="s">
        <v>56</v>
      </c>
      <c r="F35" s="4">
        <v>46033.0</v>
      </c>
      <c r="G35" s="87">
        <v>0.6979166666666666</v>
      </c>
      <c r="I35" s="2" t="s">
        <v>43</v>
      </c>
      <c r="U35" s="92"/>
    </row>
    <row r="36">
      <c r="A36" s="2" t="str">
        <f t="shared" si="4"/>
        <v>20260111-2ANV</v>
      </c>
      <c r="B36" s="2" t="s">
        <v>1415</v>
      </c>
      <c r="C36" s="55" t="s">
        <v>1416</v>
      </c>
      <c r="D36" s="2" t="s">
        <v>1417</v>
      </c>
      <c r="E36" s="2" t="s">
        <v>56</v>
      </c>
      <c r="F36" s="4">
        <v>46033.0</v>
      </c>
      <c r="G36" s="87">
        <v>0.7291666666666666</v>
      </c>
      <c r="I36" s="2" t="s">
        <v>43</v>
      </c>
      <c r="U36" s="92"/>
    </row>
    <row r="37">
      <c r="A37" s="2" t="str">
        <f t="shared" si="4"/>
        <v>20260111-7HTQ</v>
      </c>
      <c r="B37" s="2" t="s">
        <v>1418</v>
      </c>
      <c r="C37" s="50"/>
      <c r="D37" s="2" t="s">
        <v>1419</v>
      </c>
      <c r="E37" s="2" t="s">
        <v>56</v>
      </c>
      <c r="F37" s="4">
        <v>46033.0</v>
      </c>
      <c r="G37" s="87">
        <v>0.7291666666666666</v>
      </c>
      <c r="I37" s="2" t="s">
        <v>43</v>
      </c>
      <c r="U37" s="92"/>
    </row>
    <row r="38">
      <c r="A38" s="2" t="str">
        <f t="shared" si="4"/>
        <v>20260111-10WA</v>
      </c>
      <c r="B38" s="2" t="s">
        <v>1420</v>
      </c>
      <c r="C38" s="50"/>
      <c r="D38" s="2" t="s">
        <v>1421</v>
      </c>
      <c r="E38" s="2" t="s">
        <v>56</v>
      </c>
      <c r="F38" s="4">
        <v>46033.0</v>
      </c>
      <c r="G38" s="87">
        <v>0.6041666666666666</v>
      </c>
      <c r="I38" s="2" t="s">
        <v>43</v>
      </c>
      <c r="U38" s="92"/>
    </row>
    <row r="39">
      <c r="A39" s="2" t="str">
        <f t="shared" si="4"/>
        <v>20260111-166O</v>
      </c>
      <c r="B39" s="2" t="s">
        <v>1422</v>
      </c>
      <c r="C39" s="50"/>
      <c r="D39" s="2" t="s">
        <v>1423</v>
      </c>
      <c r="E39" s="2" t="s">
        <v>56</v>
      </c>
      <c r="F39" s="4">
        <v>46033.0</v>
      </c>
      <c r="G39" s="87">
        <v>0.625</v>
      </c>
      <c r="I39" s="2" t="s">
        <v>43</v>
      </c>
      <c r="U39" s="92"/>
    </row>
    <row r="40">
      <c r="A40" s="2" t="str">
        <f t="shared" si="4"/>
        <v>20260113-2EPY</v>
      </c>
      <c r="B40" s="2" t="s">
        <v>1424</v>
      </c>
      <c r="C40" s="55" t="s">
        <v>1425</v>
      </c>
      <c r="D40" s="2" t="s">
        <v>1426</v>
      </c>
      <c r="E40" s="2" t="s">
        <v>41</v>
      </c>
      <c r="F40" s="4">
        <v>46035.0</v>
      </c>
      <c r="G40" s="87">
        <v>0.7708333333333334</v>
      </c>
      <c r="I40" s="2" t="s">
        <v>43</v>
      </c>
      <c r="U40" s="92"/>
    </row>
    <row r="41">
      <c r="A41" s="2" t="str">
        <f t="shared" si="4"/>
        <v>20260113-1LID</v>
      </c>
      <c r="B41" s="2" t="s">
        <v>368</v>
      </c>
      <c r="C41" s="55" t="s">
        <v>1428</v>
      </c>
      <c r="D41" s="2" t="s">
        <v>1429</v>
      </c>
      <c r="E41" s="2" t="s">
        <v>41</v>
      </c>
      <c r="F41" s="4">
        <v>46035.0</v>
      </c>
      <c r="G41" s="87">
        <v>0.7916666666666666</v>
      </c>
      <c r="I41" s="2" t="s">
        <v>43</v>
      </c>
      <c r="U41" s="92"/>
    </row>
    <row r="42">
      <c r="A42" s="2" t="str">
        <f t="shared" si="4"/>
        <v>20260113-2JFG</v>
      </c>
      <c r="B42" s="2" t="s">
        <v>400</v>
      </c>
      <c r="C42" s="55" t="s">
        <v>274</v>
      </c>
      <c r="D42" s="2" t="s">
        <v>335</v>
      </c>
      <c r="E42" s="2" t="s">
        <v>41</v>
      </c>
      <c r="F42" s="4">
        <v>46035.0</v>
      </c>
      <c r="G42" s="87">
        <v>0.8125</v>
      </c>
      <c r="I42" s="2" t="s">
        <v>43</v>
      </c>
      <c r="U42" s="92"/>
    </row>
    <row r="43">
      <c r="A43" s="2" t="str">
        <f t="shared" si="4"/>
        <v>20260114-1KRC</v>
      </c>
      <c r="B43" s="2" t="s">
        <v>1430</v>
      </c>
      <c r="C43" s="50"/>
      <c r="D43" s="2" t="s">
        <v>1431</v>
      </c>
      <c r="E43" s="2" t="s">
        <v>56</v>
      </c>
      <c r="F43" s="4">
        <v>46036.0</v>
      </c>
      <c r="G43" s="87">
        <v>0.7604166666666666</v>
      </c>
      <c r="I43" s="2" t="s">
        <v>43</v>
      </c>
      <c r="U43" s="92"/>
    </row>
    <row r="44">
      <c r="A44" s="2" t="str">
        <f t="shared" si="4"/>
        <v>20260115-115S</v>
      </c>
      <c r="B44" s="2" t="s">
        <v>1432</v>
      </c>
      <c r="C44" s="50"/>
      <c r="D44" s="2" t="s">
        <v>1433</v>
      </c>
      <c r="E44" s="2" t="s">
        <v>41</v>
      </c>
      <c r="F44" s="4">
        <v>46037.0</v>
      </c>
      <c r="G44" s="87">
        <v>0.7604166666666666</v>
      </c>
      <c r="I44" s="2" t="s">
        <v>43</v>
      </c>
      <c r="U44" s="92"/>
    </row>
    <row r="45">
      <c r="B45" s="2" t="s">
        <v>1434</v>
      </c>
      <c r="C45" s="55"/>
      <c r="D45" s="2" t="s">
        <v>1435</v>
      </c>
      <c r="E45" s="2" t="s">
        <v>41</v>
      </c>
      <c r="F45" s="4">
        <v>46039.0</v>
      </c>
      <c r="G45" s="87">
        <v>0.3854166666666667</v>
      </c>
      <c r="I45" s="2" t="s">
        <v>43</v>
      </c>
      <c r="U45" s="92"/>
    </row>
    <row r="46">
      <c r="A46" s="2" t="str">
        <f t="shared" ref="A46:A52" si="5">if(isblank(B46)=true,"", TEXT(F46,"YYYYMMDD")&amp;"-"&amp;UPPER(BASE(MOD(SUMPRODUCT(CODE(MID(UPPER(B46&amp;C46&amp;D46&amp;E46),ROW(INDIRECT("1:"&amp;LEN(B46&amp;C46&amp;D46&amp;E46))),1))*ROW(INDIRECT("1:"&amp;LEN(B46&amp;C46&amp;D46&amp;E46)))),1679616),36)))</f>
        <v>20260120-3MDF</v>
      </c>
      <c r="B46" s="2" t="s">
        <v>368</v>
      </c>
      <c r="C46" s="50"/>
      <c r="D46" s="2" t="s">
        <v>1440</v>
      </c>
      <c r="E46" s="2" t="s">
        <v>41</v>
      </c>
      <c r="F46" s="4">
        <v>46042.0</v>
      </c>
      <c r="G46" s="93"/>
      <c r="I46" s="2" t="s">
        <v>43</v>
      </c>
      <c r="U46" s="92"/>
    </row>
    <row r="47">
      <c r="A47" s="2" t="str">
        <f t="shared" si="5"/>
        <v>20260121-1N0S</v>
      </c>
      <c r="B47" s="2" t="s">
        <v>1441</v>
      </c>
      <c r="C47" s="50"/>
      <c r="D47" s="2" t="s">
        <v>1442</v>
      </c>
      <c r="E47" s="2" t="s">
        <v>56</v>
      </c>
      <c r="F47" s="4">
        <v>46043.0</v>
      </c>
      <c r="G47" s="93"/>
      <c r="I47" s="2" t="s">
        <v>43</v>
      </c>
      <c r="U47" s="92"/>
    </row>
    <row r="48">
      <c r="A48" s="2" t="str">
        <f t="shared" si="5"/>
        <v>20260121-WQJ</v>
      </c>
      <c r="B48" s="2" t="s">
        <v>1444</v>
      </c>
      <c r="C48" s="50"/>
      <c r="D48" s="2" t="s">
        <v>1445</v>
      </c>
      <c r="E48" s="2" t="s">
        <v>56</v>
      </c>
      <c r="F48" s="4">
        <v>46043.0</v>
      </c>
      <c r="G48" s="93"/>
      <c r="I48" s="2" t="s">
        <v>43</v>
      </c>
      <c r="U48" s="92"/>
    </row>
    <row r="49">
      <c r="A49" s="2" t="str">
        <f t="shared" si="5"/>
        <v>20260122-17ED</v>
      </c>
      <c r="B49" s="2" t="s">
        <v>1446</v>
      </c>
      <c r="C49" s="55" t="s">
        <v>1447</v>
      </c>
      <c r="D49" s="2" t="s">
        <v>1448</v>
      </c>
      <c r="E49" s="2" t="s">
        <v>41</v>
      </c>
      <c r="F49" s="4">
        <v>46044.0</v>
      </c>
      <c r="G49" s="87">
        <v>0.7708333333333334</v>
      </c>
      <c r="I49" s="2" t="s">
        <v>43</v>
      </c>
      <c r="U49" s="92"/>
    </row>
    <row r="50">
      <c r="A50" s="2" t="str">
        <f t="shared" si="5"/>
        <v>20260124-48FA</v>
      </c>
      <c r="B50" s="2" t="s">
        <v>1352</v>
      </c>
      <c r="C50" s="55" t="s">
        <v>1353</v>
      </c>
      <c r="D50" s="2" t="s">
        <v>1449</v>
      </c>
      <c r="E50" s="2" t="s">
        <v>41</v>
      </c>
      <c r="F50" s="4">
        <v>46046.0</v>
      </c>
      <c r="G50" s="87">
        <v>0.4583333333333333</v>
      </c>
      <c r="I50" s="2" t="s">
        <v>43</v>
      </c>
      <c r="U50" s="92"/>
    </row>
    <row r="51">
      <c r="A51" s="2" t="str">
        <f t="shared" si="5"/>
        <v>20260124-GZO</v>
      </c>
      <c r="B51" s="2" t="s">
        <v>1450</v>
      </c>
      <c r="C51" s="50"/>
      <c r="D51" s="2" t="s">
        <v>1451</v>
      </c>
      <c r="E51" s="2" t="s">
        <v>41</v>
      </c>
      <c r="F51" s="4">
        <v>46046.0</v>
      </c>
      <c r="G51" s="87">
        <v>0.5208333333333334</v>
      </c>
      <c r="I51" s="2" t="s">
        <v>43</v>
      </c>
      <c r="U51" s="92"/>
    </row>
    <row r="52">
      <c r="A52" s="2" t="str">
        <f t="shared" si="5"/>
        <v>20260124-LDA</v>
      </c>
      <c r="B52" s="2" t="s">
        <v>1452</v>
      </c>
      <c r="C52" s="50"/>
      <c r="D52" s="2" t="s">
        <v>1453</v>
      </c>
      <c r="E52" s="2" t="s">
        <v>41</v>
      </c>
      <c r="F52" s="4">
        <v>46046.0</v>
      </c>
      <c r="G52" s="87">
        <v>0.375</v>
      </c>
      <c r="I52" s="2" t="s">
        <v>43</v>
      </c>
      <c r="U52" s="92"/>
    </row>
    <row r="53">
      <c r="B53" s="2" t="s">
        <v>1454</v>
      </c>
      <c r="C53" s="55" t="s">
        <v>1455</v>
      </c>
      <c r="D53" s="2" t="s">
        <v>1421</v>
      </c>
      <c r="E53" s="2" t="s">
        <v>56</v>
      </c>
      <c r="F53" s="4">
        <v>46050.0</v>
      </c>
      <c r="G53" s="87">
        <v>0.75</v>
      </c>
      <c r="I53" s="2" t="s">
        <v>43</v>
      </c>
      <c r="U53" s="92"/>
    </row>
    <row r="54">
      <c r="A54" s="2" t="str">
        <f t="shared" ref="A54:A68" si="6">if(isblank(B54)=true,"", TEXT(F54,"YYYYMMDD")&amp;"-"&amp;UPPER(BASE(MOD(SUMPRODUCT(CODE(MID(UPPER(B54&amp;C54&amp;D54&amp;E54),ROW(INDIRECT("1:"&amp;LEN(B54&amp;C54&amp;D54&amp;E54))),1))*ROW(INDIRECT("1:"&amp;LEN(B54&amp;C54&amp;D54&amp;E54)))),1679616),36)))</f>
        <v>20260201-5U21</v>
      </c>
      <c r="B54" s="2" t="s">
        <v>1457</v>
      </c>
      <c r="C54" s="55" t="s">
        <v>1458</v>
      </c>
      <c r="D54" s="2" t="s">
        <v>1459</v>
      </c>
      <c r="E54" s="2" t="s">
        <v>1460</v>
      </c>
      <c r="F54" s="4">
        <v>46054.0</v>
      </c>
      <c r="G54" s="87">
        <v>0.6770833333333334</v>
      </c>
      <c r="I54" s="2" t="s">
        <v>43</v>
      </c>
      <c r="U54" s="92"/>
    </row>
    <row r="55">
      <c r="A55" s="2" t="str">
        <f t="shared" si="6"/>
        <v>20260201-20R6</v>
      </c>
      <c r="B55" s="2" t="s">
        <v>1461</v>
      </c>
      <c r="C55" s="55" t="s">
        <v>1462</v>
      </c>
      <c r="D55" s="2" t="s">
        <v>1463</v>
      </c>
      <c r="E55" s="2" t="s">
        <v>56</v>
      </c>
      <c r="F55" s="4">
        <v>46054.0</v>
      </c>
      <c r="G55" s="87">
        <v>0.75</v>
      </c>
      <c r="I55" s="2" t="s">
        <v>43</v>
      </c>
      <c r="U55" s="92"/>
    </row>
    <row r="56">
      <c r="A56" s="2" t="str">
        <f t="shared" si="6"/>
        <v>20260205-3NL4</v>
      </c>
      <c r="B56" s="2" t="s">
        <v>1464</v>
      </c>
      <c r="C56" s="55" t="s">
        <v>1465</v>
      </c>
      <c r="D56" s="2" t="s">
        <v>1467</v>
      </c>
      <c r="E56" s="2" t="s">
        <v>56</v>
      </c>
      <c r="F56" s="4">
        <v>46058.0</v>
      </c>
      <c r="G56" s="87">
        <v>0.78125</v>
      </c>
      <c r="I56" s="2" t="s">
        <v>43</v>
      </c>
      <c r="U56" s="92"/>
    </row>
    <row r="57">
      <c r="A57" s="2" t="str">
        <f t="shared" si="6"/>
        <v>20260207-27X8</v>
      </c>
      <c r="B57" s="2" t="s">
        <v>137</v>
      </c>
      <c r="C57" s="55" t="s">
        <v>355</v>
      </c>
      <c r="D57" s="2" t="s">
        <v>1468</v>
      </c>
      <c r="E57" s="2" t="s">
        <v>41</v>
      </c>
      <c r="F57" s="4">
        <v>46060.0</v>
      </c>
      <c r="G57" s="87">
        <v>0.7708333333333334</v>
      </c>
      <c r="I57" s="2" t="s">
        <v>43</v>
      </c>
      <c r="U57" s="92"/>
    </row>
    <row r="58">
      <c r="A58" s="2" t="str">
        <f t="shared" si="6"/>
        <v>20260207-18H3</v>
      </c>
      <c r="B58" s="2" t="s">
        <v>1469</v>
      </c>
      <c r="C58" s="55" t="s">
        <v>274</v>
      </c>
      <c r="D58" s="2" t="s">
        <v>1421</v>
      </c>
      <c r="E58" s="2" t="s">
        <v>41</v>
      </c>
      <c r="F58" s="4">
        <v>46060.0</v>
      </c>
      <c r="G58" s="87">
        <v>0.5</v>
      </c>
      <c r="I58" s="2" t="s">
        <v>43</v>
      </c>
      <c r="U58" s="92"/>
    </row>
    <row r="59">
      <c r="A59" s="2" t="str">
        <f t="shared" si="6"/>
        <v>20260210-1L3L</v>
      </c>
      <c r="B59" s="2" t="s">
        <v>1470</v>
      </c>
      <c r="C59" s="50"/>
      <c r="D59" s="2" t="s">
        <v>1471</v>
      </c>
      <c r="E59" s="2" t="s">
        <v>41</v>
      </c>
      <c r="F59" s="4">
        <v>46063.0</v>
      </c>
      <c r="G59" s="87">
        <v>0.8020833333333334</v>
      </c>
      <c r="I59" s="2" t="s">
        <v>43</v>
      </c>
      <c r="U59" s="92"/>
    </row>
    <row r="60">
      <c r="A60" s="2" t="str">
        <f t="shared" si="6"/>
        <v>20260214-25NS</v>
      </c>
      <c r="B60" s="2" t="s">
        <v>368</v>
      </c>
      <c r="C60" s="55" t="s">
        <v>1428</v>
      </c>
      <c r="D60" s="2" t="s">
        <v>1472</v>
      </c>
      <c r="E60" s="2" t="s">
        <v>41</v>
      </c>
      <c r="F60" s="4">
        <v>46067.0</v>
      </c>
      <c r="G60" s="87">
        <v>0.4375</v>
      </c>
      <c r="I60" s="2" t="s">
        <v>43</v>
      </c>
      <c r="U60" s="92"/>
    </row>
    <row r="61">
      <c r="A61" s="2" t="str">
        <f t="shared" si="6"/>
        <v>20260214-307V</v>
      </c>
      <c r="B61" s="2" t="s">
        <v>1473</v>
      </c>
      <c r="C61" s="50"/>
      <c r="D61" s="2" t="s">
        <v>1474</v>
      </c>
      <c r="E61" s="2" t="s">
        <v>41</v>
      </c>
      <c r="F61" s="4">
        <v>46067.0</v>
      </c>
      <c r="G61" s="87">
        <v>0.4583333333333333</v>
      </c>
      <c r="I61" s="2" t="s">
        <v>43</v>
      </c>
      <c r="U61" s="92"/>
    </row>
    <row r="62">
      <c r="A62" s="2" t="str">
        <f t="shared" si="6"/>
        <v>20260215-2FTT</v>
      </c>
      <c r="B62" s="2" t="s">
        <v>1475</v>
      </c>
      <c r="C62" s="55" t="s">
        <v>1476</v>
      </c>
      <c r="D62" s="2" t="s">
        <v>1478</v>
      </c>
      <c r="E62" s="2" t="s">
        <v>35</v>
      </c>
      <c r="F62" s="4">
        <v>46068.0</v>
      </c>
      <c r="G62" s="87">
        <v>0.75</v>
      </c>
      <c r="I62" s="2" t="s">
        <v>43</v>
      </c>
      <c r="U62" s="92"/>
    </row>
    <row r="63">
      <c r="A63" s="2" t="str">
        <f t="shared" si="6"/>
        <v>20260215-1E5P</v>
      </c>
      <c r="B63" s="2" t="s">
        <v>1479</v>
      </c>
      <c r="C63" s="50"/>
      <c r="D63" s="2" t="s">
        <v>1478</v>
      </c>
      <c r="E63" s="2" t="s">
        <v>35</v>
      </c>
      <c r="F63" s="4">
        <v>46068.0</v>
      </c>
      <c r="G63" s="87">
        <v>0.7708333333333334</v>
      </c>
      <c r="I63" s="2" t="s">
        <v>43</v>
      </c>
      <c r="U63" s="92"/>
    </row>
    <row r="64">
      <c r="A64" s="2" t="str">
        <f t="shared" si="6"/>
        <v>20260215-C23</v>
      </c>
      <c r="B64" s="2" t="s">
        <v>1480</v>
      </c>
      <c r="C64" s="50"/>
      <c r="E64" s="2" t="s">
        <v>35</v>
      </c>
      <c r="F64" s="4">
        <v>46068.0</v>
      </c>
      <c r="G64" s="87">
        <v>0.6979166666666666</v>
      </c>
      <c r="U64" s="92"/>
    </row>
    <row r="65">
      <c r="A65" s="2" t="str">
        <f t="shared" si="6"/>
        <v>20260215-1CYA</v>
      </c>
      <c r="B65" s="2" t="s">
        <v>1481</v>
      </c>
      <c r="C65" s="55" t="s">
        <v>1482</v>
      </c>
      <c r="D65" s="2" t="s">
        <v>1483</v>
      </c>
      <c r="E65" s="2" t="s">
        <v>35</v>
      </c>
      <c r="F65" s="4">
        <v>46068.0</v>
      </c>
      <c r="G65" s="87">
        <v>0.7083333333333334</v>
      </c>
      <c r="I65" s="2" t="s">
        <v>43</v>
      </c>
      <c r="U65" s="92"/>
    </row>
    <row r="66">
      <c r="A66" s="2" t="str">
        <f t="shared" si="6"/>
        <v>20260216-1LK5</v>
      </c>
      <c r="B66" s="2" t="s">
        <v>1484</v>
      </c>
      <c r="C66" s="55" t="s">
        <v>1485</v>
      </c>
      <c r="D66" s="2" t="s">
        <v>1486</v>
      </c>
      <c r="E66" s="2" t="s">
        <v>35</v>
      </c>
      <c r="F66" s="4">
        <v>46069.0</v>
      </c>
      <c r="G66" s="87">
        <v>0.78125</v>
      </c>
      <c r="I66" s="2" t="s">
        <v>43</v>
      </c>
      <c r="U66" s="92"/>
    </row>
    <row r="67">
      <c r="A67" s="2" t="str">
        <f t="shared" si="6"/>
        <v>20260217-2LJN</v>
      </c>
      <c r="B67" s="2" t="s">
        <v>1487</v>
      </c>
      <c r="C67" s="55" t="s">
        <v>1488</v>
      </c>
      <c r="D67" s="2" t="s">
        <v>1489</v>
      </c>
      <c r="E67" s="2" t="s">
        <v>41</v>
      </c>
      <c r="F67" s="4">
        <v>46070.0</v>
      </c>
      <c r="G67" s="87">
        <v>0.7708333333333334</v>
      </c>
      <c r="I67" s="2" t="s">
        <v>43</v>
      </c>
      <c r="U67" s="92"/>
    </row>
    <row r="68">
      <c r="A68" s="2" t="str">
        <f t="shared" si="6"/>
        <v>20260218-360K</v>
      </c>
      <c r="B68" s="2" t="s">
        <v>1490</v>
      </c>
      <c r="C68" s="55" t="s">
        <v>1491</v>
      </c>
      <c r="D68" s="2" t="s">
        <v>1492</v>
      </c>
      <c r="E68" s="2" t="s">
        <v>35</v>
      </c>
      <c r="F68" s="4">
        <v>46071.0</v>
      </c>
      <c r="G68" s="87">
        <v>0.78125</v>
      </c>
      <c r="I68" s="2" t="s">
        <v>43</v>
      </c>
      <c r="U68" s="92"/>
    </row>
    <row r="69">
      <c r="B69" s="2" t="s">
        <v>1493</v>
      </c>
      <c r="C69" s="50"/>
      <c r="D69" s="2" t="s">
        <v>1494</v>
      </c>
      <c r="E69" s="2" t="s">
        <v>35</v>
      </c>
      <c r="F69" s="7">
        <v>46071.0</v>
      </c>
      <c r="G69" s="87">
        <v>0.8125</v>
      </c>
      <c r="U69" s="92"/>
    </row>
    <row r="70">
      <c r="A70" s="2" t="str">
        <f t="shared" ref="A70:A153" si="7">if(isblank(B70)=true,"", TEXT(F70,"YYYYMMDD")&amp;"-"&amp;UPPER(BASE(MOD(SUMPRODUCT(CODE(MID(UPPER(B70&amp;C70&amp;D70&amp;E70),ROW(INDIRECT("1:"&amp;LEN(B70&amp;C70&amp;D70&amp;E70))),1))*ROW(INDIRECT("1:"&amp;LEN(B70&amp;C70&amp;D70&amp;E70)))),1679616),36)))</f>
        <v>20260218-YML</v>
      </c>
      <c r="B70" s="2" t="s">
        <v>1496</v>
      </c>
      <c r="C70" s="50"/>
      <c r="D70" s="2" t="s">
        <v>1497</v>
      </c>
      <c r="E70" s="2" t="s">
        <v>35</v>
      </c>
      <c r="F70" s="4">
        <v>46071.0</v>
      </c>
      <c r="G70" s="87">
        <v>0.8229166666666666</v>
      </c>
      <c r="I70" s="2" t="s">
        <v>43</v>
      </c>
      <c r="U70" s="92"/>
    </row>
    <row r="71">
      <c r="A71" s="2" t="str">
        <f t="shared" si="7"/>
        <v>20260219-30GQ</v>
      </c>
      <c r="B71" s="2" t="s">
        <v>1498</v>
      </c>
      <c r="C71" s="55" t="s">
        <v>1499</v>
      </c>
      <c r="D71" s="2" t="s">
        <v>1500</v>
      </c>
      <c r="E71" s="2" t="s">
        <v>41</v>
      </c>
      <c r="F71" s="4">
        <v>46072.0</v>
      </c>
      <c r="G71" s="87">
        <v>0.7708333333333334</v>
      </c>
      <c r="I71" s="2" t="s">
        <v>43</v>
      </c>
      <c r="U71" s="92"/>
    </row>
    <row r="72">
      <c r="A72" s="2" t="str">
        <f t="shared" si="7"/>
        <v>20260219-1JIO</v>
      </c>
      <c r="B72" s="2" t="s">
        <v>1501</v>
      </c>
      <c r="C72" s="55" t="s">
        <v>1502</v>
      </c>
      <c r="D72" s="2" t="s">
        <v>1503</v>
      </c>
      <c r="E72" s="2" t="s">
        <v>41</v>
      </c>
      <c r="F72" s="4">
        <v>46072.0</v>
      </c>
      <c r="G72" s="87">
        <v>0.8020833333333334</v>
      </c>
      <c r="I72" s="2" t="s">
        <v>43</v>
      </c>
      <c r="U72" s="92"/>
    </row>
    <row r="73">
      <c r="A73" s="2" t="str">
        <f t="shared" si="7"/>
        <v>20260221-1JBX</v>
      </c>
      <c r="B73" s="2" t="s">
        <v>1504</v>
      </c>
      <c r="C73" s="55" t="s">
        <v>1505</v>
      </c>
      <c r="D73" s="2" t="s">
        <v>1506</v>
      </c>
      <c r="E73" s="2" t="s">
        <v>41</v>
      </c>
      <c r="F73" s="4">
        <v>46074.0</v>
      </c>
      <c r="G73" s="87">
        <v>0.4375</v>
      </c>
      <c r="I73" s="2" t="s">
        <v>43</v>
      </c>
      <c r="U73" s="92"/>
    </row>
    <row r="74">
      <c r="A74" s="2" t="str">
        <f t="shared" si="7"/>
        <v>20260221-15YX</v>
      </c>
      <c r="B74" s="2" t="s">
        <v>1507</v>
      </c>
      <c r="C74" s="55" t="s">
        <v>274</v>
      </c>
      <c r="D74" s="2" t="s">
        <v>1421</v>
      </c>
      <c r="E74" s="2" t="s">
        <v>41</v>
      </c>
      <c r="F74" s="4">
        <v>46074.0</v>
      </c>
      <c r="G74" s="87">
        <v>0.46875</v>
      </c>
      <c r="I74" s="2" t="s">
        <v>43</v>
      </c>
      <c r="U74" s="92"/>
    </row>
    <row r="75">
      <c r="A75" s="2" t="str">
        <f t="shared" si="7"/>
        <v>20260222-LNA</v>
      </c>
      <c r="B75" s="2" t="s">
        <v>1508</v>
      </c>
      <c r="C75" s="50"/>
      <c r="D75" s="2" t="s">
        <v>1510</v>
      </c>
      <c r="E75" s="2" t="s">
        <v>35</v>
      </c>
      <c r="F75" s="4">
        <v>46075.0</v>
      </c>
      <c r="G75" s="87">
        <v>0.6770833333333334</v>
      </c>
      <c r="I75" s="2" t="s">
        <v>43</v>
      </c>
      <c r="U75" s="92"/>
    </row>
    <row r="76">
      <c r="A76" s="2" t="str">
        <f t="shared" si="7"/>
        <v>20260222-23VJ</v>
      </c>
      <c r="B76" s="2" t="s">
        <v>1511</v>
      </c>
      <c r="C76" s="55">
        <v>5.703516467E9</v>
      </c>
      <c r="D76" s="2" t="s">
        <v>1512</v>
      </c>
      <c r="E76" s="2" t="s">
        <v>35</v>
      </c>
      <c r="F76" s="4">
        <v>46075.0</v>
      </c>
      <c r="G76" s="87">
        <v>0.7291666666666666</v>
      </c>
      <c r="I76" s="2" t="s">
        <v>43</v>
      </c>
      <c r="U76" s="92"/>
    </row>
    <row r="77">
      <c r="A77" s="2" t="str">
        <f t="shared" si="7"/>
        <v>20260224-1RSM</v>
      </c>
      <c r="B77" s="2" t="s">
        <v>1513</v>
      </c>
      <c r="C77" s="50"/>
      <c r="D77" s="2" t="s">
        <v>1514</v>
      </c>
      <c r="E77" s="2" t="s">
        <v>41</v>
      </c>
      <c r="F77" s="4">
        <v>46077.0</v>
      </c>
      <c r="G77" s="87">
        <v>0.8333333333333334</v>
      </c>
      <c r="I77" s="2" t="s">
        <v>43</v>
      </c>
      <c r="U77" s="92"/>
    </row>
    <row r="78">
      <c r="A78" s="2" t="str">
        <f t="shared" si="7"/>
        <v>20260224-1ZF8</v>
      </c>
      <c r="B78" s="2" t="s">
        <v>1515</v>
      </c>
      <c r="C78" s="55" t="s">
        <v>1516</v>
      </c>
      <c r="D78" s="2" t="s">
        <v>1517</v>
      </c>
      <c r="E78" s="2" t="s">
        <v>41</v>
      </c>
      <c r="F78" s="4">
        <v>46077.0</v>
      </c>
      <c r="G78" s="87">
        <v>0.7916666666666666</v>
      </c>
      <c r="I78" s="2" t="s">
        <v>43</v>
      </c>
      <c r="U78" s="92"/>
    </row>
    <row r="79">
      <c r="A79" s="2" t="str">
        <f t="shared" si="7"/>
        <v>20260225-11MM</v>
      </c>
      <c r="B79" s="2" t="s">
        <v>1518</v>
      </c>
      <c r="C79" s="50"/>
      <c r="D79" s="2" t="s">
        <v>1486</v>
      </c>
      <c r="E79" s="2" t="s">
        <v>35</v>
      </c>
      <c r="F79" s="4">
        <v>46078.0</v>
      </c>
      <c r="G79" s="87">
        <v>0.7604166666666666</v>
      </c>
      <c r="I79" s="2" t="s">
        <v>43</v>
      </c>
      <c r="U79" s="92"/>
    </row>
    <row r="80">
      <c r="A80" s="2" t="str">
        <f t="shared" si="7"/>
        <v>20260225-4JDJ</v>
      </c>
      <c r="B80" s="2" t="s">
        <v>1519</v>
      </c>
      <c r="C80" s="55" t="s">
        <v>84</v>
      </c>
      <c r="D80" s="2" t="s">
        <v>1520</v>
      </c>
      <c r="E80" s="2" t="s">
        <v>56</v>
      </c>
      <c r="F80" s="4">
        <v>46078.0</v>
      </c>
      <c r="G80" s="87">
        <v>0.7916666666666666</v>
      </c>
      <c r="H80" s="10">
        <v>46077.79863553241</v>
      </c>
      <c r="U80" s="92"/>
    </row>
    <row r="81">
      <c r="A81" s="2" t="str">
        <f t="shared" si="7"/>
        <v>20260226-18AI</v>
      </c>
      <c r="B81" s="2" t="s">
        <v>271</v>
      </c>
      <c r="C81" s="50"/>
      <c r="D81" s="2" t="s">
        <v>1521</v>
      </c>
      <c r="E81" s="2" t="s">
        <v>41</v>
      </c>
      <c r="F81" s="4">
        <v>46079.0</v>
      </c>
      <c r="G81" s="87">
        <v>0.7604166666666666</v>
      </c>
      <c r="I81" s="2" t="s">
        <v>43</v>
      </c>
      <c r="U81" s="92"/>
    </row>
    <row r="82">
      <c r="A82" s="2" t="str">
        <f t="shared" si="7"/>
        <v>20260228-12CK</v>
      </c>
      <c r="B82" s="2" t="s">
        <v>1522</v>
      </c>
      <c r="C82" s="50"/>
      <c r="D82" s="2" t="s">
        <v>1523</v>
      </c>
      <c r="E82" s="2" t="s">
        <v>41</v>
      </c>
      <c r="F82" s="4">
        <v>46081.0</v>
      </c>
      <c r="G82" s="87">
        <v>0.4166666666666667</v>
      </c>
      <c r="I82" s="2" t="s">
        <v>43</v>
      </c>
      <c r="U82" s="92"/>
    </row>
    <row r="83">
      <c r="A83" s="2" t="str">
        <f t="shared" si="7"/>
        <v>20260228-10A5</v>
      </c>
      <c r="B83" s="2" t="s">
        <v>1473</v>
      </c>
      <c r="C83" s="55" t="s">
        <v>1525</v>
      </c>
      <c r="D83" s="2" t="s">
        <v>1421</v>
      </c>
      <c r="E83" s="2" t="s">
        <v>41</v>
      </c>
      <c r="F83" s="4">
        <v>46081.0</v>
      </c>
      <c r="G83" s="87">
        <v>0.4583333333333333</v>
      </c>
      <c r="I83" s="2" t="s">
        <v>43</v>
      </c>
      <c r="U83" s="92"/>
    </row>
    <row r="84">
      <c r="A84" s="2" t="str">
        <f t="shared" si="7"/>
        <v>20260228-20E3</v>
      </c>
      <c r="B84" s="2" t="s">
        <v>1526</v>
      </c>
      <c r="C84" s="55" t="s">
        <v>1527</v>
      </c>
      <c r="D84" s="2" t="s">
        <v>1528</v>
      </c>
      <c r="E84" s="2" t="s">
        <v>41</v>
      </c>
      <c r="F84" s="4">
        <v>46081.0</v>
      </c>
      <c r="G84" s="87">
        <v>0.5208333333333334</v>
      </c>
      <c r="I84" s="2" t="s">
        <v>43</v>
      </c>
      <c r="U84" s="92"/>
    </row>
    <row r="85">
      <c r="A85" s="2" t="str">
        <f t="shared" si="7"/>
        <v>20260301-1SIY</v>
      </c>
      <c r="B85" s="2" t="s">
        <v>1529</v>
      </c>
      <c r="C85" s="55" t="s">
        <v>1530</v>
      </c>
      <c r="D85" s="2" t="s">
        <v>1531</v>
      </c>
      <c r="E85" s="2" t="s">
        <v>41</v>
      </c>
      <c r="F85" s="4">
        <v>46082.0</v>
      </c>
      <c r="G85" s="87">
        <v>0.4895833333333333</v>
      </c>
      <c r="I85" s="2" t="s">
        <v>43</v>
      </c>
      <c r="U85" s="92"/>
    </row>
    <row r="86">
      <c r="A86" s="2" t="str">
        <f t="shared" si="7"/>
        <v>20260301-1SDT</v>
      </c>
      <c r="B86" s="2" t="s">
        <v>1532</v>
      </c>
      <c r="C86" s="55" t="s">
        <v>1533</v>
      </c>
      <c r="D86" s="2" t="s">
        <v>1534</v>
      </c>
      <c r="E86" s="2" t="s">
        <v>35</v>
      </c>
      <c r="F86" s="4">
        <v>46082.0</v>
      </c>
      <c r="G86" s="87">
        <v>0.6770833333333334</v>
      </c>
      <c r="I86" s="2" t="s">
        <v>43</v>
      </c>
      <c r="U86" s="92"/>
    </row>
    <row r="87">
      <c r="A87" s="2" t="str">
        <f t="shared" si="7"/>
        <v>20260304-2HDP</v>
      </c>
      <c r="B87" s="2" t="s">
        <v>1535</v>
      </c>
      <c r="C87" s="55" t="s">
        <v>1536</v>
      </c>
      <c r="D87" s="2" t="s">
        <v>1537</v>
      </c>
      <c r="E87" s="2" t="s">
        <v>35</v>
      </c>
      <c r="F87" s="4">
        <v>46085.0</v>
      </c>
      <c r="G87" s="87">
        <v>0.7708333333333334</v>
      </c>
      <c r="I87" s="2" t="s">
        <v>43</v>
      </c>
      <c r="U87" s="92"/>
    </row>
    <row r="88">
      <c r="A88" s="2" t="str">
        <f t="shared" si="7"/>
        <v>20260304-8ZNJ</v>
      </c>
      <c r="B88" s="2" t="s">
        <v>1538</v>
      </c>
      <c r="C88" s="55" t="s">
        <v>1539</v>
      </c>
      <c r="D88" s="2" t="s">
        <v>1540</v>
      </c>
      <c r="E88" s="2" t="s">
        <v>56</v>
      </c>
      <c r="F88" s="4">
        <v>46085.0</v>
      </c>
      <c r="G88" s="87">
        <v>0.8020833333333334</v>
      </c>
      <c r="H88" s="10">
        <v>46084.747554733796</v>
      </c>
      <c r="I88" s="2" t="s">
        <v>43</v>
      </c>
      <c r="U88" s="92"/>
    </row>
    <row r="89">
      <c r="A89" s="2" t="str">
        <f t="shared" si="7"/>
        <v>20260305-2TJT</v>
      </c>
      <c r="B89" s="2" t="s">
        <v>1541</v>
      </c>
      <c r="C89" s="55" t="s">
        <v>1542</v>
      </c>
      <c r="D89" s="2" t="s">
        <v>1543</v>
      </c>
      <c r="E89" s="2" t="s">
        <v>41</v>
      </c>
      <c r="F89" s="4">
        <v>46086.0</v>
      </c>
      <c r="G89" s="87">
        <v>0.7708333333333334</v>
      </c>
      <c r="I89" s="2" t="s">
        <v>43</v>
      </c>
      <c r="U89" s="92"/>
    </row>
    <row r="90">
      <c r="A90" s="2" t="str">
        <f t="shared" si="7"/>
        <v>20260305-2NSP</v>
      </c>
      <c r="B90" s="2" t="s">
        <v>1544</v>
      </c>
      <c r="C90" s="55" t="s">
        <v>1545</v>
      </c>
      <c r="D90" s="2" t="s">
        <v>1546</v>
      </c>
      <c r="E90" s="2" t="s">
        <v>56</v>
      </c>
      <c r="F90" s="4">
        <v>46086.0</v>
      </c>
      <c r="G90" s="87">
        <v>0.7604166666666666</v>
      </c>
      <c r="H90" s="10">
        <v>46081.46201743056</v>
      </c>
      <c r="I90" s="2" t="s">
        <v>43</v>
      </c>
      <c r="U90" s="92"/>
    </row>
    <row r="91">
      <c r="A91" s="2" t="str">
        <f t="shared" si="7"/>
        <v>20260305-2203</v>
      </c>
      <c r="B91" s="2" t="s">
        <v>1548</v>
      </c>
      <c r="C91" s="55" t="s">
        <v>382</v>
      </c>
      <c r="D91" s="2" t="s">
        <v>1549</v>
      </c>
      <c r="E91" s="2" t="s">
        <v>56</v>
      </c>
      <c r="F91" s="4">
        <v>46086.0</v>
      </c>
      <c r="G91" s="87">
        <v>0.8125</v>
      </c>
      <c r="H91" s="10">
        <v>46085.60150780092</v>
      </c>
      <c r="I91" s="2" t="s">
        <v>43</v>
      </c>
      <c r="U91" s="92"/>
    </row>
    <row r="92">
      <c r="A92" s="2" t="str">
        <f t="shared" si="7"/>
        <v>20260312-1MKU</v>
      </c>
      <c r="B92" s="2" t="s">
        <v>1550</v>
      </c>
      <c r="C92" s="55" t="s">
        <v>1551</v>
      </c>
      <c r="D92" s="2" t="s">
        <v>1552</v>
      </c>
      <c r="E92" s="2" t="s">
        <v>56</v>
      </c>
      <c r="F92" s="4">
        <v>46093.0</v>
      </c>
      <c r="G92" s="87">
        <v>0.7604166666666666</v>
      </c>
      <c r="H92" s="10">
        <v>46091.82220778935</v>
      </c>
      <c r="U92" s="92"/>
    </row>
    <row r="93">
      <c r="A93" s="2" t="str">
        <f t="shared" si="7"/>
        <v>20260312-1ASR</v>
      </c>
      <c r="B93" s="2" t="s">
        <v>1553</v>
      </c>
      <c r="C93" s="55" t="s">
        <v>1554</v>
      </c>
      <c r="D93" s="2" t="s">
        <v>1555</v>
      </c>
      <c r="E93" s="2" t="s">
        <v>35</v>
      </c>
      <c r="F93" s="4">
        <v>46093.0</v>
      </c>
      <c r="G93" s="87">
        <v>0.7916666666666666</v>
      </c>
      <c r="I93" s="2" t="s">
        <v>43</v>
      </c>
      <c r="U93" s="92"/>
    </row>
    <row r="94">
      <c r="A94" s="2" t="str">
        <f t="shared" si="7"/>
        <v>20260314-26VU</v>
      </c>
      <c r="B94" s="2" t="s">
        <v>1556</v>
      </c>
      <c r="C94" s="55" t="s">
        <v>1530</v>
      </c>
      <c r="D94" s="2" t="s">
        <v>1557</v>
      </c>
      <c r="E94" s="2" t="s">
        <v>41</v>
      </c>
      <c r="F94" s="4">
        <v>46095.0</v>
      </c>
      <c r="G94" s="87">
        <v>0.375</v>
      </c>
      <c r="I94" s="2" t="s">
        <v>43</v>
      </c>
      <c r="U94" s="92"/>
    </row>
    <row r="95">
      <c r="A95" s="2" t="str">
        <f t="shared" si="7"/>
        <v>20260318-18GI</v>
      </c>
      <c r="B95" s="2" t="s">
        <v>1558</v>
      </c>
      <c r="C95" s="55" t="s">
        <v>1559</v>
      </c>
      <c r="D95" s="2" t="s">
        <v>1421</v>
      </c>
      <c r="E95" s="2" t="s">
        <v>35</v>
      </c>
      <c r="F95" s="4">
        <v>46099.0</v>
      </c>
      <c r="G95" s="87">
        <v>0.7916666666666666</v>
      </c>
      <c r="I95" s="2" t="s">
        <v>43</v>
      </c>
      <c r="U95" s="92"/>
    </row>
    <row r="96">
      <c r="A96" s="2" t="str">
        <f t="shared" si="7"/>
        <v>20260318-YVE</v>
      </c>
      <c r="B96" s="2" t="s">
        <v>1560</v>
      </c>
      <c r="C96" s="104" t="s">
        <v>1561</v>
      </c>
      <c r="D96" s="2" t="s">
        <v>1421</v>
      </c>
      <c r="E96" s="2" t="s">
        <v>35</v>
      </c>
      <c r="F96" s="4">
        <v>46099.0</v>
      </c>
      <c r="G96" s="87">
        <v>0.7708333333333334</v>
      </c>
      <c r="I96" s="2" t="s">
        <v>43</v>
      </c>
      <c r="U96" s="92"/>
    </row>
    <row r="97">
      <c r="A97" s="2" t="str">
        <f t="shared" si="7"/>
        <v>20260319-1707</v>
      </c>
      <c r="B97" s="2" t="s">
        <v>1563</v>
      </c>
      <c r="C97" s="55" t="s">
        <v>1564</v>
      </c>
      <c r="D97" s="2" t="s">
        <v>1421</v>
      </c>
      <c r="E97" s="2" t="s">
        <v>41</v>
      </c>
      <c r="F97" s="4">
        <v>46100.0</v>
      </c>
      <c r="G97" s="87">
        <v>0.7708333333333334</v>
      </c>
      <c r="I97" s="2" t="s">
        <v>43</v>
      </c>
      <c r="U97" s="92"/>
    </row>
    <row r="98">
      <c r="A98" s="2" t="str">
        <f t="shared" si="7"/>
        <v>20260328-3XVX</v>
      </c>
      <c r="B98" s="2" t="s">
        <v>1565</v>
      </c>
      <c r="C98" s="55" t="s">
        <v>1566</v>
      </c>
      <c r="D98" s="2" t="s">
        <v>1567</v>
      </c>
      <c r="E98" s="2" t="s">
        <v>41</v>
      </c>
      <c r="F98" s="4">
        <v>46109.0</v>
      </c>
      <c r="G98" s="87">
        <v>0.40625</v>
      </c>
      <c r="I98" s="2" t="s">
        <v>43</v>
      </c>
      <c r="U98" s="92"/>
    </row>
    <row r="99">
      <c r="A99" s="2" t="str">
        <f t="shared" si="7"/>
        <v>20260329-2NCQ</v>
      </c>
      <c r="B99" s="2" t="s">
        <v>1568</v>
      </c>
      <c r="C99" s="55"/>
      <c r="D99" s="2" t="s">
        <v>1569</v>
      </c>
      <c r="E99" s="2" t="s">
        <v>56</v>
      </c>
      <c r="F99" s="4">
        <v>46110.0</v>
      </c>
      <c r="G99" s="87">
        <v>0.6770833333333334</v>
      </c>
      <c r="H99" s="10">
        <v>46109.55810472222</v>
      </c>
      <c r="U99" s="92"/>
    </row>
    <row r="100">
      <c r="A100" s="2" t="str">
        <f t="shared" si="7"/>
        <v>20260331-21Y3</v>
      </c>
      <c r="B100" s="2" t="s">
        <v>1570</v>
      </c>
      <c r="C100" s="55" t="s">
        <v>1571</v>
      </c>
      <c r="D100" s="2" t="s">
        <v>1572</v>
      </c>
      <c r="E100" s="2" t="s">
        <v>41</v>
      </c>
      <c r="F100" s="4">
        <v>46112.0</v>
      </c>
      <c r="G100" s="87">
        <v>0.7708333333333334</v>
      </c>
      <c r="I100" s="2" t="s">
        <v>43</v>
      </c>
      <c r="U100" s="92"/>
    </row>
    <row r="101">
      <c r="A101" s="2" t="str">
        <f t="shared" si="7"/>
        <v>20260331-2GU2</v>
      </c>
      <c r="B101" s="2" t="s">
        <v>1573</v>
      </c>
      <c r="C101" s="55" t="s">
        <v>1574</v>
      </c>
      <c r="D101" s="2" t="s">
        <v>1575</v>
      </c>
      <c r="E101" s="2" t="s">
        <v>41</v>
      </c>
      <c r="F101" s="4">
        <v>46112.0</v>
      </c>
      <c r="G101" s="87">
        <v>0.7708333333333334</v>
      </c>
      <c r="I101" s="2" t="s">
        <v>43</v>
      </c>
      <c r="U101" s="92"/>
    </row>
    <row r="102">
      <c r="A102" s="2" t="str">
        <f t="shared" si="7"/>
        <v>20260331-12HC</v>
      </c>
      <c r="B102" s="2" t="s">
        <v>1576</v>
      </c>
      <c r="C102" s="55" t="s">
        <v>1577</v>
      </c>
      <c r="D102" s="2" t="s">
        <v>1421</v>
      </c>
      <c r="E102" s="2" t="s">
        <v>41</v>
      </c>
      <c r="F102" s="4">
        <v>46112.0</v>
      </c>
      <c r="G102" s="87">
        <v>0.8020833333333334</v>
      </c>
      <c r="H102" s="7">
        <v>46109.0</v>
      </c>
      <c r="I102" s="2" t="s">
        <v>43</v>
      </c>
      <c r="U102" s="92"/>
    </row>
    <row r="103">
      <c r="A103" s="2" t="str">
        <f t="shared" si="7"/>
        <v>20260331-1QEJ</v>
      </c>
      <c r="B103" s="2" t="s">
        <v>1583</v>
      </c>
      <c r="C103" s="55" t="s">
        <v>84</v>
      </c>
      <c r="D103" s="2" t="s">
        <v>1586</v>
      </c>
      <c r="E103" s="2" t="s">
        <v>1587</v>
      </c>
      <c r="F103" s="4">
        <v>46112.0</v>
      </c>
      <c r="G103" s="87">
        <v>0.8229166666666666</v>
      </c>
      <c r="H103" s="10">
        <v>46111.98458855324</v>
      </c>
      <c r="I103" s="2" t="s">
        <v>43</v>
      </c>
      <c r="U103" s="92"/>
    </row>
    <row r="104">
      <c r="A104" s="2" t="str">
        <f t="shared" si="7"/>
        <v>20260401-204I</v>
      </c>
      <c r="B104" s="2" t="s">
        <v>1591</v>
      </c>
      <c r="C104" s="55" t="s">
        <v>1592</v>
      </c>
      <c r="D104" s="2" t="s">
        <v>1593</v>
      </c>
      <c r="E104" s="2" t="s">
        <v>56</v>
      </c>
      <c r="F104" s="4">
        <v>46113.0</v>
      </c>
      <c r="G104" s="87">
        <v>0.7708333333333334</v>
      </c>
      <c r="I104" s="2" t="s">
        <v>43</v>
      </c>
      <c r="U104" s="92"/>
    </row>
    <row r="105">
      <c r="A105" s="2" t="str">
        <f t="shared" si="7"/>
        <v>20260401-28BL</v>
      </c>
      <c r="B105" s="2" t="s">
        <v>1595</v>
      </c>
      <c r="C105" s="107" t="s">
        <v>1596</v>
      </c>
      <c r="D105" s="2" t="s">
        <v>1597</v>
      </c>
      <c r="E105" s="2" t="s">
        <v>56</v>
      </c>
      <c r="F105" s="4">
        <v>46113.0</v>
      </c>
      <c r="G105" s="87">
        <v>0.7916666666666666</v>
      </c>
      <c r="I105" s="2" t="s">
        <v>43</v>
      </c>
      <c r="U105" s="92"/>
    </row>
    <row r="106">
      <c r="A106" s="2" t="str">
        <f t="shared" si="7"/>
        <v>20260401-1KJK</v>
      </c>
      <c r="B106" s="2" t="s">
        <v>1598</v>
      </c>
      <c r="C106" s="55" t="s">
        <v>1599</v>
      </c>
      <c r="D106" s="2" t="s">
        <v>1600</v>
      </c>
      <c r="E106" s="2" t="s">
        <v>35</v>
      </c>
      <c r="F106" s="4">
        <v>46113.0</v>
      </c>
      <c r="G106" s="87">
        <v>0.8229166666666666</v>
      </c>
      <c r="H106" s="7">
        <v>46112.0</v>
      </c>
      <c r="I106" s="2" t="s">
        <v>43</v>
      </c>
      <c r="U106" s="92"/>
    </row>
    <row r="107">
      <c r="A107" s="2" t="str">
        <f t="shared" si="7"/>
        <v>20260403-5U8K</v>
      </c>
      <c r="B107" s="2" t="s">
        <v>1601</v>
      </c>
      <c r="C107" s="55" t="s">
        <v>274</v>
      </c>
      <c r="D107" s="2" t="s">
        <v>1602</v>
      </c>
      <c r="E107" s="2" t="s">
        <v>41</v>
      </c>
      <c r="F107" s="4">
        <v>46115.0</v>
      </c>
      <c r="G107" s="87">
        <v>0.4583333333333333</v>
      </c>
      <c r="I107" s="2" t="s">
        <v>43</v>
      </c>
      <c r="U107" s="92"/>
    </row>
    <row r="108">
      <c r="A108" s="2" t="str">
        <f t="shared" si="7"/>
        <v>20260408-2PEG</v>
      </c>
      <c r="B108" s="2" t="s">
        <v>1603</v>
      </c>
      <c r="C108" s="55"/>
      <c r="D108" s="2" t="s">
        <v>1604</v>
      </c>
      <c r="E108" s="2" t="s">
        <v>56</v>
      </c>
      <c r="F108" s="4">
        <v>46120.0</v>
      </c>
      <c r="G108" s="87">
        <v>0.7708333333333334</v>
      </c>
      <c r="H108" s="10">
        <v>46118.66816447917</v>
      </c>
      <c r="I108" s="2" t="s">
        <v>43</v>
      </c>
      <c r="U108" s="92"/>
    </row>
    <row r="109">
      <c r="A109" s="2" t="str">
        <f t="shared" si="7"/>
        <v>20260409-2IBH</v>
      </c>
      <c r="B109" s="2" t="s">
        <v>1606</v>
      </c>
      <c r="C109" s="55" t="s">
        <v>1356</v>
      </c>
      <c r="D109" s="2" t="s">
        <v>1608</v>
      </c>
      <c r="E109" s="2" t="s">
        <v>35</v>
      </c>
      <c r="F109" s="4">
        <v>46121.0</v>
      </c>
      <c r="G109" s="87">
        <v>0.7708333333333334</v>
      </c>
      <c r="H109" s="7">
        <v>46120.0</v>
      </c>
      <c r="I109" s="2" t="s">
        <v>43</v>
      </c>
      <c r="U109" s="92"/>
    </row>
    <row r="110">
      <c r="A110" s="2" t="str">
        <f t="shared" si="7"/>
        <v>20260414-19XX</v>
      </c>
      <c r="B110" s="2" t="s">
        <v>1610</v>
      </c>
      <c r="C110" s="55" t="s">
        <v>1611</v>
      </c>
      <c r="D110" s="2" t="s">
        <v>1612</v>
      </c>
      <c r="E110" s="2" t="s">
        <v>41</v>
      </c>
      <c r="F110" s="4">
        <v>46126.0</v>
      </c>
      <c r="G110" s="87">
        <v>0.7708333333333334</v>
      </c>
      <c r="H110" s="7">
        <v>46120.0</v>
      </c>
      <c r="I110" s="2" t="s">
        <v>43</v>
      </c>
      <c r="U110" s="92"/>
    </row>
    <row r="111">
      <c r="A111" s="2" t="str">
        <f t="shared" si="7"/>
        <v>20260414-1D83</v>
      </c>
      <c r="B111" s="2" t="s">
        <v>1615</v>
      </c>
      <c r="C111" s="55" t="s">
        <v>1616</v>
      </c>
      <c r="D111" s="2" t="s">
        <v>1421</v>
      </c>
      <c r="E111" s="2" t="s">
        <v>41</v>
      </c>
      <c r="F111" s="4">
        <v>46126.0</v>
      </c>
      <c r="G111" s="87">
        <v>0.8020833333333334</v>
      </c>
      <c r="H111" s="7">
        <v>46125.0</v>
      </c>
      <c r="I111" s="2" t="s">
        <v>43</v>
      </c>
      <c r="U111" s="92"/>
    </row>
    <row r="112">
      <c r="A112" s="2" t="str">
        <f t="shared" si="7"/>
        <v>20260415-2HKJ</v>
      </c>
      <c r="B112" s="2" t="s">
        <v>49</v>
      </c>
      <c r="C112" s="55" t="s">
        <v>1619</v>
      </c>
      <c r="D112" s="2" t="s">
        <v>1620</v>
      </c>
      <c r="E112" s="2" t="s">
        <v>35</v>
      </c>
      <c r="F112" s="4">
        <v>46127.0</v>
      </c>
      <c r="I112" s="2" t="s">
        <v>43</v>
      </c>
      <c r="U112" s="92"/>
    </row>
    <row r="113">
      <c r="A113" s="2" t="str">
        <f t="shared" si="7"/>
        <v>20260419-FNY</v>
      </c>
      <c r="B113" s="2" t="s">
        <v>1395</v>
      </c>
      <c r="C113" s="50"/>
      <c r="D113" s="2" t="s">
        <v>1421</v>
      </c>
      <c r="E113" s="2" t="s">
        <v>35</v>
      </c>
      <c r="F113" s="4">
        <v>46131.0</v>
      </c>
      <c r="G113" s="87">
        <v>0.7083333333333334</v>
      </c>
      <c r="H113" s="7">
        <v>46125.0</v>
      </c>
      <c r="U113" s="92"/>
    </row>
    <row r="114">
      <c r="A114" s="2" t="str">
        <f t="shared" si="7"/>
        <v>20260419-1T1C</v>
      </c>
      <c r="B114" s="2" t="s">
        <v>115</v>
      </c>
      <c r="C114" s="55" t="s">
        <v>116</v>
      </c>
      <c r="D114" s="2" t="s">
        <v>1623</v>
      </c>
      <c r="E114" s="2" t="s">
        <v>41</v>
      </c>
      <c r="F114" s="4">
        <v>46131.0</v>
      </c>
      <c r="G114" s="87">
        <v>0.5520833333333334</v>
      </c>
      <c r="I114" s="2" t="s">
        <v>43</v>
      </c>
      <c r="U114" s="92"/>
    </row>
    <row r="115">
      <c r="A115" s="2" t="str">
        <f t="shared" si="7"/>
        <v>20260421-1KD5</v>
      </c>
      <c r="B115" s="2" t="s">
        <v>1625</v>
      </c>
      <c r="C115" s="55" t="s">
        <v>1626</v>
      </c>
      <c r="D115" s="2" t="s">
        <v>1627</v>
      </c>
      <c r="E115" s="2" t="s">
        <v>41</v>
      </c>
      <c r="F115" s="4">
        <v>46133.0</v>
      </c>
      <c r="G115" s="87">
        <v>0.7916666666666666</v>
      </c>
      <c r="I115" s="2" t="s">
        <v>43</v>
      </c>
      <c r="U115" s="92"/>
    </row>
    <row r="116">
      <c r="A116" s="2" t="str">
        <f t="shared" si="7"/>
        <v>20260421-2PL9</v>
      </c>
      <c r="B116" s="2" t="s">
        <v>148</v>
      </c>
      <c r="C116" s="55" t="s">
        <v>1629</v>
      </c>
      <c r="D116" s="2" t="s">
        <v>1630</v>
      </c>
      <c r="E116" s="2" t="s">
        <v>41</v>
      </c>
      <c r="F116" s="4">
        <v>46133.0</v>
      </c>
      <c r="G116" s="87">
        <v>0.7604166666666666</v>
      </c>
      <c r="I116" s="2" t="s">
        <v>43</v>
      </c>
      <c r="U116" s="92"/>
    </row>
    <row r="117">
      <c r="A117" s="2" t="str">
        <f t="shared" si="7"/>
        <v>20260421-1MP0</v>
      </c>
      <c r="B117" s="2" t="s">
        <v>1633</v>
      </c>
      <c r="C117" s="55" t="s">
        <v>551</v>
      </c>
      <c r="D117" s="2" t="s">
        <v>1634</v>
      </c>
      <c r="E117" s="2" t="s">
        <v>41</v>
      </c>
      <c r="F117" s="4">
        <v>46133.0</v>
      </c>
      <c r="G117" s="87">
        <v>0.8125</v>
      </c>
      <c r="I117" s="2" t="s">
        <v>43</v>
      </c>
      <c r="U117" s="92"/>
    </row>
    <row r="118">
      <c r="A118" s="2" t="str">
        <f t="shared" si="7"/>
        <v>20260425-102E</v>
      </c>
      <c r="B118" s="2" t="s">
        <v>1635</v>
      </c>
      <c r="C118" s="55" t="s">
        <v>274</v>
      </c>
      <c r="D118" s="2" t="s">
        <v>1421</v>
      </c>
      <c r="E118" s="2" t="s">
        <v>41</v>
      </c>
      <c r="F118" s="4">
        <v>46137.0</v>
      </c>
      <c r="G118" s="87">
        <v>0.4375</v>
      </c>
      <c r="I118" s="2" t="s">
        <v>43</v>
      </c>
      <c r="U118" s="92"/>
    </row>
    <row r="119">
      <c r="A119" s="2" t="str">
        <f t="shared" si="7"/>
        <v>20260428-29R0</v>
      </c>
      <c r="B119" s="2" t="s">
        <v>248</v>
      </c>
      <c r="C119" s="55">
        <v>5.702092706E9</v>
      </c>
      <c r="D119" s="2" t="s">
        <v>1637</v>
      </c>
      <c r="E119" s="2" t="s">
        <v>1587</v>
      </c>
      <c r="F119" s="4">
        <v>46140.0</v>
      </c>
      <c r="G119" s="87">
        <v>0.7604166666666666</v>
      </c>
      <c r="H119" s="10">
        <v>46136.77798976852</v>
      </c>
      <c r="I119" s="2" t="s">
        <v>43</v>
      </c>
      <c r="U119" s="92"/>
    </row>
    <row r="120">
      <c r="A120" s="2" t="str">
        <f t="shared" si="7"/>
        <v>20260509-IC0</v>
      </c>
      <c r="B120" s="2" t="s">
        <v>1570</v>
      </c>
      <c r="C120" s="50"/>
      <c r="D120" s="2" t="s">
        <v>1639</v>
      </c>
      <c r="E120" s="2" t="s">
        <v>41</v>
      </c>
      <c r="F120" s="4">
        <v>46151.0</v>
      </c>
      <c r="G120" s="87">
        <v>0.4479166666666667</v>
      </c>
      <c r="U120" s="92"/>
    </row>
    <row r="121">
      <c r="A121" s="2" t="str">
        <f t="shared" si="7"/>
        <v>20260520-1642</v>
      </c>
      <c r="B121" s="2" t="s">
        <v>1641</v>
      </c>
      <c r="C121" s="55" t="s">
        <v>1642</v>
      </c>
      <c r="D121" s="2" t="s">
        <v>1421</v>
      </c>
      <c r="E121" s="2" t="s">
        <v>35</v>
      </c>
      <c r="F121" s="4">
        <v>46162.0</v>
      </c>
      <c r="G121" s="87">
        <v>0.8125</v>
      </c>
      <c r="I121" s="2" t="s">
        <v>43</v>
      </c>
      <c r="U121" s="92"/>
    </row>
    <row r="122">
      <c r="A122" s="2" t="str">
        <f t="shared" si="7"/>
        <v>20260520-EEB</v>
      </c>
      <c r="B122" s="2" t="s">
        <v>1644</v>
      </c>
      <c r="C122" s="50"/>
      <c r="D122" s="2" t="s">
        <v>1421</v>
      </c>
      <c r="E122" s="2" t="s">
        <v>35</v>
      </c>
      <c r="F122" s="4">
        <v>46162.0</v>
      </c>
      <c r="G122" s="87">
        <v>0.78125</v>
      </c>
      <c r="I122" s="2" t="s">
        <v>43</v>
      </c>
      <c r="U122" s="92"/>
    </row>
    <row r="123">
      <c r="A123" s="2" t="str">
        <f t="shared" si="7"/>
        <v>20260521-1CY4</v>
      </c>
      <c r="B123" s="2" t="s">
        <v>410</v>
      </c>
      <c r="C123" s="50"/>
      <c r="D123" s="2" t="s">
        <v>1645</v>
      </c>
      <c r="E123" s="2" t="s">
        <v>41</v>
      </c>
      <c r="F123" s="4">
        <v>46163.0</v>
      </c>
      <c r="G123" s="87">
        <v>0.7916666666666666</v>
      </c>
      <c r="I123" s="2" t="s">
        <v>43</v>
      </c>
      <c r="U123" s="92"/>
    </row>
    <row r="124">
      <c r="A124" s="2" t="str">
        <f t="shared" si="7"/>
        <v>20260521-1F96</v>
      </c>
      <c r="B124" s="2" t="s">
        <v>1646</v>
      </c>
      <c r="C124" s="55" t="s">
        <v>1647</v>
      </c>
      <c r="D124" s="2" t="s">
        <v>1451</v>
      </c>
      <c r="E124" s="2" t="s">
        <v>41</v>
      </c>
      <c r="F124" s="4">
        <v>46163.0</v>
      </c>
      <c r="G124" s="87">
        <v>0.7604166666666666</v>
      </c>
      <c r="I124" s="2" t="s">
        <v>43</v>
      </c>
      <c r="U124" s="92"/>
    </row>
    <row r="125">
      <c r="A125" s="2" t="str">
        <f t="shared" si="7"/>
        <v>20260523-1OIH</v>
      </c>
      <c r="B125" s="2" t="s">
        <v>1649</v>
      </c>
      <c r="C125" s="50"/>
      <c r="D125" s="2" t="s">
        <v>1650</v>
      </c>
      <c r="E125" s="2" t="s">
        <v>41</v>
      </c>
      <c r="F125" s="4">
        <v>46165.0</v>
      </c>
      <c r="G125" s="87">
        <v>0.375</v>
      </c>
      <c r="I125" s="2" t="s">
        <v>43</v>
      </c>
      <c r="U125" s="92"/>
    </row>
    <row r="126">
      <c r="A126" s="2" t="str">
        <f t="shared" si="7"/>
        <v>20260527-215M</v>
      </c>
      <c r="B126" s="2" t="s">
        <v>452</v>
      </c>
      <c r="C126" s="55" t="s">
        <v>274</v>
      </c>
      <c r="D126" s="2" t="s">
        <v>1651</v>
      </c>
      <c r="E126" s="2" t="s">
        <v>35</v>
      </c>
      <c r="F126" s="4">
        <v>46169.0</v>
      </c>
      <c r="G126" s="87">
        <v>0.7708333333333334</v>
      </c>
      <c r="I126" s="2" t="s">
        <v>43</v>
      </c>
      <c r="U126" s="92"/>
    </row>
    <row r="127">
      <c r="A127" s="2" t="str">
        <f t="shared" si="7"/>
        <v>20260527-4UGJ</v>
      </c>
      <c r="B127" s="2" t="s">
        <v>520</v>
      </c>
      <c r="C127" s="55" t="s">
        <v>274</v>
      </c>
      <c r="D127" s="2" t="s">
        <v>1652</v>
      </c>
      <c r="E127" s="2" t="s">
        <v>35</v>
      </c>
      <c r="F127" s="4">
        <v>46169.0</v>
      </c>
      <c r="G127" s="87">
        <v>0.75</v>
      </c>
      <c r="I127" s="2" t="s">
        <v>43</v>
      </c>
      <c r="U127" s="92"/>
    </row>
    <row r="128">
      <c r="A128" s="2" t="str">
        <f t="shared" si="7"/>
        <v>20260529-2JH0</v>
      </c>
      <c r="B128" s="2" t="s">
        <v>1653</v>
      </c>
      <c r="C128" s="55" t="s">
        <v>1654</v>
      </c>
      <c r="D128" s="2" t="s">
        <v>1531</v>
      </c>
      <c r="E128" s="2" t="s">
        <v>35</v>
      </c>
      <c r="F128" s="4">
        <v>46171.0</v>
      </c>
      <c r="G128" s="87">
        <v>0.6875</v>
      </c>
      <c r="I128" s="2" t="s">
        <v>43</v>
      </c>
      <c r="U128" s="92"/>
    </row>
    <row r="129">
      <c r="A129" s="2" t="str">
        <f t="shared" si="7"/>
        <v>20260529-1NB4</v>
      </c>
      <c r="B129" s="2" t="s">
        <v>142</v>
      </c>
      <c r="C129" s="50"/>
      <c r="D129" s="2" t="s">
        <v>146</v>
      </c>
      <c r="E129" s="2" t="s">
        <v>35</v>
      </c>
      <c r="F129" s="4">
        <v>46171.0</v>
      </c>
      <c r="G129" s="87">
        <v>0.6666666666666666</v>
      </c>
      <c r="I129" s="2" t="s">
        <v>43</v>
      </c>
      <c r="U129" s="92"/>
    </row>
    <row r="130">
      <c r="A130" s="2" t="str">
        <f t="shared" si="7"/>
        <v>20260530-185U</v>
      </c>
      <c r="B130" s="2" t="s">
        <v>1656</v>
      </c>
      <c r="C130" s="55" t="s">
        <v>1657</v>
      </c>
      <c r="D130" s="2" t="s">
        <v>1421</v>
      </c>
      <c r="E130" s="2" t="s">
        <v>41</v>
      </c>
      <c r="F130" s="4">
        <v>46172.0</v>
      </c>
      <c r="G130" s="87">
        <v>0.4166666666666667</v>
      </c>
      <c r="I130" s="2" t="s">
        <v>43</v>
      </c>
      <c r="U130" s="92"/>
    </row>
    <row r="131">
      <c r="A131" s="2" t="str">
        <f t="shared" si="7"/>
        <v>20260601-3D8R</v>
      </c>
      <c r="B131" s="2" t="s">
        <v>437</v>
      </c>
      <c r="C131" s="55" t="s">
        <v>1658</v>
      </c>
      <c r="D131" s="2" t="s">
        <v>1660</v>
      </c>
      <c r="E131" s="2" t="s">
        <v>41</v>
      </c>
      <c r="F131" s="4">
        <v>46174.0</v>
      </c>
      <c r="G131" s="87">
        <v>0.7916666666666666</v>
      </c>
      <c r="I131" s="2" t="s">
        <v>43</v>
      </c>
      <c r="U131" s="92"/>
    </row>
    <row r="132">
      <c r="A132" s="2" t="str">
        <f t="shared" si="7"/>
        <v>20260610-1LPH</v>
      </c>
      <c r="B132" s="2" t="s">
        <v>1661</v>
      </c>
      <c r="C132" s="55">
        <v>4.092371477E9</v>
      </c>
      <c r="D132" s="2" t="s">
        <v>1662</v>
      </c>
      <c r="E132" s="2" t="s">
        <v>56</v>
      </c>
      <c r="F132" s="4">
        <v>46183.0</v>
      </c>
      <c r="G132" s="87">
        <v>0.75</v>
      </c>
      <c r="H132" s="10">
        <v>46181.75799957176</v>
      </c>
      <c r="I132" s="2" t="s">
        <v>43</v>
      </c>
      <c r="U132" s="92"/>
    </row>
    <row r="133">
      <c r="A133" s="2" t="str">
        <f t="shared" si="7"/>
        <v>20260611-33GE</v>
      </c>
      <c r="B133" s="2" t="s">
        <v>1663</v>
      </c>
      <c r="C133" s="55" t="s">
        <v>1664</v>
      </c>
      <c r="D133" s="2" t="s">
        <v>1665</v>
      </c>
      <c r="E133" s="2" t="s">
        <v>41</v>
      </c>
      <c r="F133" s="4">
        <v>46184.0</v>
      </c>
      <c r="G133" s="87">
        <v>0.7708333333333334</v>
      </c>
      <c r="I133" s="2" t="s">
        <v>43</v>
      </c>
      <c r="U133" s="92"/>
    </row>
    <row r="134">
      <c r="A134" s="2" t="str">
        <f t="shared" si="7"/>
        <v>20260613-3E06</v>
      </c>
      <c r="B134" s="2" t="s">
        <v>523</v>
      </c>
      <c r="C134" s="55" t="s">
        <v>1658</v>
      </c>
      <c r="D134" s="2" t="s">
        <v>1666</v>
      </c>
      <c r="E134" s="2" t="s">
        <v>41</v>
      </c>
      <c r="F134" s="4">
        <v>46186.0</v>
      </c>
      <c r="G134" s="87">
        <v>0.40625</v>
      </c>
      <c r="I134" s="2" t="s">
        <v>43</v>
      </c>
      <c r="U134" s="92"/>
    </row>
    <row r="135">
      <c r="A135" s="2" t="str">
        <f t="shared" si="7"/>
        <v>20260613-32H3</v>
      </c>
      <c r="B135" s="2" t="s">
        <v>523</v>
      </c>
      <c r="C135" s="55" t="s">
        <v>1658</v>
      </c>
      <c r="D135" s="2" t="s">
        <v>1667</v>
      </c>
      <c r="E135" s="2" t="s">
        <v>41</v>
      </c>
      <c r="F135" s="4">
        <v>46186.0</v>
      </c>
      <c r="G135" s="87">
        <v>0.4375</v>
      </c>
      <c r="I135" s="2" t="s">
        <v>43</v>
      </c>
      <c r="U135" s="92"/>
    </row>
    <row r="136">
      <c r="A136" s="2" t="str">
        <f t="shared" si="7"/>
        <v>20260613-239T</v>
      </c>
      <c r="B136" s="2" t="s">
        <v>868</v>
      </c>
      <c r="C136" s="55" t="s">
        <v>1668</v>
      </c>
      <c r="D136" s="2" t="s">
        <v>1669</v>
      </c>
      <c r="E136" s="2" t="s">
        <v>41</v>
      </c>
      <c r="F136" s="4">
        <v>46186.0</v>
      </c>
      <c r="G136" s="87">
        <v>0.375</v>
      </c>
      <c r="I136" s="2" t="s">
        <v>43</v>
      </c>
      <c r="U136" s="92"/>
    </row>
    <row r="137">
      <c r="A137" s="2" t="str">
        <f t="shared" si="7"/>
        <v>20260613-1Y11</v>
      </c>
      <c r="B137" s="2" t="s">
        <v>1671</v>
      </c>
      <c r="C137" s="55" t="s">
        <v>1672</v>
      </c>
      <c r="D137" s="2" t="s">
        <v>1673</v>
      </c>
      <c r="E137" s="2" t="s">
        <v>41</v>
      </c>
      <c r="F137" s="4">
        <v>46186.0</v>
      </c>
      <c r="G137" s="87">
        <v>0.5</v>
      </c>
      <c r="I137" s="2" t="s">
        <v>43</v>
      </c>
      <c r="U137" s="92"/>
    </row>
    <row r="138">
      <c r="A138" s="2" t="str">
        <f t="shared" si="7"/>
        <v>20260615-1O8L</v>
      </c>
      <c r="B138" s="2" t="s">
        <v>1641</v>
      </c>
      <c r="C138" s="55" t="s">
        <v>1642</v>
      </c>
      <c r="D138" s="2" t="s">
        <v>1674</v>
      </c>
      <c r="E138" s="2" t="s">
        <v>35</v>
      </c>
      <c r="F138" s="4">
        <v>46188.0</v>
      </c>
      <c r="G138" s="87">
        <v>0.7708333333333334</v>
      </c>
      <c r="I138" s="2" t="s">
        <v>43</v>
      </c>
      <c r="U138" s="92"/>
    </row>
    <row r="139">
      <c r="A139" s="2" t="str">
        <f t="shared" si="7"/>
        <v>20260620-16G2</v>
      </c>
      <c r="B139" s="2" t="s">
        <v>1385</v>
      </c>
      <c r="C139" s="55" t="s">
        <v>1675</v>
      </c>
      <c r="D139" s="2" t="s">
        <v>1421</v>
      </c>
      <c r="E139" s="2" t="s">
        <v>41</v>
      </c>
      <c r="F139" s="4">
        <v>46193.0</v>
      </c>
      <c r="G139" s="87">
        <v>0.3958333333333333</v>
      </c>
      <c r="I139" s="2" t="s">
        <v>43</v>
      </c>
      <c r="U139" s="92"/>
    </row>
    <row r="140">
      <c r="A140" s="2" t="str">
        <f t="shared" si="7"/>
        <v>20260622-1NF4</v>
      </c>
      <c r="B140" s="2" t="s">
        <v>1677</v>
      </c>
      <c r="C140" s="55" t="s">
        <v>1678</v>
      </c>
      <c r="D140" s="2" t="s">
        <v>1679</v>
      </c>
      <c r="E140" s="2" t="s">
        <v>41</v>
      </c>
      <c r="F140" s="4">
        <v>46195.0</v>
      </c>
      <c r="G140" s="87">
        <v>0.7708333333333334</v>
      </c>
      <c r="I140" s="2" t="s">
        <v>43</v>
      </c>
      <c r="U140" s="92"/>
    </row>
    <row r="141">
      <c r="A141" s="2" t="str">
        <f t="shared" si="7"/>
        <v>20260625-39TT</v>
      </c>
      <c r="B141" s="2" t="s">
        <v>137</v>
      </c>
      <c r="C141" s="55" t="s">
        <v>355</v>
      </c>
      <c r="D141" s="2" t="s">
        <v>1680</v>
      </c>
      <c r="E141" s="2" t="s">
        <v>41</v>
      </c>
      <c r="F141" s="4">
        <v>46198.0</v>
      </c>
      <c r="G141" s="87">
        <v>0.7916666666666666</v>
      </c>
      <c r="I141" s="2" t="s">
        <v>43</v>
      </c>
      <c r="U141" s="92"/>
    </row>
    <row r="142">
      <c r="A142" s="2" t="str">
        <f t="shared" si="7"/>
        <v>20260627-3STF</v>
      </c>
      <c r="B142" s="2" t="s">
        <v>1352</v>
      </c>
      <c r="C142" s="55" t="s">
        <v>1353</v>
      </c>
      <c r="D142" s="2" t="s">
        <v>1681</v>
      </c>
      <c r="E142" s="2" t="s">
        <v>41</v>
      </c>
      <c r="F142" s="4">
        <v>46200.0</v>
      </c>
      <c r="G142" s="87">
        <v>0.4166666666666667</v>
      </c>
      <c r="I142" s="2" t="s">
        <v>43</v>
      </c>
      <c r="U142" s="92"/>
    </row>
    <row r="143">
      <c r="A143" s="2" t="str">
        <f t="shared" si="7"/>
        <v>20260627-1O2M</v>
      </c>
      <c r="B143" s="2" t="s">
        <v>651</v>
      </c>
      <c r="C143" s="55" t="s">
        <v>1658</v>
      </c>
      <c r="D143" s="2" t="s">
        <v>1682</v>
      </c>
      <c r="E143" s="2" t="s">
        <v>41</v>
      </c>
      <c r="F143" s="4">
        <v>46200.0</v>
      </c>
      <c r="G143" s="87">
        <v>0.3854166666666667</v>
      </c>
      <c r="I143" s="2" t="s">
        <v>43</v>
      </c>
      <c r="U143" s="92"/>
    </row>
    <row r="144">
      <c r="A144" s="2" t="str">
        <f t="shared" si="7"/>
        <v>20260709-5A12</v>
      </c>
      <c r="B144" s="2" t="s">
        <v>368</v>
      </c>
      <c r="C144" s="55" t="s">
        <v>1428</v>
      </c>
      <c r="D144" s="2" t="s">
        <v>1683</v>
      </c>
      <c r="E144" s="2" t="s">
        <v>41</v>
      </c>
      <c r="F144" s="4">
        <v>46212.0</v>
      </c>
      <c r="G144" s="87">
        <v>0.7604166666666666</v>
      </c>
      <c r="I144" s="2" t="s">
        <v>43</v>
      </c>
      <c r="U144" s="92"/>
    </row>
    <row r="145">
      <c r="A145" s="2" t="str">
        <f t="shared" si="7"/>
        <v>20260709-39TT</v>
      </c>
      <c r="B145" s="2" t="s">
        <v>137</v>
      </c>
      <c r="C145" s="55" t="s">
        <v>355</v>
      </c>
      <c r="D145" s="2" t="s">
        <v>1680</v>
      </c>
      <c r="E145" s="2" t="s">
        <v>41</v>
      </c>
      <c r="F145" s="4">
        <v>46212.0</v>
      </c>
      <c r="G145" s="87">
        <v>0.7916666666666666</v>
      </c>
      <c r="I145" s="2" t="s">
        <v>43</v>
      </c>
      <c r="U145" s="92"/>
    </row>
    <row r="146">
      <c r="A146" s="2" t="str">
        <f t="shared" si="7"/>
        <v>20260720-1S0C</v>
      </c>
      <c r="B146" s="2" t="s">
        <v>1685</v>
      </c>
      <c r="C146" s="55" t="s">
        <v>274</v>
      </c>
      <c r="D146" s="2" t="s">
        <v>1686</v>
      </c>
      <c r="E146" s="2" t="s">
        <v>41</v>
      </c>
      <c r="F146" s="4">
        <v>46223.0</v>
      </c>
      <c r="G146" s="87">
        <v>0.7916666666666666</v>
      </c>
      <c r="I146" s="2" t="s">
        <v>43</v>
      </c>
      <c r="U146" s="92"/>
    </row>
    <row r="147">
      <c r="A147" s="2" t="str">
        <f t="shared" si="7"/>
        <v>20260725-399Q</v>
      </c>
      <c r="B147" s="2" t="s">
        <v>368</v>
      </c>
      <c r="C147" s="55" t="s">
        <v>1428</v>
      </c>
      <c r="D147" s="2" t="s">
        <v>1687</v>
      </c>
      <c r="E147" s="2" t="s">
        <v>41</v>
      </c>
      <c r="F147" s="4">
        <v>46228.0</v>
      </c>
      <c r="G147" s="87">
        <v>0.3854166666666667</v>
      </c>
      <c r="I147" s="2" t="s">
        <v>43</v>
      </c>
      <c r="U147" s="92"/>
    </row>
    <row r="148">
      <c r="A148" s="2" t="str">
        <f t="shared" si="7"/>
        <v>20260725-HHO</v>
      </c>
      <c r="B148" s="2" t="s">
        <v>1688</v>
      </c>
      <c r="C148" s="50"/>
      <c r="D148" s="2" t="s">
        <v>1689</v>
      </c>
      <c r="E148" s="2" t="s">
        <v>41</v>
      </c>
      <c r="F148" s="4">
        <v>46228.0</v>
      </c>
      <c r="G148" s="87">
        <v>0.4166666666666667</v>
      </c>
      <c r="I148" s="2" t="s">
        <v>43</v>
      </c>
      <c r="U148" s="92"/>
    </row>
    <row r="149">
      <c r="A149" s="2" t="str">
        <f t="shared" si="7"/>
        <v>20260725-8TX</v>
      </c>
      <c r="B149" s="2" t="s">
        <v>1690</v>
      </c>
      <c r="C149" s="50"/>
      <c r="D149" s="2" t="s">
        <v>1421</v>
      </c>
      <c r="E149" s="2" t="s">
        <v>41</v>
      </c>
      <c r="F149" s="4">
        <v>46228.0</v>
      </c>
      <c r="G149" s="87">
        <v>0.4791666666666667</v>
      </c>
      <c r="U149" s="92"/>
    </row>
    <row r="150">
      <c r="A150" s="2" t="str">
        <f t="shared" si="7"/>
        <v>20260803-26BH</v>
      </c>
      <c r="B150" s="2" t="s">
        <v>1691</v>
      </c>
      <c r="C150" s="50"/>
      <c r="D150" s="2" t="s">
        <v>1692</v>
      </c>
      <c r="E150" s="2" t="s">
        <v>41</v>
      </c>
      <c r="F150" s="4">
        <v>46237.0</v>
      </c>
      <c r="G150" s="87">
        <v>0.75</v>
      </c>
      <c r="I150" s="2" t="s">
        <v>1693</v>
      </c>
      <c r="U150" s="92"/>
    </row>
    <row r="151">
      <c r="A151" s="2" t="str">
        <f t="shared" si="7"/>
        <v>20260803-2KG4</v>
      </c>
      <c r="B151" s="2" t="s">
        <v>937</v>
      </c>
      <c r="C151" s="55" t="s">
        <v>1694</v>
      </c>
      <c r="D151" s="2" t="s">
        <v>1695</v>
      </c>
      <c r="E151" s="2" t="s">
        <v>41</v>
      </c>
      <c r="F151" s="4">
        <v>46237.0</v>
      </c>
      <c r="G151" s="87">
        <v>0.8333333333333334</v>
      </c>
      <c r="I151" s="2" t="s">
        <v>43</v>
      </c>
      <c r="U151" s="92"/>
    </row>
    <row r="152">
      <c r="A152" s="2" t="str">
        <f t="shared" si="7"/>
        <v>20260803-ZXQ</v>
      </c>
      <c r="B152" s="2" t="s">
        <v>1697</v>
      </c>
      <c r="C152" s="55" t="s">
        <v>274</v>
      </c>
      <c r="D152" s="2" t="s">
        <v>1421</v>
      </c>
      <c r="E152" s="2" t="s">
        <v>41</v>
      </c>
      <c r="F152" s="4">
        <v>46237.0</v>
      </c>
      <c r="G152" s="87">
        <v>0.8020833333333334</v>
      </c>
      <c r="I152" s="2" t="s">
        <v>43</v>
      </c>
      <c r="U152" s="92"/>
    </row>
    <row r="153">
      <c r="A153" s="2" t="str">
        <f t="shared" si="7"/>
        <v>20260805-114V</v>
      </c>
      <c r="B153" s="2" t="s">
        <v>1237</v>
      </c>
      <c r="C153" s="50"/>
      <c r="D153" s="2" t="s">
        <v>1698</v>
      </c>
      <c r="E153" s="2" t="s">
        <v>35</v>
      </c>
      <c r="F153" s="4">
        <v>46239.0</v>
      </c>
      <c r="G153" s="87">
        <v>0.7604166666666666</v>
      </c>
      <c r="I153" s="2" t="s">
        <v>43</v>
      </c>
      <c r="U153" s="92"/>
    </row>
    <row r="154">
      <c r="A154" s="2"/>
      <c r="B154" s="2" t="s">
        <v>1696</v>
      </c>
      <c r="C154" s="55"/>
      <c r="D154" s="2" t="s">
        <v>1699</v>
      </c>
      <c r="E154" s="2" t="s">
        <v>41</v>
      </c>
      <c r="F154" s="4">
        <v>46244.0</v>
      </c>
      <c r="G154" s="87">
        <v>0.7604166666666666</v>
      </c>
      <c r="U154" s="92"/>
    </row>
    <row r="155">
      <c r="A155" s="2" t="str">
        <f t="shared" ref="A155:A173" si="8">if(isblank(B155)=true,"", TEXT(F155,"YYYYMMDD")&amp;"-"&amp;UPPER(BASE(MOD(SUMPRODUCT(CODE(MID(UPPER(B155&amp;C155&amp;D155&amp;E155),ROW(INDIRECT("1:"&amp;LEN(B155&amp;C155&amp;D155&amp;E155))),1))*ROW(INDIRECT("1:"&amp;LEN(B155&amp;C155&amp;D155&amp;E155)))),1679616),36)))</f>
        <v>20260811-1Q91</v>
      </c>
      <c r="B155" s="2" t="s">
        <v>1702</v>
      </c>
      <c r="C155" s="55" t="s">
        <v>1703</v>
      </c>
      <c r="D155" s="2" t="s">
        <v>1704</v>
      </c>
      <c r="E155" s="2" t="s">
        <v>35</v>
      </c>
      <c r="F155" s="4">
        <v>46245.0</v>
      </c>
      <c r="G155" s="87">
        <v>0.7708333333333334</v>
      </c>
      <c r="I155" s="2" t="s">
        <v>43</v>
      </c>
      <c r="U155" s="92"/>
    </row>
    <row r="156">
      <c r="A156" s="2" t="str">
        <f t="shared" si="8"/>
        <v>20260812-2RDS</v>
      </c>
      <c r="B156" s="2" t="s">
        <v>1705</v>
      </c>
      <c r="C156" s="50"/>
      <c r="D156" s="2" t="s">
        <v>1706</v>
      </c>
      <c r="E156" s="2" t="s">
        <v>35</v>
      </c>
      <c r="F156" s="4">
        <v>46246.0</v>
      </c>
      <c r="G156" s="87">
        <v>0.7604166666666666</v>
      </c>
      <c r="I156" s="2" t="s">
        <v>43</v>
      </c>
      <c r="U156" s="92"/>
    </row>
    <row r="157">
      <c r="A157" s="2" t="str">
        <f t="shared" si="8"/>
        <v>20260812-OLA</v>
      </c>
      <c r="B157" s="2" t="s">
        <v>1708</v>
      </c>
      <c r="C157" s="50"/>
      <c r="D157" s="2" t="s">
        <v>1709</v>
      </c>
      <c r="E157" s="2" t="s">
        <v>35</v>
      </c>
      <c r="F157" s="4">
        <v>46246.0</v>
      </c>
      <c r="G157" s="87">
        <v>0.7916666666666666</v>
      </c>
      <c r="I157" s="2" t="s">
        <v>43</v>
      </c>
      <c r="U157" s="92"/>
    </row>
    <row r="158">
      <c r="A158" s="2" t="str">
        <f t="shared" si="8"/>
        <v>20260812-D6A</v>
      </c>
      <c r="B158" s="2" t="s">
        <v>1253</v>
      </c>
      <c r="C158" s="50"/>
      <c r="D158" s="2" t="s">
        <v>1710</v>
      </c>
      <c r="E158" s="2" t="s">
        <v>35</v>
      </c>
      <c r="F158" s="4">
        <v>46246.0</v>
      </c>
      <c r="G158" s="87">
        <v>0.7916666666666666</v>
      </c>
      <c r="I158" s="2" t="s">
        <v>43</v>
      </c>
      <c r="U158" s="92"/>
    </row>
    <row r="159">
      <c r="A159" s="2" t="str">
        <f t="shared" si="8"/>
        <v>20260812-SD1</v>
      </c>
      <c r="B159" s="2" t="s">
        <v>1711</v>
      </c>
      <c r="C159" s="55" t="s">
        <v>84</v>
      </c>
      <c r="D159" s="2" t="s">
        <v>1712</v>
      </c>
      <c r="E159" s="2" t="s">
        <v>35</v>
      </c>
      <c r="F159" s="4">
        <v>46246.0</v>
      </c>
      <c r="G159" s="87">
        <v>0.7604166666666666</v>
      </c>
      <c r="H159" s="10">
        <v>46244.92367747685</v>
      </c>
      <c r="I159" s="2" t="s">
        <v>43</v>
      </c>
      <c r="U159" s="92"/>
    </row>
    <row r="160">
      <c r="A160" s="2" t="str">
        <f t="shared" si="8"/>
        <v>20260815-16T6</v>
      </c>
      <c r="B160" s="2" t="s">
        <v>1713</v>
      </c>
      <c r="C160" s="50"/>
      <c r="D160" s="2" t="s">
        <v>1714</v>
      </c>
      <c r="E160" s="2" t="s">
        <v>41</v>
      </c>
      <c r="F160" s="4">
        <v>46249.0</v>
      </c>
      <c r="G160" s="87">
        <v>0.4166666666666667</v>
      </c>
      <c r="H160" s="7">
        <v>46245.0</v>
      </c>
      <c r="I160" s="2" t="s">
        <v>43</v>
      </c>
      <c r="U160" s="92"/>
    </row>
    <row r="161">
      <c r="A161" s="2" t="str">
        <f t="shared" si="8"/>
        <v>20260819-1IC8</v>
      </c>
      <c r="B161" s="2" t="s">
        <v>1715</v>
      </c>
      <c r="C161" s="55" t="s">
        <v>1716</v>
      </c>
      <c r="D161" s="2" t="s">
        <v>1717</v>
      </c>
      <c r="E161" s="2" t="s">
        <v>35</v>
      </c>
      <c r="F161" s="4">
        <v>46253.0</v>
      </c>
      <c r="G161" s="87">
        <v>0.7916666666666666</v>
      </c>
      <c r="H161" s="7">
        <v>46249.0</v>
      </c>
      <c r="I161" s="2" t="s">
        <v>43</v>
      </c>
      <c r="U161" s="92"/>
    </row>
    <row r="162">
      <c r="A162" s="2" t="str">
        <f t="shared" si="8"/>
        <v>20260819-10TI</v>
      </c>
      <c r="B162" s="2" t="s">
        <v>1274</v>
      </c>
      <c r="C162" s="50"/>
      <c r="D162" s="2" t="s">
        <v>1718</v>
      </c>
      <c r="E162" s="2" t="s">
        <v>35</v>
      </c>
      <c r="F162" s="4">
        <v>46253.0</v>
      </c>
      <c r="G162" s="87">
        <v>0.7708333333333334</v>
      </c>
      <c r="I162" s="2" t="s">
        <v>43</v>
      </c>
      <c r="U162" s="92"/>
    </row>
    <row r="163">
      <c r="A163" s="2" t="str">
        <f t="shared" si="8"/>
        <v>20260820-2UQZ</v>
      </c>
      <c r="B163" s="2" t="s">
        <v>1279</v>
      </c>
      <c r="C163" s="55" t="s">
        <v>1719</v>
      </c>
      <c r="D163" s="2" t="s">
        <v>1720</v>
      </c>
      <c r="E163" s="2" t="s">
        <v>41</v>
      </c>
      <c r="F163" s="4">
        <v>46254.0</v>
      </c>
      <c r="G163" s="87">
        <v>0.7708333333333334</v>
      </c>
      <c r="H163" s="7">
        <v>46254.0</v>
      </c>
      <c r="I163" s="2" t="s">
        <v>43</v>
      </c>
      <c r="U163" s="92"/>
    </row>
    <row r="164">
      <c r="A164" s="2" t="str">
        <f t="shared" si="8"/>
        <v>20260820-2G2I</v>
      </c>
      <c r="B164" s="2" t="s">
        <v>400</v>
      </c>
      <c r="C164" s="55" t="s">
        <v>1722</v>
      </c>
      <c r="D164" s="2" t="s">
        <v>1723</v>
      </c>
      <c r="E164" s="2" t="s">
        <v>41</v>
      </c>
      <c r="F164" s="4">
        <v>46254.0</v>
      </c>
      <c r="G164" s="87">
        <v>0.7604166666666666</v>
      </c>
      <c r="H164" s="7">
        <v>46254.0</v>
      </c>
      <c r="I164" s="2" t="s">
        <v>43</v>
      </c>
      <c r="U164" s="92"/>
    </row>
    <row r="165">
      <c r="A165" s="2" t="str">
        <f t="shared" si="8"/>
        <v>20260820-2QBO</v>
      </c>
      <c r="B165" s="2" t="s">
        <v>1724</v>
      </c>
      <c r="C165" s="55" t="s">
        <v>1725</v>
      </c>
      <c r="D165" s="2" t="s">
        <v>1726</v>
      </c>
      <c r="E165" s="2" t="s">
        <v>41</v>
      </c>
      <c r="F165" s="4">
        <v>46254.0</v>
      </c>
      <c r="G165" s="87">
        <v>0.8645833333333334</v>
      </c>
      <c r="I165" s="2" t="s">
        <v>43</v>
      </c>
      <c r="U165" s="92"/>
    </row>
    <row r="166">
      <c r="A166" s="2" t="str">
        <f t="shared" si="8"/>
        <v>20260822-2KBA</v>
      </c>
      <c r="B166" s="2" t="s">
        <v>779</v>
      </c>
      <c r="C166" s="55" t="s">
        <v>1728</v>
      </c>
      <c r="D166" s="2" t="s">
        <v>1729</v>
      </c>
      <c r="E166" s="2" t="s">
        <v>41</v>
      </c>
      <c r="F166" s="4">
        <v>46256.0</v>
      </c>
      <c r="G166" s="87">
        <v>0.4166666666666667</v>
      </c>
      <c r="H166" s="7">
        <v>46250.0</v>
      </c>
      <c r="U166" s="92"/>
    </row>
    <row r="167">
      <c r="A167" s="2" t="str">
        <f t="shared" si="8"/>
        <v>20260822-12HI</v>
      </c>
      <c r="B167" s="2" t="s">
        <v>1730</v>
      </c>
      <c r="C167" s="50"/>
      <c r="D167" s="2" t="s">
        <v>1731</v>
      </c>
      <c r="E167" s="2" t="s">
        <v>41</v>
      </c>
      <c r="F167" s="4">
        <v>46256.0</v>
      </c>
      <c r="G167" s="87">
        <v>0.3854166666666667</v>
      </c>
      <c r="U167" s="92"/>
    </row>
    <row r="168">
      <c r="A168" s="2" t="str">
        <f t="shared" si="8"/>
        <v>20260822-3P0J</v>
      </c>
      <c r="B168" s="2" t="s">
        <v>1700</v>
      </c>
      <c r="C168" s="55" t="s">
        <v>274</v>
      </c>
      <c r="D168" s="2" t="s">
        <v>1732</v>
      </c>
      <c r="E168" s="2" t="s">
        <v>41</v>
      </c>
      <c r="F168" s="7">
        <v>46256.0</v>
      </c>
      <c r="G168" s="87">
        <v>0.4583333333333333</v>
      </c>
      <c r="U168" s="92"/>
    </row>
    <row r="169">
      <c r="A169" s="2" t="str">
        <f t="shared" si="8"/>
        <v>20260822-1CR2</v>
      </c>
      <c r="B169" s="2" t="s">
        <v>1264</v>
      </c>
      <c r="C169" s="55" t="s">
        <v>1733</v>
      </c>
      <c r="D169" s="2" t="s">
        <v>1718</v>
      </c>
      <c r="E169" s="2" t="s">
        <v>41</v>
      </c>
      <c r="F169" s="4">
        <v>46256.0</v>
      </c>
      <c r="G169" s="87">
        <v>0.5208333333333334</v>
      </c>
      <c r="U169" s="92"/>
    </row>
    <row r="170">
      <c r="A170" s="2" t="str">
        <f t="shared" si="8"/>
        <v>20260822-29ZR</v>
      </c>
      <c r="B170" s="2" t="s">
        <v>1285</v>
      </c>
      <c r="C170" s="55" t="s">
        <v>1734</v>
      </c>
      <c r="D170" s="2" t="s">
        <v>1735</v>
      </c>
      <c r="E170" s="2" t="s">
        <v>41</v>
      </c>
      <c r="F170" s="4">
        <v>46256.0</v>
      </c>
      <c r="G170" s="87">
        <v>0.4375</v>
      </c>
      <c r="H170" s="10">
        <v>46255.74502087963</v>
      </c>
      <c r="U170" s="92"/>
    </row>
    <row r="171">
      <c r="A171" s="2" t="str">
        <f t="shared" si="8"/>
        <v>20260824-2MT6</v>
      </c>
      <c r="B171" s="2" t="s">
        <v>1288</v>
      </c>
      <c r="C171" s="55" t="s">
        <v>1736</v>
      </c>
      <c r="D171" s="2" t="s">
        <v>1737</v>
      </c>
      <c r="E171" s="2" t="s">
        <v>41</v>
      </c>
      <c r="F171" s="4">
        <v>46258.0</v>
      </c>
      <c r="G171" s="87">
        <v>0.8020833333333334</v>
      </c>
      <c r="H171" s="10">
        <v>46258.44881391204</v>
      </c>
      <c r="U171" s="92"/>
    </row>
    <row r="172">
      <c r="A172" s="2" t="str">
        <f t="shared" si="8"/>
        <v>20260824-35RV</v>
      </c>
      <c r="B172" s="2" t="s">
        <v>1286</v>
      </c>
      <c r="C172" s="55" t="s">
        <v>1738</v>
      </c>
      <c r="D172" s="2" t="s">
        <v>1739</v>
      </c>
      <c r="E172" s="2" t="s">
        <v>41</v>
      </c>
      <c r="F172" s="4">
        <v>46258.0</v>
      </c>
      <c r="G172" s="87">
        <v>0.7604166666666666</v>
      </c>
      <c r="H172" s="10">
        <v>46258.63118667824</v>
      </c>
      <c r="U172" s="92"/>
    </row>
    <row r="173">
      <c r="A173" s="2" t="str">
        <f t="shared" si="8"/>
        <v>20260825-447T</v>
      </c>
      <c r="B173" s="2" t="s">
        <v>1631</v>
      </c>
      <c r="C173" s="55" t="s">
        <v>1632</v>
      </c>
      <c r="D173" s="2" t="s">
        <v>1740</v>
      </c>
      <c r="E173" s="2" t="s">
        <v>35</v>
      </c>
      <c r="F173" s="4">
        <v>46259.0</v>
      </c>
      <c r="G173" s="87">
        <v>0.7708333333333334</v>
      </c>
      <c r="U173" s="92"/>
    </row>
    <row r="174">
      <c r="B174" s="2" t="s">
        <v>1741</v>
      </c>
      <c r="C174" s="55"/>
      <c r="D174" s="2" t="s">
        <v>1742</v>
      </c>
      <c r="E174" s="2" t="s">
        <v>35</v>
      </c>
      <c r="F174" s="4">
        <v>46260.0</v>
      </c>
      <c r="G174" s="87">
        <v>0.7604166666666666</v>
      </c>
      <c r="H174" s="10"/>
      <c r="U174" s="92"/>
    </row>
    <row r="175">
      <c r="B175" s="2" t="s">
        <v>1743</v>
      </c>
      <c r="C175" s="50"/>
      <c r="D175" s="2" t="s">
        <v>1744</v>
      </c>
      <c r="E175" s="2" t="s">
        <v>35</v>
      </c>
      <c r="F175" s="4">
        <v>46260.0</v>
      </c>
      <c r="G175" s="87">
        <v>0.8020833333333334</v>
      </c>
      <c r="U175" s="92"/>
    </row>
    <row r="176">
      <c r="A176" s="2" t="str">
        <f t="shared" ref="A176:A457" si="9">if(isblank(B176)=true,"", TEXT(F176,"YYYYMMDD")&amp;"-"&amp;UPPER(BASE(MOD(SUMPRODUCT(CODE(MID(UPPER(B176&amp;C176&amp;D176&amp;E176),ROW(INDIRECT("1:"&amp;LEN(B176&amp;C176&amp;D176&amp;E176))),1))*ROW(INDIRECT("1:"&amp;LEN(B176&amp;C176&amp;D176&amp;E176)))),1679616),36)))</f>
        <v>20260826-VLJ</v>
      </c>
      <c r="B176" s="2" t="s">
        <v>1696</v>
      </c>
      <c r="C176" s="50"/>
      <c r="D176" s="2" t="s">
        <v>1748</v>
      </c>
      <c r="E176" s="2" t="s">
        <v>35</v>
      </c>
      <c r="F176" s="4">
        <v>46260.0</v>
      </c>
      <c r="G176" s="87">
        <v>0.7708333333333334</v>
      </c>
      <c r="U176" s="92"/>
    </row>
    <row r="177">
      <c r="A177" s="2" t="str">
        <f t="shared" si="9"/>
        <v>20260827-2SN4</v>
      </c>
      <c r="B177" s="2" t="s">
        <v>1750</v>
      </c>
      <c r="C177" s="55" t="s">
        <v>1751</v>
      </c>
      <c r="D177" s="2" t="s">
        <v>1752</v>
      </c>
      <c r="E177" s="2" t="s">
        <v>1753</v>
      </c>
      <c r="F177" s="4">
        <v>46261.0</v>
      </c>
      <c r="G177" s="87">
        <v>0.8229166666666666</v>
      </c>
      <c r="H177" s="10">
        <v>46260.61502020834</v>
      </c>
      <c r="U177" s="92"/>
    </row>
    <row r="178">
      <c r="A178" s="2" t="str">
        <f t="shared" si="9"/>
        <v>20260829-1SUO</v>
      </c>
      <c r="B178" s="2" t="s">
        <v>1755</v>
      </c>
      <c r="C178" s="55" t="s">
        <v>1756</v>
      </c>
      <c r="D178" s="2" t="s">
        <v>1757</v>
      </c>
      <c r="E178" s="2" t="s">
        <v>41</v>
      </c>
      <c r="F178" s="4">
        <v>46263.0</v>
      </c>
      <c r="G178" s="87">
        <v>0.375</v>
      </c>
      <c r="H178" s="10">
        <v>46258.7613914699</v>
      </c>
      <c r="U178" s="92"/>
    </row>
    <row r="179">
      <c r="A179" s="2" t="str">
        <f t="shared" si="9"/>
        <v>20260902-1YZ6</v>
      </c>
      <c r="B179" s="2" t="s">
        <v>1758</v>
      </c>
      <c r="C179" s="55" t="s">
        <v>84</v>
      </c>
      <c r="D179" s="2" t="s">
        <v>1759</v>
      </c>
      <c r="E179" s="2" t="s">
        <v>56</v>
      </c>
      <c r="F179" s="4">
        <v>46267.0</v>
      </c>
      <c r="G179" s="87">
        <v>0.7604166666666666</v>
      </c>
      <c r="H179" s="10">
        <v>46260.78641677083</v>
      </c>
      <c r="U179" s="92"/>
    </row>
    <row r="180">
      <c r="A180" s="2" t="str">
        <f t="shared" si="9"/>
        <v>20260827-2GWO</v>
      </c>
      <c r="B180" s="2" t="s">
        <v>1760</v>
      </c>
      <c r="C180" s="55" t="s">
        <v>1761</v>
      </c>
      <c r="D180" s="2" t="s">
        <v>1762</v>
      </c>
      <c r="E180" s="2" t="s">
        <v>1587</v>
      </c>
      <c r="F180" s="4">
        <v>46261.0</v>
      </c>
      <c r="G180" s="87">
        <v>0.7708333333333334</v>
      </c>
      <c r="H180" s="10">
        <v>46261.487626331014</v>
      </c>
      <c r="U180" s="92"/>
    </row>
    <row r="181">
      <c r="A181" s="2" t="str">
        <f t="shared" si="9"/>
        <v>20260829-1RFT</v>
      </c>
      <c r="B181" s="2" t="s">
        <v>1763</v>
      </c>
      <c r="C181" s="50"/>
      <c r="D181" s="2" t="s">
        <v>1762</v>
      </c>
      <c r="E181" s="2" t="s">
        <v>1587</v>
      </c>
      <c r="F181" s="4">
        <v>46263.0</v>
      </c>
      <c r="G181" s="87">
        <v>0.4583333333333333</v>
      </c>
      <c r="U181" s="92"/>
    </row>
    <row r="182">
      <c r="A182" s="2" t="str">
        <f t="shared" si="9"/>
        <v>20260831-8PL7</v>
      </c>
      <c r="B182" s="2" t="s">
        <v>1764</v>
      </c>
      <c r="C182" s="55" t="s">
        <v>1765</v>
      </c>
      <c r="D182" s="2" t="s">
        <v>1766</v>
      </c>
      <c r="E182" s="2" t="s">
        <v>56</v>
      </c>
      <c r="F182" s="4">
        <v>46265.0</v>
      </c>
      <c r="G182" s="87">
        <v>0.7604166666666666</v>
      </c>
      <c r="H182" s="10">
        <v>46262.71831041666</v>
      </c>
      <c r="U182" s="92"/>
    </row>
    <row r="183">
      <c r="A183" s="2" t="str">
        <f t="shared" si="9"/>
        <v/>
      </c>
      <c r="C183" s="50"/>
      <c r="F183" s="39"/>
      <c r="G183" s="93"/>
      <c r="U183" s="92"/>
    </row>
    <row r="184">
      <c r="A184" s="2" t="str">
        <f t="shared" si="9"/>
        <v/>
      </c>
      <c r="C184" s="50"/>
      <c r="F184" s="39"/>
      <c r="G184" s="93"/>
      <c r="U184" s="92"/>
    </row>
    <row r="185">
      <c r="A185" s="2" t="str">
        <f t="shared" si="9"/>
        <v/>
      </c>
      <c r="C185" s="50"/>
      <c r="F185" s="39"/>
      <c r="G185" s="93"/>
      <c r="U185" s="92"/>
    </row>
    <row r="186">
      <c r="A186" s="2" t="str">
        <f t="shared" si="9"/>
        <v/>
      </c>
      <c r="C186" s="50"/>
      <c r="F186" s="39"/>
      <c r="G186" s="93"/>
      <c r="U186" s="92"/>
    </row>
    <row r="187">
      <c r="A187" s="2" t="str">
        <f t="shared" si="9"/>
        <v/>
      </c>
      <c r="C187" s="50"/>
      <c r="F187" s="39"/>
      <c r="G187" s="93"/>
      <c r="U187" s="92"/>
    </row>
    <row r="188">
      <c r="A188" s="2" t="str">
        <f t="shared" si="9"/>
        <v/>
      </c>
      <c r="C188" s="50"/>
      <c r="F188" s="39"/>
      <c r="G188" s="93"/>
      <c r="U188" s="92"/>
    </row>
    <row r="189">
      <c r="A189" s="2" t="str">
        <f t="shared" si="9"/>
        <v/>
      </c>
      <c r="C189" s="50"/>
      <c r="F189" s="39"/>
      <c r="G189" s="93"/>
      <c r="U189" s="92"/>
    </row>
    <row r="190">
      <c r="A190" s="2" t="str">
        <f t="shared" si="9"/>
        <v/>
      </c>
      <c r="C190" s="50"/>
      <c r="F190" s="39"/>
      <c r="G190" s="93"/>
      <c r="U190" s="92"/>
    </row>
    <row r="191">
      <c r="A191" s="2" t="str">
        <f t="shared" si="9"/>
        <v/>
      </c>
      <c r="C191" s="50"/>
      <c r="F191" s="39"/>
      <c r="G191" s="93"/>
      <c r="U191" s="92"/>
    </row>
    <row r="192">
      <c r="A192" s="2" t="str">
        <f t="shared" si="9"/>
        <v/>
      </c>
      <c r="C192" s="50"/>
      <c r="F192" s="39"/>
      <c r="G192" s="93"/>
      <c r="U192" s="92"/>
    </row>
    <row r="193">
      <c r="A193" s="2" t="str">
        <f t="shared" si="9"/>
        <v/>
      </c>
      <c r="C193" s="50"/>
      <c r="F193" s="39"/>
      <c r="G193" s="93"/>
      <c r="U193" s="92"/>
    </row>
    <row r="194">
      <c r="A194" s="2" t="str">
        <f t="shared" si="9"/>
        <v/>
      </c>
      <c r="C194" s="50"/>
      <c r="F194" s="39"/>
      <c r="G194" s="93"/>
      <c r="U194" s="92"/>
    </row>
    <row r="195">
      <c r="A195" s="2" t="str">
        <f t="shared" si="9"/>
        <v/>
      </c>
      <c r="C195" s="50"/>
      <c r="F195" s="39"/>
      <c r="G195" s="93"/>
      <c r="U195" s="92"/>
    </row>
    <row r="196">
      <c r="A196" s="2" t="str">
        <f t="shared" si="9"/>
        <v/>
      </c>
      <c r="C196" s="50"/>
      <c r="F196" s="39"/>
      <c r="G196" s="93"/>
      <c r="U196" s="92"/>
    </row>
    <row r="197">
      <c r="A197" s="2" t="str">
        <f t="shared" si="9"/>
        <v/>
      </c>
      <c r="C197" s="50"/>
      <c r="F197" s="39"/>
      <c r="G197" s="93"/>
      <c r="U197" s="92"/>
    </row>
    <row r="198">
      <c r="A198" s="2" t="str">
        <f t="shared" si="9"/>
        <v/>
      </c>
      <c r="C198" s="50"/>
      <c r="F198" s="39"/>
      <c r="G198" s="93"/>
      <c r="U198" s="92"/>
    </row>
    <row r="199">
      <c r="A199" s="2" t="str">
        <f t="shared" si="9"/>
        <v/>
      </c>
      <c r="C199" s="50"/>
      <c r="F199" s="39"/>
      <c r="G199" s="93"/>
      <c r="U199" s="92"/>
    </row>
    <row r="200">
      <c r="A200" s="2" t="str">
        <f t="shared" si="9"/>
        <v/>
      </c>
      <c r="C200" s="50"/>
      <c r="F200" s="39"/>
      <c r="G200" s="93"/>
      <c r="U200" s="92"/>
    </row>
    <row r="201">
      <c r="A201" s="2" t="str">
        <f t="shared" si="9"/>
        <v/>
      </c>
      <c r="C201" s="50"/>
      <c r="F201" s="39"/>
      <c r="G201" s="93"/>
      <c r="U201" s="92"/>
    </row>
    <row r="202">
      <c r="A202" s="2" t="str">
        <f t="shared" si="9"/>
        <v/>
      </c>
      <c r="C202" s="50"/>
      <c r="F202" s="39"/>
      <c r="G202" s="93"/>
      <c r="U202" s="92"/>
    </row>
    <row r="203">
      <c r="A203" s="2" t="str">
        <f t="shared" si="9"/>
        <v/>
      </c>
      <c r="C203" s="50"/>
      <c r="F203" s="39"/>
      <c r="G203" s="93"/>
      <c r="U203" s="92"/>
    </row>
    <row r="204">
      <c r="A204" s="2" t="str">
        <f t="shared" si="9"/>
        <v/>
      </c>
      <c r="C204" s="50"/>
      <c r="F204" s="39"/>
      <c r="G204" s="93"/>
      <c r="U204" s="92"/>
    </row>
    <row r="205">
      <c r="A205" s="2" t="str">
        <f t="shared" si="9"/>
        <v/>
      </c>
      <c r="C205" s="50"/>
      <c r="F205" s="39"/>
      <c r="G205" s="93"/>
      <c r="U205" s="92"/>
    </row>
    <row r="206">
      <c r="A206" s="2" t="str">
        <f t="shared" si="9"/>
        <v/>
      </c>
      <c r="C206" s="50"/>
      <c r="F206" s="39"/>
      <c r="G206" s="93"/>
      <c r="U206" s="92"/>
    </row>
    <row r="207">
      <c r="A207" s="2" t="str">
        <f t="shared" si="9"/>
        <v/>
      </c>
      <c r="C207" s="50"/>
      <c r="F207" s="39"/>
      <c r="G207" s="93"/>
      <c r="U207" s="92"/>
    </row>
    <row r="208">
      <c r="A208" s="2" t="str">
        <f t="shared" si="9"/>
        <v/>
      </c>
      <c r="C208" s="50"/>
      <c r="F208" s="39"/>
      <c r="G208" s="93"/>
      <c r="U208" s="92"/>
    </row>
    <row r="209">
      <c r="A209" s="2" t="str">
        <f t="shared" si="9"/>
        <v/>
      </c>
      <c r="C209" s="50"/>
      <c r="F209" s="39"/>
      <c r="G209" s="93"/>
      <c r="U209" s="92"/>
    </row>
    <row r="210">
      <c r="A210" s="2" t="str">
        <f t="shared" si="9"/>
        <v/>
      </c>
      <c r="C210" s="50"/>
      <c r="F210" s="39"/>
      <c r="G210" s="93"/>
      <c r="U210" s="92"/>
    </row>
    <row r="211">
      <c r="A211" s="2" t="str">
        <f t="shared" si="9"/>
        <v/>
      </c>
      <c r="C211" s="50"/>
      <c r="F211" s="39"/>
      <c r="G211" s="93"/>
      <c r="U211" s="92"/>
    </row>
    <row r="212">
      <c r="A212" s="2" t="str">
        <f t="shared" si="9"/>
        <v/>
      </c>
      <c r="C212" s="50"/>
      <c r="F212" s="39"/>
      <c r="G212" s="93"/>
      <c r="U212" s="92"/>
    </row>
    <row r="213">
      <c r="A213" s="2" t="str">
        <f t="shared" si="9"/>
        <v/>
      </c>
      <c r="C213" s="50"/>
      <c r="F213" s="39"/>
      <c r="G213" s="93"/>
      <c r="U213" s="92"/>
    </row>
    <row r="214">
      <c r="A214" s="2" t="str">
        <f t="shared" si="9"/>
        <v/>
      </c>
      <c r="C214" s="50"/>
      <c r="F214" s="39"/>
      <c r="G214" s="93"/>
      <c r="U214" s="92"/>
    </row>
    <row r="215">
      <c r="A215" s="2" t="str">
        <f t="shared" si="9"/>
        <v/>
      </c>
      <c r="C215" s="50"/>
      <c r="F215" s="39"/>
      <c r="G215" s="93"/>
      <c r="U215" s="92"/>
    </row>
    <row r="216">
      <c r="A216" s="2" t="str">
        <f t="shared" si="9"/>
        <v/>
      </c>
      <c r="C216" s="50"/>
      <c r="F216" s="39"/>
      <c r="G216" s="93"/>
      <c r="U216" s="92"/>
    </row>
    <row r="217">
      <c r="A217" s="2" t="str">
        <f t="shared" si="9"/>
        <v/>
      </c>
      <c r="C217" s="50"/>
      <c r="F217" s="39"/>
      <c r="G217" s="93"/>
      <c r="U217" s="92"/>
    </row>
    <row r="218">
      <c r="A218" s="2" t="str">
        <f t="shared" si="9"/>
        <v/>
      </c>
      <c r="C218" s="50"/>
      <c r="F218" s="39"/>
      <c r="G218" s="93"/>
      <c r="U218" s="92"/>
    </row>
    <row r="219">
      <c r="A219" s="2" t="str">
        <f t="shared" si="9"/>
        <v/>
      </c>
      <c r="C219" s="50"/>
      <c r="F219" s="39"/>
      <c r="G219" s="93"/>
      <c r="U219" s="92"/>
    </row>
    <row r="220">
      <c r="A220" s="2" t="str">
        <f t="shared" si="9"/>
        <v/>
      </c>
      <c r="C220" s="50"/>
      <c r="F220" s="39"/>
      <c r="G220" s="93"/>
      <c r="U220" s="92"/>
    </row>
    <row r="221">
      <c r="A221" s="2" t="str">
        <f t="shared" si="9"/>
        <v/>
      </c>
      <c r="C221" s="50"/>
      <c r="F221" s="39"/>
      <c r="G221" s="93"/>
      <c r="U221" s="92"/>
    </row>
    <row r="222">
      <c r="A222" s="2" t="str">
        <f t="shared" si="9"/>
        <v/>
      </c>
      <c r="C222" s="50"/>
      <c r="F222" s="39"/>
      <c r="G222" s="93"/>
      <c r="U222" s="92"/>
    </row>
    <row r="223">
      <c r="A223" s="2" t="str">
        <f t="shared" si="9"/>
        <v/>
      </c>
      <c r="C223" s="50"/>
      <c r="F223" s="39"/>
      <c r="G223" s="93"/>
      <c r="U223" s="92"/>
    </row>
    <row r="224">
      <c r="A224" s="2" t="str">
        <f t="shared" si="9"/>
        <v/>
      </c>
      <c r="C224" s="50"/>
      <c r="F224" s="39"/>
      <c r="G224" s="93"/>
      <c r="U224" s="92"/>
    </row>
    <row r="225">
      <c r="A225" s="2" t="str">
        <f t="shared" si="9"/>
        <v/>
      </c>
      <c r="C225" s="50"/>
      <c r="F225" s="39"/>
      <c r="G225" s="93"/>
      <c r="U225" s="92"/>
    </row>
    <row r="226">
      <c r="A226" s="2" t="str">
        <f t="shared" si="9"/>
        <v/>
      </c>
      <c r="C226" s="50"/>
      <c r="F226" s="39"/>
      <c r="G226" s="93"/>
      <c r="U226" s="92"/>
    </row>
    <row r="227">
      <c r="A227" s="2" t="str">
        <f t="shared" si="9"/>
        <v/>
      </c>
      <c r="C227" s="50"/>
      <c r="F227" s="39"/>
      <c r="G227" s="93"/>
      <c r="U227" s="92"/>
    </row>
    <row r="228">
      <c r="A228" s="2" t="str">
        <f t="shared" si="9"/>
        <v/>
      </c>
      <c r="C228" s="50"/>
      <c r="F228" s="39"/>
      <c r="G228" s="93"/>
      <c r="U228" s="92"/>
    </row>
    <row r="229">
      <c r="A229" s="2" t="str">
        <f t="shared" si="9"/>
        <v/>
      </c>
      <c r="C229" s="50"/>
      <c r="F229" s="39"/>
      <c r="G229" s="93"/>
      <c r="U229" s="92"/>
    </row>
    <row r="230">
      <c r="A230" s="2" t="str">
        <f t="shared" si="9"/>
        <v/>
      </c>
      <c r="C230" s="50"/>
      <c r="F230" s="39"/>
      <c r="G230" s="93"/>
      <c r="U230" s="92"/>
    </row>
    <row r="231">
      <c r="A231" s="2" t="str">
        <f t="shared" si="9"/>
        <v/>
      </c>
      <c r="C231" s="50"/>
      <c r="F231" s="39"/>
      <c r="G231" s="93"/>
      <c r="U231" s="92"/>
    </row>
    <row r="232">
      <c r="A232" s="2" t="str">
        <f t="shared" si="9"/>
        <v/>
      </c>
      <c r="C232" s="50"/>
      <c r="F232" s="39"/>
      <c r="G232" s="93"/>
      <c r="U232" s="92"/>
    </row>
    <row r="233">
      <c r="A233" s="2" t="str">
        <f t="shared" si="9"/>
        <v/>
      </c>
      <c r="C233" s="50"/>
      <c r="F233" s="39"/>
      <c r="G233" s="93"/>
      <c r="U233" s="92"/>
    </row>
    <row r="234">
      <c r="A234" s="2" t="str">
        <f t="shared" si="9"/>
        <v/>
      </c>
      <c r="C234" s="50"/>
      <c r="F234" s="39"/>
      <c r="G234" s="93"/>
      <c r="U234" s="92"/>
    </row>
    <row r="235">
      <c r="A235" s="2" t="str">
        <f t="shared" si="9"/>
        <v/>
      </c>
      <c r="C235" s="50"/>
      <c r="F235" s="39"/>
      <c r="G235" s="93"/>
      <c r="U235" s="92"/>
    </row>
    <row r="236">
      <c r="A236" s="2" t="str">
        <f t="shared" si="9"/>
        <v/>
      </c>
      <c r="C236" s="50"/>
      <c r="F236" s="39"/>
      <c r="G236" s="93"/>
      <c r="U236" s="92"/>
    </row>
    <row r="237">
      <c r="A237" s="2" t="str">
        <f t="shared" si="9"/>
        <v/>
      </c>
      <c r="C237" s="50"/>
      <c r="F237" s="39"/>
      <c r="G237" s="93"/>
      <c r="U237" s="92"/>
    </row>
    <row r="238">
      <c r="A238" s="2" t="str">
        <f t="shared" si="9"/>
        <v/>
      </c>
      <c r="C238" s="50"/>
      <c r="F238" s="39"/>
      <c r="G238" s="93"/>
      <c r="U238" s="92"/>
    </row>
    <row r="239">
      <c r="A239" s="2" t="str">
        <f t="shared" si="9"/>
        <v/>
      </c>
      <c r="C239" s="50"/>
      <c r="F239" s="39"/>
      <c r="G239" s="93"/>
      <c r="U239" s="92"/>
    </row>
    <row r="240">
      <c r="A240" s="2" t="str">
        <f t="shared" si="9"/>
        <v/>
      </c>
      <c r="C240" s="50"/>
      <c r="F240" s="39"/>
      <c r="G240" s="93"/>
      <c r="U240" s="92"/>
    </row>
    <row r="241">
      <c r="A241" s="2" t="str">
        <f t="shared" si="9"/>
        <v/>
      </c>
      <c r="C241" s="50"/>
      <c r="F241" s="39"/>
      <c r="G241" s="93"/>
      <c r="U241" s="92"/>
    </row>
    <row r="242">
      <c r="A242" s="2" t="str">
        <f t="shared" si="9"/>
        <v/>
      </c>
      <c r="C242" s="50"/>
      <c r="F242" s="39"/>
      <c r="G242" s="93"/>
      <c r="U242" s="92"/>
    </row>
    <row r="243">
      <c r="A243" s="2" t="str">
        <f t="shared" si="9"/>
        <v/>
      </c>
      <c r="C243" s="50"/>
      <c r="F243" s="39"/>
      <c r="G243" s="93"/>
      <c r="U243" s="92"/>
    </row>
    <row r="244">
      <c r="A244" s="2" t="str">
        <f t="shared" si="9"/>
        <v/>
      </c>
      <c r="C244" s="50"/>
      <c r="F244" s="39"/>
      <c r="G244" s="93"/>
      <c r="U244" s="92"/>
    </row>
    <row r="245">
      <c r="A245" s="2" t="str">
        <f t="shared" si="9"/>
        <v/>
      </c>
      <c r="C245" s="50"/>
      <c r="F245" s="39"/>
      <c r="G245" s="93"/>
      <c r="U245" s="92"/>
    </row>
    <row r="246">
      <c r="A246" s="2" t="str">
        <f t="shared" si="9"/>
        <v/>
      </c>
      <c r="C246" s="50"/>
      <c r="F246" s="39"/>
      <c r="G246" s="93"/>
      <c r="U246" s="92"/>
    </row>
    <row r="247">
      <c r="A247" s="2" t="str">
        <f t="shared" si="9"/>
        <v/>
      </c>
      <c r="C247" s="50"/>
      <c r="F247" s="39"/>
      <c r="G247" s="93"/>
      <c r="U247" s="92"/>
    </row>
    <row r="248">
      <c r="A248" s="2" t="str">
        <f t="shared" si="9"/>
        <v/>
      </c>
      <c r="C248" s="50"/>
      <c r="F248" s="39"/>
      <c r="G248" s="93"/>
      <c r="U248" s="92"/>
    </row>
    <row r="249">
      <c r="A249" s="2" t="str">
        <f t="shared" si="9"/>
        <v/>
      </c>
      <c r="C249" s="50"/>
      <c r="F249" s="39"/>
      <c r="G249" s="93"/>
      <c r="U249" s="92"/>
    </row>
    <row r="250">
      <c r="A250" s="2" t="str">
        <f t="shared" si="9"/>
        <v/>
      </c>
      <c r="C250" s="50"/>
      <c r="F250" s="39"/>
      <c r="G250" s="93"/>
      <c r="U250" s="92"/>
    </row>
    <row r="251">
      <c r="A251" s="2" t="str">
        <f t="shared" si="9"/>
        <v/>
      </c>
      <c r="C251" s="50"/>
      <c r="F251" s="39"/>
      <c r="G251" s="93"/>
      <c r="U251" s="92"/>
    </row>
    <row r="252">
      <c r="A252" s="2" t="str">
        <f t="shared" si="9"/>
        <v/>
      </c>
      <c r="C252" s="50"/>
      <c r="F252" s="39"/>
      <c r="G252" s="93"/>
      <c r="U252" s="92"/>
    </row>
    <row r="253">
      <c r="A253" s="2" t="str">
        <f t="shared" si="9"/>
        <v/>
      </c>
      <c r="C253" s="50"/>
      <c r="F253" s="39"/>
      <c r="G253" s="93"/>
      <c r="U253" s="92"/>
    </row>
    <row r="254">
      <c r="A254" s="2" t="str">
        <f t="shared" si="9"/>
        <v/>
      </c>
      <c r="C254" s="50"/>
      <c r="F254" s="39"/>
      <c r="G254" s="93"/>
      <c r="U254" s="92"/>
    </row>
    <row r="255">
      <c r="A255" s="2" t="str">
        <f t="shared" si="9"/>
        <v/>
      </c>
      <c r="C255" s="50"/>
      <c r="F255" s="39"/>
      <c r="G255" s="93"/>
      <c r="U255" s="92"/>
    </row>
    <row r="256">
      <c r="A256" s="2" t="str">
        <f t="shared" si="9"/>
        <v/>
      </c>
      <c r="C256" s="50"/>
      <c r="F256" s="39"/>
      <c r="G256" s="93"/>
      <c r="U256" s="92"/>
    </row>
    <row r="257">
      <c r="A257" s="2" t="str">
        <f t="shared" si="9"/>
        <v/>
      </c>
      <c r="C257" s="50"/>
      <c r="F257" s="39"/>
      <c r="G257" s="93"/>
      <c r="U257" s="92"/>
    </row>
    <row r="258">
      <c r="A258" s="2" t="str">
        <f t="shared" si="9"/>
        <v/>
      </c>
      <c r="C258" s="50"/>
      <c r="F258" s="39"/>
      <c r="G258" s="93"/>
      <c r="U258" s="92"/>
    </row>
    <row r="259">
      <c r="A259" s="2" t="str">
        <f t="shared" si="9"/>
        <v/>
      </c>
      <c r="C259" s="50"/>
      <c r="F259" s="39"/>
      <c r="G259" s="93"/>
      <c r="U259" s="92"/>
    </row>
    <row r="260">
      <c r="A260" s="2" t="str">
        <f t="shared" si="9"/>
        <v/>
      </c>
      <c r="C260" s="50"/>
      <c r="F260" s="39"/>
      <c r="G260" s="93"/>
      <c r="U260" s="92"/>
    </row>
    <row r="261">
      <c r="A261" s="2" t="str">
        <f t="shared" si="9"/>
        <v/>
      </c>
      <c r="C261" s="50"/>
      <c r="F261" s="39"/>
      <c r="G261" s="93"/>
      <c r="U261" s="92"/>
    </row>
    <row r="262">
      <c r="A262" s="2" t="str">
        <f t="shared" si="9"/>
        <v/>
      </c>
      <c r="C262" s="50"/>
      <c r="F262" s="39"/>
      <c r="G262" s="93"/>
      <c r="U262" s="92"/>
    </row>
    <row r="263">
      <c r="A263" s="2" t="str">
        <f t="shared" si="9"/>
        <v/>
      </c>
      <c r="C263" s="50"/>
      <c r="F263" s="39"/>
      <c r="G263" s="93"/>
      <c r="U263" s="92"/>
    </row>
    <row r="264">
      <c r="A264" s="2" t="str">
        <f t="shared" si="9"/>
        <v/>
      </c>
      <c r="C264" s="50"/>
      <c r="F264" s="39"/>
      <c r="G264" s="93"/>
      <c r="U264" s="92"/>
    </row>
    <row r="265">
      <c r="A265" s="2" t="str">
        <f t="shared" si="9"/>
        <v/>
      </c>
      <c r="C265" s="50"/>
      <c r="F265" s="39"/>
      <c r="G265" s="93"/>
      <c r="U265" s="92"/>
    </row>
    <row r="266">
      <c r="A266" s="2" t="str">
        <f t="shared" si="9"/>
        <v/>
      </c>
      <c r="C266" s="50"/>
      <c r="F266" s="39"/>
      <c r="G266" s="93"/>
      <c r="U266" s="92"/>
    </row>
    <row r="267">
      <c r="A267" s="2" t="str">
        <f t="shared" si="9"/>
        <v/>
      </c>
      <c r="C267" s="50"/>
      <c r="F267" s="39"/>
      <c r="G267" s="93"/>
      <c r="U267" s="92"/>
    </row>
    <row r="268">
      <c r="A268" s="2" t="str">
        <f t="shared" si="9"/>
        <v/>
      </c>
      <c r="C268" s="50"/>
      <c r="F268" s="39"/>
      <c r="G268" s="93"/>
      <c r="U268" s="92"/>
    </row>
    <row r="269">
      <c r="A269" s="2" t="str">
        <f t="shared" si="9"/>
        <v/>
      </c>
      <c r="C269" s="50"/>
      <c r="F269" s="39"/>
      <c r="G269" s="93"/>
      <c r="U269" s="92"/>
    </row>
    <row r="270">
      <c r="A270" s="2" t="str">
        <f t="shared" si="9"/>
        <v/>
      </c>
      <c r="C270" s="50"/>
      <c r="F270" s="39"/>
      <c r="G270" s="93"/>
      <c r="U270" s="92"/>
    </row>
    <row r="271">
      <c r="A271" s="2" t="str">
        <f t="shared" si="9"/>
        <v/>
      </c>
      <c r="C271" s="50"/>
      <c r="F271" s="39"/>
      <c r="G271" s="93"/>
      <c r="U271" s="92"/>
    </row>
    <row r="272">
      <c r="A272" s="2" t="str">
        <f t="shared" si="9"/>
        <v/>
      </c>
      <c r="C272" s="50"/>
      <c r="F272" s="39"/>
      <c r="G272" s="93"/>
      <c r="U272" s="92"/>
    </row>
    <row r="273">
      <c r="A273" s="2" t="str">
        <f t="shared" si="9"/>
        <v/>
      </c>
      <c r="C273" s="50"/>
      <c r="F273" s="39"/>
      <c r="G273" s="93"/>
      <c r="U273" s="92"/>
    </row>
    <row r="274">
      <c r="A274" s="2" t="str">
        <f t="shared" si="9"/>
        <v/>
      </c>
      <c r="C274" s="50"/>
      <c r="F274" s="39"/>
      <c r="G274" s="93"/>
      <c r="U274" s="92"/>
    </row>
    <row r="275">
      <c r="A275" s="2" t="str">
        <f t="shared" si="9"/>
        <v/>
      </c>
      <c r="C275" s="50"/>
      <c r="F275" s="39"/>
      <c r="G275" s="93"/>
      <c r="U275" s="92"/>
    </row>
    <row r="276">
      <c r="A276" s="2" t="str">
        <f t="shared" si="9"/>
        <v/>
      </c>
      <c r="C276" s="50"/>
      <c r="F276" s="39"/>
      <c r="G276" s="93"/>
      <c r="U276" s="92"/>
    </row>
    <row r="277">
      <c r="A277" s="2" t="str">
        <f t="shared" si="9"/>
        <v/>
      </c>
      <c r="C277" s="50"/>
      <c r="F277" s="39"/>
      <c r="G277" s="93"/>
      <c r="U277" s="92"/>
    </row>
    <row r="278">
      <c r="A278" s="2" t="str">
        <f t="shared" si="9"/>
        <v/>
      </c>
      <c r="C278" s="50"/>
      <c r="F278" s="39"/>
      <c r="G278" s="93"/>
      <c r="U278" s="92"/>
    </row>
    <row r="279">
      <c r="A279" s="2" t="str">
        <f t="shared" si="9"/>
        <v/>
      </c>
      <c r="C279" s="50"/>
      <c r="F279" s="39"/>
      <c r="G279" s="93"/>
      <c r="U279" s="92"/>
    </row>
    <row r="280">
      <c r="A280" s="2" t="str">
        <f t="shared" si="9"/>
        <v/>
      </c>
      <c r="C280" s="50"/>
      <c r="F280" s="39"/>
      <c r="G280" s="93"/>
      <c r="U280" s="92"/>
    </row>
    <row r="281">
      <c r="A281" s="2" t="str">
        <f t="shared" si="9"/>
        <v/>
      </c>
      <c r="C281" s="50"/>
      <c r="F281" s="39"/>
      <c r="G281" s="93"/>
      <c r="U281" s="92"/>
    </row>
    <row r="282">
      <c r="A282" s="2" t="str">
        <f t="shared" si="9"/>
        <v/>
      </c>
      <c r="C282" s="50"/>
      <c r="F282" s="39"/>
      <c r="G282" s="93"/>
      <c r="U282" s="92"/>
    </row>
    <row r="283">
      <c r="A283" s="2" t="str">
        <f t="shared" si="9"/>
        <v/>
      </c>
      <c r="C283" s="50"/>
      <c r="F283" s="39"/>
      <c r="G283" s="93"/>
      <c r="U283" s="92"/>
    </row>
    <row r="284">
      <c r="A284" s="2" t="str">
        <f t="shared" si="9"/>
        <v/>
      </c>
      <c r="C284" s="50"/>
      <c r="F284" s="39"/>
      <c r="G284" s="93"/>
      <c r="U284" s="92"/>
    </row>
    <row r="285">
      <c r="A285" s="2" t="str">
        <f t="shared" si="9"/>
        <v/>
      </c>
      <c r="C285" s="50"/>
      <c r="F285" s="39"/>
      <c r="G285" s="93"/>
      <c r="U285" s="92"/>
    </row>
    <row r="286">
      <c r="A286" s="2" t="str">
        <f t="shared" si="9"/>
        <v/>
      </c>
      <c r="C286" s="50"/>
      <c r="F286" s="39"/>
      <c r="G286" s="93"/>
      <c r="U286" s="92"/>
    </row>
    <row r="287">
      <c r="A287" s="2" t="str">
        <f t="shared" si="9"/>
        <v/>
      </c>
      <c r="C287" s="50"/>
      <c r="F287" s="39"/>
      <c r="G287" s="93"/>
      <c r="U287" s="92"/>
    </row>
    <row r="288">
      <c r="A288" s="2" t="str">
        <f t="shared" si="9"/>
        <v/>
      </c>
      <c r="C288" s="50"/>
      <c r="F288" s="39"/>
      <c r="G288" s="93"/>
      <c r="U288" s="92"/>
    </row>
    <row r="289">
      <c r="A289" s="2" t="str">
        <f t="shared" si="9"/>
        <v/>
      </c>
      <c r="C289" s="50"/>
      <c r="F289" s="39"/>
      <c r="G289" s="93"/>
      <c r="U289" s="92"/>
    </row>
    <row r="290">
      <c r="A290" s="2" t="str">
        <f t="shared" si="9"/>
        <v/>
      </c>
      <c r="C290" s="50"/>
      <c r="F290" s="39"/>
      <c r="G290" s="93"/>
      <c r="U290" s="92"/>
    </row>
    <row r="291">
      <c r="A291" s="2" t="str">
        <f t="shared" si="9"/>
        <v/>
      </c>
      <c r="C291" s="50"/>
      <c r="F291" s="39"/>
      <c r="G291" s="93"/>
      <c r="U291" s="92"/>
    </row>
    <row r="292">
      <c r="A292" s="2" t="str">
        <f t="shared" si="9"/>
        <v/>
      </c>
      <c r="C292" s="50"/>
      <c r="F292" s="39"/>
      <c r="G292" s="93"/>
      <c r="U292" s="92"/>
    </row>
    <row r="293">
      <c r="A293" s="2" t="str">
        <f t="shared" si="9"/>
        <v/>
      </c>
      <c r="C293" s="50"/>
      <c r="F293" s="39"/>
      <c r="G293" s="93"/>
      <c r="U293" s="92"/>
    </row>
    <row r="294">
      <c r="A294" s="2" t="str">
        <f t="shared" si="9"/>
        <v/>
      </c>
      <c r="C294" s="50"/>
      <c r="F294" s="39"/>
      <c r="G294" s="93"/>
      <c r="U294" s="92"/>
    </row>
    <row r="295">
      <c r="A295" s="2" t="str">
        <f t="shared" si="9"/>
        <v/>
      </c>
      <c r="C295" s="50"/>
      <c r="F295" s="39"/>
      <c r="G295" s="93"/>
      <c r="U295" s="92"/>
    </row>
    <row r="296">
      <c r="A296" s="2" t="str">
        <f t="shared" si="9"/>
        <v/>
      </c>
      <c r="C296" s="50"/>
      <c r="F296" s="39"/>
      <c r="G296" s="93"/>
      <c r="U296" s="92"/>
    </row>
    <row r="297">
      <c r="A297" s="2" t="str">
        <f t="shared" si="9"/>
        <v/>
      </c>
      <c r="C297" s="50"/>
      <c r="F297" s="39"/>
      <c r="G297" s="93"/>
      <c r="U297" s="92"/>
    </row>
    <row r="298">
      <c r="A298" s="2" t="str">
        <f t="shared" si="9"/>
        <v/>
      </c>
      <c r="C298" s="50"/>
      <c r="F298" s="39"/>
      <c r="G298" s="93"/>
      <c r="U298" s="92"/>
    </row>
    <row r="299">
      <c r="A299" s="2" t="str">
        <f t="shared" si="9"/>
        <v/>
      </c>
      <c r="C299" s="50"/>
      <c r="F299" s="39"/>
      <c r="G299" s="93"/>
      <c r="U299" s="92"/>
    </row>
    <row r="300">
      <c r="A300" s="2" t="str">
        <f t="shared" si="9"/>
        <v/>
      </c>
      <c r="C300" s="50"/>
      <c r="F300" s="39"/>
      <c r="G300" s="93"/>
      <c r="U300" s="92"/>
    </row>
    <row r="301">
      <c r="A301" s="2" t="str">
        <f t="shared" si="9"/>
        <v/>
      </c>
      <c r="C301" s="50"/>
      <c r="F301" s="39"/>
      <c r="G301" s="93"/>
      <c r="U301" s="92"/>
    </row>
    <row r="302">
      <c r="A302" s="2" t="str">
        <f t="shared" si="9"/>
        <v/>
      </c>
      <c r="C302" s="50"/>
      <c r="F302" s="39"/>
      <c r="G302" s="93"/>
      <c r="U302" s="92"/>
    </row>
    <row r="303">
      <c r="A303" s="2" t="str">
        <f t="shared" si="9"/>
        <v/>
      </c>
      <c r="C303" s="50"/>
      <c r="F303" s="39"/>
      <c r="G303" s="93"/>
      <c r="U303" s="92"/>
    </row>
    <row r="304">
      <c r="A304" s="2" t="str">
        <f t="shared" si="9"/>
        <v/>
      </c>
      <c r="C304" s="50"/>
      <c r="F304" s="39"/>
      <c r="G304" s="93"/>
      <c r="U304" s="92"/>
    </row>
    <row r="305">
      <c r="A305" s="2" t="str">
        <f t="shared" si="9"/>
        <v/>
      </c>
      <c r="C305" s="50"/>
      <c r="F305" s="39"/>
      <c r="G305" s="93"/>
      <c r="U305" s="92"/>
    </row>
    <row r="306">
      <c r="A306" s="2" t="str">
        <f t="shared" si="9"/>
        <v/>
      </c>
      <c r="C306" s="50"/>
      <c r="F306" s="39"/>
      <c r="G306" s="93"/>
      <c r="U306" s="92"/>
    </row>
    <row r="307">
      <c r="A307" s="2" t="str">
        <f t="shared" si="9"/>
        <v/>
      </c>
      <c r="C307" s="50"/>
      <c r="F307" s="39"/>
      <c r="G307" s="93"/>
      <c r="U307" s="92"/>
    </row>
    <row r="308">
      <c r="A308" s="2" t="str">
        <f t="shared" si="9"/>
        <v/>
      </c>
      <c r="C308" s="50"/>
      <c r="F308" s="39"/>
      <c r="G308" s="93"/>
      <c r="U308" s="92"/>
    </row>
    <row r="309">
      <c r="A309" s="2" t="str">
        <f t="shared" si="9"/>
        <v/>
      </c>
      <c r="C309" s="50"/>
      <c r="F309" s="39"/>
      <c r="G309" s="93"/>
      <c r="U309" s="92"/>
    </row>
    <row r="310">
      <c r="A310" s="2" t="str">
        <f t="shared" si="9"/>
        <v/>
      </c>
      <c r="C310" s="50"/>
      <c r="F310" s="39"/>
      <c r="G310" s="93"/>
      <c r="U310" s="92"/>
    </row>
    <row r="311">
      <c r="A311" s="2" t="str">
        <f t="shared" si="9"/>
        <v/>
      </c>
      <c r="C311" s="50"/>
      <c r="F311" s="39"/>
      <c r="G311" s="93"/>
      <c r="U311" s="92"/>
    </row>
    <row r="312">
      <c r="A312" s="2" t="str">
        <f t="shared" si="9"/>
        <v/>
      </c>
      <c r="C312" s="50"/>
      <c r="F312" s="39"/>
      <c r="G312" s="93"/>
      <c r="U312" s="92"/>
    </row>
    <row r="313">
      <c r="A313" s="2" t="str">
        <f t="shared" si="9"/>
        <v/>
      </c>
      <c r="C313" s="50"/>
      <c r="F313" s="39"/>
      <c r="G313" s="93"/>
      <c r="U313" s="92"/>
    </row>
    <row r="314">
      <c r="A314" s="2" t="str">
        <f t="shared" si="9"/>
        <v/>
      </c>
      <c r="C314" s="50"/>
      <c r="F314" s="39"/>
      <c r="G314" s="93"/>
      <c r="U314" s="92"/>
    </row>
    <row r="315">
      <c r="A315" s="2" t="str">
        <f t="shared" si="9"/>
        <v/>
      </c>
      <c r="C315" s="50"/>
      <c r="F315" s="39"/>
      <c r="G315" s="93"/>
      <c r="U315" s="92"/>
    </row>
    <row r="316">
      <c r="A316" s="2" t="str">
        <f t="shared" si="9"/>
        <v/>
      </c>
      <c r="C316" s="50"/>
      <c r="F316" s="39"/>
      <c r="G316" s="93"/>
      <c r="U316" s="92"/>
    </row>
    <row r="317">
      <c r="A317" s="2" t="str">
        <f t="shared" si="9"/>
        <v/>
      </c>
      <c r="C317" s="50"/>
      <c r="F317" s="39"/>
      <c r="G317" s="93"/>
      <c r="U317" s="92"/>
    </row>
    <row r="318">
      <c r="A318" s="2" t="str">
        <f t="shared" si="9"/>
        <v/>
      </c>
      <c r="C318" s="50"/>
      <c r="F318" s="39"/>
      <c r="G318" s="93"/>
      <c r="U318" s="92"/>
    </row>
    <row r="319">
      <c r="A319" s="2" t="str">
        <f t="shared" si="9"/>
        <v/>
      </c>
      <c r="C319" s="50"/>
      <c r="F319" s="39"/>
      <c r="G319" s="93"/>
      <c r="U319" s="92"/>
    </row>
    <row r="320">
      <c r="A320" s="2" t="str">
        <f t="shared" si="9"/>
        <v/>
      </c>
      <c r="C320" s="50"/>
      <c r="F320" s="39"/>
      <c r="G320" s="93"/>
      <c r="U320" s="92"/>
    </row>
    <row r="321">
      <c r="A321" s="2" t="str">
        <f t="shared" si="9"/>
        <v/>
      </c>
      <c r="C321" s="50"/>
      <c r="F321" s="39"/>
      <c r="G321" s="93"/>
      <c r="U321" s="92"/>
    </row>
    <row r="322">
      <c r="A322" s="2" t="str">
        <f t="shared" si="9"/>
        <v/>
      </c>
      <c r="C322" s="50"/>
      <c r="F322" s="39"/>
      <c r="G322" s="93"/>
      <c r="U322" s="92"/>
    </row>
    <row r="323">
      <c r="A323" s="2" t="str">
        <f t="shared" si="9"/>
        <v/>
      </c>
      <c r="C323" s="50"/>
      <c r="F323" s="39"/>
      <c r="G323" s="93"/>
      <c r="U323" s="92"/>
    </row>
    <row r="324">
      <c r="A324" s="2" t="str">
        <f t="shared" si="9"/>
        <v/>
      </c>
      <c r="C324" s="50"/>
      <c r="F324" s="39"/>
      <c r="G324" s="93"/>
      <c r="U324" s="92"/>
    </row>
    <row r="325">
      <c r="A325" s="2" t="str">
        <f t="shared" si="9"/>
        <v/>
      </c>
      <c r="C325" s="50"/>
      <c r="F325" s="39"/>
      <c r="G325" s="93"/>
      <c r="U325" s="92"/>
    </row>
    <row r="326">
      <c r="A326" s="2" t="str">
        <f t="shared" si="9"/>
        <v/>
      </c>
      <c r="C326" s="50"/>
      <c r="F326" s="39"/>
      <c r="G326" s="93"/>
      <c r="U326" s="92"/>
    </row>
    <row r="327">
      <c r="A327" s="2" t="str">
        <f t="shared" si="9"/>
        <v/>
      </c>
      <c r="C327" s="50"/>
      <c r="F327" s="39"/>
      <c r="G327" s="93"/>
      <c r="U327" s="92"/>
    </row>
    <row r="328">
      <c r="A328" s="2" t="str">
        <f t="shared" si="9"/>
        <v/>
      </c>
      <c r="C328" s="50"/>
      <c r="F328" s="39"/>
      <c r="G328" s="93"/>
      <c r="U328" s="92"/>
    </row>
    <row r="329">
      <c r="A329" s="2" t="str">
        <f t="shared" si="9"/>
        <v/>
      </c>
      <c r="C329" s="50"/>
      <c r="F329" s="39"/>
      <c r="G329" s="93"/>
      <c r="U329" s="92"/>
    </row>
    <row r="330">
      <c r="A330" s="2" t="str">
        <f t="shared" si="9"/>
        <v/>
      </c>
      <c r="C330" s="50"/>
      <c r="F330" s="39"/>
      <c r="G330" s="93"/>
      <c r="U330" s="92"/>
    </row>
    <row r="331">
      <c r="A331" s="2" t="str">
        <f t="shared" si="9"/>
        <v/>
      </c>
      <c r="C331" s="50"/>
      <c r="F331" s="39"/>
      <c r="G331" s="93"/>
      <c r="U331" s="92"/>
    </row>
    <row r="332">
      <c r="A332" s="2" t="str">
        <f t="shared" si="9"/>
        <v/>
      </c>
      <c r="C332" s="50"/>
      <c r="F332" s="39"/>
      <c r="G332" s="93"/>
      <c r="U332" s="92"/>
    </row>
    <row r="333">
      <c r="A333" s="2" t="str">
        <f t="shared" si="9"/>
        <v/>
      </c>
      <c r="C333" s="50"/>
      <c r="F333" s="39"/>
      <c r="G333" s="93"/>
      <c r="U333" s="92"/>
    </row>
    <row r="334">
      <c r="A334" s="2" t="str">
        <f t="shared" si="9"/>
        <v/>
      </c>
      <c r="C334" s="50"/>
      <c r="F334" s="39"/>
      <c r="G334" s="93"/>
      <c r="U334" s="92"/>
    </row>
    <row r="335">
      <c r="A335" s="2" t="str">
        <f t="shared" si="9"/>
        <v/>
      </c>
      <c r="C335" s="50"/>
      <c r="F335" s="39"/>
      <c r="G335" s="93"/>
      <c r="U335" s="92"/>
    </row>
    <row r="336">
      <c r="A336" s="2" t="str">
        <f t="shared" si="9"/>
        <v/>
      </c>
      <c r="C336" s="50"/>
      <c r="F336" s="39"/>
      <c r="G336" s="93"/>
      <c r="U336" s="92"/>
    </row>
    <row r="337">
      <c r="A337" s="2" t="str">
        <f t="shared" si="9"/>
        <v/>
      </c>
      <c r="C337" s="50"/>
      <c r="F337" s="39"/>
      <c r="G337" s="93"/>
      <c r="U337" s="92"/>
    </row>
    <row r="338">
      <c r="A338" s="2" t="str">
        <f t="shared" si="9"/>
        <v/>
      </c>
      <c r="C338" s="50"/>
      <c r="F338" s="39"/>
      <c r="G338" s="93"/>
      <c r="U338" s="92"/>
    </row>
    <row r="339">
      <c r="A339" s="2" t="str">
        <f t="shared" si="9"/>
        <v/>
      </c>
      <c r="C339" s="50"/>
      <c r="F339" s="39"/>
      <c r="G339" s="93"/>
      <c r="U339" s="92"/>
    </row>
    <row r="340">
      <c r="A340" s="2" t="str">
        <f t="shared" si="9"/>
        <v/>
      </c>
      <c r="C340" s="50"/>
      <c r="F340" s="39"/>
      <c r="G340" s="93"/>
      <c r="U340" s="92"/>
    </row>
    <row r="341">
      <c r="A341" s="2" t="str">
        <f t="shared" si="9"/>
        <v/>
      </c>
      <c r="C341" s="50"/>
      <c r="F341" s="39"/>
      <c r="G341" s="93"/>
      <c r="U341" s="92"/>
    </row>
    <row r="342">
      <c r="A342" s="2" t="str">
        <f t="shared" si="9"/>
        <v/>
      </c>
      <c r="C342" s="50"/>
      <c r="F342" s="39"/>
      <c r="G342" s="93"/>
      <c r="U342" s="92"/>
    </row>
    <row r="343">
      <c r="A343" s="2" t="str">
        <f t="shared" si="9"/>
        <v/>
      </c>
      <c r="C343" s="50"/>
      <c r="F343" s="39"/>
      <c r="G343" s="93"/>
      <c r="U343" s="92"/>
    </row>
    <row r="344">
      <c r="A344" s="2" t="str">
        <f t="shared" si="9"/>
        <v/>
      </c>
      <c r="C344" s="50"/>
      <c r="F344" s="39"/>
      <c r="G344" s="93"/>
      <c r="U344" s="92"/>
    </row>
    <row r="345">
      <c r="A345" s="2" t="str">
        <f t="shared" si="9"/>
        <v/>
      </c>
      <c r="C345" s="50"/>
      <c r="F345" s="39"/>
      <c r="G345" s="93"/>
      <c r="U345" s="92"/>
    </row>
    <row r="346">
      <c r="A346" s="2" t="str">
        <f t="shared" si="9"/>
        <v/>
      </c>
      <c r="C346" s="50"/>
      <c r="F346" s="39"/>
      <c r="G346" s="93"/>
      <c r="U346" s="92"/>
    </row>
    <row r="347">
      <c r="A347" s="2" t="str">
        <f t="shared" si="9"/>
        <v/>
      </c>
      <c r="C347" s="50"/>
      <c r="F347" s="39"/>
      <c r="G347" s="93"/>
      <c r="U347" s="92"/>
    </row>
    <row r="348">
      <c r="A348" s="2" t="str">
        <f t="shared" si="9"/>
        <v/>
      </c>
      <c r="C348" s="50"/>
      <c r="F348" s="39"/>
      <c r="G348" s="93"/>
      <c r="U348" s="92"/>
    </row>
    <row r="349">
      <c r="A349" s="2" t="str">
        <f t="shared" si="9"/>
        <v/>
      </c>
      <c r="C349" s="50"/>
      <c r="F349" s="39"/>
      <c r="G349" s="93"/>
      <c r="U349" s="92"/>
    </row>
    <row r="350">
      <c r="A350" s="2" t="str">
        <f t="shared" si="9"/>
        <v/>
      </c>
      <c r="C350" s="50"/>
      <c r="F350" s="39"/>
      <c r="G350" s="93"/>
      <c r="U350" s="92"/>
    </row>
    <row r="351">
      <c r="A351" s="2" t="str">
        <f t="shared" si="9"/>
        <v/>
      </c>
      <c r="C351" s="50"/>
      <c r="F351" s="39"/>
      <c r="G351" s="93"/>
      <c r="U351" s="92"/>
    </row>
    <row r="352">
      <c r="A352" s="2" t="str">
        <f t="shared" si="9"/>
        <v/>
      </c>
      <c r="C352" s="50"/>
      <c r="F352" s="39"/>
      <c r="G352" s="93"/>
      <c r="U352" s="92"/>
    </row>
    <row r="353">
      <c r="A353" s="2" t="str">
        <f t="shared" si="9"/>
        <v/>
      </c>
      <c r="C353" s="50"/>
      <c r="F353" s="39"/>
      <c r="G353" s="93"/>
      <c r="U353" s="92"/>
    </row>
    <row r="354">
      <c r="A354" s="2" t="str">
        <f t="shared" si="9"/>
        <v/>
      </c>
      <c r="C354" s="50"/>
      <c r="F354" s="39"/>
      <c r="G354" s="93"/>
      <c r="U354" s="92"/>
    </row>
    <row r="355">
      <c r="A355" s="2" t="str">
        <f t="shared" si="9"/>
        <v/>
      </c>
      <c r="C355" s="50"/>
      <c r="F355" s="39"/>
      <c r="G355" s="93"/>
      <c r="U355" s="92"/>
    </row>
    <row r="356">
      <c r="A356" s="2" t="str">
        <f t="shared" si="9"/>
        <v/>
      </c>
      <c r="C356" s="50"/>
      <c r="F356" s="39"/>
      <c r="G356" s="93"/>
      <c r="U356" s="92"/>
    </row>
    <row r="357">
      <c r="A357" s="2" t="str">
        <f t="shared" si="9"/>
        <v/>
      </c>
      <c r="C357" s="50"/>
      <c r="F357" s="39"/>
      <c r="G357" s="93"/>
      <c r="U357" s="92"/>
    </row>
    <row r="358">
      <c r="A358" s="2" t="str">
        <f t="shared" si="9"/>
        <v/>
      </c>
      <c r="C358" s="50"/>
      <c r="F358" s="39"/>
      <c r="G358" s="93"/>
      <c r="U358" s="92"/>
    </row>
    <row r="359">
      <c r="A359" s="2" t="str">
        <f t="shared" si="9"/>
        <v/>
      </c>
      <c r="C359" s="50"/>
      <c r="F359" s="39"/>
      <c r="G359" s="93"/>
      <c r="U359" s="92"/>
    </row>
    <row r="360">
      <c r="A360" s="2" t="str">
        <f t="shared" si="9"/>
        <v/>
      </c>
      <c r="C360" s="50"/>
      <c r="F360" s="39"/>
      <c r="G360" s="93"/>
      <c r="U360" s="92"/>
    </row>
    <row r="361">
      <c r="A361" s="2" t="str">
        <f t="shared" si="9"/>
        <v/>
      </c>
      <c r="C361" s="50"/>
      <c r="F361" s="39"/>
      <c r="G361" s="93"/>
      <c r="U361" s="92"/>
    </row>
    <row r="362">
      <c r="A362" s="2" t="str">
        <f t="shared" si="9"/>
        <v/>
      </c>
      <c r="C362" s="50"/>
      <c r="F362" s="39"/>
      <c r="G362" s="93"/>
      <c r="U362" s="92"/>
    </row>
    <row r="363">
      <c r="A363" s="2" t="str">
        <f t="shared" si="9"/>
        <v/>
      </c>
      <c r="C363" s="50"/>
      <c r="F363" s="39"/>
      <c r="G363" s="93"/>
      <c r="U363" s="92"/>
    </row>
    <row r="364">
      <c r="A364" s="2" t="str">
        <f t="shared" si="9"/>
        <v/>
      </c>
      <c r="C364" s="50"/>
      <c r="F364" s="39"/>
      <c r="G364" s="93"/>
      <c r="U364" s="92"/>
    </row>
    <row r="365">
      <c r="A365" s="2" t="str">
        <f t="shared" si="9"/>
        <v/>
      </c>
      <c r="C365" s="50"/>
      <c r="F365" s="39"/>
      <c r="G365" s="93"/>
      <c r="U365" s="92"/>
    </row>
    <row r="366">
      <c r="A366" s="2" t="str">
        <f t="shared" si="9"/>
        <v/>
      </c>
      <c r="C366" s="50"/>
      <c r="F366" s="39"/>
      <c r="G366" s="93"/>
      <c r="U366" s="92"/>
    </row>
    <row r="367">
      <c r="A367" s="2" t="str">
        <f t="shared" si="9"/>
        <v/>
      </c>
      <c r="C367" s="50"/>
      <c r="F367" s="39"/>
      <c r="G367" s="93"/>
      <c r="U367" s="92"/>
    </row>
    <row r="368">
      <c r="A368" s="2" t="str">
        <f t="shared" si="9"/>
        <v/>
      </c>
      <c r="C368" s="50"/>
      <c r="F368" s="39"/>
      <c r="G368" s="93"/>
      <c r="U368" s="92"/>
    </row>
    <row r="369">
      <c r="A369" s="2" t="str">
        <f t="shared" si="9"/>
        <v/>
      </c>
      <c r="C369" s="50"/>
      <c r="F369" s="39"/>
      <c r="G369" s="93"/>
      <c r="U369" s="92"/>
    </row>
    <row r="370">
      <c r="A370" s="2" t="str">
        <f t="shared" si="9"/>
        <v/>
      </c>
      <c r="C370" s="50"/>
      <c r="F370" s="39"/>
      <c r="G370" s="93"/>
      <c r="U370" s="92"/>
    </row>
    <row r="371">
      <c r="A371" s="2" t="str">
        <f t="shared" si="9"/>
        <v/>
      </c>
      <c r="C371" s="50"/>
      <c r="F371" s="39"/>
      <c r="G371" s="93"/>
      <c r="U371" s="92"/>
    </row>
    <row r="372">
      <c r="A372" s="2" t="str">
        <f t="shared" si="9"/>
        <v/>
      </c>
      <c r="C372" s="50"/>
      <c r="F372" s="39"/>
      <c r="G372" s="93"/>
      <c r="U372" s="92"/>
    </row>
    <row r="373">
      <c r="A373" s="2" t="str">
        <f t="shared" si="9"/>
        <v/>
      </c>
      <c r="C373" s="50"/>
      <c r="F373" s="39"/>
      <c r="G373" s="93"/>
      <c r="U373" s="92"/>
    </row>
    <row r="374">
      <c r="A374" s="2" t="str">
        <f t="shared" si="9"/>
        <v/>
      </c>
      <c r="C374" s="50"/>
      <c r="F374" s="39"/>
      <c r="G374" s="93"/>
      <c r="U374" s="92"/>
    </row>
    <row r="375">
      <c r="A375" s="2" t="str">
        <f t="shared" si="9"/>
        <v/>
      </c>
      <c r="C375" s="50"/>
      <c r="F375" s="39"/>
      <c r="G375" s="93"/>
      <c r="U375" s="92"/>
    </row>
    <row r="376">
      <c r="A376" s="2" t="str">
        <f t="shared" si="9"/>
        <v/>
      </c>
      <c r="C376" s="50"/>
      <c r="F376" s="39"/>
      <c r="G376" s="93"/>
      <c r="U376" s="92"/>
    </row>
    <row r="377">
      <c r="A377" s="2" t="str">
        <f t="shared" si="9"/>
        <v/>
      </c>
      <c r="C377" s="50"/>
      <c r="F377" s="39"/>
      <c r="G377" s="93"/>
      <c r="U377" s="92"/>
    </row>
    <row r="378">
      <c r="A378" s="2" t="str">
        <f t="shared" si="9"/>
        <v/>
      </c>
      <c r="C378" s="50"/>
      <c r="F378" s="39"/>
      <c r="G378" s="93"/>
      <c r="U378" s="92"/>
    </row>
    <row r="379">
      <c r="A379" s="2" t="str">
        <f t="shared" si="9"/>
        <v/>
      </c>
      <c r="C379" s="50"/>
      <c r="F379" s="39"/>
      <c r="G379" s="93"/>
      <c r="U379" s="92"/>
    </row>
    <row r="380">
      <c r="A380" s="2" t="str">
        <f t="shared" si="9"/>
        <v/>
      </c>
      <c r="C380" s="50"/>
      <c r="F380" s="39"/>
      <c r="G380" s="93"/>
      <c r="U380" s="92"/>
    </row>
    <row r="381">
      <c r="A381" s="2" t="str">
        <f t="shared" si="9"/>
        <v/>
      </c>
      <c r="C381" s="50"/>
      <c r="F381" s="39"/>
      <c r="G381" s="93"/>
      <c r="U381" s="92"/>
    </row>
    <row r="382">
      <c r="A382" s="2" t="str">
        <f t="shared" si="9"/>
        <v/>
      </c>
      <c r="C382" s="50"/>
      <c r="F382" s="39"/>
      <c r="G382" s="93"/>
      <c r="U382" s="92"/>
    </row>
    <row r="383">
      <c r="A383" s="2" t="str">
        <f t="shared" si="9"/>
        <v/>
      </c>
      <c r="C383" s="50"/>
      <c r="F383" s="39"/>
      <c r="G383" s="93"/>
      <c r="U383" s="92"/>
    </row>
    <row r="384">
      <c r="A384" s="2" t="str">
        <f t="shared" si="9"/>
        <v/>
      </c>
      <c r="C384" s="50"/>
      <c r="F384" s="39"/>
      <c r="G384" s="93"/>
      <c r="U384" s="92"/>
    </row>
    <row r="385">
      <c r="A385" s="2" t="str">
        <f t="shared" si="9"/>
        <v/>
      </c>
      <c r="C385" s="50"/>
      <c r="F385" s="39"/>
      <c r="G385" s="93"/>
      <c r="U385" s="92"/>
    </row>
    <row r="386">
      <c r="A386" s="2" t="str">
        <f t="shared" si="9"/>
        <v/>
      </c>
      <c r="C386" s="50"/>
      <c r="F386" s="39"/>
      <c r="G386" s="93"/>
      <c r="U386" s="92"/>
    </row>
    <row r="387">
      <c r="A387" s="2" t="str">
        <f t="shared" si="9"/>
        <v/>
      </c>
      <c r="C387" s="50"/>
      <c r="F387" s="39"/>
      <c r="G387" s="93"/>
      <c r="U387" s="92"/>
    </row>
    <row r="388">
      <c r="A388" s="2" t="str">
        <f t="shared" si="9"/>
        <v/>
      </c>
      <c r="C388" s="50"/>
      <c r="F388" s="39"/>
      <c r="G388" s="93"/>
      <c r="U388" s="92"/>
    </row>
    <row r="389">
      <c r="A389" s="2" t="str">
        <f t="shared" si="9"/>
        <v/>
      </c>
      <c r="C389" s="50"/>
      <c r="F389" s="39"/>
      <c r="G389" s="93"/>
      <c r="U389" s="92"/>
    </row>
    <row r="390">
      <c r="A390" s="2" t="str">
        <f t="shared" si="9"/>
        <v/>
      </c>
      <c r="C390" s="50"/>
      <c r="F390" s="39"/>
      <c r="G390" s="93"/>
      <c r="U390" s="92"/>
    </row>
    <row r="391">
      <c r="A391" s="2" t="str">
        <f t="shared" si="9"/>
        <v/>
      </c>
      <c r="C391" s="50"/>
      <c r="F391" s="39"/>
      <c r="G391" s="93"/>
      <c r="U391" s="92"/>
    </row>
    <row r="392">
      <c r="A392" s="2" t="str">
        <f t="shared" si="9"/>
        <v/>
      </c>
      <c r="C392" s="50"/>
      <c r="F392" s="39"/>
      <c r="G392" s="93"/>
      <c r="U392" s="92"/>
    </row>
    <row r="393">
      <c r="A393" s="2" t="str">
        <f t="shared" si="9"/>
        <v/>
      </c>
      <c r="C393" s="50"/>
      <c r="F393" s="39"/>
      <c r="G393" s="93"/>
      <c r="U393" s="92"/>
    </row>
    <row r="394">
      <c r="A394" s="2" t="str">
        <f t="shared" si="9"/>
        <v/>
      </c>
      <c r="C394" s="50"/>
      <c r="F394" s="39"/>
      <c r="G394" s="93"/>
      <c r="U394" s="92"/>
    </row>
    <row r="395">
      <c r="A395" s="2" t="str">
        <f t="shared" si="9"/>
        <v/>
      </c>
      <c r="C395" s="50"/>
      <c r="F395" s="39"/>
      <c r="G395" s="93"/>
      <c r="U395" s="92"/>
    </row>
    <row r="396">
      <c r="A396" s="2" t="str">
        <f t="shared" si="9"/>
        <v/>
      </c>
      <c r="C396" s="50"/>
      <c r="F396" s="39"/>
      <c r="G396" s="93"/>
      <c r="U396" s="92"/>
    </row>
    <row r="397">
      <c r="A397" s="2" t="str">
        <f t="shared" si="9"/>
        <v/>
      </c>
      <c r="C397" s="50"/>
      <c r="F397" s="39"/>
      <c r="G397" s="93"/>
      <c r="U397" s="92"/>
    </row>
    <row r="398">
      <c r="A398" s="2" t="str">
        <f t="shared" si="9"/>
        <v/>
      </c>
      <c r="C398" s="50"/>
      <c r="F398" s="39"/>
      <c r="G398" s="93"/>
      <c r="U398" s="92"/>
    </row>
    <row r="399">
      <c r="A399" s="2" t="str">
        <f t="shared" si="9"/>
        <v/>
      </c>
      <c r="C399" s="50"/>
      <c r="F399" s="39"/>
      <c r="G399" s="93"/>
      <c r="U399" s="92"/>
    </row>
    <row r="400">
      <c r="A400" s="2" t="str">
        <f t="shared" si="9"/>
        <v/>
      </c>
      <c r="C400" s="50"/>
      <c r="F400" s="39"/>
      <c r="G400" s="93"/>
      <c r="U400" s="92"/>
    </row>
    <row r="401">
      <c r="A401" s="2" t="str">
        <f t="shared" si="9"/>
        <v/>
      </c>
      <c r="C401" s="50"/>
      <c r="F401" s="39"/>
      <c r="G401" s="93"/>
      <c r="U401" s="92"/>
    </row>
    <row r="402">
      <c r="A402" s="2" t="str">
        <f t="shared" si="9"/>
        <v/>
      </c>
      <c r="C402" s="50"/>
      <c r="F402" s="39"/>
      <c r="G402" s="93"/>
      <c r="U402" s="92"/>
    </row>
    <row r="403">
      <c r="A403" s="2" t="str">
        <f t="shared" si="9"/>
        <v/>
      </c>
      <c r="C403" s="50"/>
      <c r="F403" s="39"/>
      <c r="G403" s="93"/>
      <c r="U403" s="92"/>
    </row>
    <row r="404">
      <c r="A404" s="2" t="str">
        <f t="shared" si="9"/>
        <v/>
      </c>
      <c r="C404" s="50"/>
      <c r="F404" s="39"/>
      <c r="G404" s="93"/>
      <c r="U404" s="92"/>
    </row>
    <row r="405">
      <c r="A405" s="2" t="str">
        <f t="shared" si="9"/>
        <v/>
      </c>
      <c r="C405" s="50"/>
      <c r="F405" s="39"/>
      <c r="G405" s="93"/>
      <c r="U405" s="92"/>
    </row>
    <row r="406">
      <c r="A406" s="2" t="str">
        <f t="shared" si="9"/>
        <v/>
      </c>
      <c r="C406" s="50"/>
      <c r="F406" s="39"/>
      <c r="G406" s="93"/>
      <c r="U406" s="92"/>
    </row>
    <row r="407">
      <c r="A407" s="2" t="str">
        <f t="shared" si="9"/>
        <v/>
      </c>
      <c r="C407" s="50"/>
      <c r="F407" s="39"/>
      <c r="G407" s="93"/>
      <c r="U407" s="92"/>
    </row>
    <row r="408">
      <c r="A408" s="2" t="str">
        <f t="shared" si="9"/>
        <v/>
      </c>
      <c r="C408" s="50"/>
      <c r="F408" s="39"/>
      <c r="G408" s="93"/>
      <c r="U408" s="92"/>
    </row>
    <row r="409">
      <c r="A409" s="2" t="str">
        <f t="shared" si="9"/>
        <v/>
      </c>
      <c r="C409" s="50"/>
      <c r="F409" s="39"/>
      <c r="G409" s="93"/>
      <c r="U409" s="92"/>
    </row>
    <row r="410">
      <c r="A410" s="2" t="str">
        <f t="shared" si="9"/>
        <v/>
      </c>
      <c r="C410" s="50"/>
      <c r="F410" s="39"/>
      <c r="G410" s="93"/>
      <c r="U410" s="92"/>
    </row>
    <row r="411">
      <c r="A411" s="2" t="str">
        <f t="shared" si="9"/>
        <v/>
      </c>
      <c r="C411" s="50"/>
      <c r="F411" s="39"/>
      <c r="G411" s="93"/>
      <c r="U411" s="92"/>
    </row>
    <row r="412">
      <c r="A412" s="2" t="str">
        <f t="shared" si="9"/>
        <v/>
      </c>
      <c r="C412" s="50"/>
      <c r="F412" s="39"/>
      <c r="G412" s="93"/>
      <c r="U412" s="92"/>
    </row>
    <row r="413">
      <c r="A413" s="2" t="str">
        <f t="shared" si="9"/>
        <v/>
      </c>
      <c r="C413" s="50"/>
      <c r="F413" s="39"/>
      <c r="G413" s="93"/>
      <c r="U413" s="92"/>
    </row>
    <row r="414">
      <c r="A414" s="2" t="str">
        <f t="shared" si="9"/>
        <v/>
      </c>
      <c r="C414" s="50"/>
      <c r="F414" s="39"/>
      <c r="G414" s="93"/>
      <c r="U414" s="92"/>
    </row>
    <row r="415">
      <c r="A415" s="2" t="str">
        <f t="shared" si="9"/>
        <v/>
      </c>
      <c r="C415" s="50"/>
      <c r="F415" s="39"/>
      <c r="G415" s="93"/>
      <c r="U415" s="92"/>
    </row>
    <row r="416">
      <c r="A416" s="2" t="str">
        <f t="shared" si="9"/>
        <v/>
      </c>
      <c r="C416" s="50"/>
      <c r="F416" s="39"/>
      <c r="G416" s="93"/>
      <c r="U416" s="92"/>
    </row>
    <row r="417">
      <c r="A417" s="2" t="str">
        <f t="shared" si="9"/>
        <v/>
      </c>
      <c r="C417" s="50"/>
      <c r="F417" s="39"/>
      <c r="G417" s="93"/>
      <c r="U417" s="92"/>
    </row>
    <row r="418">
      <c r="A418" s="2" t="str">
        <f t="shared" si="9"/>
        <v/>
      </c>
      <c r="C418" s="50"/>
      <c r="F418" s="39"/>
      <c r="G418" s="93"/>
      <c r="U418" s="92"/>
    </row>
    <row r="419">
      <c r="A419" s="2" t="str">
        <f t="shared" si="9"/>
        <v/>
      </c>
      <c r="C419" s="50"/>
      <c r="F419" s="39"/>
      <c r="G419" s="93"/>
      <c r="U419" s="92"/>
    </row>
    <row r="420">
      <c r="A420" s="2" t="str">
        <f t="shared" si="9"/>
        <v/>
      </c>
      <c r="C420" s="50"/>
      <c r="F420" s="39"/>
      <c r="G420" s="93"/>
      <c r="U420" s="92"/>
    </row>
    <row r="421">
      <c r="A421" s="2" t="str">
        <f t="shared" si="9"/>
        <v/>
      </c>
      <c r="C421" s="50"/>
      <c r="F421" s="39"/>
      <c r="G421" s="93"/>
      <c r="U421" s="92"/>
    </row>
    <row r="422">
      <c r="A422" s="2" t="str">
        <f t="shared" si="9"/>
        <v/>
      </c>
      <c r="C422" s="50"/>
      <c r="F422" s="39"/>
      <c r="G422" s="93"/>
      <c r="U422" s="92"/>
    </row>
    <row r="423">
      <c r="A423" s="2" t="str">
        <f t="shared" si="9"/>
        <v/>
      </c>
      <c r="C423" s="50"/>
      <c r="F423" s="39"/>
      <c r="G423" s="93"/>
      <c r="U423" s="92"/>
    </row>
    <row r="424">
      <c r="A424" s="2" t="str">
        <f t="shared" si="9"/>
        <v/>
      </c>
      <c r="C424" s="50"/>
      <c r="F424" s="39"/>
      <c r="G424" s="93"/>
      <c r="U424" s="92"/>
    </row>
    <row r="425">
      <c r="A425" s="2" t="str">
        <f t="shared" si="9"/>
        <v/>
      </c>
      <c r="C425" s="50"/>
      <c r="F425" s="39"/>
      <c r="G425" s="93"/>
      <c r="U425" s="92"/>
    </row>
    <row r="426">
      <c r="A426" s="2" t="str">
        <f t="shared" si="9"/>
        <v/>
      </c>
      <c r="C426" s="50"/>
      <c r="F426" s="39"/>
      <c r="G426" s="93"/>
      <c r="U426" s="92"/>
    </row>
    <row r="427">
      <c r="A427" s="2" t="str">
        <f t="shared" si="9"/>
        <v/>
      </c>
      <c r="C427" s="50"/>
      <c r="F427" s="39"/>
      <c r="G427" s="93"/>
      <c r="U427" s="92"/>
    </row>
    <row r="428">
      <c r="A428" s="2" t="str">
        <f t="shared" si="9"/>
        <v/>
      </c>
      <c r="C428" s="50"/>
      <c r="F428" s="39"/>
      <c r="G428" s="93"/>
      <c r="U428" s="92"/>
    </row>
    <row r="429">
      <c r="A429" s="2" t="str">
        <f t="shared" si="9"/>
        <v/>
      </c>
      <c r="C429" s="50"/>
      <c r="F429" s="39"/>
      <c r="G429" s="93"/>
      <c r="U429" s="92"/>
    </row>
    <row r="430">
      <c r="A430" s="2" t="str">
        <f t="shared" si="9"/>
        <v/>
      </c>
      <c r="C430" s="50"/>
      <c r="F430" s="39"/>
      <c r="G430" s="93"/>
      <c r="U430" s="92"/>
    </row>
    <row r="431">
      <c r="A431" s="2" t="str">
        <f t="shared" si="9"/>
        <v/>
      </c>
      <c r="C431" s="50"/>
      <c r="F431" s="39"/>
      <c r="G431" s="93"/>
      <c r="U431" s="92"/>
    </row>
    <row r="432">
      <c r="A432" s="2" t="str">
        <f t="shared" si="9"/>
        <v/>
      </c>
      <c r="C432" s="50"/>
      <c r="F432" s="39"/>
      <c r="G432" s="93"/>
      <c r="U432" s="92"/>
    </row>
    <row r="433">
      <c r="A433" s="2" t="str">
        <f t="shared" si="9"/>
        <v/>
      </c>
      <c r="C433" s="50"/>
      <c r="F433" s="39"/>
      <c r="G433" s="93"/>
      <c r="U433" s="92"/>
    </row>
    <row r="434">
      <c r="A434" s="2" t="str">
        <f t="shared" si="9"/>
        <v/>
      </c>
      <c r="C434" s="50"/>
      <c r="F434" s="39"/>
      <c r="G434" s="93"/>
      <c r="U434" s="92"/>
    </row>
    <row r="435">
      <c r="A435" s="2" t="str">
        <f t="shared" si="9"/>
        <v/>
      </c>
      <c r="C435" s="50"/>
      <c r="F435" s="39"/>
      <c r="G435" s="93"/>
      <c r="U435" s="92"/>
    </row>
    <row r="436">
      <c r="A436" s="2" t="str">
        <f t="shared" si="9"/>
        <v/>
      </c>
      <c r="C436" s="50"/>
      <c r="F436" s="39"/>
      <c r="G436" s="93"/>
      <c r="U436" s="92"/>
    </row>
    <row r="437">
      <c r="A437" s="2" t="str">
        <f t="shared" si="9"/>
        <v/>
      </c>
      <c r="C437" s="50"/>
      <c r="F437" s="39"/>
      <c r="G437" s="93"/>
      <c r="U437" s="92"/>
    </row>
    <row r="438">
      <c r="A438" s="2" t="str">
        <f t="shared" si="9"/>
        <v/>
      </c>
      <c r="C438" s="50"/>
      <c r="F438" s="39"/>
      <c r="G438" s="93"/>
      <c r="U438" s="92"/>
    </row>
    <row r="439">
      <c r="A439" s="2" t="str">
        <f t="shared" si="9"/>
        <v/>
      </c>
      <c r="C439" s="50"/>
      <c r="F439" s="39"/>
      <c r="G439" s="93"/>
      <c r="U439" s="92"/>
    </row>
    <row r="440">
      <c r="A440" s="2" t="str">
        <f t="shared" si="9"/>
        <v/>
      </c>
      <c r="C440" s="50"/>
      <c r="F440" s="39"/>
      <c r="G440" s="93"/>
      <c r="U440" s="92"/>
    </row>
    <row r="441">
      <c r="A441" s="2" t="str">
        <f t="shared" si="9"/>
        <v/>
      </c>
      <c r="C441" s="50"/>
      <c r="F441" s="39"/>
      <c r="G441" s="93"/>
      <c r="U441" s="92"/>
    </row>
    <row r="442">
      <c r="A442" s="2" t="str">
        <f t="shared" si="9"/>
        <v/>
      </c>
      <c r="C442" s="50"/>
      <c r="F442" s="39"/>
      <c r="G442" s="93"/>
      <c r="U442" s="92"/>
    </row>
    <row r="443">
      <c r="A443" s="2" t="str">
        <f t="shared" si="9"/>
        <v/>
      </c>
      <c r="C443" s="50"/>
      <c r="F443" s="39"/>
      <c r="G443" s="93"/>
      <c r="U443" s="92"/>
    </row>
    <row r="444">
      <c r="A444" s="2" t="str">
        <f t="shared" si="9"/>
        <v/>
      </c>
      <c r="C444" s="50"/>
      <c r="F444" s="39"/>
      <c r="G444" s="93"/>
      <c r="U444" s="92"/>
    </row>
    <row r="445">
      <c r="A445" s="2" t="str">
        <f t="shared" si="9"/>
        <v/>
      </c>
      <c r="C445" s="50"/>
      <c r="F445" s="39"/>
      <c r="G445" s="93"/>
      <c r="U445" s="92"/>
    </row>
    <row r="446">
      <c r="A446" s="2" t="str">
        <f t="shared" si="9"/>
        <v/>
      </c>
      <c r="C446" s="50"/>
      <c r="F446" s="39"/>
      <c r="G446" s="93"/>
      <c r="U446" s="92"/>
    </row>
    <row r="447">
      <c r="A447" s="2" t="str">
        <f t="shared" si="9"/>
        <v/>
      </c>
      <c r="C447" s="50"/>
      <c r="F447" s="39"/>
      <c r="G447" s="93"/>
      <c r="U447" s="92"/>
    </row>
    <row r="448">
      <c r="A448" s="2" t="str">
        <f t="shared" si="9"/>
        <v/>
      </c>
      <c r="C448" s="50"/>
      <c r="F448" s="39"/>
      <c r="G448" s="93"/>
      <c r="U448" s="92"/>
    </row>
    <row r="449">
      <c r="A449" s="2" t="str">
        <f t="shared" si="9"/>
        <v/>
      </c>
      <c r="C449" s="50"/>
      <c r="F449" s="39"/>
      <c r="G449" s="93"/>
      <c r="U449" s="92"/>
    </row>
    <row r="450">
      <c r="A450" s="2" t="str">
        <f t="shared" si="9"/>
        <v/>
      </c>
      <c r="C450" s="50"/>
      <c r="F450" s="39"/>
      <c r="G450" s="93"/>
      <c r="U450" s="92"/>
    </row>
    <row r="451">
      <c r="A451" s="2" t="str">
        <f t="shared" si="9"/>
        <v/>
      </c>
      <c r="C451" s="50"/>
      <c r="F451" s="39"/>
      <c r="G451" s="93"/>
      <c r="U451" s="92"/>
    </row>
    <row r="452">
      <c r="A452" s="2" t="str">
        <f t="shared" si="9"/>
        <v/>
      </c>
      <c r="C452" s="50"/>
      <c r="F452" s="39"/>
      <c r="G452" s="93"/>
      <c r="U452" s="92"/>
    </row>
    <row r="453">
      <c r="A453" s="2" t="str">
        <f t="shared" si="9"/>
        <v/>
      </c>
      <c r="C453" s="50"/>
      <c r="F453" s="39"/>
      <c r="G453" s="93"/>
      <c r="U453" s="92"/>
    </row>
    <row r="454">
      <c r="A454" s="2" t="str">
        <f t="shared" si="9"/>
        <v/>
      </c>
      <c r="C454" s="50"/>
      <c r="F454" s="39"/>
      <c r="G454" s="93"/>
      <c r="U454" s="92"/>
    </row>
    <row r="455">
      <c r="A455" s="2" t="str">
        <f t="shared" si="9"/>
        <v/>
      </c>
      <c r="C455" s="50"/>
      <c r="F455" s="39"/>
      <c r="G455" s="93"/>
      <c r="U455" s="92"/>
    </row>
    <row r="456">
      <c r="A456" s="2" t="str">
        <f t="shared" si="9"/>
        <v/>
      </c>
      <c r="C456" s="50"/>
      <c r="F456" s="39"/>
      <c r="G456" s="93"/>
      <c r="U456" s="92"/>
    </row>
    <row r="457">
      <c r="A457" s="2" t="str">
        <f t="shared" si="9"/>
        <v/>
      </c>
      <c r="C457" s="50"/>
      <c r="F457" s="39"/>
      <c r="G457" s="93"/>
      <c r="U457" s="92"/>
    </row>
  </sheetData>
  <conditionalFormatting sqref="C96">
    <cfRule type="expression" dxfId="6" priority="1">
      <formula>AND($C96&lt;&gt;"", $J96="")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</cols>
  <sheetData>
    <row r="1">
      <c r="A1" s="102" t="s">
        <v>536</v>
      </c>
      <c r="B1" s="103" t="s">
        <v>537</v>
      </c>
    </row>
    <row r="2">
      <c r="A2" s="71" t="s">
        <v>681</v>
      </c>
      <c r="B2" s="72">
        <v>45663.0</v>
      </c>
    </row>
    <row r="3">
      <c r="A3" s="71" t="s">
        <v>685</v>
      </c>
      <c r="B3" s="72">
        <v>45663.0</v>
      </c>
    </row>
    <row r="4">
      <c r="A4" s="71" t="s">
        <v>686</v>
      </c>
      <c r="B4" s="72">
        <v>45663.0</v>
      </c>
    </row>
    <row r="5">
      <c r="A5" s="71" t="s">
        <v>689</v>
      </c>
      <c r="B5" s="72">
        <v>45663.0</v>
      </c>
    </row>
    <row r="6">
      <c r="A6" s="71" t="s">
        <v>689</v>
      </c>
      <c r="B6" s="72">
        <v>45663.0</v>
      </c>
    </row>
    <row r="7">
      <c r="A7" s="71" t="s">
        <v>696</v>
      </c>
      <c r="B7" s="72">
        <v>45663.0</v>
      </c>
    </row>
    <row r="8">
      <c r="A8" s="71" t="s">
        <v>699</v>
      </c>
      <c r="B8" s="72">
        <v>45663.0</v>
      </c>
    </row>
    <row r="9">
      <c r="A9" s="71" t="s">
        <v>703</v>
      </c>
      <c r="B9" s="72">
        <v>45663.0</v>
      </c>
    </row>
    <row r="10">
      <c r="A10" s="71" t="s">
        <v>705</v>
      </c>
      <c r="B10" s="72">
        <v>45663.0</v>
      </c>
    </row>
    <row r="11">
      <c r="A11" s="71" t="s">
        <v>709</v>
      </c>
      <c r="B11" s="72">
        <v>45663.0</v>
      </c>
    </row>
    <row r="12">
      <c r="A12" s="71" t="s">
        <v>713</v>
      </c>
      <c r="B12" s="72">
        <v>45663.0</v>
      </c>
    </row>
    <row r="13">
      <c r="A13" s="71" t="s">
        <v>717</v>
      </c>
      <c r="B13" s="72">
        <v>45663.0</v>
      </c>
    </row>
    <row r="14">
      <c r="A14" s="71" t="s">
        <v>720</v>
      </c>
      <c r="B14" s="72">
        <v>45663.0</v>
      </c>
    </row>
    <row r="15">
      <c r="A15" s="71" t="s">
        <v>722</v>
      </c>
      <c r="B15" s="72">
        <v>45663.0</v>
      </c>
    </row>
    <row r="16">
      <c r="A16" s="71" t="s">
        <v>724</v>
      </c>
      <c r="B16" s="72">
        <v>45663.0</v>
      </c>
    </row>
    <row r="17">
      <c r="A17" s="71" t="s">
        <v>728</v>
      </c>
      <c r="B17" s="72">
        <v>45670.0</v>
      </c>
    </row>
    <row r="18">
      <c r="A18" s="76" t="s">
        <v>733</v>
      </c>
      <c r="B18" s="72">
        <v>45670.0</v>
      </c>
    </row>
    <row r="19">
      <c r="A19" s="76" t="s">
        <v>737</v>
      </c>
      <c r="B19" s="72">
        <v>45670.0</v>
      </c>
    </row>
    <row r="20">
      <c r="A20" s="71" t="s">
        <v>739</v>
      </c>
      <c r="B20" s="72">
        <v>45670.0</v>
      </c>
    </row>
    <row r="21">
      <c r="A21" s="71" t="s">
        <v>739</v>
      </c>
      <c r="B21" s="72">
        <v>45670.0</v>
      </c>
    </row>
    <row r="22">
      <c r="A22" s="76" t="s">
        <v>744</v>
      </c>
      <c r="B22" s="72">
        <v>45670.0</v>
      </c>
    </row>
    <row r="23">
      <c r="A23" s="76" t="s">
        <v>746</v>
      </c>
      <c r="B23" s="72">
        <v>45670.0</v>
      </c>
    </row>
    <row r="24">
      <c r="A24" s="76" t="s">
        <v>750</v>
      </c>
      <c r="B24" s="72">
        <v>45670.0</v>
      </c>
    </row>
    <row r="25">
      <c r="A25" s="76" t="s">
        <v>752</v>
      </c>
      <c r="B25" s="72">
        <v>45670.0</v>
      </c>
    </row>
    <row r="26">
      <c r="A26" s="76" t="s">
        <v>757</v>
      </c>
      <c r="B26" s="72">
        <v>45670.0</v>
      </c>
    </row>
    <row r="27">
      <c r="A27" s="76" t="s">
        <v>761</v>
      </c>
      <c r="B27" s="72">
        <v>45670.0</v>
      </c>
    </row>
    <row r="28">
      <c r="A28" s="76" t="s">
        <v>689</v>
      </c>
      <c r="B28" s="72">
        <v>45670.0</v>
      </c>
    </row>
    <row r="29">
      <c r="A29" s="76" t="s">
        <v>689</v>
      </c>
      <c r="B29" s="72">
        <v>45670.0</v>
      </c>
    </row>
    <row r="30">
      <c r="A30" s="76" t="s">
        <v>770</v>
      </c>
      <c r="B30" s="72">
        <v>45670.0</v>
      </c>
    </row>
    <row r="31">
      <c r="A31" s="76" t="s">
        <v>773</v>
      </c>
      <c r="B31" s="72">
        <v>45670.0</v>
      </c>
    </row>
    <row r="32">
      <c r="A32" s="76" t="s">
        <v>776</v>
      </c>
      <c r="B32" s="72">
        <v>45672.0</v>
      </c>
    </row>
    <row r="33">
      <c r="A33" s="76" t="s">
        <v>778</v>
      </c>
      <c r="B33" s="72">
        <v>45672.0</v>
      </c>
    </row>
    <row r="34">
      <c r="A34" s="76" t="s">
        <v>781</v>
      </c>
      <c r="B34" s="72">
        <v>45672.0</v>
      </c>
    </row>
    <row r="35">
      <c r="A35" s="71" t="s">
        <v>786</v>
      </c>
      <c r="B35" s="72">
        <v>45672.0</v>
      </c>
    </row>
    <row r="36">
      <c r="A36" s="71" t="s">
        <v>786</v>
      </c>
      <c r="B36" s="72">
        <v>45672.0</v>
      </c>
    </row>
    <row r="37">
      <c r="A37" s="71" t="s">
        <v>786</v>
      </c>
      <c r="B37" s="72">
        <v>45672.0</v>
      </c>
    </row>
    <row r="38">
      <c r="A38" s="76" t="s">
        <v>793</v>
      </c>
      <c r="B38" s="72">
        <v>45672.0</v>
      </c>
    </row>
    <row r="39">
      <c r="A39" s="76" t="s">
        <v>795</v>
      </c>
      <c r="B39" s="72">
        <v>45672.0</v>
      </c>
    </row>
    <row r="40">
      <c r="A40" s="76" t="s">
        <v>798</v>
      </c>
      <c r="B40" s="72">
        <v>45672.0</v>
      </c>
    </row>
    <row r="41">
      <c r="A41" s="76" t="s">
        <v>800</v>
      </c>
      <c r="B41" s="72">
        <v>45672.0</v>
      </c>
    </row>
    <row r="42">
      <c r="A42" s="76" t="s">
        <v>802</v>
      </c>
      <c r="B42" s="72">
        <v>45672.0</v>
      </c>
    </row>
    <row r="43">
      <c r="A43" s="76" t="s">
        <v>805</v>
      </c>
      <c r="B43" s="72">
        <v>45672.0</v>
      </c>
    </row>
    <row r="44">
      <c r="A44" s="76" t="s">
        <v>807</v>
      </c>
      <c r="B44" s="72">
        <v>45674.0</v>
      </c>
    </row>
    <row r="45">
      <c r="A45" s="76" t="s">
        <v>778</v>
      </c>
      <c r="B45" s="72">
        <v>45674.0</v>
      </c>
    </row>
    <row r="46">
      <c r="A46" s="76" t="s">
        <v>800</v>
      </c>
      <c r="B46" s="72">
        <v>45674.0</v>
      </c>
    </row>
    <row r="47">
      <c r="A47" s="71" t="s">
        <v>786</v>
      </c>
      <c r="B47" s="72">
        <v>45674.0</v>
      </c>
    </row>
    <row r="48">
      <c r="A48" s="71" t="s">
        <v>786</v>
      </c>
      <c r="B48" s="72">
        <v>45674.0</v>
      </c>
    </row>
    <row r="49">
      <c r="A49" s="71" t="s">
        <v>818</v>
      </c>
      <c r="B49" s="72">
        <v>45674.0</v>
      </c>
    </row>
    <row r="50">
      <c r="A50" s="71" t="s">
        <v>824</v>
      </c>
      <c r="B50" s="72">
        <v>45674.0</v>
      </c>
    </row>
    <row r="51">
      <c r="A51" s="71" t="s">
        <v>825</v>
      </c>
      <c r="B51" s="72">
        <v>45674.0</v>
      </c>
    </row>
    <row r="52">
      <c r="A52" s="71" t="s">
        <v>824</v>
      </c>
      <c r="B52" s="72">
        <v>45674.0</v>
      </c>
    </row>
    <row r="53">
      <c r="A53" s="76" t="s">
        <v>826</v>
      </c>
      <c r="B53" s="72">
        <v>45674.0</v>
      </c>
    </row>
    <row r="54">
      <c r="A54" s="76" t="s">
        <v>828</v>
      </c>
      <c r="B54" s="72">
        <v>45677.0</v>
      </c>
    </row>
    <row r="55">
      <c r="A55" s="76" t="s">
        <v>828</v>
      </c>
      <c r="B55" s="72">
        <v>45677.0</v>
      </c>
    </row>
    <row r="56">
      <c r="A56" s="76" t="s">
        <v>833</v>
      </c>
      <c r="B56" s="72">
        <v>45677.0</v>
      </c>
    </row>
    <row r="57">
      <c r="A57" s="76" t="s">
        <v>836</v>
      </c>
      <c r="B57" s="72">
        <v>45677.0</v>
      </c>
    </row>
    <row r="58">
      <c r="A58" s="76" t="s">
        <v>836</v>
      </c>
      <c r="B58" s="72">
        <v>45677.0</v>
      </c>
    </row>
    <row r="59">
      <c r="A59" s="76" t="s">
        <v>786</v>
      </c>
      <c r="B59" s="72">
        <v>45677.0</v>
      </c>
    </row>
    <row r="60">
      <c r="A60" s="76" t="s">
        <v>839</v>
      </c>
      <c r="B60" s="72">
        <v>45677.0</v>
      </c>
    </row>
    <row r="61">
      <c r="A61" s="76" t="s">
        <v>844</v>
      </c>
      <c r="B61" s="72">
        <v>45677.0</v>
      </c>
    </row>
    <row r="62">
      <c r="A62" s="76" t="s">
        <v>848</v>
      </c>
      <c r="B62" s="72">
        <v>45677.0</v>
      </c>
    </row>
    <row r="63">
      <c r="A63" s="71" t="s">
        <v>824</v>
      </c>
      <c r="B63" s="72">
        <v>45677.0</v>
      </c>
    </row>
    <row r="64">
      <c r="A64" s="76" t="s">
        <v>851</v>
      </c>
      <c r="B64" s="72">
        <v>45677.0</v>
      </c>
    </row>
    <row r="65">
      <c r="A65" s="76" t="s">
        <v>854</v>
      </c>
      <c r="B65" s="72">
        <v>45677.0</v>
      </c>
    </row>
    <row r="66">
      <c r="A66" s="76" t="s">
        <v>857</v>
      </c>
      <c r="B66" s="72">
        <v>45677.0</v>
      </c>
    </row>
    <row r="67">
      <c r="A67" s="76" t="s">
        <v>858</v>
      </c>
      <c r="B67" s="72">
        <v>45677.0</v>
      </c>
    </row>
    <row r="68">
      <c r="A68" s="76" t="s">
        <v>600</v>
      </c>
      <c r="B68" s="72">
        <v>45677.0</v>
      </c>
    </row>
    <row r="69">
      <c r="A69" s="76" t="s">
        <v>860</v>
      </c>
      <c r="B69" s="72">
        <v>45677.0</v>
      </c>
    </row>
    <row r="70">
      <c r="A70" s="76" t="s">
        <v>862</v>
      </c>
      <c r="B70" s="72">
        <v>45677.0</v>
      </c>
    </row>
    <row r="71">
      <c r="A71" s="76" t="s">
        <v>604</v>
      </c>
      <c r="B71" s="72">
        <v>45677.0</v>
      </c>
    </row>
    <row r="72">
      <c r="A72" s="76" t="s">
        <v>866</v>
      </c>
      <c r="B72" s="72">
        <v>45677.0</v>
      </c>
    </row>
    <row r="73">
      <c r="A73" s="76" t="s">
        <v>869</v>
      </c>
      <c r="B73" s="72">
        <v>45677.0</v>
      </c>
    </row>
    <row r="74">
      <c r="A74" s="76" t="s">
        <v>871</v>
      </c>
      <c r="B74" s="72">
        <v>45684.0</v>
      </c>
    </row>
    <row r="75">
      <c r="A75" s="76" t="s">
        <v>872</v>
      </c>
      <c r="B75" s="72">
        <v>45684.0</v>
      </c>
    </row>
    <row r="76">
      <c r="A76" s="76" t="s">
        <v>874</v>
      </c>
      <c r="B76" s="72">
        <v>45684.0</v>
      </c>
    </row>
    <row r="77">
      <c r="A77" s="76" t="s">
        <v>876</v>
      </c>
      <c r="B77" s="72">
        <v>45684.0</v>
      </c>
    </row>
    <row r="78">
      <c r="A78" s="76" t="s">
        <v>879</v>
      </c>
      <c r="B78" s="72">
        <v>45684.0</v>
      </c>
    </row>
    <row r="79">
      <c r="A79" s="76" t="s">
        <v>882</v>
      </c>
      <c r="B79" s="72">
        <v>45684.0</v>
      </c>
    </row>
    <row r="80">
      <c r="A80" s="76" t="s">
        <v>882</v>
      </c>
      <c r="B80" s="72">
        <v>45684.0</v>
      </c>
    </row>
    <row r="81">
      <c r="A81" s="76" t="s">
        <v>885</v>
      </c>
      <c r="B81" s="72">
        <v>45684.0</v>
      </c>
    </row>
    <row r="82">
      <c r="A82" s="76" t="s">
        <v>885</v>
      </c>
      <c r="B82" s="72">
        <v>45684.0</v>
      </c>
    </row>
    <row r="83">
      <c r="A83" s="76" t="s">
        <v>888</v>
      </c>
      <c r="B83" s="72">
        <v>45684.0</v>
      </c>
    </row>
    <row r="84">
      <c r="A84" s="76" t="s">
        <v>892</v>
      </c>
      <c r="B84" s="72">
        <v>45684.0</v>
      </c>
    </row>
    <row r="85">
      <c r="A85" s="76" t="s">
        <v>895</v>
      </c>
      <c r="B85" s="72">
        <v>45684.0</v>
      </c>
    </row>
    <row r="86">
      <c r="A86" s="76" t="s">
        <v>897</v>
      </c>
      <c r="B86" s="72">
        <v>45684.0</v>
      </c>
    </row>
    <row r="87">
      <c r="A87" s="76" t="s">
        <v>900</v>
      </c>
      <c r="B87" s="72">
        <v>45685.0</v>
      </c>
    </row>
    <row r="88">
      <c r="A88" s="76" t="s">
        <v>885</v>
      </c>
      <c r="B88" s="72">
        <v>45685.0</v>
      </c>
    </row>
    <row r="89">
      <c r="A89" s="76" t="s">
        <v>678</v>
      </c>
      <c r="B89" s="72">
        <v>45686.0</v>
      </c>
    </row>
    <row r="90">
      <c r="A90" s="76" t="s">
        <v>909</v>
      </c>
      <c r="B90" s="72">
        <v>45686.0</v>
      </c>
    </row>
    <row r="91">
      <c r="A91" s="76" t="s">
        <v>836</v>
      </c>
      <c r="B91" s="72">
        <v>45686.0</v>
      </c>
    </row>
    <row r="92">
      <c r="A92" s="76" t="s">
        <v>914</v>
      </c>
      <c r="B92" s="72">
        <v>45686.0</v>
      </c>
    </row>
    <row r="93">
      <c r="A93" s="76" t="s">
        <v>752</v>
      </c>
      <c r="B93" s="72">
        <v>45686.0</v>
      </c>
    </row>
    <row r="94">
      <c r="A94" s="76" t="s">
        <v>918</v>
      </c>
      <c r="B94" s="72">
        <v>45686.0</v>
      </c>
    </row>
    <row r="95">
      <c r="A95" s="76" t="s">
        <v>920</v>
      </c>
      <c r="B95" s="72">
        <v>45686.0</v>
      </c>
    </row>
    <row r="96">
      <c r="A96" s="76" t="s">
        <v>922</v>
      </c>
      <c r="B96" s="72">
        <v>45686.0</v>
      </c>
    </row>
    <row r="97">
      <c r="A97" s="76" t="s">
        <v>923</v>
      </c>
      <c r="B97" s="72">
        <v>45691.0</v>
      </c>
    </row>
    <row r="98">
      <c r="A98" s="76" t="s">
        <v>925</v>
      </c>
      <c r="B98" s="72">
        <v>45691.0</v>
      </c>
    </row>
    <row r="99">
      <c r="A99" s="76" t="s">
        <v>926</v>
      </c>
      <c r="B99" s="72">
        <v>45691.0</v>
      </c>
    </row>
    <row r="100">
      <c r="A100" s="76" t="s">
        <v>931</v>
      </c>
      <c r="B100" s="72">
        <v>45691.0</v>
      </c>
    </row>
    <row r="101">
      <c r="A101" s="76" t="s">
        <v>914</v>
      </c>
      <c r="B101" s="72">
        <v>45691.0</v>
      </c>
    </row>
    <row r="102">
      <c r="A102" s="76" t="s">
        <v>750</v>
      </c>
      <c r="B102" s="72">
        <v>45691.0</v>
      </c>
    </row>
    <row r="103">
      <c r="A103" s="76" t="s">
        <v>940</v>
      </c>
      <c r="B103" s="72">
        <v>45691.0</v>
      </c>
    </row>
    <row r="104">
      <c r="A104" s="76" t="s">
        <v>942</v>
      </c>
      <c r="B104" s="72">
        <v>45691.0</v>
      </c>
    </row>
    <row r="105">
      <c r="A105" s="76" t="s">
        <v>946</v>
      </c>
      <c r="B105" s="72">
        <v>45691.0</v>
      </c>
    </row>
    <row r="106">
      <c r="A106" s="71" t="s">
        <v>948</v>
      </c>
      <c r="B106" s="72">
        <v>45693.0</v>
      </c>
    </row>
    <row r="107">
      <c r="A107" s="71" t="s">
        <v>948</v>
      </c>
      <c r="B107" s="72">
        <v>45693.0</v>
      </c>
    </row>
    <row r="108">
      <c r="A108" s="71" t="s">
        <v>951</v>
      </c>
      <c r="B108" s="72">
        <v>45693.0</v>
      </c>
    </row>
    <row r="109">
      <c r="A109" s="71" t="s">
        <v>952</v>
      </c>
      <c r="B109" s="72">
        <v>45693.0</v>
      </c>
    </row>
    <row r="110">
      <c r="A110" s="71" t="s">
        <v>955</v>
      </c>
      <c r="B110" s="72">
        <v>45693.0</v>
      </c>
    </row>
    <row r="111">
      <c r="A111" s="71" t="s">
        <v>657</v>
      </c>
      <c r="B111" s="72">
        <v>45693.0</v>
      </c>
    </row>
    <row r="112">
      <c r="A112" s="71" t="s">
        <v>959</v>
      </c>
      <c r="B112" s="72">
        <v>45693.0</v>
      </c>
    </row>
    <row r="113">
      <c r="A113" s="71" t="s">
        <v>963</v>
      </c>
      <c r="B113" s="72">
        <v>45693.0</v>
      </c>
    </row>
    <row r="114">
      <c r="A114" s="76" t="s">
        <v>914</v>
      </c>
      <c r="B114" s="72">
        <v>45698.0</v>
      </c>
    </row>
    <row r="115">
      <c r="A115" s="76" t="s">
        <v>882</v>
      </c>
      <c r="B115" s="72">
        <v>45698.0</v>
      </c>
    </row>
    <row r="116">
      <c r="A116" s="76" t="s">
        <v>871</v>
      </c>
      <c r="B116" s="72">
        <v>45698.0</v>
      </c>
    </row>
    <row r="117">
      <c r="A117" s="76" t="s">
        <v>871</v>
      </c>
      <c r="B117" s="72">
        <v>45698.0</v>
      </c>
    </row>
    <row r="118">
      <c r="A118" s="76" t="s">
        <v>972</v>
      </c>
      <c r="B118" s="72">
        <v>45698.0</v>
      </c>
    </row>
    <row r="119">
      <c r="A119" s="76" t="s">
        <v>977</v>
      </c>
      <c r="B119" s="72">
        <v>45698.0</v>
      </c>
    </row>
    <row r="120">
      <c r="A120" s="76" t="s">
        <v>980</v>
      </c>
      <c r="B120" s="72">
        <v>45698.0</v>
      </c>
    </row>
    <row r="121">
      <c r="A121" s="76" t="s">
        <v>984</v>
      </c>
      <c r="B121" s="72">
        <v>45698.0</v>
      </c>
    </row>
    <row r="122">
      <c r="A122" s="76" t="s">
        <v>986</v>
      </c>
      <c r="B122" s="72">
        <v>45698.0</v>
      </c>
    </row>
    <row r="123">
      <c r="A123" s="76" t="s">
        <v>803</v>
      </c>
      <c r="B123" s="72">
        <v>45701.0</v>
      </c>
    </row>
    <row r="124">
      <c r="A124" s="76" t="s">
        <v>803</v>
      </c>
      <c r="B124" s="72">
        <v>45701.0</v>
      </c>
    </row>
    <row r="125">
      <c r="A125" s="76" t="s">
        <v>993</v>
      </c>
      <c r="B125" s="72">
        <v>45701.0</v>
      </c>
    </row>
    <row r="126">
      <c r="A126" s="76" t="s">
        <v>677</v>
      </c>
      <c r="B126" s="72">
        <v>45701.0</v>
      </c>
    </row>
    <row r="127">
      <c r="A127" s="76" t="s">
        <v>999</v>
      </c>
      <c r="B127" s="72">
        <v>45701.0</v>
      </c>
    </row>
    <row r="128">
      <c r="A128" s="76" t="s">
        <v>1000</v>
      </c>
      <c r="B128" s="72">
        <v>45701.0</v>
      </c>
    </row>
    <row r="129">
      <c r="A129" s="76" t="s">
        <v>569</v>
      </c>
      <c r="B129" s="72">
        <v>45701.0</v>
      </c>
    </row>
    <row r="130">
      <c r="A130" s="76" t="s">
        <v>889</v>
      </c>
      <c r="B130" s="72">
        <v>45706.0</v>
      </c>
    </row>
    <row r="131">
      <c r="A131" s="76" t="s">
        <v>1004</v>
      </c>
      <c r="B131" s="72">
        <v>45706.0</v>
      </c>
    </row>
    <row r="132">
      <c r="A132" s="71" t="s">
        <v>1008</v>
      </c>
      <c r="B132" s="72">
        <v>45706.0</v>
      </c>
    </row>
    <row r="133">
      <c r="A133" s="76" t="s">
        <v>1009</v>
      </c>
      <c r="B133" s="72">
        <v>45706.0</v>
      </c>
    </row>
    <row r="134">
      <c r="A134" s="76" t="s">
        <v>1010</v>
      </c>
      <c r="B134" s="72">
        <v>45706.0</v>
      </c>
    </row>
    <row r="135">
      <c r="A135" s="76" t="s">
        <v>826</v>
      </c>
      <c r="B135" s="72">
        <v>45706.0</v>
      </c>
    </row>
    <row r="136">
      <c r="A136" s="76" t="s">
        <v>900</v>
      </c>
      <c r="B136" s="72">
        <v>45706.0</v>
      </c>
    </row>
    <row r="137">
      <c r="A137" s="76" t="s">
        <v>725</v>
      </c>
      <c r="B137" s="72">
        <v>45706.0</v>
      </c>
    </row>
    <row r="138">
      <c r="A138" s="76" t="s">
        <v>1014</v>
      </c>
      <c r="B138" s="72">
        <v>45706.0</v>
      </c>
    </row>
    <row r="139">
      <c r="A139" s="76" t="s">
        <v>330</v>
      </c>
      <c r="B139" s="72">
        <v>45706.0</v>
      </c>
    </row>
    <row r="140">
      <c r="A140" s="76" t="s">
        <v>1017</v>
      </c>
      <c r="B140" s="72">
        <v>45706.0</v>
      </c>
    </row>
    <row r="141">
      <c r="A141" s="76" t="s">
        <v>604</v>
      </c>
      <c r="B141" s="72">
        <v>45706.0</v>
      </c>
    </row>
    <row r="142">
      <c r="A142" s="76" t="s">
        <v>871</v>
      </c>
      <c r="B142" s="72">
        <v>45712.0</v>
      </c>
    </row>
    <row r="143">
      <c r="A143" s="76" t="s">
        <v>1023</v>
      </c>
      <c r="B143" s="72">
        <v>45712.0</v>
      </c>
    </row>
    <row r="144">
      <c r="A144" s="76" t="s">
        <v>778</v>
      </c>
      <c r="B144" s="72">
        <v>45712.0</v>
      </c>
    </row>
    <row r="145">
      <c r="A145" s="76" t="s">
        <v>778</v>
      </c>
      <c r="B145" s="72">
        <v>45712.0</v>
      </c>
    </row>
    <row r="146">
      <c r="A146" s="76" t="s">
        <v>885</v>
      </c>
      <c r="B146" s="72">
        <v>45712.0</v>
      </c>
    </row>
    <row r="147">
      <c r="A147" s="76" t="s">
        <v>1032</v>
      </c>
      <c r="B147" s="72">
        <v>45712.0</v>
      </c>
    </row>
    <row r="148">
      <c r="A148" s="76" t="s">
        <v>940</v>
      </c>
      <c r="B148" s="72">
        <v>45712.0</v>
      </c>
    </row>
    <row r="149">
      <c r="A149" s="76" t="s">
        <v>959</v>
      </c>
      <c r="B149" s="72">
        <v>45712.0</v>
      </c>
    </row>
    <row r="150">
      <c r="A150" s="76" t="s">
        <v>1038</v>
      </c>
      <c r="B150" s="72">
        <v>45712.0</v>
      </c>
    </row>
    <row r="151">
      <c r="A151" s="76" t="s">
        <v>1039</v>
      </c>
      <c r="B151" s="72">
        <v>45712.0</v>
      </c>
    </row>
    <row r="152">
      <c r="A152" s="76" t="s">
        <v>1041</v>
      </c>
      <c r="B152" s="72">
        <v>45712.0</v>
      </c>
    </row>
    <row r="153">
      <c r="A153" s="76" t="s">
        <v>1043</v>
      </c>
      <c r="B153" s="72">
        <v>45712.0</v>
      </c>
    </row>
    <row r="154">
      <c r="A154" s="76" t="s">
        <v>915</v>
      </c>
      <c r="B154" s="72">
        <v>45712.0</v>
      </c>
    </row>
    <row r="155">
      <c r="A155" s="76" t="s">
        <v>865</v>
      </c>
      <c r="B155" s="72">
        <v>45712.0</v>
      </c>
    </row>
    <row r="156">
      <c r="A156" s="76" t="s">
        <v>1045</v>
      </c>
      <c r="B156" s="72">
        <v>45712.0</v>
      </c>
    </row>
    <row r="157">
      <c r="A157" s="76" t="s">
        <v>1047</v>
      </c>
      <c r="B157" s="72">
        <v>45715.0</v>
      </c>
    </row>
    <row r="158">
      <c r="A158" s="76" t="s">
        <v>1050</v>
      </c>
      <c r="B158" s="72">
        <v>45715.0</v>
      </c>
    </row>
    <row r="159">
      <c r="A159" s="76" t="s">
        <v>1053</v>
      </c>
      <c r="B159" s="112"/>
    </row>
    <row r="160">
      <c r="A160" s="76" t="s">
        <v>1057</v>
      </c>
      <c r="B160" s="112"/>
    </row>
    <row r="161">
      <c r="A161" s="76" t="s">
        <v>1041</v>
      </c>
      <c r="B161" s="72">
        <v>45719.0</v>
      </c>
    </row>
    <row r="162">
      <c r="A162" s="76" t="s">
        <v>1061</v>
      </c>
      <c r="B162" s="72">
        <v>45719.0</v>
      </c>
    </row>
    <row r="163">
      <c r="A163" s="76" t="s">
        <v>900</v>
      </c>
      <c r="B163" s="72">
        <v>45719.0</v>
      </c>
    </row>
    <row r="164">
      <c r="A164" s="76" t="s">
        <v>1064</v>
      </c>
      <c r="B164" s="72">
        <v>45719.0</v>
      </c>
    </row>
    <row r="165">
      <c r="A165" s="76" t="s">
        <v>874</v>
      </c>
      <c r="B165" s="72">
        <v>45719.0</v>
      </c>
    </row>
    <row r="166">
      <c r="A166" s="76" t="s">
        <v>833</v>
      </c>
      <c r="B166" s="72">
        <v>45719.0</v>
      </c>
    </row>
    <row r="167">
      <c r="A167" s="76" t="s">
        <v>1069</v>
      </c>
      <c r="B167" s="72">
        <v>45721.0</v>
      </c>
    </row>
    <row r="168">
      <c r="A168" s="76" t="s">
        <v>601</v>
      </c>
      <c r="B168" s="72">
        <v>45721.0</v>
      </c>
    </row>
    <row r="169">
      <c r="A169" s="76" t="s">
        <v>1077</v>
      </c>
      <c r="B169" s="72">
        <v>45721.0</v>
      </c>
    </row>
    <row r="170">
      <c r="A170" s="76" t="s">
        <v>1082</v>
      </c>
      <c r="B170" s="72">
        <v>45721.0</v>
      </c>
    </row>
    <row r="171">
      <c r="A171" s="76" t="s">
        <v>1083</v>
      </c>
      <c r="B171" s="72">
        <v>45721.0</v>
      </c>
    </row>
    <row r="172">
      <c r="A172" s="76" t="s">
        <v>1085</v>
      </c>
      <c r="B172" s="72">
        <v>45721.0</v>
      </c>
    </row>
    <row r="173">
      <c r="A173" s="76" t="s">
        <v>1087</v>
      </c>
      <c r="B173" s="72">
        <v>45721.0</v>
      </c>
    </row>
    <row r="174">
      <c r="A174" s="76" t="s">
        <v>1088</v>
      </c>
      <c r="B174" s="72">
        <v>45721.0</v>
      </c>
    </row>
    <row r="175">
      <c r="A175" s="76" t="s">
        <v>1092</v>
      </c>
      <c r="B175" s="72">
        <v>45721.0</v>
      </c>
    </row>
    <row r="176">
      <c r="A176" s="76" t="s">
        <v>1095</v>
      </c>
      <c r="B176" s="72">
        <v>45721.0</v>
      </c>
    </row>
    <row r="177">
      <c r="A177" s="76" t="s">
        <v>1097</v>
      </c>
      <c r="B177" s="72">
        <v>45721.0</v>
      </c>
    </row>
    <row r="178">
      <c r="A178" s="76" t="s">
        <v>1099</v>
      </c>
      <c r="B178" s="72">
        <v>45721.0</v>
      </c>
    </row>
    <row r="179">
      <c r="A179" s="76" t="s">
        <v>1100</v>
      </c>
      <c r="B179" s="72">
        <v>45721.0</v>
      </c>
    </row>
    <row r="180">
      <c r="A180" s="76" t="s">
        <v>1103</v>
      </c>
      <c r="B180" s="72">
        <v>45721.0</v>
      </c>
    </row>
    <row r="181">
      <c r="A181" s="76" t="s">
        <v>1105</v>
      </c>
      <c r="B181" s="72">
        <v>45721.0</v>
      </c>
    </row>
    <row r="182">
      <c r="A182" s="76" t="s">
        <v>1107</v>
      </c>
      <c r="B182" s="72">
        <v>45721.0</v>
      </c>
    </row>
    <row r="183">
      <c r="A183" s="76" t="s">
        <v>1110</v>
      </c>
      <c r="B183" s="72">
        <v>45721.0</v>
      </c>
    </row>
    <row r="184">
      <c r="A184" s="76" t="s">
        <v>778</v>
      </c>
      <c r="B184" s="72">
        <v>45721.0</v>
      </c>
    </row>
    <row r="185">
      <c r="A185" s="76" t="s">
        <v>238</v>
      </c>
      <c r="B185" s="72">
        <v>45721.0</v>
      </c>
    </row>
    <row r="186">
      <c r="A186" s="76" t="s">
        <v>1112</v>
      </c>
      <c r="B186" s="72">
        <v>45722.0</v>
      </c>
    </row>
    <row r="187">
      <c r="A187" s="76" t="s">
        <v>786</v>
      </c>
      <c r="B187" s="72">
        <v>45725.0</v>
      </c>
    </row>
    <row r="188">
      <c r="A188" s="76" t="s">
        <v>786</v>
      </c>
      <c r="B188" s="72">
        <v>45725.0</v>
      </c>
    </row>
    <row r="189">
      <c r="A189" s="76" t="s">
        <v>1118</v>
      </c>
      <c r="B189" s="72">
        <v>45725.0</v>
      </c>
    </row>
    <row r="190">
      <c r="A190" s="76" t="s">
        <v>637</v>
      </c>
      <c r="B190" s="72">
        <v>45725.0</v>
      </c>
    </row>
    <row r="191">
      <c r="A191" s="76" t="s">
        <v>1122</v>
      </c>
      <c r="B191" s="72">
        <v>45725.0</v>
      </c>
    </row>
    <row r="192">
      <c r="A192" s="76" t="s">
        <v>778</v>
      </c>
      <c r="B192" s="72">
        <v>45725.0</v>
      </c>
    </row>
    <row r="193">
      <c r="A193" s="76" t="s">
        <v>1128</v>
      </c>
      <c r="B193" s="72">
        <v>45725.0</v>
      </c>
    </row>
    <row r="194">
      <c r="A194" s="76" t="s">
        <v>1131</v>
      </c>
      <c r="B194" s="72">
        <v>45725.0</v>
      </c>
    </row>
    <row r="195">
      <c r="A195" s="76" t="s">
        <v>1133</v>
      </c>
      <c r="B195" s="72">
        <v>45725.0</v>
      </c>
    </row>
    <row r="196">
      <c r="A196" s="76" t="s">
        <v>1137</v>
      </c>
      <c r="B196" s="72">
        <v>45733.0</v>
      </c>
    </row>
    <row r="197">
      <c r="A197" s="76" t="s">
        <v>1139</v>
      </c>
      <c r="B197" s="72">
        <v>45733.0</v>
      </c>
    </row>
    <row r="198">
      <c r="A198" s="76" t="s">
        <v>1141</v>
      </c>
      <c r="B198" s="72">
        <v>45733.0</v>
      </c>
    </row>
    <row r="199">
      <c r="A199" s="76" t="s">
        <v>1122</v>
      </c>
      <c r="B199" s="72">
        <v>45733.0</v>
      </c>
    </row>
    <row r="200">
      <c r="A200" s="76" t="s">
        <v>839</v>
      </c>
      <c r="B200" s="72">
        <v>45733.0</v>
      </c>
    </row>
    <row r="201">
      <c r="A201" s="76" t="s">
        <v>1146</v>
      </c>
      <c r="B201" s="72">
        <v>45733.0</v>
      </c>
    </row>
    <row r="202">
      <c r="A202" s="76" t="s">
        <v>778</v>
      </c>
      <c r="B202" s="72">
        <v>45733.0</v>
      </c>
    </row>
    <row r="203">
      <c r="A203" s="76" t="s">
        <v>652</v>
      </c>
      <c r="B203" s="72">
        <v>45733.0</v>
      </c>
    </row>
    <row r="204">
      <c r="A204" s="76" t="s">
        <v>602</v>
      </c>
      <c r="B204" s="72">
        <v>45733.0</v>
      </c>
    </row>
    <row r="205">
      <c r="A205" s="76" t="s">
        <v>1156</v>
      </c>
      <c r="B205" s="72">
        <v>45733.0</v>
      </c>
    </row>
    <row r="206">
      <c r="A206" s="76" t="s">
        <v>1158</v>
      </c>
      <c r="B206" s="72">
        <v>45733.0</v>
      </c>
    </row>
    <row r="207">
      <c r="A207" s="76" t="s">
        <v>1160</v>
      </c>
      <c r="B207" s="72">
        <v>45733.0</v>
      </c>
    </row>
    <row r="208">
      <c r="A208" s="76" t="s">
        <v>1162</v>
      </c>
      <c r="B208" s="72">
        <v>45733.0</v>
      </c>
    </row>
    <row r="209">
      <c r="A209" s="76" t="s">
        <v>872</v>
      </c>
      <c r="B209" s="72">
        <v>45733.0</v>
      </c>
    </row>
    <row r="210">
      <c r="A210" s="76" t="s">
        <v>1164</v>
      </c>
      <c r="B210" s="72">
        <v>45733.0</v>
      </c>
    </row>
    <row r="211">
      <c r="A211" s="76" t="s">
        <v>1167</v>
      </c>
      <c r="B211" s="72">
        <v>45733.0</v>
      </c>
    </row>
    <row r="212">
      <c r="A212" s="76" t="s">
        <v>781</v>
      </c>
      <c r="B212" s="72">
        <v>45733.0</v>
      </c>
    </row>
    <row r="213">
      <c r="A213" s="76" t="s">
        <v>1171</v>
      </c>
      <c r="B213" s="72">
        <v>45733.0</v>
      </c>
    </row>
    <row r="214">
      <c r="A214" s="76" t="s">
        <v>1172</v>
      </c>
      <c r="B214" s="72">
        <v>45733.0</v>
      </c>
    </row>
    <row r="215">
      <c r="A215" s="76" t="s">
        <v>1173</v>
      </c>
      <c r="B215" s="72">
        <v>45733.0</v>
      </c>
    </row>
    <row r="216">
      <c r="A216" s="76" t="s">
        <v>948</v>
      </c>
      <c r="B216" s="72">
        <v>45740.0</v>
      </c>
    </row>
    <row r="217">
      <c r="A217" s="76" t="s">
        <v>1179</v>
      </c>
      <c r="B217" s="72">
        <v>45740.0</v>
      </c>
    </row>
    <row r="218">
      <c r="A218" s="76" t="s">
        <v>1053</v>
      </c>
      <c r="B218" s="72">
        <v>45740.0</v>
      </c>
    </row>
    <row r="219">
      <c r="A219" s="76" t="s">
        <v>1053</v>
      </c>
      <c r="B219" s="72">
        <v>45740.0</v>
      </c>
    </row>
    <row r="220">
      <c r="A220" s="76" t="s">
        <v>1057</v>
      </c>
      <c r="B220" s="72">
        <v>45740.0</v>
      </c>
    </row>
    <row r="221">
      <c r="A221" s="76" t="s">
        <v>1057</v>
      </c>
      <c r="B221" s="72">
        <v>45740.0</v>
      </c>
    </row>
    <row r="222">
      <c r="A222" s="76" t="s">
        <v>1118</v>
      </c>
      <c r="B222" s="72">
        <v>45740.0</v>
      </c>
    </row>
    <row r="223">
      <c r="A223" s="76" t="s">
        <v>1186</v>
      </c>
      <c r="B223" s="72">
        <v>45740.0</v>
      </c>
    </row>
    <row r="224">
      <c r="A224" s="76" t="s">
        <v>238</v>
      </c>
      <c r="B224" s="72">
        <v>45740.0</v>
      </c>
    </row>
    <row r="225">
      <c r="A225" s="76" t="s">
        <v>238</v>
      </c>
      <c r="B225" s="72">
        <v>45740.0</v>
      </c>
    </row>
    <row r="226">
      <c r="A226" s="76" t="s">
        <v>597</v>
      </c>
      <c r="B226" s="72">
        <v>45740.0</v>
      </c>
    </row>
    <row r="227">
      <c r="A227" s="76" t="s">
        <v>1050</v>
      </c>
      <c r="B227" s="72">
        <v>45740.0</v>
      </c>
    </row>
    <row r="228">
      <c r="A228" s="76" t="s">
        <v>778</v>
      </c>
      <c r="B228" s="72">
        <v>45740.0</v>
      </c>
    </row>
    <row r="229">
      <c r="A229" s="76" t="s">
        <v>1190</v>
      </c>
      <c r="B229" s="72">
        <v>45740.0</v>
      </c>
    </row>
    <row r="230">
      <c r="A230" s="76" t="s">
        <v>1193</v>
      </c>
      <c r="B230" s="72">
        <v>45740.0</v>
      </c>
    </row>
    <row r="231">
      <c r="A231" s="76" t="s">
        <v>1194</v>
      </c>
      <c r="B231" s="72">
        <v>45740.0</v>
      </c>
    </row>
    <row r="232">
      <c r="A232" s="76" t="s">
        <v>1195</v>
      </c>
      <c r="B232" s="72">
        <v>45740.0</v>
      </c>
    </row>
    <row r="233">
      <c r="A233" s="76" t="s">
        <v>1196</v>
      </c>
      <c r="B233" s="72">
        <v>45740.0</v>
      </c>
    </row>
    <row r="234">
      <c r="A234" s="76" t="s">
        <v>657</v>
      </c>
      <c r="B234" s="72">
        <v>45740.0</v>
      </c>
    </row>
    <row r="235">
      <c r="A235" s="76" t="s">
        <v>1198</v>
      </c>
      <c r="B235" s="72">
        <v>45741.0</v>
      </c>
    </row>
    <row r="236">
      <c r="A236" s="76" t="s">
        <v>1053</v>
      </c>
      <c r="B236" s="72">
        <v>45747.0</v>
      </c>
    </row>
    <row r="237">
      <c r="A237" s="76" t="s">
        <v>1202</v>
      </c>
      <c r="B237" s="72">
        <v>45747.0</v>
      </c>
    </row>
    <row r="238">
      <c r="A238" s="76" t="s">
        <v>1203</v>
      </c>
      <c r="B238" s="72">
        <v>45747.0</v>
      </c>
    </row>
    <row r="239">
      <c r="A239" s="76" t="s">
        <v>1206</v>
      </c>
      <c r="B239" s="72">
        <v>45747.0</v>
      </c>
    </row>
    <row r="240">
      <c r="A240" s="76" t="s">
        <v>1208</v>
      </c>
      <c r="B240" s="72">
        <v>45747.0</v>
      </c>
    </row>
    <row r="241">
      <c r="A241" s="76" t="s">
        <v>851</v>
      </c>
      <c r="B241" s="72">
        <v>45747.0</v>
      </c>
    </row>
    <row r="242">
      <c r="A242" s="76" t="s">
        <v>778</v>
      </c>
      <c r="B242" s="72">
        <v>45747.0</v>
      </c>
    </row>
    <row r="243">
      <c r="A243" s="76" t="s">
        <v>786</v>
      </c>
      <c r="B243" s="72">
        <v>45747.0</v>
      </c>
    </row>
    <row r="244">
      <c r="A244" s="76" t="s">
        <v>807</v>
      </c>
      <c r="B244" s="72">
        <v>45747.0</v>
      </c>
    </row>
    <row r="245">
      <c r="A245" s="76" t="s">
        <v>807</v>
      </c>
      <c r="B245" s="72">
        <v>45747.0</v>
      </c>
    </row>
    <row r="246">
      <c r="A246" s="76" t="s">
        <v>695</v>
      </c>
      <c r="B246" s="72">
        <v>45747.0</v>
      </c>
    </row>
    <row r="247">
      <c r="A247" s="76" t="s">
        <v>1211</v>
      </c>
      <c r="B247" s="72">
        <v>45747.0</v>
      </c>
    </row>
    <row r="248">
      <c r="A248" s="76" t="s">
        <v>1212</v>
      </c>
      <c r="B248" s="72">
        <v>45747.0</v>
      </c>
    </row>
    <row r="249">
      <c r="A249" s="76" t="s">
        <v>761</v>
      </c>
      <c r="B249" s="72">
        <v>45747.0</v>
      </c>
    </row>
    <row r="250">
      <c r="A250" s="76" t="s">
        <v>1215</v>
      </c>
      <c r="B250" s="72">
        <v>45747.0</v>
      </c>
    </row>
    <row r="251">
      <c r="A251" s="102" t="s">
        <v>536</v>
      </c>
      <c r="B251" s="115" t="s">
        <v>537</v>
      </c>
    </row>
    <row r="252">
      <c r="A252" s="58" t="s">
        <v>555</v>
      </c>
      <c r="B252" s="69">
        <v>45753.0</v>
      </c>
    </row>
    <row r="253">
      <c r="A253" s="58" t="s">
        <v>557</v>
      </c>
      <c r="B253" s="69">
        <v>45753.0</v>
      </c>
    </row>
    <row r="254">
      <c r="A254" s="58" t="s">
        <v>558</v>
      </c>
      <c r="B254" s="69">
        <v>45753.0</v>
      </c>
    </row>
    <row r="255">
      <c r="A255" s="58" t="s">
        <v>559</v>
      </c>
      <c r="B255" s="69">
        <v>45753.0</v>
      </c>
    </row>
    <row r="256">
      <c r="A256" s="58" t="s">
        <v>561</v>
      </c>
      <c r="B256" s="69">
        <v>45753.0</v>
      </c>
    </row>
    <row r="257">
      <c r="A257" s="58" t="s">
        <v>564</v>
      </c>
      <c r="B257" s="69">
        <v>45753.0</v>
      </c>
    </row>
    <row r="258">
      <c r="A258" s="58" t="s">
        <v>566</v>
      </c>
      <c r="B258" s="69">
        <v>45753.0</v>
      </c>
    </row>
    <row r="259">
      <c r="A259" s="58" t="s">
        <v>567</v>
      </c>
      <c r="B259" s="69">
        <v>45753.0</v>
      </c>
    </row>
    <row r="260">
      <c r="A260" s="58" t="s">
        <v>568</v>
      </c>
      <c r="B260" s="69">
        <v>45753.0</v>
      </c>
    </row>
    <row r="261">
      <c r="A261" s="58" t="s">
        <v>569</v>
      </c>
      <c r="B261" s="69">
        <v>45753.0</v>
      </c>
    </row>
    <row r="262">
      <c r="A262" s="58" t="s">
        <v>571</v>
      </c>
      <c r="B262" s="69">
        <v>45753.0</v>
      </c>
    </row>
    <row r="263">
      <c r="A263" s="58" t="s">
        <v>572</v>
      </c>
      <c r="B263" s="69">
        <v>45753.0</v>
      </c>
    </row>
    <row r="264">
      <c r="A264" s="58" t="s">
        <v>574</v>
      </c>
      <c r="B264" s="69">
        <v>45754.0</v>
      </c>
    </row>
    <row r="265">
      <c r="A265" s="58" t="s">
        <v>577</v>
      </c>
      <c r="B265" s="69">
        <v>45754.0</v>
      </c>
    </row>
    <row r="266">
      <c r="A266" s="58" t="s">
        <v>579</v>
      </c>
      <c r="B266" s="69">
        <v>45754.0</v>
      </c>
    </row>
    <row r="267">
      <c r="A267" s="58" t="s">
        <v>581</v>
      </c>
      <c r="B267" s="69">
        <v>45760.0</v>
      </c>
    </row>
    <row r="268">
      <c r="A268" s="58" t="s">
        <v>583</v>
      </c>
      <c r="B268" s="69">
        <v>45760.0</v>
      </c>
    </row>
    <row r="269">
      <c r="A269" s="58" t="s">
        <v>583</v>
      </c>
      <c r="B269" s="69">
        <v>45760.0</v>
      </c>
    </row>
    <row r="270">
      <c r="A270" s="58" t="s">
        <v>583</v>
      </c>
      <c r="B270" s="69">
        <v>45760.0</v>
      </c>
    </row>
    <row r="271">
      <c r="A271" s="58" t="s">
        <v>583</v>
      </c>
      <c r="B271" s="69">
        <v>45760.0</v>
      </c>
    </row>
    <row r="272">
      <c r="A272" s="58" t="s">
        <v>589</v>
      </c>
      <c r="B272" s="69">
        <v>45760.0</v>
      </c>
    </row>
    <row r="273">
      <c r="A273" s="58" t="s">
        <v>592</v>
      </c>
      <c r="B273" s="69">
        <v>45760.0</v>
      </c>
    </row>
    <row r="274">
      <c r="A274" s="58" t="s">
        <v>593</v>
      </c>
      <c r="B274" s="69">
        <v>45760.0</v>
      </c>
    </row>
    <row r="275">
      <c r="A275" s="58" t="s">
        <v>595</v>
      </c>
      <c r="B275" s="69">
        <v>45760.0</v>
      </c>
    </row>
    <row r="276">
      <c r="A276" s="58" t="s">
        <v>597</v>
      </c>
      <c r="B276" s="69">
        <v>45760.0</v>
      </c>
    </row>
    <row r="277">
      <c r="A277" s="58" t="s">
        <v>599</v>
      </c>
      <c r="B277" s="69">
        <v>45760.0</v>
      </c>
    </row>
    <row r="278">
      <c r="A278" s="58" t="s">
        <v>600</v>
      </c>
      <c r="B278" s="69">
        <v>45760.0</v>
      </c>
    </row>
    <row r="279">
      <c r="A279" s="58" t="s">
        <v>601</v>
      </c>
      <c r="B279" s="69">
        <v>45760.0</v>
      </c>
    </row>
    <row r="280">
      <c r="A280" s="58" t="s">
        <v>568</v>
      </c>
      <c r="B280" s="69">
        <v>45760.0</v>
      </c>
    </row>
    <row r="281">
      <c r="A281" s="58" t="s">
        <v>602</v>
      </c>
      <c r="B281" s="69">
        <v>45760.0</v>
      </c>
    </row>
    <row r="282">
      <c r="A282" s="58" t="s">
        <v>603</v>
      </c>
      <c r="B282" s="69">
        <v>45760.0</v>
      </c>
    </row>
    <row r="283">
      <c r="A283" s="58" t="s">
        <v>604</v>
      </c>
      <c r="B283" s="69">
        <v>45760.0</v>
      </c>
    </row>
    <row r="284">
      <c r="A284" s="58" t="s">
        <v>606</v>
      </c>
      <c r="B284" s="69">
        <v>45760.0</v>
      </c>
    </row>
    <row r="285">
      <c r="A285" s="58" t="s">
        <v>607</v>
      </c>
      <c r="B285" s="69">
        <v>45767.0</v>
      </c>
    </row>
    <row r="286">
      <c r="A286" s="58" t="s">
        <v>610</v>
      </c>
      <c r="B286" s="69">
        <v>45767.0</v>
      </c>
    </row>
    <row r="287">
      <c r="A287" s="58" t="s">
        <v>611</v>
      </c>
      <c r="B287" s="69">
        <v>45767.0</v>
      </c>
    </row>
    <row r="288">
      <c r="A288" s="58" t="s">
        <v>612</v>
      </c>
      <c r="B288" s="69">
        <v>45767.0</v>
      </c>
    </row>
    <row r="289">
      <c r="A289" s="58" t="s">
        <v>614</v>
      </c>
      <c r="B289" s="69">
        <v>45767.0</v>
      </c>
    </row>
    <row r="290">
      <c r="A290" s="58" t="s">
        <v>616</v>
      </c>
      <c r="B290" s="69">
        <v>45767.0</v>
      </c>
    </row>
    <row r="291">
      <c r="A291" s="58" t="s">
        <v>617</v>
      </c>
      <c r="B291" s="69">
        <v>45767.0</v>
      </c>
    </row>
    <row r="292">
      <c r="A292" s="58" t="s">
        <v>618</v>
      </c>
      <c r="B292" s="69">
        <v>45767.0</v>
      </c>
    </row>
    <row r="293">
      <c r="A293" s="58" t="s">
        <v>558</v>
      </c>
      <c r="B293" s="69">
        <v>45767.0</v>
      </c>
    </row>
    <row r="294">
      <c r="A294" s="58" t="s">
        <v>558</v>
      </c>
      <c r="B294" s="69">
        <v>45767.0</v>
      </c>
    </row>
    <row r="295">
      <c r="A295" s="58" t="s">
        <v>621</v>
      </c>
      <c r="B295" s="69">
        <v>45767.0</v>
      </c>
    </row>
    <row r="296">
      <c r="A296" s="58" t="s">
        <v>574</v>
      </c>
      <c r="B296" s="69">
        <v>45767.0</v>
      </c>
    </row>
    <row r="297">
      <c r="A297" s="58" t="s">
        <v>624</v>
      </c>
      <c r="B297" s="69">
        <v>45767.0</v>
      </c>
    </row>
    <row r="298">
      <c r="A298" s="58" t="s">
        <v>626</v>
      </c>
      <c r="B298" s="69">
        <v>45769.0</v>
      </c>
    </row>
    <row r="299">
      <c r="A299" s="58" t="s">
        <v>629</v>
      </c>
      <c r="B299" s="69">
        <v>45770.0</v>
      </c>
    </row>
    <row r="300">
      <c r="A300" s="58" t="s">
        <v>566</v>
      </c>
      <c r="B300" s="69">
        <v>45770.0</v>
      </c>
    </row>
    <row r="301">
      <c r="A301" s="58" t="s">
        <v>632</v>
      </c>
      <c r="B301" s="69">
        <v>45770.0</v>
      </c>
    </row>
    <row r="302">
      <c r="A302" s="58" t="s">
        <v>635</v>
      </c>
      <c r="B302" s="69">
        <v>45770.0</v>
      </c>
    </row>
    <row r="303">
      <c r="A303" s="58" t="s">
        <v>636</v>
      </c>
      <c r="B303" s="69">
        <v>45770.0</v>
      </c>
    </row>
    <row r="304">
      <c r="A304" s="58" t="s">
        <v>637</v>
      </c>
      <c r="B304" s="69">
        <v>45770.0</v>
      </c>
    </row>
    <row r="305">
      <c r="A305" s="58" t="s">
        <v>639</v>
      </c>
      <c r="B305" s="69">
        <v>45770.0</v>
      </c>
    </row>
    <row r="306">
      <c r="A306" s="58" t="s">
        <v>640</v>
      </c>
      <c r="B306" s="69">
        <v>45770.0</v>
      </c>
    </row>
    <row r="307">
      <c r="A307" s="58" t="s">
        <v>642</v>
      </c>
      <c r="B307" s="69">
        <v>45770.0</v>
      </c>
    </row>
    <row r="308">
      <c r="A308" s="58" t="s">
        <v>643</v>
      </c>
      <c r="B308" s="69">
        <v>45770.0</v>
      </c>
    </row>
    <row r="309">
      <c r="A309" s="58" t="s">
        <v>644</v>
      </c>
      <c r="B309" s="69">
        <v>45775.0</v>
      </c>
    </row>
    <row r="310">
      <c r="A310" s="58" t="s">
        <v>330</v>
      </c>
      <c r="B310" s="69">
        <v>45775.0</v>
      </c>
    </row>
    <row r="311">
      <c r="A311" s="58" t="s">
        <v>648</v>
      </c>
      <c r="B311" s="69">
        <v>45775.0</v>
      </c>
    </row>
    <row r="312">
      <c r="A312" s="58" t="s">
        <v>649</v>
      </c>
      <c r="B312" s="69">
        <v>45775.0</v>
      </c>
    </row>
    <row r="313">
      <c r="A313" s="58" t="s">
        <v>650</v>
      </c>
      <c r="B313" s="69">
        <v>45775.0</v>
      </c>
    </row>
    <row r="314">
      <c r="A314" s="58" t="s">
        <v>652</v>
      </c>
      <c r="B314" s="69">
        <v>45775.0</v>
      </c>
    </row>
    <row r="315">
      <c r="A315" s="58" t="s">
        <v>654</v>
      </c>
      <c r="B315" s="69">
        <v>45775.0</v>
      </c>
    </row>
    <row r="316">
      <c r="A316" s="58" t="s">
        <v>655</v>
      </c>
      <c r="B316" s="69">
        <v>45775.0</v>
      </c>
    </row>
    <row r="317">
      <c r="A317" s="58" t="s">
        <v>656</v>
      </c>
      <c r="B317" s="69">
        <v>45775.0</v>
      </c>
    </row>
    <row r="318">
      <c r="A318" s="58" t="s">
        <v>657</v>
      </c>
      <c r="B318" s="69">
        <v>45775.0</v>
      </c>
    </row>
    <row r="319">
      <c r="A319" s="58" t="s">
        <v>68</v>
      </c>
      <c r="B319" s="69">
        <v>45775.0</v>
      </c>
    </row>
    <row r="320">
      <c r="A320" s="58" t="s">
        <v>571</v>
      </c>
      <c r="B320" s="69">
        <v>45775.0</v>
      </c>
    </row>
    <row r="321">
      <c r="A321" s="58" t="s">
        <v>658</v>
      </c>
      <c r="B321" s="69">
        <v>45775.0</v>
      </c>
    </row>
    <row r="322">
      <c r="A322" s="58" t="s">
        <v>659</v>
      </c>
      <c r="B322" s="69">
        <v>45775.0</v>
      </c>
    </row>
    <row r="323">
      <c r="A323" s="58" t="s">
        <v>660</v>
      </c>
      <c r="B323" s="69">
        <v>45775.0</v>
      </c>
    </row>
    <row r="324">
      <c r="A324" s="58" t="s">
        <v>661</v>
      </c>
      <c r="B324" s="69">
        <v>45775.0</v>
      </c>
    </row>
    <row r="325">
      <c r="A325" s="58" t="s">
        <v>662</v>
      </c>
      <c r="B325" s="69">
        <v>45775.0</v>
      </c>
    </row>
    <row r="326">
      <c r="A326" s="58" t="s">
        <v>663</v>
      </c>
      <c r="B326" s="69">
        <v>45775.0</v>
      </c>
    </row>
    <row r="327">
      <c r="A327" s="58" t="s">
        <v>664</v>
      </c>
      <c r="B327" s="69">
        <v>45775.0</v>
      </c>
    </row>
    <row r="328">
      <c r="A328" s="58" t="s">
        <v>665</v>
      </c>
      <c r="B328" s="69">
        <v>45775.0</v>
      </c>
    </row>
    <row r="329">
      <c r="A329" s="58" t="s">
        <v>668</v>
      </c>
      <c r="B329" s="69">
        <v>45775.0</v>
      </c>
    </row>
    <row r="330">
      <c r="A330" s="62" t="s">
        <v>670</v>
      </c>
      <c r="B330" s="69">
        <v>45775.0</v>
      </c>
    </row>
    <row r="331">
      <c r="A331" s="58" t="s">
        <v>672</v>
      </c>
      <c r="B331" s="69">
        <v>45775.0</v>
      </c>
    </row>
    <row r="332">
      <c r="A332" s="58" t="s">
        <v>674</v>
      </c>
      <c r="B332" s="69">
        <v>45775.0</v>
      </c>
    </row>
    <row r="333">
      <c r="A333" s="58" t="s">
        <v>677</v>
      </c>
      <c r="B333" s="69">
        <v>45782.0</v>
      </c>
    </row>
    <row r="334">
      <c r="A334" s="58" t="s">
        <v>677</v>
      </c>
      <c r="B334" s="69">
        <v>45782.0</v>
      </c>
    </row>
    <row r="335">
      <c r="A335" s="58" t="s">
        <v>678</v>
      </c>
      <c r="B335" s="69">
        <v>45782.0</v>
      </c>
    </row>
    <row r="336">
      <c r="A336" s="58" t="s">
        <v>679</v>
      </c>
      <c r="B336" s="69">
        <v>45782.0</v>
      </c>
    </row>
    <row r="337">
      <c r="A337" s="58" t="s">
        <v>621</v>
      </c>
      <c r="B337" s="69">
        <v>45782.0</v>
      </c>
    </row>
    <row r="338">
      <c r="A338" s="58" t="s">
        <v>637</v>
      </c>
      <c r="B338" s="69">
        <v>45782.0</v>
      </c>
    </row>
    <row r="339">
      <c r="A339" s="58" t="s">
        <v>687</v>
      </c>
      <c r="B339" s="69">
        <v>45782.0</v>
      </c>
    </row>
    <row r="340">
      <c r="A340" s="58" t="s">
        <v>690</v>
      </c>
      <c r="B340" s="69">
        <v>45782.0</v>
      </c>
    </row>
    <row r="341">
      <c r="A341" s="58" t="s">
        <v>695</v>
      </c>
      <c r="B341" s="69">
        <v>45782.0</v>
      </c>
    </row>
    <row r="342">
      <c r="A342" s="58" t="s">
        <v>701</v>
      </c>
      <c r="B342" s="69">
        <v>45782.0</v>
      </c>
    </row>
    <row r="343">
      <c r="A343" s="58" t="s">
        <v>704</v>
      </c>
      <c r="B343" s="69">
        <v>45782.0</v>
      </c>
    </row>
    <row r="344">
      <c r="A344" s="58" t="s">
        <v>708</v>
      </c>
      <c r="B344" s="69">
        <v>45785.0</v>
      </c>
    </row>
    <row r="345">
      <c r="A345" s="58" t="s">
        <v>715</v>
      </c>
      <c r="B345" s="69">
        <v>45785.0</v>
      </c>
    </row>
    <row r="346">
      <c r="A346" s="58" t="s">
        <v>564</v>
      </c>
      <c r="B346" s="69">
        <v>45785.0</v>
      </c>
    </row>
    <row r="347">
      <c r="A347" s="58" t="s">
        <v>721</v>
      </c>
      <c r="B347" s="69">
        <v>45785.0</v>
      </c>
    </row>
    <row r="348">
      <c r="A348" s="58" t="s">
        <v>725</v>
      </c>
      <c r="B348" s="69">
        <v>45791.0</v>
      </c>
    </row>
    <row r="349">
      <c r="A349" s="58" t="s">
        <v>731</v>
      </c>
      <c r="B349" s="69">
        <v>45791.0</v>
      </c>
    </row>
    <row r="350">
      <c r="A350" s="58" t="s">
        <v>735</v>
      </c>
      <c r="B350" s="69">
        <v>45791.0</v>
      </c>
    </row>
    <row r="351">
      <c r="A351" s="58" t="s">
        <v>704</v>
      </c>
      <c r="B351" s="69">
        <v>45791.0</v>
      </c>
    </row>
    <row r="352">
      <c r="A352" s="58" t="s">
        <v>743</v>
      </c>
      <c r="B352" s="69">
        <v>45791.0</v>
      </c>
    </row>
    <row r="353">
      <c r="A353" s="58" t="s">
        <v>745</v>
      </c>
      <c r="B353" s="69">
        <v>45791.0</v>
      </c>
    </row>
    <row r="354">
      <c r="A354" s="58" t="s">
        <v>748</v>
      </c>
      <c r="B354" s="69">
        <v>45791.0</v>
      </c>
    </row>
    <row r="355">
      <c r="A355" s="58" t="s">
        <v>754</v>
      </c>
      <c r="B355" s="69">
        <v>45791.0</v>
      </c>
    </row>
    <row r="356">
      <c r="A356" s="58" t="s">
        <v>759</v>
      </c>
      <c r="B356" s="69">
        <v>45791.0</v>
      </c>
    </row>
    <row r="357">
      <c r="A357" s="58" t="s">
        <v>762</v>
      </c>
      <c r="B357" s="69">
        <v>45791.0</v>
      </c>
    </row>
    <row r="358">
      <c r="A358" s="58" t="s">
        <v>766</v>
      </c>
      <c r="B358" s="69">
        <v>45791.0</v>
      </c>
    </row>
    <row r="359">
      <c r="A359" s="58" t="s">
        <v>610</v>
      </c>
      <c r="B359" s="69">
        <v>45791.0</v>
      </c>
    </row>
    <row r="360">
      <c r="A360" s="58" t="s">
        <v>772</v>
      </c>
      <c r="B360" s="69">
        <v>45791.0</v>
      </c>
    </row>
    <row r="361">
      <c r="A361" s="58" t="s">
        <v>777</v>
      </c>
      <c r="B361" s="69">
        <v>45791.0</v>
      </c>
    </row>
    <row r="362">
      <c r="A362" s="58" t="s">
        <v>780</v>
      </c>
      <c r="B362" s="69">
        <v>45791.0</v>
      </c>
    </row>
    <row r="363">
      <c r="A363" s="62" t="s">
        <v>785</v>
      </c>
      <c r="B363" s="69">
        <v>45791.0</v>
      </c>
    </row>
    <row r="364">
      <c r="A364" s="58" t="s">
        <v>789</v>
      </c>
      <c r="B364" s="69">
        <v>45791.0</v>
      </c>
    </row>
    <row r="365">
      <c r="A365" s="58" t="s">
        <v>792</v>
      </c>
      <c r="B365" s="69">
        <v>45791.0</v>
      </c>
    </row>
    <row r="366">
      <c r="A366" s="58" t="s">
        <v>796</v>
      </c>
      <c r="B366" s="69">
        <v>45791.0</v>
      </c>
    </row>
    <row r="367">
      <c r="A367" s="58" t="s">
        <v>778</v>
      </c>
      <c r="B367" s="69">
        <v>45791.0</v>
      </c>
    </row>
    <row r="368">
      <c r="A368" s="58" t="s">
        <v>677</v>
      </c>
      <c r="B368" s="69">
        <v>45791.0</v>
      </c>
    </row>
    <row r="369">
      <c r="A369" s="58" t="s">
        <v>803</v>
      </c>
      <c r="B369" s="69">
        <v>45791.0</v>
      </c>
    </row>
    <row r="370">
      <c r="A370" s="58" t="s">
        <v>806</v>
      </c>
      <c r="B370" s="69">
        <v>45791.0</v>
      </c>
    </row>
    <row r="371">
      <c r="A371" s="58" t="s">
        <v>808</v>
      </c>
      <c r="B371" s="69">
        <v>45791.0</v>
      </c>
    </row>
    <row r="372">
      <c r="A372" s="58" t="s">
        <v>811</v>
      </c>
      <c r="B372" s="69">
        <v>45791.0</v>
      </c>
    </row>
    <row r="373">
      <c r="A373" s="58" t="s">
        <v>813</v>
      </c>
      <c r="B373" s="69">
        <v>45791.0</v>
      </c>
    </row>
    <row r="374">
      <c r="A374" s="58" t="s">
        <v>814</v>
      </c>
      <c r="B374" s="69">
        <v>45791.0</v>
      </c>
    </row>
    <row r="375">
      <c r="A375" s="58" t="s">
        <v>816</v>
      </c>
      <c r="B375" s="69">
        <v>45793.0</v>
      </c>
    </row>
    <row r="376">
      <c r="A376" s="58" t="s">
        <v>821</v>
      </c>
      <c r="B376" s="69">
        <v>45793.0</v>
      </c>
    </row>
    <row r="377">
      <c r="A377" s="58" t="s">
        <v>678</v>
      </c>
      <c r="B377" s="69">
        <v>45793.0</v>
      </c>
    </row>
    <row r="378">
      <c r="A378" s="58" t="s">
        <v>678</v>
      </c>
      <c r="B378" s="69">
        <v>45793.0</v>
      </c>
    </row>
    <row r="379">
      <c r="A379" s="58" t="s">
        <v>827</v>
      </c>
      <c r="B379" s="69">
        <v>45793.0</v>
      </c>
    </row>
    <row r="380">
      <c r="A380" s="58" t="s">
        <v>626</v>
      </c>
      <c r="B380" s="69">
        <v>45795.0</v>
      </c>
    </row>
    <row r="381">
      <c r="A381" s="58" t="s">
        <v>626</v>
      </c>
      <c r="B381" s="69">
        <v>45795.0</v>
      </c>
    </row>
    <row r="382">
      <c r="A382" s="58" t="s">
        <v>626</v>
      </c>
      <c r="B382" s="69">
        <v>45795.0</v>
      </c>
    </row>
    <row r="383">
      <c r="A383" s="58" t="s">
        <v>754</v>
      </c>
      <c r="B383" s="69">
        <v>45795.0</v>
      </c>
    </row>
    <row r="384">
      <c r="A384" s="58" t="s">
        <v>814</v>
      </c>
      <c r="B384" s="69">
        <v>45795.0</v>
      </c>
    </row>
    <row r="385">
      <c r="A385" s="58" t="s">
        <v>798</v>
      </c>
      <c r="B385" s="69">
        <v>45795.0</v>
      </c>
    </row>
    <row r="386">
      <c r="A386" s="58" t="s">
        <v>841</v>
      </c>
      <c r="B386" s="69">
        <v>45795.0</v>
      </c>
    </row>
    <row r="387">
      <c r="A387" s="58" t="s">
        <v>847</v>
      </c>
      <c r="B387" s="69">
        <v>45795.0</v>
      </c>
    </row>
    <row r="388">
      <c r="A388" s="58" t="s">
        <v>850</v>
      </c>
      <c r="B388" s="69">
        <v>45795.0</v>
      </c>
    </row>
    <row r="389">
      <c r="A389" s="58" t="s">
        <v>853</v>
      </c>
      <c r="B389" s="69">
        <v>45795.0</v>
      </c>
    </row>
    <row r="390">
      <c r="A390" s="58" t="s">
        <v>856</v>
      </c>
      <c r="B390" s="69">
        <v>45795.0</v>
      </c>
    </row>
    <row r="391">
      <c r="A391" s="58" t="s">
        <v>569</v>
      </c>
      <c r="B391" s="69">
        <v>45795.0</v>
      </c>
    </row>
    <row r="392">
      <c r="A392" s="58" t="s">
        <v>861</v>
      </c>
      <c r="B392" s="69">
        <v>45795.0</v>
      </c>
    </row>
    <row r="393">
      <c r="A393" s="58" t="s">
        <v>865</v>
      </c>
      <c r="B393" s="69">
        <v>45795.0</v>
      </c>
    </row>
    <row r="394">
      <c r="A394" s="58" t="s">
        <v>860</v>
      </c>
      <c r="B394" s="69">
        <v>45795.0</v>
      </c>
    </row>
    <row r="395">
      <c r="A395" s="58" t="s">
        <v>870</v>
      </c>
      <c r="B395" s="69">
        <v>45795.0</v>
      </c>
    </row>
    <row r="396">
      <c r="A396" s="58" t="s">
        <v>873</v>
      </c>
      <c r="B396" s="69">
        <v>45795.0</v>
      </c>
    </row>
    <row r="397">
      <c r="A397" s="58" t="s">
        <v>875</v>
      </c>
      <c r="B397" s="69">
        <v>45795.0</v>
      </c>
    </row>
    <row r="398">
      <c r="A398" s="58" t="s">
        <v>866</v>
      </c>
      <c r="B398" s="69">
        <v>45795.0</v>
      </c>
    </row>
    <row r="399">
      <c r="A399" s="58" t="s">
        <v>447</v>
      </c>
      <c r="B399" s="69">
        <v>45795.0</v>
      </c>
    </row>
    <row r="400">
      <c r="A400" s="58" t="s">
        <v>883</v>
      </c>
      <c r="B400" s="69">
        <v>45795.0</v>
      </c>
    </row>
    <row r="401">
      <c r="A401" s="58" t="s">
        <v>745</v>
      </c>
      <c r="B401" s="69">
        <v>45795.0</v>
      </c>
    </row>
    <row r="402">
      <c r="A402" s="58" t="s">
        <v>889</v>
      </c>
      <c r="B402" s="69">
        <v>45795.0</v>
      </c>
    </row>
    <row r="403">
      <c r="A403" s="58" t="s">
        <v>893</v>
      </c>
      <c r="B403" s="69">
        <v>45796.0</v>
      </c>
    </row>
    <row r="404">
      <c r="A404" s="58" t="s">
        <v>898</v>
      </c>
      <c r="B404" s="69">
        <v>45805.0</v>
      </c>
    </row>
    <row r="405">
      <c r="A405" s="58" t="s">
        <v>902</v>
      </c>
      <c r="B405" s="69">
        <v>45805.0</v>
      </c>
    </row>
    <row r="406">
      <c r="A406" s="58" t="s">
        <v>905</v>
      </c>
      <c r="B406" s="69">
        <v>45805.0</v>
      </c>
    </row>
    <row r="407">
      <c r="A407" s="58" t="s">
        <v>910</v>
      </c>
      <c r="B407" s="69">
        <v>45805.0</v>
      </c>
    </row>
    <row r="408">
      <c r="A408" s="58" t="s">
        <v>912</v>
      </c>
      <c r="B408" s="69">
        <v>45805.0</v>
      </c>
    </row>
    <row r="409">
      <c r="A409" s="58" t="s">
        <v>915</v>
      </c>
      <c r="B409" s="69">
        <v>45805.0</v>
      </c>
    </row>
    <row r="410">
      <c r="A410" s="58" t="s">
        <v>916</v>
      </c>
      <c r="B410" s="69">
        <v>45805.0</v>
      </c>
    </row>
    <row r="411">
      <c r="A411" s="58" t="s">
        <v>919</v>
      </c>
      <c r="B411" s="69">
        <v>45805.0</v>
      </c>
    </row>
    <row r="412">
      <c r="A412" s="58" t="s">
        <v>921</v>
      </c>
      <c r="B412" s="69">
        <v>45805.0</v>
      </c>
    </row>
    <row r="413">
      <c r="A413" s="58" t="s">
        <v>924</v>
      </c>
      <c r="B413" s="69">
        <v>45805.0</v>
      </c>
    </row>
    <row r="414">
      <c r="A414" s="58" t="s">
        <v>928</v>
      </c>
      <c r="B414" s="69">
        <v>45805.0</v>
      </c>
    </row>
    <row r="415">
      <c r="A415" s="58" t="s">
        <v>932</v>
      </c>
      <c r="B415" s="69">
        <v>45805.0</v>
      </c>
    </row>
    <row r="416">
      <c r="A416" s="58" t="s">
        <v>821</v>
      </c>
      <c r="B416" s="69">
        <v>45805.0</v>
      </c>
    </row>
    <row r="417">
      <c r="A417" s="58" t="s">
        <v>939</v>
      </c>
      <c r="B417" s="69">
        <v>45805.0</v>
      </c>
    </row>
    <row r="418">
      <c r="A418" s="58" t="s">
        <v>941</v>
      </c>
      <c r="B418" s="69">
        <v>45805.0</v>
      </c>
    </row>
    <row r="419">
      <c r="A419" s="58" t="s">
        <v>945</v>
      </c>
      <c r="B419" s="69">
        <v>45805.0</v>
      </c>
    </row>
    <row r="420">
      <c r="A420" s="58" t="s">
        <v>883</v>
      </c>
      <c r="B420" s="69">
        <v>45805.0</v>
      </c>
    </row>
    <row r="421">
      <c r="A421" s="58" t="s">
        <v>950</v>
      </c>
      <c r="B421" s="69">
        <v>45805.0</v>
      </c>
    </row>
    <row r="422">
      <c r="A422" s="58" t="s">
        <v>781</v>
      </c>
      <c r="B422" s="69">
        <v>45805.0</v>
      </c>
    </row>
    <row r="423">
      <c r="A423" s="58" t="s">
        <v>954</v>
      </c>
      <c r="B423" s="69">
        <v>45805.0</v>
      </c>
    </row>
    <row r="424">
      <c r="A424" s="58" t="s">
        <v>957</v>
      </c>
      <c r="B424" s="69">
        <v>45805.0</v>
      </c>
    </row>
    <row r="425">
      <c r="A425" s="58" t="s">
        <v>889</v>
      </c>
      <c r="B425" s="69">
        <v>45805.0</v>
      </c>
    </row>
    <row r="426">
      <c r="A426" s="58" t="s">
        <v>962</v>
      </c>
      <c r="B426" s="69">
        <v>45805.0</v>
      </c>
    </row>
    <row r="427">
      <c r="A427" s="58" t="s">
        <v>968</v>
      </c>
      <c r="B427" s="69">
        <v>45805.0</v>
      </c>
    </row>
    <row r="428">
      <c r="A428" s="58" t="s">
        <v>969</v>
      </c>
      <c r="B428" s="69">
        <v>45805.0</v>
      </c>
    </row>
    <row r="429">
      <c r="A429" s="58" t="s">
        <v>975</v>
      </c>
      <c r="B429" s="69">
        <v>45805.0</v>
      </c>
    </row>
    <row r="430">
      <c r="A430" s="58" t="s">
        <v>981</v>
      </c>
      <c r="B430" s="69">
        <v>45812.0</v>
      </c>
    </row>
    <row r="431">
      <c r="A431" s="58" t="s">
        <v>689</v>
      </c>
      <c r="B431" s="69">
        <v>45812.0</v>
      </c>
    </row>
    <row r="432">
      <c r="A432" s="58" t="s">
        <v>992</v>
      </c>
      <c r="B432" s="69">
        <v>45812.0</v>
      </c>
    </row>
    <row r="433">
      <c r="A433" s="58" t="s">
        <v>996</v>
      </c>
      <c r="B433" s="69">
        <v>45812.0</v>
      </c>
    </row>
    <row r="434">
      <c r="A434" s="62" t="s">
        <v>998</v>
      </c>
      <c r="B434" s="69">
        <v>45812.0</v>
      </c>
    </row>
    <row r="435">
      <c r="A435" s="62" t="s">
        <v>1001</v>
      </c>
      <c r="B435" s="69">
        <v>45812.0</v>
      </c>
    </row>
    <row r="436">
      <c r="A436" s="62" t="s">
        <v>330</v>
      </c>
      <c r="B436" s="69">
        <v>45812.0</v>
      </c>
    </row>
    <row r="437">
      <c r="A437" s="62" t="s">
        <v>1005</v>
      </c>
      <c r="B437" s="69">
        <v>45820.0</v>
      </c>
    </row>
    <row r="438">
      <c r="A438" s="62" t="s">
        <v>558</v>
      </c>
      <c r="B438" s="69">
        <v>45820.0</v>
      </c>
    </row>
    <row r="439">
      <c r="A439" s="58" t="s">
        <v>478</v>
      </c>
      <c r="B439" s="69">
        <v>45820.0</v>
      </c>
    </row>
    <row r="440">
      <c r="A440" s="62" t="s">
        <v>1011</v>
      </c>
      <c r="B440" s="69">
        <v>45820.0</v>
      </c>
    </row>
    <row r="441">
      <c r="A441" s="62" t="s">
        <v>1012</v>
      </c>
      <c r="B441" s="69">
        <v>45820.0</v>
      </c>
    </row>
    <row r="442">
      <c r="A442" s="62" t="s">
        <v>1015</v>
      </c>
      <c r="B442" s="69">
        <v>45820.0</v>
      </c>
    </row>
    <row r="443">
      <c r="A443" s="62" t="s">
        <v>1016</v>
      </c>
      <c r="B443" s="69">
        <v>45820.0</v>
      </c>
    </row>
    <row r="444">
      <c r="A444" s="58" t="s">
        <v>390</v>
      </c>
      <c r="B444" s="69">
        <v>45820.0</v>
      </c>
    </row>
    <row r="445">
      <c r="A445" s="62" t="s">
        <v>390</v>
      </c>
      <c r="B445" s="69">
        <v>45820.0</v>
      </c>
    </row>
    <row r="446">
      <c r="A446" s="58" t="s">
        <v>1021</v>
      </c>
      <c r="B446" s="69">
        <v>45820.0</v>
      </c>
    </row>
    <row r="447">
      <c r="A447" s="58" t="s">
        <v>870</v>
      </c>
      <c r="B447" s="69">
        <v>45820.0</v>
      </c>
    </row>
    <row r="448">
      <c r="A448" s="58" t="s">
        <v>1024</v>
      </c>
      <c r="B448" s="69">
        <v>45820.0</v>
      </c>
    </row>
    <row r="449">
      <c r="A449" s="58" t="s">
        <v>1027</v>
      </c>
      <c r="B449" s="69">
        <v>45820.0</v>
      </c>
    </row>
    <row r="450">
      <c r="A450" s="58" t="s">
        <v>1030</v>
      </c>
      <c r="B450" s="69">
        <v>45820.0</v>
      </c>
    </row>
    <row r="451">
      <c r="A451" s="58" t="s">
        <v>1034</v>
      </c>
      <c r="B451" s="69">
        <v>45820.0</v>
      </c>
    </row>
    <row r="452">
      <c r="A452" s="58" t="s">
        <v>1035</v>
      </c>
      <c r="B452" s="69">
        <v>45820.0</v>
      </c>
    </row>
    <row r="453">
      <c r="A453" s="58" t="s">
        <v>1037</v>
      </c>
      <c r="B453" s="69">
        <v>45820.0</v>
      </c>
    </row>
    <row r="454">
      <c r="A454" s="58" t="s">
        <v>652</v>
      </c>
      <c r="B454" s="69">
        <v>45820.0</v>
      </c>
    </row>
    <row r="455">
      <c r="A455" s="62" t="s">
        <v>920</v>
      </c>
      <c r="B455" s="69">
        <v>45820.0</v>
      </c>
    </row>
    <row r="456">
      <c r="A456" s="62" t="s">
        <v>1046</v>
      </c>
      <c r="B456" s="69">
        <v>45820.0</v>
      </c>
    </row>
    <row r="457">
      <c r="A457" s="62" t="s">
        <v>1049</v>
      </c>
      <c r="B457" s="69">
        <v>45820.0</v>
      </c>
    </row>
    <row r="458">
      <c r="A458" s="62" t="s">
        <v>1051</v>
      </c>
      <c r="B458" s="69">
        <v>45820.0</v>
      </c>
    </row>
    <row r="459">
      <c r="A459" s="62" t="s">
        <v>1054</v>
      </c>
      <c r="B459" s="69">
        <v>45820.0</v>
      </c>
    </row>
    <row r="460">
      <c r="A460" s="62" t="s">
        <v>1056</v>
      </c>
      <c r="B460" s="69">
        <v>45820.0</v>
      </c>
    </row>
    <row r="461">
      <c r="A461" s="62" t="s">
        <v>80</v>
      </c>
      <c r="B461" s="69">
        <v>45820.0</v>
      </c>
    </row>
    <row r="462">
      <c r="A462" s="62" t="s">
        <v>1058</v>
      </c>
      <c r="B462" s="69">
        <v>45820.0</v>
      </c>
    </row>
    <row r="463">
      <c r="A463" s="62" t="s">
        <v>1059</v>
      </c>
      <c r="B463" s="69">
        <v>45820.0</v>
      </c>
    </row>
    <row r="464">
      <c r="A464" s="58" t="s">
        <v>1062</v>
      </c>
      <c r="B464" s="69">
        <v>45820.0</v>
      </c>
    </row>
    <row r="465">
      <c r="A465" s="58" t="s">
        <v>611</v>
      </c>
      <c r="B465" s="69">
        <v>45820.0</v>
      </c>
    </row>
    <row r="466">
      <c r="A466" s="58" t="s">
        <v>1065</v>
      </c>
      <c r="B466" s="69">
        <v>45820.0</v>
      </c>
    </row>
    <row r="467">
      <c r="A467" s="58" t="s">
        <v>1066</v>
      </c>
      <c r="B467" s="69">
        <v>45825.0</v>
      </c>
    </row>
    <row r="468">
      <c r="A468" s="58" t="s">
        <v>1068</v>
      </c>
      <c r="B468" s="69">
        <v>45825.0</v>
      </c>
    </row>
    <row r="469">
      <c r="A469" s="58" t="s">
        <v>1073</v>
      </c>
      <c r="B469" s="69">
        <v>45826.0</v>
      </c>
    </row>
    <row r="470">
      <c r="A470" s="62" t="s">
        <v>614</v>
      </c>
      <c r="B470" s="69">
        <v>45826.0</v>
      </c>
    </row>
    <row r="471">
      <c r="A471" s="62" t="s">
        <v>599</v>
      </c>
      <c r="B471" s="69">
        <v>45826.0</v>
      </c>
    </row>
    <row r="472">
      <c r="A472" s="62" t="s">
        <v>583</v>
      </c>
      <c r="B472" s="69">
        <v>45826.0</v>
      </c>
    </row>
    <row r="473">
      <c r="A473" s="62" t="s">
        <v>1084</v>
      </c>
      <c r="B473" s="69">
        <v>45826.0</v>
      </c>
    </row>
    <row r="474">
      <c r="A474" s="62" t="s">
        <v>1086</v>
      </c>
      <c r="B474" s="69">
        <v>45826.0</v>
      </c>
    </row>
    <row r="475">
      <c r="A475" s="58" t="s">
        <v>1089</v>
      </c>
      <c r="B475" s="69">
        <v>45826.0</v>
      </c>
    </row>
    <row r="476">
      <c r="A476" s="58" t="s">
        <v>1094</v>
      </c>
      <c r="B476" s="69">
        <v>45826.0</v>
      </c>
    </row>
    <row r="477">
      <c r="A477" s="62" t="s">
        <v>1096</v>
      </c>
      <c r="B477" s="69">
        <v>45826.0</v>
      </c>
    </row>
    <row r="478">
      <c r="A478" s="62" t="s">
        <v>1098</v>
      </c>
      <c r="B478" s="69">
        <v>45826.0</v>
      </c>
    </row>
    <row r="479">
      <c r="A479" s="62" t="s">
        <v>568</v>
      </c>
      <c r="B479" s="69">
        <v>45826.0</v>
      </c>
    </row>
    <row r="480">
      <c r="A480" s="62" t="s">
        <v>655</v>
      </c>
      <c r="B480" s="69">
        <v>45826.0</v>
      </c>
    </row>
    <row r="481">
      <c r="A481" s="62" t="s">
        <v>1106</v>
      </c>
      <c r="B481" s="69">
        <v>45826.0</v>
      </c>
    </row>
    <row r="482">
      <c r="A482" s="62" t="s">
        <v>1108</v>
      </c>
      <c r="B482" s="69">
        <v>45826.0</v>
      </c>
    </row>
    <row r="483">
      <c r="A483" s="62" t="s">
        <v>649</v>
      </c>
      <c r="B483" s="69">
        <v>45826.0</v>
      </c>
    </row>
    <row r="484">
      <c r="A484" s="62" t="s">
        <v>1111</v>
      </c>
      <c r="B484" s="69">
        <v>45826.0</v>
      </c>
    </row>
    <row r="485">
      <c r="A485" s="62" t="s">
        <v>875</v>
      </c>
      <c r="B485" s="69">
        <v>45826.0</v>
      </c>
    </row>
    <row r="486">
      <c r="A486" s="62" t="s">
        <v>1113</v>
      </c>
      <c r="B486" s="69">
        <v>45826.0</v>
      </c>
    </row>
    <row r="487">
      <c r="A487" s="62" t="s">
        <v>1116</v>
      </c>
      <c r="B487" s="69">
        <v>45826.0</v>
      </c>
    </row>
    <row r="488">
      <c r="A488" s="62" t="s">
        <v>1119</v>
      </c>
      <c r="B488" s="69">
        <v>45826.0</v>
      </c>
    </row>
    <row r="489">
      <c r="A489" s="62" t="s">
        <v>269</v>
      </c>
      <c r="B489" s="69">
        <v>45831.0</v>
      </c>
    </row>
    <row r="490">
      <c r="A490" s="62" t="s">
        <v>1124</v>
      </c>
      <c r="B490" s="69">
        <v>45831.0</v>
      </c>
    </row>
    <row r="491">
      <c r="A491" s="58" t="s">
        <v>1127</v>
      </c>
      <c r="B491" s="69">
        <v>45831.0</v>
      </c>
    </row>
    <row r="492">
      <c r="A492" s="58" t="s">
        <v>1132</v>
      </c>
      <c r="B492" s="69">
        <v>45831.0</v>
      </c>
    </row>
    <row r="493">
      <c r="A493" s="58" t="s">
        <v>1136</v>
      </c>
      <c r="B493" s="69">
        <v>45831.0</v>
      </c>
    </row>
    <row r="494">
      <c r="A494" s="62" t="s">
        <v>663</v>
      </c>
      <c r="B494" s="69">
        <v>45831.0</v>
      </c>
    </row>
    <row r="495">
      <c r="A495" s="58" t="s">
        <v>1140</v>
      </c>
      <c r="B495" s="69">
        <v>45831.0</v>
      </c>
    </row>
    <row r="496">
      <c r="A496" s="58" t="s">
        <v>1142</v>
      </c>
      <c r="B496" s="69">
        <v>45831.0</v>
      </c>
    </row>
    <row r="497">
      <c r="A497" s="62" t="s">
        <v>1143</v>
      </c>
      <c r="B497" s="69">
        <v>45831.0</v>
      </c>
    </row>
    <row r="498">
      <c r="A498" s="58" t="s">
        <v>1145</v>
      </c>
      <c r="B498" s="69">
        <v>45836.0</v>
      </c>
    </row>
    <row r="499">
      <c r="A499" s="62" t="s">
        <v>1068</v>
      </c>
      <c r="B499" s="69">
        <v>45838.0</v>
      </c>
    </row>
    <row r="500">
      <c r="A500" s="62" t="s">
        <v>1068</v>
      </c>
      <c r="B500" s="69">
        <v>45838.0</v>
      </c>
    </row>
    <row r="501">
      <c r="A501" s="62" t="s">
        <v>1152</v>
      </c>
      <c r="B501" s="69">
        <v>45838.0</v>
      </c>
    </row>
    <row r="502">
      <c r="A502" s="62" t="s">
        <v>1155</v>
      </c>
      <c r="B502" s="69">
        <v>45838.0</v>
      </c>
    </row>
    <row r="503">
      <c r="A503" s="62" t="s">
        <v>1159</v>
      </c>
      <c r="B503" s="69">
        <v>45838.0</v>
      </c>
    </row>
    <row r="504">
      <c r="A504" s="62" t="s">
        <v>1163</v>
      </c>
      <c r="B504" s="69">
        <v>45838.0</v>
      </c>
    </row>
    <row r="505">
      <c r="A505" s="58" t="s">
        <v>1165</v>
      </c>
      <c r="B505" s="69">
        <v>45838.0</v>
      </c>
    </row>
    <row r="506">
      <c r="A506" s="62" t="s">
        <v>1170</v>
      </c>
      <c r="B506" s="69">
        <v>45838.0</v>
      </c>
    </row>
    <row r="507">
      <c r="A507" s="62" t="s">
        <v>827</v>
      </c>
      <c r="B507" s="69">
        <v>45838.0</v>
      </c>
    </row>
    <row r="508">
      <c r="A508" s="58" t="s">
        <v>1177</v>
      </c>
      <c r="B508" s="69">
        <v>45838.0</v>
      </c>
    </row>
    <row r="509">
      <c r="A509" s="62" t="s">
        <v>187</v>
      </c>
      <c r="B509" s="69">
        <v>45838.0</v>
      </c>
    </row>
    <row r="510">
      <c r="A510" s="62" t="s">
        <v>1185</v>
      </c>
      <c r="B510" s="69">
        <v>45838.0</v>
      </c>
    </row>
    <row r="511">
      <c r="A511" s="103" t="s">
        <v>536</v>
      </c>
      <c r="B511" s="116" t="s">
        <v>23</v>
      </c>
    </row>
    <row r="512">
      <c r="A512" s="117" t="s">
        <v>478</v>
      </c>
      <c r="B512" s="118">
        <v>45841.0</v>
      </c>
    </row>
    <row r="513">
      <c r="A513" s="119" t="s">
        <v>1769</v>
      </c>
      <c r="B513" s="118">
        <v>45841.0</v>
      </c>
    </row>
    <row r="514">
      <c r="A514" s="119" t="s">
        <v>689</v>
      </c>
      <c r="B514" s="118">
        <v>45841.0</v>
      </c>
    </row>
    <row r="515">
      <c r="A515" s="117" t="s">
        <v>1770</v>
      </c>
      <c r="B515" s="118">
        <v>45841.0</v>
      </c>
    </row>
    <row r="516">
      <c r="A516" s="117" t="s">
        <v>798</v>
      </c>
      <c r="B516" s="118">
        <v>45841.0</v>
      </c>
    </row>
    <row r="517">
      <c r="A517" s="117" t="s">
        <v>1771</v>
      </c>
      <c r="B517" s="118">
        <v>45846.0</v>
      </c>
    </row>
    <row r="518">
      <c r="A518" s="117" t="s">
        <v>1772</v>
      </c>
      <c r="B518" s="118">
        <v>45846.0</v>
      </c>
    </row>
    <row r="519">
      <c r="A519" s="117" t="s">
        <v>1771</v>
      </c>
      <c r="B519" s="118">
        <v>45846.0</v>
      </c>
    </row>
    <row r="520">
      <c r="A520" s="117" t="s">
        <v>1771</v>
      </c>
      <c r="B520" s="118">
        <v>45846.0</v>
      </c>
    </row>
    <row r="521">
      <c r="A521" s="117" t="s">
        <v>614</v>
      </c>
      <c r="B521" s="118">
        <v>45846.0</v>
      </c>
    </row>
    <row r="522">
      <c r="A522" s="117" t="s">
        <v>1773</v>
      </c>
      <c r="B522" s="118">
        <v>45846.0</v>
      </c>
    </row>
    <row r="523">
      <c r="A523" s="117" t="s">
        <v>1774</v>
      </c>
      <c r="B523" s="118">
        <v>45846.0</v>
      </c>
    </row>
    <row r="524">
      <c r="A524" s="117" t="s">
        <v>798</v>
      </c>
      <c r="B524" s="118">
        <v>45846.0</v>
      </c>
    </row>
    <row r="525">
      <c r="A525" s="117" t="s">
        <v>1775</v>
      </c>
      <c r="B525" s="118">
        <v>45846.0</v>
      </c>
    </row>
    <row r="526">
      <c r="A526" s="117" t="s">
        <v>1776</v>
      </c>
      <c r="B526" s="120">
        <v>45847.0</v>
      </c>
    </row>
    <row r="527">
      <c r="A527" s="121" t="s">
        <v>1776</v>
      </c>
      <c r="B527" s="122"/>
    </row>
    <row r="528">
      <c r="A528" s="121" t="s">
        <v>1777</v>
      </c>
      <c r="B528" s="122"/>
    </row>
    <row r="529">
      <c r="A529" s="117" t="s">
        <v>814</v>
      </c>
      <c r="B529" s="118">
        <v>45847.0</v>
      </c>
    </row>
    <row r="530">
      <c r="A530" s="117" t="s">
        <v>616</v>
      </c>
      <c r="B530" s="118">
        <v>45847.0</v>
      </c>
    </row>
    <row r="531">
      <c r="A531" s="117" t="s">
        <v>1778</v>
      </c>
      <c r="B531" s="118">
        <v>45847.0</v>
      </c>
    </row>
    <row r="532">
      <c r="A532" s="117" t="s">
        <v>1779</v>
      </c>
      <c r="B532" s="118">
        <v>45847.0</v>
      </c>
    </row>
    <row r="533">
      <c r="A533" s="117" t="s">
        <v>1780</v>
      </c>
      <c r="B533" s="118">
        <v>45847.0</v>
      </c>
    </row>
    <row r="534">
      <c r="A534" s="117" t="s">
        <v>1781</v>
      </c>
      <c r="B534" s="118">
        <v>45847.0</v>
      </c>
    </row>
    <row r="535">
      <c r="A535" s="117" t="s">
        <v>1782</v>
      </c>
      <c r="B535" s="118">
        <v>45847.0</v>
      </c>
    </row>
    <row r="536">
      <c r="A536" s="117" t="s">
        <v>1783</v>
      </c>
      <c r="B536" s="118">
        <v>45847.0</v>
      </c>
    </row>
    <row r="537">
      <c r="A537" s="117" t="s">
        <v>1784</v>
      </c>
      <c r="B537" s="118">
        <v>45847.0</v>
      </c>
    </row>
    <row r="538">
      <c r="A538" s="117" t="s">
        <v>1785</v>
      </c>
      <c r="B538" s="118">
        <v>45851.0</v>
      </c>
    </row>
    <row r="539">
      <c r="A539" s="117" t="s">
        <v>1636</v>
      </c>
      <c r="B539" s="118">
        <v>45851.0</v>
      </c>
    </row>
    <row r="540">
      <c r="A540" s="117" t="s">
        <v>1786</v>
      </c>
      <c r="B540" s="118">
        <v>45851.0</v>
      </c>
    </row>
    <row r="541">
      <c r="A541" s="117" t="s">
        <v>1068</v>
      </c>
      <c r="B541" s="118">
        <v>45851.0</v>
      </c>
    </row>
    <row r="542">
      <c r="A542" s="117" t="s">
        <v>1068</v>
      </c>
      <c r="B542" s="118">
        <v>45851.0</v>
      </c>
    </row>
    <row r="543">
      <c r="A543" s="117" t="s">
        <v>1787</v>
      </c>
      <c r="B543" s="118">
        <v>45855.0</v>
      </c>
    </row>
    <row r="544">
      <c r="A544" s="117" t="s">
        <v>1788</v>
      </c>
      <c r="B544" s="118">
        <v>45855.0</v>
      </c>
    </row>
    <row r="545">
      <c r="A545" s="117" t="s">
        <v>1066</v>
      </c>
      <c r="B545" s="118">
        <v>45855.0</v>
      </c>
    </row>
    <row r="546">
      <c r="A546" s="117" t="s">
        <v>1789</v>
      </c>
      <c r="B546" s="118">
        <v>45855.0</v>
      </c>
    </row>
    <row r="547">
      <c r="A547" s="117" t="s">
        <v>1790</v>
      </c>
      <c r="B547" s="118">
        <v>45855.0</v>
      </c>
    </row>
    <row r="548">
      <c r="A548" s="117" t="s">
        <v>1792</v>
      </c>
      <c r="B548" s="118">
        <v>45855.0</v>
      </c>
    </row>
    <row r="549">
      <c r="A549" s="117" t="s">
        <v>1794</v>
      </c>
      <c r="B549" s="118">
        <v>45855.0</v>
      </c>
    </row>
    <row r="550">
      <c r="A550" s="117" t="s">
        <v>1795</v>
      </c>
      <c r="B550" s="118">
        <v>45855.0</v>
      </c>
    </row>
    <row r="551">
      <c r="A551" s="117" t="s">
        <v>1796</v>
      </c>
      <c r="B551" s="118">
        <v>45855.0</v>
      </c>
    </row>
    <row r="552">
      <c r="A552" s="119" t="s">
        <v>1797</v>
      </c>
      <c r="B552" s="118">
        <v>45855.0</v>
      </c>
    </row>
    <row r="553">
      <c r="A553" s="119" t="s">
        <v>1799</v>
      </c>
      <c r="B553" s="118">
        <v>45855.0</v>
      </c>
    </row>
    <row r="554">
      <c r="A554" s="119" t="s">
        <v>1800</v>
      </c>
      <c r="B554" s="118">
        <v>45855.0</v>
      </c>
    </row>
    <row r="555">
      <c r="A555" s="117" t="s">
        <v>567</v>
      </c>
      <c r="B555" s="118">
        <v>45855.0</v>
      </c>
    </row>
    <row r="556">
      <c r="A556" s="117" t="s">
        <v>1801</v>
      </c>
      <c r="B556" s="118">
        <v>45860.0</v>
      </c>
    </row>
    <row r="557">
      <c r="A557" s="117" t="s">
        <v>1802</v>
      </c>
      <c r="B557" s="118">
        <v>45860.0</v>
      </c>
    </row>
    <row r="558">
      <c r="A558" s="117" t="s">
        <v>1803</v>
      </c>
      <c r="B558" s="118">
        <v>45860.0</v>
      </c>
    </row>
    <row r="559">
      <c r="A559" s="117" t="s">
        <v>1292</v>
      </c>
      <c r="B559" s="118">
        <v>45860.0</v>
      </c>
    </row>
    <row r="560">
      <c r="A560" s="117" t="s">
        <v>1804</v>
      </c>
      <c r="B560" s="118">
        <v>45860.0</v>
      </c>
    </row>
    <row r="561">
      <c r="A561" s="117" t="s">
        <v>1805</v>
      </c>
      <c r="B561" s="118">
        <v>45860.0</v>
      </c>
    </row>
    <row r="562">
      <c r="A562" s="117" t="s">
        <v>1806</v>
      </c>
      <c r="B562" s="118">
        <v>45860.0</v>
      </c>
    </row>
    <row r="563">
      <c r="A563" s="117" t="s">
        <v>1807</v>
      </c>
      <c r="B563" s="118">
        <v>45860.0</v>
      </c>
    </row>
    <row r="564">
      <c r="A564" s="117" t="s">
        <v>814</v>
      </c>
      <c r="B564" s="118">
        <v>45860.0</v>
      </c>
    </row>
    <row r="565">
      <c r="A565" s="117" t="s">
        <v>1808</v>
      </c>
      <c r="B565" s="118">
        <v>45860.0</v>
      </c>
    </row>
    <row r="566">
      <c r="A566" s="117" t="s">
        <v>1809</v>
      </c>
      <c r="B566" s="118">
        <v>45866.0</v>
      </c>
    </row>
    <row r="567">
      <c r="A567" s="117" t="s">
        <v>1068</v>
      </c>
      <c r="B567" s="118">
        <v>45866.0</v>
      </c>
    </row>
    <row r="568">
      <c r="A568" s="117" t="s">
        <v>1810</v>
      </c>
      <c r="B568" s="118">
        <v>45866.0</v>
      </c>
    </row>
    <row r="569">
      <c r="A569" s="117" t="s">
        <v>1811</v>
      </c>
      <c r="B569" s="118">
        <v>45866.0</v>
      </c>
    </row>
    <row r="570">
      <c r="A570" s="117" t="s">
        <v>1812</v>
      </c>
      <c r="B570" s="118">
        <v>45866.0</v>
      </c>
    </row>
    <row r="571">
      <c r="A571" s="117" t="s">
        <v>704</v>
      </c>
      <c r="B571" s="118">
        <v>45866.0</v>
      </c>
    </row>
    <row r="572">
      <c r="A572" s="117" t="s">
        <v>1786</v>
      </c>
      <c r="B572" s="118">
        <v>45866.0</v>
      </c>
    </row>
    <row r="573">
      <c r="A573" s="117" t="s">
        <v>1813</v>
      </c>
      <c r="B573" s="118">
        <v>45866.0</v>
      </c>
    </row>
    <row r="574">
      <c r="A574" s="117" t="s">
        <v>1772</v>
      </c>
      <c r="B574" s="118">
        <v>45866.0</v>
      </c>
    </row>
    <row r="575">
      <c r="A575" s="117" t="s">
        <v>1814</v>
      </c>
      <c r="B575" s="118">
        <v>45866.0</v>
      </c>
    </row>
    <row r="576">
      <c r="A576" s="117" t="s">
        <v>1771</v>
      </c>
      <c r="B576" s="118">
        <v>45866.0</v>
      </c>
    </row>
    <row r="577">
      <c r="A577" s="117" t="s">
        <v>1815</v>
      </c>
      <c r="B577" s="118">
        <v>45866.0</v>
      </c>
    </row>
    <row r="578">
      <c r="A578" s="117" t="s">
        <v>1816</v>
      </c>
      <c r="B578" s="118">
        <v>45866.0</v>
      </c>
    </row>
    <row r="579">
      <c r="A579" s="117" t="s">
        <v>981</v>
      </c>
      <c r="B579" s="118">
        <v>45866.0</v>
      </c>
    </row>
    <row r="580">
      <c r="A580" s="117" t="s">
        <v>814</v>
      </c>
      <c r="B580" s="118">
        <v>45866.0</v>
      </c>
    </row>
    <row r="581">
      <c r="A581" s="117" t="s">
        <v>1817</v>
      </c>
      <c r="B581" s="118">
        <v>45866.0</v>
      </c>
    </row>
    <row r="582">
      <c r="A582" s="117" t="s">
        <v>1818</v>
      </c>
      <c r="B582" s="118">
        <v>45866.0</v>
      </c>
    </row>
    <row r="583">
      <c r="A583" s="117" t="s">
        <v>1819</v>
      </c>
      <c r="B583" s="118">
        <v>45868.0</v>
      </c>
    </row>
    <row r="584">
      <c r="A584" s="117" t="s">
        <v>1820</v>
      </c>
      <c r="B584" s="118">
        <v>45877.0</v>
      </c>
    </row>
    <row r="585">
      <c r="A585" s="117" t="s">
        <v>1821</v>
      </c>
      <c r="B585" s="118">
        <v>45877.0</v>
      </c>
    </row>
    <row r="586">
      <c r="A586" s="117" t="s">
        <v>1822</v>
      </c>
      <c r="B586" s="118">
        <v>45877.0</v>
      </c>
    </row>
    <row r="587">
      <c r="A587" s="117" t="s">
        <v>1823</v>
      </c>
      <c r="B587" s="118">
        <v>45877.0</v>
      </c>
    </row>
    <row r="588">
      <c r="A588" s="117" t="s">
        <v>1824</v>
      </c>
      <c r="B588" s="118">
        <v>45877.0</v>
      </c>
    </row>
    <row r="589">
      <c r="A589" s="117" t="s">
        <v>1825</v>
      </c>
      <c r="B589" s="118">
        <v>45877.0</v>
      </c>
    </row>
    <row r="590">
      <c r="A590" s="117" t="s">
        <v>1826</v>
      </c>
      <c r="B590" s="120">
        <v>45877.0</v>
      </c>
    </row>
    <row r="591">
      <c r="A591" s="121" t="s">
        <v>1292</v>
      </c>
      <c r="B591" s="122"/>
    </row>
    <row r="592">
      <c r="A592" s="117" t="s">
        <v>1828</v>
      </c>
      <c r="B592" s="118">
        <v>45881.0</v>
      </c>
    </row>
    <row r="593">
      <c r="A593" s="117" t="s">
        <v>1829</v>
      </c>
      <c r="B593" s="118">
        <v>45881.0</v>
      </c>
    </row>
    <row r="594">
      <c r="A594" s="117" t="s">
        <v>1830</v>
      </c>
      <c r="B594" s="118">
        <v>45881.0</v>
      </c>
    </row>
    <row r="595">
      <c r="A595" s="117" t="s">
        <v>1831</v>
      </c>
      <c r="B595" s="118">
        <v>45881.0</v>
      </c>
    </row>
    <row r="596">
      <c r="A596" s="117" t="s">
        <v>1786</v>
      </c>
      <c r="B596" s="118">
        <v>45881.0</v>
      </c>
    </row>
    <row r="597">
      <c r="A597" s="117" t="s">
        <v>626</v>
      </c>
      <c r="B597" s="118">
        <v>45881.0</v>
      </c>
    </row>
    <row r="598">
      <c r="A598" s="117" t="s">
        <v>1832</v>
      </c>
      <c r="B598" s="118">
        <v>45881.0</v>
      </c>
    </row>
    <row r="599">
      <c r="A599" s="117" t="s">
        <v>1833</v>
      </c>
      <c r="B599" s="118">
        <v>45881.0</v>
      </c>
    </row>
    <row r="600">
      <c r="A600" s="117" t="s">
        <v>1834</v>
      </c>
      <c r="B600" s="118">
        <v>45881.0</v>
      </c>
    </row>
    <row r="601">
      <c r="A601" s="117" t="s">
        <v>1835</v>
      </c>
      <c r="B601" s="118">
        <v>45883.0</v>
      </c>
    </row>
    <row r="602">
      <c r="A602" s="117" t="s">
        <v>1836</v>
      </c>
      <c r="B602" s="118">
        <v>45883.0</v>
      </c>
    </row>
    <row r="603">
      <c r="A603" s="117" t="s">
        <v>853</v>
      </c>
      <c r="B603" s="118">
        <v>45883.0</v>
      </c>
    </row>
    <row r="604">
      <c r="A604" s="117" t="s">
        <v>1809</v>
      </c>
      <c r="B604" s="118">
        <v>45883.0</v>
      </c>
    </row>
    <row r="605">
      <c r="A605" s="117" t="s">
        <v>1837</v>
      </c>
      <c r="B605" s="118">
        <v>45887.0</v>
      </c>
    </row>
    <row r="606">
      <c r="A606" s="117" t="s">
        <v>1838</v>
      </c>
      <c r="B606" s="118">
        <v>45887.0</v>
      </c>
    </row>
    <row r="607">
      <c r="A607" s="117" t="s">
        <v>1839</v>
      </c>
      <c r="B607" s="118">
        <v>45887.0</v>
      </c>
    </row>
    <row r="608">
      <c r="A608" s="117" t="s">
        <v>1840</v>
      </c>
      <c r="B608" s="118">
        <v>45887.0</v>
      </c>
    </row>
    <row r="609">
      <c r="A609" s="117" t="s">
        <v>1292</v>
      </c>
      <c r="B609" s="118">
        <v>45887.0</v>
      </c>
    </row>
    <row r="610">
      <c r="A610" s="117" t="s">
        <v>1836</v>
      </c>
      <c r="B610" s="118">
        <v>45887.0</v>
      </c>
    </row>
    <row r="611">
      <c r="A611" s="117" t="s">
        <v>853</v>
      </c>
      <c r="B611" s="118">
        <v>45887.0</v>
      </c>
    </row>
    <row r="612">
      <c r="A612" s="117" t="s">
        <v>1809</v>
      </c>
      <c r="B612" s="118">
        <v>45887.0</v>
      </c>
    </row>
    <row r="613">
      <c r="A613" s="117" t="s">
        <v>1841</v>
      </c>
      <c r="B613" s="118">
        <v>45887.0</v>
      </c>
    </row>
    <row r="614">
      <c r="A614" s="117" t="s">
        <v>1842</v>
      </c>
      <c r="B614" s="118">
        <v>45887.0</v>
      </c>
    </row>
    <row r="615">
      <c r="A615" s="117" t="s">
        <v>1843</v>
      </c>
      <c r="B615" s="118">
        <v>45887.0</v>
      </c>
    </row>
    <row r="616">
      <c r="A616" s="117" t="s">
        <v>1844</v>
      </c>
      <c r="B616" s="118">
        <v>45887.0</v>
      </c>
    </row>
    <row r="617">
      <c r="A617" s="117" t="s">
        <v>1846</v>
      </c>
      <c r="B617" s="118">
        <v>45887.0</v>
      </c>
    </row>
    <row r="618">
      <c r="A618" s="117" t="s">
        <v>1847</v>
      </c>
      <c r="B618" s="118">
        <v>45887.0</v>
      </c>
    </row>
    <row r="619">
      <c r="A619" s="117" t="s">
        <v>1848</v>
      </c>
      <c r="B619" s="118">
        <v>45887.0</v>
      </c>
    </row>
    <row r="620">
      <c r="A620" s="117" t="s">
        <v>1849</v>
      </c>
      <c r="B620" s="118">
        <v>45887.0</v>
      </c>
    </row>
    <row r="621">
      <c r="A621" s="117" t="s">
        <v>1850</v>
      </c>
      <c r="B621" s="118">
        <v>45887.0</v>
      </c>
    </row>
    <row r="622">
      <c r="A622" s="117" t="s">
        <v>1852</v>
      </c>
      <c r="B622" s="118">
        <v>45887.0</v>
      </c>
    </row>
    <row r="623">
      <c r="A623" s="117" t="s">
        <v>1853</v>
      </c>
      <c r="B623" s="118">
        <v>45887.0</v>
      </c>
    </row>
    <row r="624">
      <c r="A624" s="117" t="s">
        <v>1854</v>
      </c>
      <c r="B624" s="118">
        <v>45887.0</v>
      </c>
    </row>
    <row r="625">
      <c r="A625" s="117" t="s">
        <v>571</v>
      </c>
      <c r="B625" s="118">
        <v>45887.0</v>
      </c>
    </row>
    <row r="626">
      <c r="A626" s="117" t="s">
        <v>447</v>
      </c>
      <c r="B626" s="118">
        <v>45887.0</v>
      </c>
    </row>
    <row r="627">
      <c r="A627" s="117" t="s">
        <v>1799</v>
      </c>
      <c r="B627" s="118">
        <v>45887.0</v>
      </c>
    </row>
    <row r="628">
      <c r="A628" s="117" t="s">
        <v>1856</v>
      </c>
      <c r="B628" s="118">
        <v>45887.0</v>
      </c>
    </row>
    <row r="629">
      <c r="A629" s="117" t="s">
        <v>1857</v>
      </c>
      <c r="B629" s="118">
        <v>45887.0</v>
      </c>
    </row>
    <row r="630">
      <c r="A630" s="117" t="s">
        <v>1858</v>
      </c>
      <c r="B630" s="118">
        <v>45887.0</v>
      </c>
    </row>
    <row r="631">
      <c r="A631" s="117" t="s">
        <v>658</v>
      </c>
      <c r="B631" s="118">
        <v>45887.0</v>
      </c>
    </row>
    <row r="632">
      <c r="A632" s="117" t="s">
        <v>1859</v>
      </c>
      <c r="B632" s="118">
        <v>45887.0</v>
      </c>
    </row>
    <row r="633">
      <c r="A633" s="117" t="s">
        <v>603</v>
      </c>
      <c r="B633" s="118">
        <v>45887.0</v>
      </c>
    </row>
    <row r="634">
      <c r="A634" s="117" t="s">
        <v>866</v>
      </c>
      <c r="B634" s="118">
        <v>45887.0</v>
      </c>
    </row>
    <row r="635">
      <c r="A635" s="117" t="s">
        <v>870</v>
      </c>
      <c r="B635" s="118">
        <v>45887.0</v>
      </c>
    </row>
    <row r="636">
      <c r="A636" s="117" t="s">
        <v>71</v>
      </c>
      <c r="B636" s="118">
        <v>45887.0</v>
      </c>
    </row>
    <row r="637">
      <c r="A637" s="117" t="s">
        <v>451</v>
      </c>
      <c r="B637" s="118">
        <v>45887.0</v>
      </c>
    </row>
    <row r="638">
      <c r="A638" s="117" t="s">
        <v>1108</v>
      </c>
      <c r="B638" s="118">
        <v>45887.0</v>
      </c>
    </row>
    <row r="639">
      <c r="A639" s="117" t="s">
        <v>873</v>
      </c>
      <c r="B639" s="118">
        <v>45887.0</v>
      </c>
    </row>
    <row r="640">
      <c r="A640" s="117" t="s">
        <v>1861</v>
      </c>
      <c r="B640" s="118">
        <v>45887.0</v>
      </c>
    </row>
    <row r="641">
      <c r="A641" s="117" t="s">
        <v>649</v>
      </c>
      <c r="B641" s="118">
        <v>45887.0</v>
      </c>
    </row>
    <row r="642">
      <c r="A642" s="117" t="s">
        <v>1863</v>
      </c>
      <c r="B642" s="118">
        <v>45887.0</v>
      </c>
    </row>
    <row r="643">
      <c r="A643" s="117" t="s">
        <v>567</v>
      </c>
      <c r="B643" s="118">
        <v>45887.0</v>
      </c>
    </row>
    <row r="644">
      <c r="A644" s="117" t="s">
        <v>1865</v>
      </c>
      <c r="B644" s="118">
        <v>45887.0</v>
      </c>
    </row>
    <row r="645">
      <c r="A645" s="117" t="s">
        <v>1059</v>
      </c>
      <c r="B645" s="118">
        <v>45887.0</v>
      </c>
    </row>
    <row r="646">
      <c r="A646" s="117" t="s">
        <v>569</v>
      </c>
      <c r="B646" s="118">
        <v>45887.0</v>
      </c>
    </row>
    <row r="647">
      <c r="A647" s="117" t="s">
        <v>1866</v>
      </c>
      <c r="B647" s="118">
        <v>45887.0</v>
      </c>
    </row>
    <row r="648">
      <c r="A648" s="117" t="s">
        <v>657</v>
      </c>
      <c r="B648" s="118">
        <v>45887.0</v>
      </c>
    </row>
    <row r="649">
      <c r="A649" s="117" t="s">
        <v>1868</v>
      </c>
      <c r="B649" s="118">
        <v>45887.0</v>
      </c>
    </row>
    <row r="650">
      <c r="A650" s="117" t="s">
        <v>1869</v>
      </c>
      <c r="B650" s="118">
        <v>45887.0</v>
      </c>
    </row>
    <row r="651">
      <c r="A651" s="117" t="s">
        <v>803</v>
      </c>
      <c r="B651" s="118">
        <v>45894.0</v>
      </c>
    </row>
    <row r="652">
      <c r="A652" s="117" t="s">
        <v>1870</v>
      </c>
      <c r="B652" s="118">
        <v>45894.0</v>
      </c>
    </row>
    <row r="653">
      <c r="A653" s="117" t="s">
        <v>1871</v>
      </c>
      <c r="B653" s="118">
        <v>45894.0</v>
      </c>
    </row>
    <row r="654">
      <c r="A654" s="117" t="s">
        <v>1066</v>
      </c>
      <c r="B654" s="118">
        <v>45894.0</v>
      </c>
    </row>
    <row r="655">
      <c r="A655" s="117" t="s">
        <v>1872</v>
      </c>
      <c r="B655" s="118">
        <v>45894.0</v>
      </c>
    </row>
    <row r="656">
      <c r="A656" s="117" t="s">
        <v>1873</v>
      </c>
      <c r="B656" s="118">
        <v>45894.0</v>
      </c>
    </row>
    <row r="657">
      <c r="A657" s="117" t="s">
        <v>1874</v>
      </c>
      <c r="B657" s="118">
        <v>45894.0</v>
      </c>
    </row>
    <row r="658">
      <c r="A658" s="117" t="s">
        <v>1833</v>
      </c>
      <c r="B658" s="118">
        <v>45894.0</v>
      </c>
    </row>
    <row r="659">
      <c r="A659" s="117" t="s">
        <v>1875</v>
      </c>
      <c r="B659" s="118">
        <v>45894.0</v>
      </c>
    </row>
    <row r="660">
      <c r="A660" s="117" t="s">
        <v>1876</v>
      </c>
      <c r="B660" s="118">
        <v>45894.0</v>
      </c>
    </row>
    <row r="661">
      <c r="A661" s="117" t="s">
        <v>663</v>
      </c>
      <c r="B661" s="118">
        <v>45894.0</v>
      </c>
    </row>
    <row r="662">
      <c r="A662" s="117" t="s">
        <v>1877</v>
      </c>
      <c r="B662" s="118">
        <v>45896.0</v>
      </c>
    </row>
    <row r="663">
      <c r="A663" s="117" t="s">
        <v>1878</v>
      </c>
      <c r="B663" s="118">
        <v>45896.0</v>
      </c>
    </row>
    <row r="664">
      <c r="A664" s="117" t="s">
        <v>1872</v>
      </c>
      <c r="B664" s="118">
        <v>45896.0</v>
      </c>
    </row>
    <row r="665">
      <c r="A665" s="117" t="s">
        <v>1879</v>
      </c>
      <c r="B665" s="118">
        <v>45896.0</v>
      </c>
    </row>
    <row r="666">
      <c r="A666" s="117" t="s">
        <v>1880</v>
      </c>
      <c r="B666" s="118">
        <v>45896.0</v>
      </c>
    </row>
    <row r="667">
      <c r="A667" s="117" t="s">
        <v>1881</v>
      </c>
      <c r="B667" s="118">
        <v>45896.0</v>
      </c>
    </row>
    <row r="668">
      <c r="A668" s="117" t="s">
        <v>1882</v>
      </c>
      <c r="B668" s="118">
        <v>45896.0</v>
      </c>
    </row>
    <row r="669">
      <c r="A669" s="117" t="s">
        <v>1132</v>
      </c>
      <c r="B669" s="118">
        <v>45896.0</v>
      </c>
    </row>
    <row r="670">
      <c r="A670" s="117" t="s">
        <v>1883</v>
      </c>
      <c r="B670" s="118">
        <v>45896.0</v>
      </c>
    </row>
    <row r="671">
      <c r="A671" s="117" t="s">
        <v>1884</v>
      </c>
      <c r="B671" s="118">
        <v>45896.0</v>
      </c>
    </row>
    <row r="672">
      <c r="A672" s="117" t="s">
        <v>1068</v>
      </c>
      <c r="B672" s="118">
        <v>45896.0</v>
      </c>
    </row>
    <row r="673">
      <c r="A673" s="117" t="s">
        <v>1885</v>
      </c>
      <c r="B673" s="118">
        <v>45901.0</v>
      </c>
    </row>
    <row r="674">
      <c r="A674" s="117" t="s">
        <v>1292</v>
      </c>
      <c r="B674" s="118">
        <v>45901.0</v>
      </c>
    </row>
    <row r="675">
      <c r="A675" s="117" t="s">
        <v>1886</v>
      </c>
      <c r="B675" s="118">
        <v>45901.0</v>
      </c>
    </row>
    <row r="676">
      <c r="A676" s="117" t="s">
        <v>583</v>
      </c>
      <c r="B676" s="118">
        <v>45901.0</v>
      </c>
    </row>
    <row r="677">
      <c r="A677" s="117" t="s">
        <v>1887</v>
      </c>
      <c r="B677" s="118">
        <v>45901.0</v>
      </c>
    </row>
    <row r="678">
      <c r="A678" s="117" t="s">
        <v>1888</v>
      </c>
      <c r="B678" s="118">
        <v>45901.0</v>
      </c>
    </row>
    <row r="679">
      <c r="A679" s="117" t="s">
        <v>1889</v>
      </c>
      <c r="B679" s="118">
        <v>45901.0</v>
      </c>
    </row>
    <row r="680">
      <c r="A680" s="117" t="s">
        <v>1890</v>
      </c>
      <c r="B680" s="118">
        <v>45901.0</v>
      </c>
    </row>
    <row r="681">
      <c r="A681" s="117" t="s">
        <v>1892</v>
      </c>
      <c r="B681" s="120">
        <v>45901.0</v>
      </c>
    </row>
    <row r="682">
      <c r="A682" s="121" t="s">
        <v>1893</v>
      </c>
      <c r="B682" s="122"/>
    </row>
    <row r="683">
      <c r="A683" s="117" t="s">
        <v>1894</v>
      </c>
      <c r="B683" s="118">
        <v>45902.0</v>
      </c>
    </row>
    <row r="684">
      <c r="A684" s="117" t="s">
        <v>1896</v>
      </c>
      <c r="B684" s="118">
        <v>45902.0</v>
      </c>
    </row>
    <row r="685">
      <c r="A685" s="117" t="s">
        <v>1897</v>
      </c>
      <c r="B685" s="118">
        <v>45904.0</v>
      </c>
    </row>
    <row r="686">
      <c r="A686" s="117" t="s">
        <v>1898</v>
      </c>
      <c r="B686" s="118">
        <v>45904.0</v>
      </c>
    </row>
    <row r="687">
      <c r="A687" s="117" t="s">
        <v>1894</v>
      </c>
      <c r="B687" s="118">
        <v>45904.0</v>
      </c>
    </row>
    <row r="688">
      <c r="A688" s="117" t="s">
        <v>1901</v>
      </c>
      <c r="B688" s="118">
        <v>45904.0</v>
      </c>
    </row>
    <row r="689">
      <c r="A689" s="117" t="s">
        <v>1902</v>
      </c>
      <c r="B689" s="118">
        <v>45907.0</v>
      </c>
    </row>
    <row r="690">
      <c r="A690" s="117" t="s">
        <v>618</v>
      </c>
      <c r="B690" s="118">
        <v>45907.0</v>
      </c>
    </row>
    <row r="691">
      <c r="A691" s="117" t="s">
        <v>1903</v>
      </c>
      <c r="B691" s="118">
        <v>45907.0</v>
      </c>
    </row>
    <row r="692">
      <c r="A692" s="117" t="s">
        <v>1904</v>
      </c>
      <c r="B692" s="118">
        <v>45907.0</v>
      </c>
    </row>
    <row r="693">
      <c r="A693" s="117" t="s">
        <v>1905</v>
      </c>
      <c r="B693" s="118">
        <v>45907.0</v>
      </c>
    </row>
    <row r="694">
      <c r="A694" s="117" t="s">
        <v>1906</v>
      </c>
      <c r="B694" s="118">
        <v>45907.0</v>
      </c>
    </row>
    <row r="695">
      <c r="A695" s="117" t="s">
        <v>1907</v>
      </c>
      <c r="B695" s="118">
        <v>45907.0</v>
      </c>
    </row>
    <row r="696">
      <c r="A696" s="117" t="s">
        <v>1908</v>
      </c>
      <c r="B696" s="118">
        <v>45907.0</v>
      </c>
    </row>
    <row r="697">
      <c r="A697" s="117" t="s">
        <v>1909</v>
      </c>
      <c r="B697" s="118">
        <v>45907.0</v>
      </c>
    </row>
    <row r="698">
      <c r="A698" s="117" t="s">
        <v>1910</v>
      </c>
      <c r="B698" s="118">
        <v>45907.0</v>
      </c>
    </row>
    <row r="699">
      <c r="A699" s="117" t="s">
        <v>1911</v>
      </c>
      <c r="B699" s="118">
        <v>45907.0</v>
      </c>
    </row>
    <row r="700">
      <c r="A700" s="117" t="s">
        <v>1912</v>
      </c>
      <c r="B700" s="118">
        <v>45907.0</v>
      </c>
    </row>
    <row r="701">
      <c r="A701" s="117" t="s">
        <v>1913</v>
      </c>
      <c r="B701" s="118">
        <v>45907.0</v>
      </c>
    </row>
    <row r="702">
      <c r="A702" s="117" t="s">
        <v>614</v>
      </c>
      <c r="B702" s="118">
        <v>45907.0</v>
      </c>
    </row>
    <row r="703">
      <c r="A703" s="119" t="s">
        <v>1892</v>
      </c>
      <c r="B703" s="118">
        <v>45907.0</v>
      </c>
    </row>
    <row r="704">
      <c r="A704" s="119" t="s">
        <v>1914</v>
      </c>
      <c r="B704" s="118">
        <v>45907.0</v>
      </c>
    </row>
    <row r="705">
      <c r="A705" s="119" t="s">
        <v>1915</v>
      </c>
      <c r="B705" s="118">
        <v>45907.0</v>
      </c>
    </row>
    <row r="706">
      <c r="A706" s="119" t="s">
        <v>1916</v>
      </c>
      <c r="B706" s="118">
        <v>45907.0</v>
      </c>
    </row>
    <row r="707">
      <c r="A707" s="119" t="s">
        <v>1918</v>
      </c>
      <c r="B707" s="118">
        <v>45907.0</v>
      </c>
    </row>
    <row r="708">
      <c r="A708" s="119" t="s">
        <v>1919</v>
      </c>
      <c r="B708" s="118">
        <v>45907.0</v>
      </c>
    </row>
    <row r="709">
      <c r="A709" s="119" t="s">
        <v>1920</v>
      </c>
      <c r="B709" s="118">
        <v>45907.0</v>
      </c>
    </row>
    <row r="710">
      <c r="A710" s="119" t="s">
        <v>1921</v>
      </c>
      <c r="B710" s="118">
        <v>45907.0</v>
      </c>
    </row>
    <row r="711">
      <c r="A711" s="119" t="s">
        <v>1923</v>
      </c>
      <c r="B711" s="118">
        <v>45907.0</v>
      </c>
    </row>
    <row r="712">
      <c r="A712" s="119" t="s">
        <v>1924</v>
      </c>
      <c r="B712" s="118">
        <v>45907.0</v>
      </c>
    </row>
    <row r="713">
      <c r="A713" s="119" t="s">
        <v>1925</v>
      </c>
      <c r="B713" s="118">
        <v>45907.0</v>
      </c>
    </row>
    <row r="714">
      <c r="A714" s="119" t="s">
        <v>1926</v>
      </c>
      <c r="B714" s="118">
        <v>45907.0</v>
      </c>
    </row>
    <row r="715">
      <c r="A715" s="119" t="s">
        <v>1927</v>
      </c>
      <c r="B715" s="118">
        <v>45907.0</v>
      </c>
    </row>
    <row r="716">
      <c r="A716" s="119" t="s">
        <v>1928</v>
      </c>
      <c r="B716" s="118">
        <v>45907.0</v>
      </c>
    </row>
    <row r="717">
      <c r="A717" s="117" t="s">
        <v>1929</v>
      </c>
      <c r="B717" s="118">
        <v>45907.0</v>
      </c>
    </row>
    <row r="718">
      <c r="A718" s="117" t="s">
        <v>1930</v>
      </c>
      <c r="B718" s="118">
        <v>45908.0</v>
      </c>
    </row>
    <row r="719">
      <c r="A719" s="117" t="s">
        <v>828</v>
      </c>
      <c r="B719" s="118">
        <v>45908.0</v>
      </c>
    </row>
    <row r="720">
      <c r="A720" s="117" t="s">
        <v>1837</v>
      </c>
      <c r="B720" s="118">
        <v>45908.0</v>
      </c>
    </row>
    <row r="721">
      <c r="A721" s="117" t="s">
        <v>1870</v>
      </c>
      <c r="B721" s="118">
        <v>45908.0</v>
      </c>
    </row>
    <row r="722">
      <c r="A722" s="117" t="s">
        <v>1842</v>
      </c>
      <c r="B722" s="118">
        <v>45908.0</v>
      </c>
    </row>
    <row r="723">
      <c r="A723" s="117" t="s">
        <v>1894</v>
      </c>
      <c r="B723" s="118">
        <v>45919.0</v>
      </c>
    </row>
    <row r="724">
      <c r="A724" s="117" t="s">
        <v>1901</v>
      </c>
      <c r="B724" s="118">
        <v>45910.0</v>
      </c>
    </row>
    <row r="725">
      <c r="A725" s="117" t="s">
        <v>839</v>
      </c>
      <c r="B725" s="118">
        <v>45912.0</v>
      </c>
    </row>
    <row r="726">
      <c r="A726" s="117" t="s">
        <v>1786</v>
      </c>
      <c r="B726" s="118">
        <v>45912.0</v>
      </c>
    </row>
    <row r="727">
      <c r="A727" s="117" t="s">
        <v>1828</v>
      </c>
      <c r="B727" s="118">
        <v>45912.0</v>
      </c>
    </row>
    <row r="728">
      <c r="A728" s="117" t="s">
        <v>1809</v>
      </c>
      <c r="B728" s="118">
        <v>45912.0</v>
      </c>
    </row>
    <row r="729">
      <c r="A729" s="117" t="s">
        <v>1934</v>
      </c>
      <c r="B729" s="118">
        <v>45912.0</v>
      </c>
    </row>
    <row r="730">
      <c r="A730" s="117" t="s">
        <v>1893</v>
      </c>
      <c r="B730" s="118">
        <v>45912.0</v>
      </c>
    </row>
    <row r="731">
      <c r="A731" s="117" t="s">
        <v>1935</v>
      </c>
      <c r="B731" s="118">
        <v>45912.0</v>
      </c>
    </row>
    <row r="732">
      <c r="A732" s="117" t="s">
        <v>1936</v>
      </c>
      <c r="B732" s="118">
        <v>45912.0</v>
      </c>
    </row>
    <row r="733">
      <c r="A733" s="117" t="s">
        <v>1937</v>
      </c>
      <c r="B733" s="118">
        <v>45912.0</v>
      </c>
    </row>
    <row r="734">
      <c r="A734" s="117" t="s">
        <v>1938</v>
      </c>
      <c r="B734" s="118">
        <v>45917.0</v>
      </c>
    </row>
    <row r="735">
      <c r="A735" s="117" t="s">
        <v>1894</v>
      </c>
      <c r="B735" s="118">
        <v>45917.0</v>
      </c>
    </row>
    <row r="736">
      <c r="A736" s="117" t="s">
        <v>1939</v>
      </c>
      <c r="B736" s="118">
        <v>45917.0</v>
      </c>
    </row>
    <row r="737">
      <c r="A737" s="117" t="s">
        <v>579</v>
      </c>
      <c r="B737" s="118">
        <v>45917.0</v>
      </c>
    </row>
    <row r="738">
      <c r="A738" s="117" t="s">
        <v>1940</v>
      </c>
      <c r="B738" s="118">
        <v>45917.0</v>
      </c>
    </row>
    <row r="739">
      <c r="A739" s="117" t="s">
        <v>1912</v>
      </c>
      <c r="B739" s="118">
        <v>45917.0</v>
      </c>
    </row>
    <row r="740">
      <c r="A740" s="117" t="s">
        <v>610</v>
      </c>
      <c r="B740" s="118">
        <v>45917.0</v>
      </c>
    </row>
    <row r="741">
      <c r="A741" s="117" t="s">
        <v>1941</v>
      </c>
      <c r="B741" s="118">
        <v>45917.0</v>
      </c>
    </row>
    <row r="742">
      <c r="A742" s="117" t="s">
        <v>1942</v>
      </c>
      <c r="B742" s="118">
        <v>45917.0</v>
      </c>
    </row>
    <row r="743">
      <c r="A743" s="117" t="s">
        <v>61</v>
      </c>
      <c r="B743" s="118">
        <v>45917.0</v>
      </c>
    </row>
    <row r="744">
      <c r="A744" s="117" t="s">
        <v>1944</v>
      </c>
      <c r="B744" s="118">
        <v>45917.0</v>
      </c>
    </row>
    <row r="745">
      <c r="A745" s="117" t="s">
        <v>1945</v>
      </c>
      <c r="B745" s="118">
        <v>45917.0</v>
      </c>
    </row>
    <row r="746">
      <c r="A746" s="117" t="s">
        <v>1946</v>
      </c>
      <c r="B746" s="118">
        <v>45917.0</v>
      </c>
    </row>
    <row r="747">
      <c r="A747" s="117" t="s">
        <v>1947</v>
      </c>
      <c r="B747" s="118">
        <v>45917.0</v>
      </c>
    </row>
    <row r="748">
      <c r="A748" s="117" t="s">
        <v>1826</v>
      </c>
      <c r="B748" s="118">
        <v>45918.0</v>
      </c>
    </row>
    <row r="749">
      <c r="A749" s="117" t="s">
        <v>1636</v>
      </c>
      <c r="B749" s="118">
        <v>45918.0</v>
      </c>
    </row>
    <row r="750">
      <c r="A750" s="117" t="s">
        <v>1948</v>
      </c>
      <c r="B750" s="118">
        <v>45918.0</v>
      </c>
    </row>
    <row r="751">
      <c r="A751" s="117" t="s">
        <v>1949</v>
      </c>
      <c r="B751" s="118">
        <v>45918.0</v>
      </c>
    </row>
    <row r="752">
      <c r="A752" s="117" t="s">
        <v>583</v>
      </c>
      <c r="B752" s="118">
        <v>45918.0</v>
      </c>
    </row>
    <row r="753">
      <c r="A753" s="117" t="s">
        <v>1951</v>
      </c>
      <c r="B753" s="118">
        <v>45918.0</v>
      </c>
    </row>
    <row r="754">
      <c r="A754" s="117" t="s">
        <v>1952</v>
      </c>
      <c r="B754" s="118">
        <v>45918.0</v>
      </c>
    </row>
    <row r="755">
      <c r="A755" s="117" t="s">
        <v>1953</v>
      </c>
      <c r="B755" s="118">
        <v>45918.0</v>
      </c>
    </row>
    <row r="756">
      <c r="A756" s="117" t="s">
        <v>1292</v>
      </c>
      <c r="B756" s="118">
        <v>45918.0</v>
      </c>
    </row>
    <row r="757">
      <c r="A757" s="117" t="s">
        <v>860</v>
      </c>
      <c r="B757" s="118">
        <v>45918.0</v>
      </c>
    </row>
    <row r="758">
      <c r="A758" s="117" t="s">
        <v>1024</v>
      </c>
      <c r="B758" s="118">
        <v>45918.0</v>
      </c>
    </row>
    <row r="759">
      <c r="A759" s="117" t="s">
        <v>1955</v>
      </c>
      <c r="B759" s="118">
        <v>45918.0</v>
      </c>
    </row>
    <row r="760">
      <c r="A760" s="117" t="s">
        <v>72</v>
      </c>
      <c r="B760" s="118">
        <v>45918.0</v>
      </c>
    </row>
    <row r="761">
      <c r="A761" s="117" t="s">
        <v>1956</v>
      </c>
      <c r="B761" s="118">
        <v>45918.0</v>
      </c>
    </row>
    <row r="762">
      <c r="A762" s="117" t="s">
        <v>1957</v>
      </c>
      <c r="B762" s="118">
        <v>45918.0</v>
      </c>
    </row>
    <row r="763">
      <c r="A763" s="117" t="s">
        <v>1958</v>
      </c>
      <c r="B763" s="118">
        <v>45918.0</v>
      </c>
    </row>
    <row r="764">
      <c r="A764" s="117" t="s">
        <v>1960</v>
      </c>
      <c r="B764" s="118">
        <v>45922.0</v>
      </c>
    </row>
    <row r="765">
      <c r="A765" s="117" t="s">
        <v>1961</v>
      </c>
      <c r="B765" s="118">
        <v>45922.0</v>
      </c>
    </row>
    <row r="766">
      <c r="A766" s="117" t="s">
        <v>741</v>
      </c>
      <c r="B766" s="118">
        <v>45922.0</v>
      </c>
    </row>
    <row r="767">
      <c r="A767" s="117" t="s">
        <v>1963</v>
      </c>
      <c r="B767" s="118">
        <v>45922.0</v>
      </c>
    </row>
    <row r="768">
      <c r="A768" s="117" t="s">
        <v>1964</v>
      </c>
      <c r="B768" s="118">
        <v>45922.0</v>
      </c>
    </row>
    <row r="769">
      <c r="A769" s="117" t="s">
        <v>1965</v>
      </c>
      <c r="B769" s="118">
        <v>45922.0</v>
      </c>
    </row>
    <row r="770">
      <c r="A770" s="117" t="s">
        <v>1967</v>
      </c>
      <c r="B770" s="118">
        <v>45922.0</v>
      </c>
    </row>
    <row r="771">
      <c r="A771" s="117" t="s">
        <v>1968</v>
      </c>
      <c r="B771" s="118">
        <v>45922.0</v>
      </c>
    </row>
    <row r="772">
      <c r="A772" s="117" t="s">
        <v>1969</v>
      </c>
      <c r="B772" s="118">
        <v>45922.0</v>
      </c>
    </row>
    <row r="773">
      <c r="A773" s="119" t="s">
        <v>1970</v>
      </c>
      <c r="B773" s="118">
        <v>45922.0</v>
      </c>
    </row>
    <row r="774">
      <c r="A774" s="119" t="s">
        <v>1971</v>
      </c>
      <c r="B774" s="118">
        <v>45922.0</v>
      </c>
    </row>
    <row r="775">
      <c r="A775" s="119" t="s">
        <v>1972</v>
      </c>
      <c r="B775" s="118">
        <v>45925.0</v>
      </c>
    </row>
    <row r="776">
      <c r="A776" s="117" t="s">
        <v>1973</v>
      </c>
      <c r="B776" s="118">
        <v>45925.0</v>
      </c>
    </row>
    <row r="777">
      <c r="A777" s="117" t="s">
        <v>1974</v>
      </c>
      <c r="B777" s="118">
        <v>45925.0</v>
      </c>
    </row>
    <row r="778">
      <c r="A778" s="117" t="s">
        <v>677</v>
      </c>
      <c r="B778" s="118">
        <v>45925.0</v>
      </c>
    </row>
    <row r="779">
      <c r="A779" s="117" t="s">
        <v>1038</v>
      </c>
      <c r="B779" s="118">
        <v>45925.0</v>
      </c>
    </row>
    <row r="780">
      <c r="A780" s="117" t="s">
        <v>678</v>
      </c>
      <c r="B780" s="118">
        <v>45925.0</v>
      </c>
    </row>
    <row r="781">
      <c r="A781" s="117" t="s">
        <v>1975</v>
      </c>
      <c r="B781" s="118">
        <v>45925.0</v>
      </c>
    </row>
    <row r="782">
      <c r="A782" s="117" t="s">
        <v>1976</v>
      </c>
      <c r="B782" s="118">
        <v>45925.0</v>
      </c>
    </row>
    <row r="783">
      <c r="A783" s="117" t="s">
        <v>1977</v>
      </c>
      <c r="B783" s="118">
        <v>45925.0</v>
      </c>
    </row>
    <row r="784">
      <c r="A784" s="117" t="s">
        <v>1978</v>
      </c>
      <c r="B784" s="118">
        <v>45925.0</v>
      </c>
    </row>
    <row r="785">
      <c r="A785" s="117" t="s">
        <v>1979</v>
      </c>
      <c r="B785" s="118">
        <v>45925.0</v>
      </c>
    </row>
    <row r="786">
      <c r="A786" s="117" t="s">
        <v>1896</v>
      </c>
      <c r="B786" s="118">
        <v>45929.0</v>
      </c>
    </row>
    <row r="787">
      <c r="A787" s="117" t="s">
        <v>1896</v>
      </c>
      <c r="B787" s="118">
        <v>45929.0</v>
      </c>
    </row>
    <row r="788">
      <c r="A788" s="117" t="s">
        <v>1896</v>
      </c>
      <c r="B788" s="118">
        <v>45929.0</v>
      </c>
    </row>
    <row r="789">
      <c r="A789" s="117" t="s">
        <v>1896</v>
      </c>
      <c r="B789" s="118">
        <v>45929.0</v>
      </c>
    </row>
    <row r="790">
      <c r="A790" s="117" t="s">
        <v>1939</v>
      </c>
      <c r="B790" s="118">
        <v>45929.0</v>
      </c>
    </row>
    <row r="791">
      <c r="A791" s="117" t="s">
        <v>1894</v>
      </c>
      <c r="B791" s="118">
        <v>45929.0</v>
      </c>
    </row>
    <row r="792">
      <c r="A792" s="117" t="s">
        <v>1938</v>
      </c>
      <c r="B792" s="118">
        <v>45929.0</v>
      </c>
    </row>
    <row r="793">
      <c r="A793" s="117" t="s">
        <v>1980</v>
      </c>
      <c r="B793" s="118">
        <v>45929.0</v>
      </c>
    </row>
    <row r="794">
      <c r="A794" s="117" t="s">
        <v>1872</v>
      </c>
      <c r="B794" s="118">
        <v>45929.0</v>
      </c>
    </row>
    <row r="795">
      <c r="A795" s="117" t="s">
        <v>1814</v>
      </c>
      <c r="B795" s="118">
        <v>45929.0</v>
      </c>
    </row>
    <row r="796">
      <c r="A796" s="117" t="s">
        <v>1840</v>
      </c>
      <c r="B796" s="118">
        <v>45929.0</v>
      </c>
    </row>
    <row r="797">
      <c r="A797" s="117" t="s">
        <v>1984</v>
      </c>
      <c r="B797" s="118">
        <v>45929.0</v>
      </c>
    </row>
    <row r="798">
      <c r="A798" s="117" t="s">
        <v>1986</v>
      </c>
      <c r="B798" s="118">
        <v>45929.0</v>
      </c>
    </row>
    <row r="799">
      <c r="A799" s="117" t="s">
        <v>1987</v>
      </c>
      <c r="B799" s="118">
        <v>45929.0</v>
      </c>
    </row>
    <row r="800">
      <c r="A800" s="117" t="s">
        <v>678</v>
      </c>
      <c r="B800" s="118">
        <v>45929.0</v>
      </c>
    </row>
    <row r="801">
      <c r="A801" s="117" t="s">
        <v>1988</v>
      </c>
      <c r="B801" s="118">
        <v>45929.0</v>
      </c>
    </row>
    <row r="802">
      <c r="A802" s="117" t="s">
        <v>1989</v>
      </c>
      <c r="B802" s="118">
        <v>45929.0</v>
      </c>
    </row>
    <row r="803">
      <c r="A803" s="117" t="s">
        <v>1825</v>
      </c>
      <c r="B803" s="118">
        <v>45929.0</v>
      </c>
    </row>
    <row r="804">
      <c r="A804" s="117" t="s">
        <v>1990</v>
      </c>
      <c r="B804" s="118">
        <v>45929.0</v>
      </c>
    </row>
    <row r="805">
      <c r="A805" s="117" t="s">
        <v>1991</v>
      </c>
      <c r="B805" s="118">
        <v>45929.0</v>
      </c>
    </row>
    <row r="806">
      <c r="A806" s="117" t="s">
        <v>1993</v>
      </c>
      <c r="B806" s="118">
        <v>45929.0</v>
      </c>
    </row>
    <row r="807">
      <c r="A807" s="117" t="s">
        <v>1994</v>
      </c>
      <c r="B807" s="118">
        <v>45929.0</v>
      </c>
    </row>
    <row r="808">
      <c r="A808" s="117" t="s">
        <v>1995</v>
      </c>
      <c r="B808" s="118">
        <v>45929.0</v>
      </c>
    </row>
    <row r="809">
      <c r="A809" s="117" t="s">
        <v>745</v>
      </c>
      <c r="B809" s="118">
        <v>45929.0</v>
      </c>
    </row>
    <row r="810">
      <c r="A810" s="117" t="s">
        <v>1996</v>
      </c>
      <c r="B810" s="118">
        <v>45929.0</v>
      </c>
    </row>
    <row r="811">
      <c r="A811" s="117" t="s">
        <v>1997</v>
      </c>
      <c r="B811" s="118">
        <v>45929.0</v>
      </c>
    </row>
    <row r="812">
      <c r="A812" s="117" t="s">
        <v>1998</v>
      </c>
      <c r="B812" s="118">
        <v>45929.0</v>
      </c>
    </row>
    <row r="813">
      <c r="A813" s="117" t="s">
        <v>844</v>
      </c>
      <c r="B813" s="118">
        <v>45929.0</v>
      </c>
    </row>
    <row r="814">
      <c r="A814" s="103" t="s">
        <v>1999</v>
      </c>
      <c r="B814" s="115" t="s">
        <v>537</v>
      </c>
    </row>
    <row r="815">
      <c r="A815" s="117" t="s">
        <v>1894</v>
      </c>
      <c r="B815" s="163">
        <v>45931.0</v>
      </c>
    </row>
    <row r="816">
      <c r="A816" s="119" t="s">
        <v>1840</v>
      </c>
      <c r="B816" s="163">
        <v>45931.0</v>
      </c>
    </row>
    <row r="817">
      <c r="A817" s="119" t="s">
        <v>1896</v>
      </c>
      <c r="B817" s="164">
        <v>45936.0</v>
      </c>
    </row>
    <row r="818">
      <c r="A818" s="117" t="s">
        <v>1896</v>
      </c>
      <c r="B818" s="163">
        <v>45936.0</v>
      </c>
    </row>
    <row r="819">
      <c r="A819" s="117" t="s">
        <v>2002</v>
      </c>
      <c r="B819" s="164">
        <v>45936.0</v>
      </c>
    </row>
    <row r="820">
      <c r="A820" s="117" t="s">
        <v>2004</v>
      </c>
      <c r="B820" s="164">
        <v>45936.0</v>
      </c>
    </row>
    <row r="821">
      <c r="A821" s="117" t="s">
        <v>1813</v>
      </c>
      <c r="B821" s="164">
        <v>45936.0</v>
      </c>
    </row>
    <row r="822">
      <c r="A822" s="117" t="s">
        <v>2006</v>
      </c>
      <c r="B822" s="164">
        <v>45936.0</v>
      </c>
    </row>
    <row r="823">
      <c r="A823" s="117" t="s">
        <v>2007</v>
      </c>
      <c r="B823" s="163">
        <v>45936.0</v>
      </c>
    </row>
    <row r="824">
      <c r="A824" s="117" t="s">
        <v>1004</v>
      </c>
      <c r="B824" s="163">
        <v>45936.0</v>
      </c>
    </row>
    <row r="825">
      <c r="A825" s="117" t="s">
        <v>1835</v>
      </c>
      <c r="B825" s="164">
        <v>45936.0</v>
      </c>
    </row>
    <row r="826">
      <c r="A826" s="117" t="s">
        <v>1772</v>
      </c>
      <c r="B826" s="163">
        <v>45936.0</v>
      </c>
    </row>
    <row r="827">
      <c r="A827" s="117" t="s">
        <v>1936</v>
      </c>
      <c r="B827" s="163">
        <v>45936.0</v>
      </c>
    </row>
    <row r="828">
      <c r="A828" s="117" t="s">
        <v>1936</v>
      </c>
      <c r="B828" s="164">
        <v>45936.0</v>
      </c>
    </row>
    <row r="829">
      <c r="A829" s="117" t="s">
        <v>2008</v>
      </c>
      <c r="B829" s="164">
        <v>45936.0</v>
      </c>
    </row>
    <row r="830">
      <c r="A830" s="117" t="s">
        <v>2009</v>
      </c>
      <c r="B830" s="164">
        <v>45937.0</v>
      </c>
    </row>
    <row r="831">
      <c r="A831" s="117" t="s">
        <v>2010</v>
      </c>
      <c r="B831" s="164">
        <v>45938.0</v>
      </c>
    </row>
    <row r="832">
      <c r="A832" s="117" t="s">
        <v>2011</v>
      </c>
      <c r="B832" s="164">
        <v>45938.0</v>
      </c>
    </row>
    <row r="833">
      <c r="A833" s="117" t="s">
        <v>2012</v>
      </c>
      <c r="B833" s="164">
        <v>45938.0</v>
      </c>
    </row>
    <row r="834">
      <c r="A834" s="117" t="s">
        <v>2013</v>
      </c>
      <c r="B834" s="164">
        <v>45938.0</v>
      </c>
    </row>
    <row r="835">
      <c r="A835" s="117" t="s">
        <v>2014</v>
      </c>
      <c r="B835" s="164">
        <v>45938.0</v>
      </c>
    </row>
    <row r="836">
      <c r="A836" s="117" t="s">
        <v>2015</v>
      </c>
      <c r="B836" s="164">
        <v>45938.0</v>
      </c>
    </row>
    <row r="837">
      <c r="A837" s="117" t="s">
        <v>1804</v>
      </c>
      <c r="B837" s="164">
        <v>45938.0</v>
      </c>
    </row>
    <row r="838">
      <c r="A838" s="117" t="s">
        <v>2016</v>
      </c>
      <c r="B838" s="164">
        <v>45938.0</v>
      </c>
    </row>
    <row r="839">
      <c r="A839" s="117" t="s">
        <v>2017</v>
      </c>
      <c r="B839" s="164">
        <v>45938.0</v>
      </c>
    </row>
    <row r="840">
      <c r="A840" s="117" t="s">
        <v>1893</v>
      </c>
      <c r="B840" s="164">
        <v>45938.0</v>
      </c>
    </row>
    <row r="841">
      <c r="A841" s="117" t="s">
        <v>1066</v>
      </c>
      <c r="B841" s="164">
        <v>45938.0</v>
      </c>
    </row>
    <row r="842">
      <c r="A842" s="117" t="s">
        <v>1896</v>
      </c>
      <c r="B842" s="164">
        <v>45938.0</v>
      </c>
    </row>
    <row r="843">
      <c r="A843" s="117" t="s">
        <v>2019</v>
      </c>
      <c r="B843" s="164">
        <v>45938.0</v>
      </c>
    </row>
    <row r="844">
      <c r="A844" s="117" t="s">
        <v>2021</v>
      </c>
      <c r="B844" s="164">
        <v>45938.0</v>
      </c>
    </row>
    <row r="845">
      <c r="A845" s="117" t="s">
        <v>2022</v>
      </c>
      <c r="B845" s="164">
        <v>45938.0</v>
      </c>
    </row>
    <row r="846">
      <c r="A846" s="117" t="s">
        <v>2023</v>
      </c>
      <c r="B846" s="164">
        <v>45938.0</v>
      </c>
    </row>
    <row r="847">
      <c r="A847" s="117" t="s">
        <v>2024</v>
      </c>
      <c r="B847" s="164">
        <v>45938.0</v>
      </c>
    </row>
    <row r="848">
      <c r="A848" s="117" t="s">
        <v>2025</v>
      </c>
      <c r="B848" s="164">
        <v>45938.0</v>
      </c>
    </row>
    <row r="849">
      <c r="A849" s="117" t="s">
        <v>2026</v>
      </c>
      <c r="B849" s="164">
        <v>45938.0</v>
      </c>
    </row>
    <row r="850">
      <c r="A850" s="117" t="s">
        <v>2027</v>
      </c>
      <c r="B850" s="164">
        <v>45938.0</v>
      </c>
    </row>
    <row r="851">
      <c r="A851" s="117" t="s">
        <v>427</v>
      </c>
      <c r="B851" s="164">
        <v>45938.0</v>
      </c>
    </row>
    <row r="852">
      <c r="A852" s="117" t="s">
        <v>2028</v>
      </c>
      <c r="B852" s="164">
        <v>45938.0</v>
      </c>
    </row>
    <row r="853">
      <c r="A853" s="119" t="s">
        <v>2029</v>
      </c>
      <c r="B853" s="164">
        <v>45940.0</v>
      </c>
    </row>
    <row r="854">
      <c r="A854" s="119" t="s">
        <v>564</v>
      </c>
      <c r="B854" s="164">
        <v>45940.0</v>
      </c>
    </row>
    <row r="855">
      <c r="A855" s="119" t="s">
        <v>2030</v>
      </c>
      <c r="B855" s="164">
        <v>45940.0</v>
      </c>
    </row>
    <row r="856">
      <c r="A856" s="117" t="s">
        <v>2031</v>
      </c>
      <c r="B856" s="164">
        <v>45940.0</v>
      </c>
    </row>
    <row r="857">
      <c r="A857" s="117" t="s">
        <v>2032</v>
      </c>
      <c r="B857" s="164">
        <v>45940.0</v>
      </c>
    </row>
    <row r="858">
      <c r="A858" s="117" t="s">
        <v>2033</v>
      </c>
      <c r="B858" s="164">
        <v>45940.0</v>
      </c>
    </row>
    <row r="859">
      <c r="A859" s="117" t="s">
        <v>2034</v>
      </c>
      <c r="B859" s="164">
        <v>45944.0</v>
      </c>
    </row>
    <row r="860">
      <c r="A860" s="117" t="s">
        <v>2010</v>
      </c>
      <c r="B860" s="164">
        <v>45944.0</v>
      </c>
    </row>
    <row r="861">
      <c r="A861" s="117" t="s">
        <v>2011</v>
      </c>
      <c r="B861" s="164">
        <v>45944.0</v>
      </c>
    </row>
    <row r="862">
      <c r="A862" s="117" t="s">
        <v>1948</v>
      </c>
      <c r="B862" s="164">
        <v>45944.0</v>
      </c>
    </row>
    <row r="863">
      <c r="A863" s="117" t="s">
        <v>1974</v>
      </c>
      <c r="B863" s="164">
        <v>45944.0</v>
      </c>
    </row>
    <row r="864">
      <c r="A864" s="117" t="s">
        <v>2037</v>
      </c>
      <c r="B864" s="164">
        <v>45944.0</v>
      </c>
    </row>
    <row r="865">
      <c r="A865" s="117" t="s">
        <v>2013</v>
      </c>
      <c r="B865" s="164">
        <v>45944.0</v>
      </c>
    </row>
    <row r="866">
      <c r="A866" s="117" t="s">
        <v>2014</v>
      </c>
      <c r="B866" s="164">
        <v>45944.0</v>
      </c>
    </row>
    <row r="867">
      <c r="A867" s="117" t="s">
        <v>1996</v>
      </c>
      <c r="B867" s="164">
        <v>45944.0</v>
      </c>
    </row>
    <row r="868">
      <c r="A868" s="117" t="s">
        <v>2016</v>
      </c>
      <c r="B868" s="164">
        <v>45944.0</v>
      </c>
    </row>
    <row r="869">
      <c r="A869" s="117" t="s">
        <v>814</v>
      </c>
      <c r="B869" s="164">
        <v>45944.0</v>
      </c>
    </row>
    <row r="870">
      <c r="A870" s="117" t="s">
        <v>1809</v>
      </c>
      <c r="B870" s="164">
        <v>45944.0</v>
      </c>
    </row>
    <row r="871">
      <c r="A871" s="117" t="s">
        <v>1896</v>
      </c>
      <c r="B871" s="164">
        <v>45944.0</v>
      </c>
    </row>
    <row r="872">
      <c r="A872" s="117" t="s">
        <v>2038</v>
      </c>
      <c r="B872" s="164">
        <v>45944.0</v>
      </c>
    </row>
    <row r="873">
      <c r="A873" s="117" t="s">
        <v>2039</v>
      </c>
      <c r="B873" s="164">
        <v>45944.0</v>
      </c>
    </row>
    <row r="874">
      <c r="A874" s="117" t="s">
        <v>2040</v>
      </c>
      <c r="B874" s="164">
        <v>45944.0</v>
      </c>
    </row>
    <row r="875">
      <c r="A875" s="117" t="s">
        <v>2041</v>
      </c>
      <c r="B875" s="164">
        <v>45944.0</v>
      </c>
    </row>
    <row r="876">
      <c r="A876" s="117" t="s">
        <v>2043</v>
      </c>
      <c r="B876" s="164">
        <v>45944.0</v>
      </c>
    </row>
    <row r="877">
      <c r="A877" s="117" t="s">
        <v>2043</v>
      </c>
      <c r="B877" s="164">
        <v>45944.0</v>
      </c>
    </row>
    <row r="878">
      <c r="A878" s="117" t="s">
        <v>2019</v>
      </c>
      <c r="B878" s="164" t="s">
        <v>2044</v>
      </c>
    </row>
    <row r="879">
      <c r="A879" s="117" t="s">
        <v>885</v>
      </c>
      <c r="B879" s="164">
        <v>45946.0</v>
      </c>
    </row>
    <row r="880">
      <c r="A880" s="117" t="s">
        <v>564</v>
      </c>
      <c r="B880" s="164">
        <v>45946.0</v>
      </c>
    </row>
    <row r="881">
      <c r="A881" s="117" t="s">
        <v>1065</v>
      </c>
      <c r="B881" s="164">
        <v>45946.0</v>
      </c>
    </row>
    <row r="882">
      <c r="A882" s="117" t="s">
        <v>2046</v>
      </c>
      <c r="B882" s="164">
        <v>45946.0</v>
      </c>
    </row>
    <row r="883">
      <c r="A883" s="117" t="s">
        <v>2047</v>
      </c>
      <c r="B883" s="164">
        <v>45946.0</v>
      </c>
    </row>
    <row r="884">
      <c r="A884" s="117" t="s">
        <v>2048</v>
      </c>
      <c r="B884" s="164">
        <v>45946.0</v>
      </c>
    </row>
    <row r="885">
      <c r="A885" s="117" t="s">
        <v>1938</v>
      </c>
      <c r="B885" s="164">
        <v>45946.0</v>
      </c>
    </row>
    <row r="886">
      <c r="A886" s="117" t="s">
        <v>1894</v>
      </c>
      <c r="B886" s="164">
        <v>45946.0</v>
      </c>
    </row>
    <row r="887">
      <c r="A887" s="117" t="s">
        <v>1779</v>
      </c>
      <c r="B887" s="164">
        <v>45946.0</v>
      </c>
    </row>
    <row r="888">
      <c r="A888" s="117" t="s">
        <v>2049</v>
      </c>
      <c r="B888" s="164">
        <v>45946.0</v>
      </c>
    </row>
    <row r="889">
      <c r="A889" s="117" t="s">
        <v>2050</v>
      </c>
      <c r="B889" s="164">
        <v>45946.0</v>
      </c>
    </row>
    <row r="890">
      <c r="A890" s="117" t="s">
        <v>663</v>
      </c>
      <c r="B890" s="164">
        <v>45946.0</v>
      </c>
    </row>
    <row r="891">
      <c r="A891" s="117" t="s">
        <v>2052</v>
      </c>
      <c r="B891" s="164">
        <v>45946.0</v>
      </c>
    </row>
    <row r="892">
      <c r="A892" s="117" t="s">
        <v>814</v>
      </c>
      <c r="B892" s="164">
        <v>45947.0</v>
      </c>
    </row>
    <row r="893">
      <c r="A893" s="117" t="s">
        <v>2054</v>
      </c>
      <c r="B893" s="164">
        <v>45948.0</v>
      </c>
    </row>
    <row r="894">
      <c r="A894" s="117" t="s">
        <v>2054</v>
      </c>
      <c r="B894" s="164">
        <v>45948.0</v>
      </c>
    </row>
    <row r="895">
      <c r="A895" s="117" t="s">
        <v>68</v>
      </c>
      <c r="B895" s="164">
        <v>45950.0</v>
      </c>
    </row>
    <row r="896">
      <c r="A896" s="117" t="s">
        <v>2055</v>
      </c>
      <c r="B896" s="164">
        <v>45950.0</v>
      </c>
    </row>
    <row r="897">
      <c r="A897" s="117" t="s">
        <v>2056</v>
      </c>
      <c r="B897" s="164">
        <v>45950.0</v>
      </c>
    </row>
    <row r="898">
      <c r="A898" s="117" t="s">
        <v>2057</v>
      </c>
      <c r="B898" s="164">
        <v>45950.0</v>
      </c>
    </row>
    <row r="899">
      <c r="A899" s="117" t="s">
        <v>2058</v>
      </c>
      <c r="B899" s="164">
        <v>45950.0</v>
      </c>
    </row>
    <row r="900">
      <c r="A900" s="117" t="s">
        <v>618</v>
      </c>
      <c r="B900" s="164">
        <v>45950.0</v>
      </c>
    </row>
    <row r="901">
      <c r="A901" s="117" t="s">
        <v>2059</v>
      </c>
      <c r="B901" s="164">
        <v>45950.0</v>
      </c>
    </row>
    <row r="902">
      <c r="A902" s="117" t="s">
        <v>2019</v>
      </c>
      <c r="B902" s="164">
        <v>45950.0</v>
      </c>
    </row>
    <row r="903">
      <c r="A903" s="117" t="s">
        <v>2043</v>
      </c>
      <c r="B903" s="164">
        <v>45950.0</v>
      </c>
    </row>
    <row r="904">
      <c r="A904" s="117" t="s">
        <v>294</v>
      </c>
      <c r="B904" s="164">
        <v>45950.0</v>
      </c>
    </row>
    <row r="905">
      <c r="A905" s="117" t="s">
        <v>61</v>
      </c>
      <c r="B905" s="164">
        <v>45950.0</v>
      </c>
    </row>
    <row r="906">
      <c r="A906" s="117" t="s">
        <v>2062</v>
      </c>
      <c r="B906" s="164">
        <v>45950.0</v>
      </c>
    </row>
    <row r="907">
      <c r="A907" s="117" t="s">
        <v>2063</v>
      </c>
      <c r="B907" s="164">
        <v>45950.0</v>
      </c>
    </row>
    <row r="908">
      <c r="A908" s="117" t="s">
        <v>2064</v>
      </c>
      <c r="B908" s="164">
        <v>45950.0</v>
      </c>
    </row>
    <row r="909">
      <c r="A909" s="117" t="s">
        <v>2065</v>
      </c>
      <c r="B909" s="164">
        <v>45950.0</v>
      </c>
    </row>
    <row r="910">
      <c r="A910" s="117" t="s">
        <v>2066</v>
      </c>
      <c r="B910" s="164">
        <v>45950.0</v>
      </c>
    </row>
    <row r="911">
      <c r="A911" s="117" t="s">
        <v>2067</v>
      </c>
      <c r="B911" s="164">
        <v>45952.0</v>
      </c>
    </row>
    <row r="912">
      <c r="A912" s="117" t="s">
        <v>2054</v>
      </c>
      <c r="B912" s="164">
        <v>45952.0</v>
      </c>
    </row>
    <row r="913">
      <c r="A913" s="117" t="s">
        <v>2069</v>
      </c>
      <c r="B913" s="164">
        <v>45952.0</v>
      </c>
    </row>
    <row r="914">
      <c r="A914" s="117" t="s">
        <v>2070</v>
      </c>
      <c r="B914" s="164">
        <v>45952.0</v>
      </c>
    </row>
    <row r="915">
      <c r="A915" s="117" t="s">
        <v>471</v>
      </c>
      <c r="B915" s="164">
        <v>45952.0</v>
      </c>
    </row>
    <row r="916">
      <c r="A916" s="117" t="s">
        <v>471</v>
      </c>
      <c r="B916" s="169">
        <v>45978.0</v>
      </c>
    </row>
    <row r="917">
      <c r="A917" s="117" t="s">
        <v>335</v>
      </c>
      <c r="B917" s="164">
        <v>45952.0</v>
      </c>
    </row>
    <row r="918">
      <c r="A918" s="117" t="s">
        <v>335</v>
      </c>
      <c r="B918" s="164">
        <v>45952.0</v>
      </c>
    </row>
    <row r="919">
      <c r="A919" s="117" t="s">
        <v>1894</v>
      </c>
      <c r="B919" s="164">
        <v>45952.0</v>
      </c>
    </row>
    <row r="920">
      <c r="A920" s="117" t="s">
        <v>2019</v>
      </c>
      <c r="B920" s="164">
        <v>45952.0</v>
      </c>
    </row>
    <row r="921">
      <c r="A921" s="117" t="s">
        <v>2071</v>
      </c>
      <c r="B921" s="164">
        <v>45952.0</v>
      </c>
    </row>
    <row r="922">
      <c r="A922" s="117" t="s">
        <v>2072</v>
      </c>
      <c r="B922" s="164">
        <v>45952.0</v>
      </c>
    </row>
    <row r="923">
      <c r="A923" s="117" t="s">
        <v>2073</v>
      </c>
      <c r="B923" s="164">
        <v>45952.0</v>
      </c>
    </row>
    <row r="924">
      <c r="A924" s="117" t="s">
        <v>2074</v>
      </c>
      <c r="B924" s="164">
        <v>45952.0</v>
      </c>
    </row>
    <row r="925">
      <c r="A925" s="117" t="s">
        <v>1165</v>
      </c>
      <c r="B925" s="164">
        <v>45952.0</v>
      </c>
    </row>
    <row r="926">
      <c r="A926" s="117" t="s">
        <v>2075</v>
      </c>
      <c r="B926" s="164">
        <v>45952.0</v>
      </c>
    </row>
    <row r="927">
      <c r="A927" s="117" t="s">
        <v>2076</v>
      </c>
      <c r="B927" s="164">
        <v>45952.0</v>
      </c>
    </row>
    <row r="928">
      <c r="A928" s="117" t="s">
        <v>2077</v>
      </c>
      <c r="B928" s="164">
        <v>45952.0</v>
      </c>
    </row>
    <row r="929">
      <c r="A929" s="117" t="s">
        <v>968</v>
      </c>
      <c r="B929" s="164">
        <v>45952.0</v>
      </c>
    </row>
    <row r="930">
      <c r="A930" s="117" t="s">
        <v>2079</v>
      </c>
      <c r="B930" s="164">
        <v>45953.0</v>
      </c>
    </row>
    <row r="931">
      <c r="A931" s="117" t="s">
        <v>2080</v>
      </c>
      <c r="B931" s="164">
        <v>45953.0</v>
      </c>
    </row>
    <row r="932">
      <c r="A932" s="117" t="s">
        <v>2081</v>
      </c>
      <c r="B932" s="164">
        <v>45953.0</v>
      </c>
    </row>
    <row r="933">
      <c r="A933" s="117" t="s">
        <v>2080</v>
      </c>
      <c r="B933" s="164">
        <v>45953.0</v>
      </c>
    </row>
    <row r="934">
      <c r="A934" s="117" t="s">
        <v>2082</v>
      </c>
      <c r="B934" s="164">
        <v>45953.0</v>
      </c>
    </row>
    <row r="935">
      <c r="A935" s="117" t="s">
        <v>2084</v>
      </c>
      <c r="B935" s="164">
        <v>45953.0</v>
      </c>
    </row>
    <row r="936">
      <c r="A936" s="117" t="s">
        <v>2085</v>
      </c>
      <c r="B936" s="164">
        <v>45953.0</v>
      </c>
    </row>
    <row r="937">
      <c r="A937" s="117" t="s">
        <v>1068</v>
      </c>
      <c r="B937" s="164">
        <v>45953.0</v>
      </c>
    </row>
    <row r="938">
      <c r="A938" s="117" t="s">
        <v>2086</v>
      </c>
      <c r="B938" s="164">
        <v>45953.0</v>
      </c>
    </row>
    <row r="939">
      <c r="A939" s="117" t="s">
        <v>2087</v>
      </c>
      <c r="B939" s="164">
        <v>45953.0</v>
      </c>
    </row>
    <row r="940">
      <c r="A940" s="117" t="s">
        <v>2088</v>
      </c>
      <c r="B940" s="164">
        <v>45957.0</v>
      </c>
    </row>
    <row r="941">
      <c r="A941" s="117" t="s">
        <v>2089</v>
      </c>
      <c r="B941" s="164">
        <v>45957.0</v>
      </c>
    </row>
    <row r="942">
      <c r="A942" s="117" t="s">
        <v>2090</v>
      </c>
      <c r="B942" s="164">
        <v>45957.0</v>
      </c>
    </row>
    <row r="943">
      <c r="A943" s="117" t="s">
        <v>2091</v>
      </c>
      <c r="B943" s="164">
        <v>45957.0</v>
      </c>
    </row>
    <row r="944">
      <c r="A944" s="117" t="s">
        <v>330</v>
      </c>
      <c r="B944" s="164">
        <v>45957.0</v>
      </c>
    </row>
    <row r="945">
      <c r="A945" s="117" t="s">
        <v>330</v>
      </c>
      <c r="B945" s="164">
        <v>45957.0</v>
      </c>
    </row>
    <row r="946">
      <c r="A946" s="117" t="s">
        <v>2093</v>
      </c>
      <c r="B946" s="164">
        <v>45957.0</v>
      </c>
    </row>
    <row r="947">
      <c r="A947" s="117" t="s">
        <v>566</v>
      </c>
      <c r="B947" s="164">
        <v>45957.0</v>
      </c>
    </row>
    <row r="948">
      <c r="A948" s="117" t="s">
        <v>2094</v>
      </c>
      <c r="B948" s="164">
        <v>45957.0</v>
      </c>
    </row>
    <row r="949">
      <c r="A949" s="117" t="s">
        <v>2095</v>
      </c>
      <c r="B949" s="164">
        <v>45957.0</v>
      </c>
    </row>
    <row r="950">
      <c r="A950" s="117" t="s">
        <v>2096</v>
      </c>
      <c r="B950" s="164">
        <v>45957.0</v>
      </c>
    </row>
    <row r="951">
      <c r="A951" s="117" t="s">
        <v>583</v>
      </c>
      <c r="B951" s="164">
        <v>45960.0</v>
      </c>
    </row>
    <row r="952">
      <c r="A952" s="117" t="s">
        <v>2098</v>
      </c>
      <c r="B952" s="164">
        <v>45960.0</v>
      </c>
    </row>
    <row r="953">
      <c r="A953" s="117" t="s">
        <v>558</v>
      </c>
      <c r="B953" s="164">
        <v>45960.0</v>
      </c>
    </row>
    <row r="954">
      <c r="A954" s="117" t="s">
        <v>2100</v>
      </c>
      <c r="B954" s="164">
        <v>45960.0</v>
      </c>
    </row>
    <row r="955">
      <c r="A955" s="117" t="s">
        <v>2101</v>
      </c>
      <c r="B955" s="164">
        <v>45960.0</v>
      </c>
    </row>
    <row r="956">
      <c r="A956" s="117" t="s">
        <v>2102</v>
      </c>
      <c r="B956" s="164">
        <v>45960.0</v>
      </c>
    </row>
    <row r="957">
      <c r="A957" s="117" t="s">
        <v>2103</v>
      </c>
      <c r="B957" s="164">
        <v>45960.0</v>
      </c>
    </row>
    <row r="958">
      <c r="A958" s="117" t="s">
        <v>2104</v>
      </c>
      <c r="B958" s="164">
        <v>45963.0</v>
      </c>
    </row>
    <row r="959">
      <c r="A959" s="117" t="s">
        <v>2089</v>
      </c>
      <c r="B959" s="164">
        <v>45963.0</v>
      </c>
    </row>
    <row r="960">
      <c r="A960" s="117" t="s">
        <v>2106</v>
      </c>
      <c r="B960" s="164">
        <v>45963.0</v>
      </c>
    </row>
    <row r="961">
      <c r="A961" s="117" t="s">
        <v>2107</v>
      </c>
      <c r="B961" s="164">
        <v>45963.0</v>
      </c>
    </row>
    <row r="962">
      <c r="A962" s="117" t="s">
        <v>2109</v>
      </c>
      <c r="B962" s="164">
        <v>45963.0</v>
      </c>
    </row>
    <row r="963">
      <c r="A963" s="117" t="s">
        <v>1896</v>
      </c>
      <c r="B963" s="164">
        <v>45963.0</v>
      </c>
    </row>
    <row r="964">
      <c r="A964" s="117" t="s">
        <v>2110</v>
      </c>
      <c r="B964" s="164">
        <v>45963.0</v>
      </c>
    </row>
    <row r="965">
      <c r="A965" s="117" t="s">
        <v>2112</v>
      </c>
      <c r="B965" s="164">
        <v>45963.0</v>
      </c>
    </row>
    <row r="966">
      <c r="A966" s="117" t="s">
        <v>2113</v>
      </c>
      <c r="B966" s="164">
        <v>45963.0</v>
      </c>
    </row>
    <row r="967">
      <c r="A967" s="117" t="s">
        <v>2114</v>
      </c>
      <c r="B967" s="164">
        <v>45963.0</v>
      </c>
    </row>
    <row r="968">
      <c r="A968" s="117" t="s">
        <v>2115</v>
      </c>
      <c r="B968" s="164">
        <v>45963.0</v>
      </c>
    </row>
    <row r="969">
      <c r="A969" s="117" t="s">
        <v>2116</v>
      </c>
      <c r="B969" s="164">
        <v>45963.0</v>
      </c>
    </row>
    <row r="970">
      <c r="A970" s="117" t="s">
        <v>2118</v>
      </c>
      <c r="B970" s="164">
        <v>45963.0</v>
      </c>
    </row>
    <row r="971">
      <c r="A971" s="117" t="s">
        <v>1483</v>
      </c>
      <c r="B971" s="164">
        <v>45965.0</v>
      </c>
    </row>
    <row r="972">
      <c r="A972" s="117" t="s">
        <v>471</v>
      </c>
      <c r="B972" s="164">
        <v>45965.0</v>
      </c>
    </row>
    <row r="973">
      <c r="A973" s="117" t="s">
        <v>335</v>
      </c>
      <c r="B973" s="164">
        <v>45965.0</v>
      </c>
    </row>
    <row r="974">
      <c r="A974" s="117" t="s">
        <v>2120</v>
      </c>
      <c r="B974" s="164">
        <v>45966.0</v>
      </c>
    </row>
    <row r="975">
      <c r="A975" s="117" t="s">
        <v>2121</v>
      </c>
      <c r="B975" s="164">
        <v>45966.0</v>
      </c>
    </row>
    <row r="976">
      <c r="A976" s="117" t="s">
        <v>1850</v>
      </c>
      <c r="B976" s="164">
        <v>45966.0</v>
      </c>
    </row>
    <row r="977">
      <c r="A977" s="117" t="s">
        <v>1852</v>
      </c>
      <c r="B977" s="164">
        <v>45966.0</v>
      </c>
    </row>
    <row r="978">
      <c r="A978" s="117" t="s">
        <v>1853</v>
      </c>
      <c r="B978" s="164">
        <v>45966.0</v>
      </c>
    </row>
    <row r="979">
      <c r="A979" s="117" t="s">
        <v>2123</v>
      </c>
      <c r="B979" s="164">
        <v>45966.0</v>
      </c>
    </row>
    <row r="980">
      <c r="A980" s="117" t="s">
        <v>1854</v>
      </c>
      <c r="B980" s="164">
        <v>45966.0</v>
      </c>
    </row>
    <row r="981">
      <c r="A981" s="117" t="s">
        <v>2124</v>
      </c>
      <c r="B981" s="164">
        <v>45966.0</v>
      </c>
    </row>
    <row r="982">
      <c r="A982" s="117" t="s">
        <v>2125</v>
      </c>
      <c r="B982" s="164">
        <v>45966.0</v>
      </c>
    </row>
    <row r="983">
      <c r="A983" s="117" t="s">
        <v>2126</v>
      </c>
      <c r="B983" s="164">
        <v>45966.0</v>
      </c>
    </row>
    <row r="984">
      <c r="A984" s="117" t="s">
        <v>2127</v>
      </c>
      <c r="B984" s="164">
        <v>45966.0</v>
      </c>
    </row>
    <row r="985">
      <c r="A985" s="117" t="s">
        <v>2128</v>
      </c>
      <c r="B985" s="164">
        <v>45966.0</v>
      </c>
    </row>
    <row r="986">
      <c r="A986" s="117" t="s">
        <v>526</v>
      </c>
      <c r="B986" s="164">
        <v>45966.0</v>
      </c>
    </row>
    <row r="987">
      <c r="A987" s="117" t="s">
        <v>72</v>
      </c>
      <c r="B987" s="164">
        <v>45966.0</v>
      </c>
    </row>
    <row r="988">
      <c r="A988" s="117" t="s">
        <v>2129</v>
      </c>
      <c r="B988" s="164">
        <v>45966.0</v>
      </c>
    </row>
    <row r="989">
      <c r="A989" s="117" t="s">
        <v>2130</v>
      </c>
      <c r="B989" s="164">
        <v>45966.0</v>
      </c>
    </row>
    <row r="990">
      <c r="A990" s="117" t="s">
        <v>2131</v>
      </c>
      <c r="B990" s="164">
        <v>45966.0</v>
      </c>
    </row>
    <row r="991">
      <c r="A991" s="117" t="s">
        <v>2132</v>
      </c>
      <c r="B991" s="164">
        <v>45966.0</v>
      </c>
    </row>
    <row r="992">
      <c r="A992" s="117" t="s">
        <v>2134</v>
      </c>
      <c r="B992" s="164">
        <v>45966.0</v>
      </c>
    </row>
    <row r="993">
      <c r="A993" s="117" t="s">
        <v>657</v>
      </c>
      <c r="B993" s="164">
        <v>45966.0</v>
      </c>
    </row>
    <row r="994">
      <c r="A994" s="117" t="s">
        <v>2135</v>
      </c>
      <c r="B994" s="164">
        <v>45966.0</v>
      </c>
    </row>
    <row r="995">
      <c r="A995" s="117" t="s">
        <v>652</v>
      </c>
      <c r="B995" s="164">
        <v>45966.0</v>
      </c>
    </row>
    <row r="996">
      <c r="A996" s="117" t="s">
        <v>654</v>
      </c>
      <c r="B996" s="164">
        <v>45966.0</v>
      </c>
    </row>
    <row r="997">
      <c r="A997" s="117" t="s">
        <v>1034</v>
      </c>
      <c r="B997" s="164">
        <v>45966.0</v>
      </c>
    </row>
    <row r="998">
      <c r="A998" s="117" t="s">
        <v>568</v>
      </c>
      <c r="B998" s="164">
        <v>45966.0</v>
      </c>
    </row>
    <row r="999">
      <c r="A999" s="117" t="s">
        <v>71</v>
      </c>
      <c r="B999" s="164">
        <v>45966.0</v>
      </c>
    </row>
    <row r="1000">
      <c r="A1000" s="117" t="s">
        <v>451</v>
      </c>
      <c r="B1000" s="164">
        <v>45966.0</v>
      </c>
    </row>
    <row r="1001">
      <c r="A1001" s="117" t="s">
        <v>1108</v>
      </c>
      <c r="B1001" s="164">
        <v>45966.0</v>
      </c>
    </row>
    <row r="1002">
      <c r="A1002" s="117" t="s">
        <v>873</v>
      </c>
      <c r="B1002" s="164">
        <v>45966.0</v>
      </c>
    </row>
    <row r="1003">
      <c r="A1003" s="117" t="s">
        <v>1861</v>
      </c>
      <c r="B1003" s="164">
        <v>45966.0</v>
      </c>
    </row>
    <row r="1004">
      <c r="A1004" s="119" t="s">
        <v>649</v>
      </c>
      <c r="B1004" s="164">
        <v>45966.0</v>
      </c>
    </row>
    <row r="1005">
      <c r="A1005" s="119" t="s">
        <v>2136</v>
      </c>
      <c r="B1005" s="164">
        <v>45966.0</v>
      </c>
    </row>
    <row r="1006">
      <c r="A1006" s="119" t="s">
        <v>1858</v>
      </c>
      <c r="B1006" s="164">
        <v>45966.0</v>
      </c>
    </row>
    <row r="1007">
      <c r="A1007" s="119" t="s">
        <v>2138</v>
      </c>
      <c r="B1007" s="164">
        <v>45966.0</v>
      </c>
    </row>
    <row r="1008">
      <c r="A1008" s="119" t="s">
        <v>659</v>
      </c>
      <c r="B1008" s="164">
        <v>45966.0</v>
      </c>
    </row>
    <row r="1009">
      <c r="A1009" s="119" t="s">
        <v>2139</v>
      </c>
      <c r="B1009" s="164">
        <v>45966.0</v>
      </c>
    </row>
    <row r="1010">
      <c r="A1010" s="119" t="s">
        <v>2140</v>
      </c>
      <c r="B1010" s="164">
        <v>45966.0</v>
      </c>
    </row>
    <row r="1011">
      <c r="A1011" s="119" t="s">
        <v>2141</v>
      </c>
      <c r="B1011" s="164">
        <v>45966.0</v>
      </c>
    </row>
    <row r="1012">
      <c r="A1012" s="119" t="s">
        <v>2143</v>
      </c>
      <c r="B1012" s="164">
        <v>45966.0</v>
      </c>
    </row>
    <row r="1013">
      <c r="A1013" s="119" t="s">
        <v>2145</v>
      </c>
      <c r="B1013" s="164">
        <v>45966.0</v>
      </c>
    </row>
    <row r="1014">
      <c r="A1014" s="119" t="s">
        <v>2146</v>
      </c>
      <c r="B1014" s="164">
        <v>45966.0</v>
      </c>
    </row>
    <row r="1015">
      <c r="A1015" s="119" t="s">
        <v>1814</v>
      </c>
      <c r="B1015" s="164">
        <v>45971.0</v>
      </c>
    </row>
    <row r="1016">
      <c r="A1016" s="119" t="s">
        <v>678</v>
      </c>
      <c r="B1016" s="164">
        <v>45971.0</v>
      </c>
    </row>
    <row r="1017">
      <c r="A1017" s="119" t="s">
        <v>2148</v>
      </c>
      <c r="B1017" s="164">
        <v>45971.0</v>
      </c>
    </row>
    <row r="1018">
      <c r="A1018" s="117" t="s">
        <v>2149</v>
      </c>
      <c r="B1018" s="164">
        <v>45971.0</v>
      </c>
    </row>
    <row r="1019">
      <c r="A1019" s="117" t="s">
        <v>1893</v>
      </c>
      <c r="B1019" s="164">
        <v>45971.0</v>
      </c>
    </row>
    <row r="1020">
      <c r="A1020" s="117" t="s">
        <v>558</v>
      </c>
      <c r="B1020" s="164">
        <v>45971.0</v>
      </c>
    </row>
    <row r="1021">
      <c r="A1021" s="117" t="s">
        <v>146</v>
      </c>
      <c r="B1021" s="164">
        <v>45975.0</v>
      </c>
    </row>
    <row r="1022">
      <c r="A1022" s="117" t="s">
        <v>244</v>
      </c>
      <c r="B1022" s="169">
        <v>45978.0</v>
      </c>
    </row>
    <row r="1023">
      <c r="A1023" s="117" t="s">
        <v>51</v>
      </c>
      <c r="B1023" s="169">
        <v>45985.0</v>
      </c>
    </row>
    <row r="1024">
      <c r="A1024" s="117" t="s">
        <v>699</v>
      </c>
      <c r="B1024" s="164">
        <v>45974.0</v>
      </c>
    </row>
    <row r="1025">
      <c r="A1025" s="117" t="s">
        <v>51</v>
      </c>
      <c r="B1025" s="164">
        <v>45974.0</v>
      </c>
    </row>
    <row r="1026">
      <c r="A1026" s="117" t="s">
        <v>2151</v>
      </c>
      <c r="B1026" s="164">
        <v>45974.0</v>
      </c>
    </row>
    <row r="1027">
      <c r="A1027" s="117" t="s">
        <v>2152</v>
      </c>
      <c r="B1027" s="164">
        <v>45974.0</v>
      </c>
    </row>
    <row r="1028">
      <c r="A1028" s="117" t="s">
        <v>2153</v>
      </c>
      <c r="B1028" s="164">
        <v>45974.0</v>
      </c>
    </row>
    <row r="1029">
      <c r="A1029" s="117" t="s">
        <v>146</v>
      </c>
      <c r="B1029" s="164">
        <v>45974.0</v>
      </c>
    </row>
    <row r="1030">
      <c r="A1030" s="117" t="s">
        <v>2154</v>
      </c>
      <c r="B1030" s="164">
        <v>45978.0</v>
      </c>
    </row>
    <row r="1031">
      <c r="A1031" s="117" t="s">
        <v>264</v>
      </c>
      <c r="B1031" s="164">
        <v>45978.0</v>
      </c>
    </row>
    <row r="1032">
      <c r="A1032" s="117" t="s">
        <v>2156</v>
      </c>
      <c r="B1032" s="164">
        <v>45978.0</v>
      </c>
    </row>
    <row r="1033">
      <c r="A1033" s="117" t="s">
        <v>478</v>
      </c>
      <c r="B1033" s="164">
        <v>45978.0</v>
      </c>
    </row>
    <row r="1034">
      <c r="A1034" s="117" t="s">
        <v>2158</v>
      </c>
      <c r="B1034" s="164">
        <v>45978.0</v>
      </c>
    </row>
    <row r="1035">
      <c r="A1035" s="117" t="s">
        <v>2085</v>
      </c>
      <c r="B1035" s="164">
        <v>45978.0</v>
      </c>
    </row>
    <row r="1036">
      <c r="A1036" s="117" t="s">
        <v>2159</v>
      </c>
      <c r="B1036" s="164">
        <v>45978.0</v>
      </c>
    </row>
    <row r="1037">
      <c r="A1037" s="117" t="s">
        <v>2160</v>
      </c>
      <c r="B1037" s="164">
        <v>45978.0</v>
      </c>
    </row>
    <row r="1038">
      <c r="A1038" s="117" t="s">
        <v>2161</v>
      </c>
      <c r="B1038" s="164">
        <v>45978.0</v>
      </c>
    </row>
    <row r="1039">
      <c r="A1039" s="117" t="s">
        <v>2162</v>
      </c>
      <c r="B1039" s="164">
        <v>45978.0</v>
      </c>
    </row>
    <row r="1040">
      <c r="A1040" s="117" t="s">
        <v>2081</v>
      </c>
      <c r="B1040" s="164">
        <v>45978.0</v>
      </c>
    </row>
    <row r="1041">
      <c r="A1041" s="117" t="s">
        <v>2163</v>
      </c>
      <c r="B1041" s="164">
        <v>45978.0</v>
      </c>
    </row>
    <row r="1042">
      <c r="A1042" s="117" t="s">
        <v>2164</v>
      </c>
      <c r="B1042" s="164">
        <v>45978.0</v>
      </c>
    </row>
    <row r="1043">
      <c r="A1043" s="117" t="s">
        <v>2165</v>
      </c>
      <c r="B1043" s="164">
        <v>45978.0</v>
      </c>
    </row>
    <row r="1044">
      <c r="A1044" s="117" t="s">
        <v>1956</v>
      </c>
      <c r="B1044" s="164">
        <v>45978.0</v>
      </c>
    </row>
    <row r="1045">
      <c r="A1045" s="117" t="s">
        <v>2166</v>
      </c>
      <c r="B1045" s="164">
        <v>45978.0</v>
      </c>
    </row>
    <row r="1046">
      <c r="A1046" s="117" t="s">
        <v>957</v>
      </c>
      <c r="B1046" s="164">
        <v>45978.0</v>
      </c>
    </row>
    <row r="1047">
      <c r="A1047" s="117" t="s">
        <v>1866</v>
      </c>
      <c r="B1047" s="164">
        <v>45978.0</v>
      </c>
    </row>
    <row r="1048">
      <c r="A1048" s="117" t="s">
        <v>1868</v>
      </c>
      <c r="B1048" s="164">
        <v>45978.0</v>
      </c>
    </row>
    <row r="1049">
      <c r="A1049" s="117" t="s">
        <v>2167</v>
      </c>
      <c r="B1049" s="164">
        <v>45978.0</v>
      </c>
    </row>
    <row r="1050">
      <c r="A1050" s="117" t="s">
        <v>2168</v>
      </c>
      <c r="B1050" s="164">
        <v>45978.0</v>
      </c>
    </row>
    <row r="1051">
      <c r="A1051" s="117" t="s">
        <v>865</v>
      </c>
      <c r="B1051" s="164">
        <v>45978.0</v>
      </c>
    </row>
    <row r="1052">
      <c r="A1052" s="117" t="s">
        <v>2169</v>
      </c>
      <c r="B1052" s="164">
        <v>45978.0</v>
      </c>
    </row>
    <row r="1053">
      <c r="A1053" s="117" t="s">
        <v>1865</v>
      </c>
      <c r="B1053" s="164">
        <v>45978.0</v>
      </c>
    </row>
    <row r="1054">
      <c r="A1054" s="117" t="s">
        <v>68</v>
      </c>
      <c r="B1054" s="164">
        <v>45978.0</v>
      </c>
    </row>
    <row r="1055">
      <c r="A1055" s="117" t="s">
        <v>2171</v>
      </c>
      <c r="B1055" s="164">
        <v>45978.0</v>
      </c>
    </row>
    <row r="1056">
      <c r="A1056" s="117" t="s">
        <v>1955</v>
      </c>
      <c r="B1056" s="164">
        <v>45978.0</v>
      </c>
    </row>
    <row r="1057">
      <c r="A1057" s="117" t="s">
        <v>1859</v>
      </c>
      <c r="B1057" s="164">
        <v>45978.0</v>
      </c>
    </row>
    <row r="1058">
      <c r="A1058" s="117" t="s">
        <v>447</v>
      </c>
      <c r="B1058" s="164">
        <v>45978.0</v>
      </c>
    </row>
    <row r="1059">
      <c r="A1059" s="117" t="s">
        <v>2172</v>
      </c>
      <c r="B1059" s="164">
        <v>45978.0</v>
      </c>
    </row>
    <row r="1060">
      <c r="A1060" s="117" t="s">
        <v>2175</v>
      </c>
      <c r="B1060" s="164">
        <v>45978.0</v>
      </c>
    </row>
    <row r="1061">
      <c r="A1061" s="117" t="s">
        <v>2176</v>
      </c>
      <c r="B1061" s="164">
        <v>45978.0</v>
      </c>
    </row>
    <row r="1062">
      <c r="A1062" s="117" t="s">
        <v>2055</v>
      </c>
      <c r="B1062" s="164">
        <v>45978.0</v>
      </c>
    </row>
    <row r="1063">
      <c r="A1063" s="117" t="s">
        <v>2056</v>
      </c>
      <c r="B1063" s="164">
        <v>45978.0</v>
      </c>
    </row>
    <row r="1064">
      <c r="A1064" s="117" t="s">
        <v>2178</v>
      </c>
      <c r="B1064" s="164">
        <v>45978.0</v>
      </c>
    </row>
    <row r="1065">
      <c r="A1065" s="117" t="s">
        <v>2179</v>
      </c>
      <c r="B1065" s="164">
        <v>45978.0</v>
      </c>
    </row>
    <row r="1066">
      <c r="A1066" s="117" t="s">
        <v>2180</v>
      </c>
      <c r="B1066" s="164">
        <v>45978.0</v>
      </c>
    </row>
    <row r="1067">
      <c r="A1067" s="117" t="s">
        <v>2181</v>
      </c>
      <c r="B1067" s="164">
        <v>45978.0</v>
      </c>
    </row>
    <row r="1068">
      <c r="A1068" s="117" t="s">
        <v>796</v>
      </c>
      <c r="B1068" s="164">
        <v>45978.0</v>
      </c>
    </row>
    <row r="1069">
      <c r="A1069" s="117" t="s">
        <v>1954</v>
      </c>
      <c r="B1069" s="169">
        <v>45980.0</v>
      </c>
    </row>
    <row r="1070">
      <c r="A1070" s="117" t="s">
        <v>2089</v>
      </c>
      <c r="B1070" s="169">
        <v>45979.0</v>
      </c>
    </row>
    <row r="1071">
      <c r="A1071" s="117" t="s">
        <v>2184</v>
      </c>
      <c r="B1071" s="164">
        <v>45981.0</v>
      </c>
    </row>
    <row r="1072">
      <c r="A1072" s="117" t="s">
        <v>2185</v>
      </c>
      <c r="B1072" s="164">
        <v>45981.0</v>
      </c>
    </row>
    <row r="1073">
      <c r="A1073" s="117" t="s">
        <v>146</v>
      </c>
      <c r="B1073" s="164">
        <v>45981.0</v>
      </c>
    </row>
    <row r="1074">
      <c r="A1074" s="117" t="s">
        <v>244</v>
      </c>
      <c r="B1074" s="164">
        <v>45981.0</v>
      </c>
    </row>
    <row r="1075">
      <c r="A1075" s="117" t="s">
        <v>471</v>
      </c>
      <c r="B1075" s="164">
        <v>45981.0</v>
      </c>
    </row>
    <row r="1076">
      <c r="A1076" s="117" t="s">
        <v>335</v>
      </c>
      <c r="B1076" s="164">
        <v>45981.0</v>
      </c>
    </row>
    <row r="1077">
      <c r="A1077" s="119" t="s">
        <v>2189</v>
      </c>
      <c r="B1077" s="164">
        <v>45981.0</v>
      </c>
    </row>
    <row r="1078">
      <c r="A1078" s="117" t="s">
        <v>2190</v>
      </c>
      <c r="B1078" s="164">
        <v>45984.0</v>
      </c>
    </row>
    <row r="1079">
      <c r="A1079" s="117" t="s">
        <v>2191</v>
      </c>
      <c r="B1079" s="164">
        <v>45984.0</v>
      </c>
    </row>
    <row r="1080">
      <c r="A1080" s="117" t="s">
        <v>1954</v>
      </c>
      <c r="B1080" s="164">
        <v>45984.0</v>
      </c>
    </row>
    <row r="1081">
      <c r="A1081" s="119" t="s">
        <v>2175</v>
      </c>
      <c r="B1081" s="164">
        <v>45984.0</v>
      </c>
    </row>
    <row r="1082">
      <c r="A1082" s="117" t="s">
        <v>2194</v>
      </c>
      <c r="B1082" s="171">
        <v>45981.0</v>
      </c>
    </row>
    <row r="1083">
      <c r="A1083" s="117" t="s">
        <v>244</v>
      </c>
      <c r="B1083" s="169">
        <v>45981.0</v>
      </c>
    </row>
    <row r="1084">
      <c r="A1084" s="117" t="s">
        <v>2196</v>
      </c>
      <c r="B1084" s="169">
        <v>45983.0</v>
      </c>
    </row>
    <row r="1085">
      <c r="A1085" s="117" t="s">
        <v>244</v>
      </c>
      <c r="B1085" s="164">
        <v>45984.0</v>
      </c>
    </row>
    <row r="1086">
      <c r="A1086" s="117" t="s">
        <v>146</v>
      </c>
      <c r="B1086" s="164">
        <v>45984.0</v>
      </c>
    </row>
    <row r="1087">
      <c r="A1087" s="117" t="s">
        <v>471</v>
      </c>
      <c r="B1087" s="169">
        <v>45984.0</v>
      </c>
    </row>
    <row r="1088">
      <c r="A1088" s="117" t="s">
        <v>244</v>
      </c>
      <c r="B1088" s="164">
        <v>45984.0</v>
      </c>
    </row>
    <row r="1089">
      <c r="A1089" s="119" t="s">
        <v>51</v>
      </c>
      <c r="B1089" s="169">
        <v>45984.0</v>
      </c>
    </row>
    <row r="1090">
      <c r="A1090" s="117" t="s">
        <v>146</v>
      </c>
      <c r="B1090" s="164">
        <v>45984.0</v>
      </c>
    </row>
    <row r="1091">
      <c r="A1091" s="117" t="s">
        <v>2198</v>
      </c>
      <c r="B1091" s="164">
        <v>45984.0</v>
      </c>
    </row>
    <row r="1092">
      <c r="A1092" s="117" t="s">
        <v>2160</v>
      </c>
      <c r="B1092" s="169">
        <v>45983.0</v>
      </c>
    </row>
    <row r="1093">
      <c r="A1093" s="117" t="s">
        <v>2200</v>
      </c>
      <c r="B1093" s="169">
        <v>45984.0</v>
      </c>
    </row>
    <row r="1094">
      <c r="A1094" s="117" t="s">
        <v>2201</v>
      </c>
      <c r="B1094" s="164">
        <v>45984.0</v>
      </c>
    </row>
    <row r="1095">
      <c r="A1095" s="117" t="s">
        <v>2202</v>
      </c>
      <c r="B1095" s="169">
        <v>45985.0</v>
      </c>
    </row>
    <row r="1096">
      <c r="A1096" s="117" t="s">
        <v>2203</v>
      </c>
      <c r="B1096" s="164">
        <v>45984.0</v>
      </c>
    </row>
    <row r="1097">
      <c r="A1097" s="117" t="s">
        <v>2204</v>
      </c>
      <c r="B1097" s="164">
        <v>45986.0</v>
      </c>
    </row>
    <row r="1098">
      <c r="A1098" s="117" t="s">
        <v>2205</v>
      </c>
      <c r="B1098" s="164">
        <v>45986.0</v>
      </c>
    </row>
    <row r="1099">
      <c r="A1099" s="117" t="s">
        <v>1809</v>
      </c>
      <c r="B1099" s="164">
        <v>45989.0</v>
      </c>
    </row>
    <row r="1100">
      <c r="A1100" s="117" t="s">
        <v>2206</v>
      </c>
      <c r="B1100" s="169">
        <v>45986.0</v>
      </c>
    </row>
    <row r="1101">
      <c r="A1101" s="117" t="s">
        <v>2208</v>
      </c>
      <c r="B1101" s="169">
        <v>45981.0</v>
      </c>
    </row>
    <row r="1102">
      <c r="A1102" s="117" t="s">
        <v>1954</v>
      </c>
      <c r="B1102" s="164">
        <v>45989.0</v>
      </c>
    </row>
    <row r="1103">
      <c r="A1103" s="117" t="s">
        <v>2211</v>
      </c>
      <c r="B1103" s="164">
        <v>45989.0</v>
      </c>
    </row>
    <row r="1104">
      <c r="A1104" s="119" t="s">
        <v>678</v>
      </c>
      <c r="B1104" s="164">
        <v>45989.0</v>
      </c>
    </row>
    <row r="1105">
      <c r="A1105" s="117" t="s">
        <v>2212</v>
      </c>
      <c r="B1105" s="164">
        <v>45989.0</v>
      </c>
    </row>
    <row r="1106">
      <c r="A1106" s="117" t="s">
        <v>2213</v>
      </c>
      <c r="B1106" s="164">
        <v>45993.0</v>
      </c>
    </row>
    <row r="1107">
      <c r="A1107" s="117" t="s">
        <v>2214</v>
      </c>
      <c r="B1107" s="169">
        <v>45990.0</v>
      </c>
    </row>
    <row r="1108">
      <c r="A1108" s="117" t="s">
        <v>2215</v>
      </c>
      <c r="B1108" s="169">
        <v>45981.0</v>
      </c>
    </row>
    <row r="1109">
      <c r="A1109" s="117" t="s">
        <v>2216</v>
      </c>
      <c r="B1109" s="164">
        <v>45993.0</v>
      </c>
    </row>
    <row r="1110">
      <c r="A1110" s="117" t="s">
        <v>2217</v>
      </c>
      <c r="B1110" s="164">
        <v>45993.0</v>
      </c>
    </row>
    <row r="1111">
      <c r="A1111" s="117" t="s">
        <v>2218</v>
      </c>
      <c r="B1111" s="164">
        <v>45993.0</v>
      </c>
    </row>
    <row r="1112">
      <c r="A1112" s="117" t="s">
        <v>725</v>
      </c>
      <c r="B1112" s="164">
        <v>45993.0</v>
      </c>
    </row>
    <row r="1113">
      <c r="A1113" s="117" t="s">
        <v>663</v>
      </c>
      <c r="B1113" s="164">
        <v>45993.0</v>
      </c>
    </row>
    <row r="1114">
      <c r="A1114" s="117" t="s">
        <v>1954</v>
      </c>
      <c r="B1114" s="169">
        <v>45999.0</v>
      </c>
    </row>
    <row r="1115">
      <c r="A1115" s="117" t="s">
        <v>1954</v>
      </c>
      <c r="B1115" s="169">
        <v>45999.0</v>
      </c>
    </row>
    <row r="1116">
      <c r="A1116" s="117" t="s">
        <v>2221</v>
      </c>
      <c r="B1116" s="169">
        <v>45999.0</v>
      </c>
    </row>
    <row r="1117">
      <c r="A1117" s="117" t="s">
        <v>2223</v>
      </c>
      <c r="B1117" s="169">
        <v>45999.0</v>
      </c>
    </row>
    <row r="1118">
      <c r="A1118" s="117" t="s">
        <v>2225</v>
      </c>
      <c r="B1118" s="169">
        <v>45999.0</v>
      </c>
    </row>
    <row r="1119">
      <c r="A1119" s="117" t="s">
        <v>2226</v>
      </c>
      <c r="B1119" s="169">
        <v>45999.0</v>
      </c>
    </row>
    <row r="1120">
      <c r="A1120" s="117" t="s">
        <v>2227</v>
      </c>
      <c r="B1120" s="169">
        <v>45999.0</v>
      </c>
    </row>
    <row r="1121">
      <c r="A1121" s="117" t="s">
        <v>2228</v>
      </c>
      <c r="B1121" s="169">
        <v>45999.0</v>
      </c>
    </row>
    <row r="1122">
      <c r="A1122" s="117" t="s">
        <v>2229</v>
      </c>
      <c r="B1122" s="169">
        <v>45999.0</v>
      </c>
    </row>
    <row r="1123">
      <c r="A1123" s="117" t="s">
        <v>2230</v>
      </c>
      <c r="B1123" s="169">
        <v>45999.0</v>
      </c>
    </row>
    <row r="1124">
      <c r="A1124" s="117" t="s">
        <v>2231</v>
      </c>
      <c r="B1124" s="169">
        <v>45999.0</v>
      </c>
    </row>
    <row r="1125">
      <c r="A1125" s="117" t="s">
        <v>471</v>
      </c>
      <c r="B1125" s="169">
        <v>45999.0</v>
      </c>
    </row>
    <row r="1126">
      <c r="A1126" s="117" t="s">
        <v>471</v>
      </c>
      <c r="B1126" s="169">
        <v>45999.0</v>
      </c>
    </row>
    <row r="1127">
      <c r="A1127" s="117" t="s">
        <v>1896</v>
      </c>
      <c r="B1127" s="169">
        <v>45999.0</v>
      </c>
    </row>
    <row r="1128">
      <c r="A1128" s="117" t="s">
        <v>2234</v>
      </c>
      <c r="B1128" s="169">
        <v>45999.0</v>
      </c>
    </row>
    <row r="1129">
      <c r="A1129" s="117" t="s">
        <v>2235</v>
      </c>
      <c r="B1129" s="169">
        <v>45999.0</v>
      </c>
    </row>
    <row r="1130">
      <c r="A1130" s="117" t="s">
        <v>2236</v>
      </c>
      <c r="B1130" s="169">
        <v>45999.0</v>
      </c>
    </row>
    <row r="1131">
      <c r="A1131" s="117" t="s">
        <v>2237</v>
      </c>
      <c r="B1131" s="169">
        <v>45999.0</v>
      </c>
    </row>
    <row r="1132">
      <c r="A1132" s="117" t="s">
        <v>2238</v>
      </c>
      <c r="B1132" s="169">
        <v>45999.0</v>
      </c>
    </row>
    <row r="1133">
      <c r="A1133" s="117" t="s">
        <v>2240</v>
      </c>
      <c r="B1133" s="169">
        <v>45999.0</v>
      </c>
    </row>
    <row r="1134">
      <c r="A1134" s="117" t="s">
        <v>2241</v>
      </c>
      <c r="B1134" s="164">
        <v>46001.0</v>
      </c>
    </row>
    <row r="1135">
      <c r="A1135" s="117" t="s">
        <v>264</v>
      </c>
      <c r="B1135" s="164">
        <v>46001.0</v>
      </c>
    </row>
    <row r="1136">
      <c r="A1136" s="117" t="s">
        <v>264</v>
      </c>
      <c r="B1136" s="164">
        <v>46001.0</v>
      </c>
    </row>
    <row r="1137">
      <c r="A1137" s="117" t="s">
        <v>2242</v>
      </c>
      <c r="B1137" s="164">
        <v>46001.0</v>
      </c>
    </row>
    <row r="1138">
      <c r="A1138" s="117" t="s">
        <v>2243</v>
      </c>
      <c r="B1138" s="164">
        <v>46001.0</v>
      </c>
    </row>
    <row r="1139">
      <c r="A1139" s="117" t="s">
        <v>2244</v>
      </c>
      <c r="B1139" s="164">
        <v>46002.0</v>
      </c>
    </row>
    <row r="1140">
      <c r="A1140" s="117" t="s">
        <v>2245</v>
      </c>
      <c r="B1140" s="164">
        <v>46002.0</v>
      </c>
    </row>
    <row r="1141">
      <c r="A1141" s="117" t="s">
        <v>2246</v>
      </c>
      <c r="B1141" s="164">
        <v>46002.0</v>
      </c>
    </row>
    <row r="1142">
      <c r="A1142" s="117" t="s">
        <v>2045</v>
      </c>
      <c r="B1142" s="164">
        <v>46002.0</v>
      </c>
    </row>
    <row r="1143">
      <c r="A1143" s="117" t="s">
        <v>2053</v>
      </c>
      <c r="B1143" s="164">
        <v>46002.0</v>
      </c>
    </row>
    <row r="1144">
      <c r="A1144" s="141" t="s">
        <v>2247</v>
      </c>
      <c r="B1144" s="164">
        <v>46002.0</v>
      </c>
    </row>
    <row r="1145">
      <c r="A1145" s="117" t="s">
        <v>2208</v>
      </c>
      <c r="B1145" s="164">
        <v>46002.0</v>
      </c>
    </row>
    <row r="1146">
      <c r="A1146" s="117" t="s">
        <v>2248</v>
      </c>
      <c r="B1146" s="164">
        <v>46002.0</v>
      </c>
    </row>
    <row r="1147">
      <c r="A1147" s="117" t="s">
        <v>330</v>
      </c>
      <c r="B1147" s="164">
        <v>46002.0</v>
      </c>
    </row>
    <row r="1148">
      <c r="A1148" s="117" t="s">
        <v>583</v>
      </c>
      <c r="B1148" s="164">
        <v>46002.0</v>
      </c>
    </row>
    <row r="1149">
      <c r="A1149" s="117" t="s">
        <v>2250</v>
      </c>
      <c r="B1149" s="164">
        <v>46006.0</v>
      </c>
    </row>
    <row r="1150">
      <c r="A1150" s="117" t="s">
        <v>2250</v>
      </c>
      <c r="B1150" s="164">
        <v>46006.0</v>
      </c>
    </row>
    <row r="1151">
      <c r="A1151" s="117" t="s">
        <v>126</v>
      </c>
      <c r="B1151" s="164">
        <v>46006.0</v>
      </c>
    </row>
    <row r="1152">
      <c r="A1152" s="117" t="s">
        <v>2251</v>
      </c>
      <c r="B1152" s="164">
        <v>46006.0</v>
      </c>
    </row>
    <row r="1153">
      <c r="A1153" s="117" t="s">
        <v>2252</v>
      </c>
      <c r="B1153" s="164">
        <v>46006.0</v>
      </c>
    </row>
    <row r="1154">
      <c r="A1154" s="119" t="s">
        <v>2253</v>
      </c>
      <c r="B1154" s="164">
        <v>46006.0</v>
      </c>
    </row>
    <row r="1155">
      <c r="A1155" s="117" t="s">
        <v>2104</v>
      </c>
      <c r="B1155" s="164">
        <v>46006.0</v>
      </c>
    </row>
    <row r="1156">
      <c r="A1156" s="117" t="s">
        <v>240</v>
      </c>
      <c r="B1156" s="164">
        <v>46006.0</v>
      </c>
    </row>
    <row r="1157">
      <c r="A1157" s="117" t="s">
        <v>2255</v>
      </c>
      <c r="B1157" s="164">
        <v>46006.0</v>
      </c>
    </row>
    <row r="1158">
      <c r="A1158" s="117" t="s">
        <v>51</v>
      </c>
      <c r="B1158" s="164">
        <v>46006.0</v>
      </c>
    </row>
    <row r="1159">
      <c r="A1159" s="117" t="s">
        <v>2256</v>
      </c>
      <c r="B1159" s="164">
        <v>46006.0</v>
      </c>
    </row>
    <row r="1160">
      <c r="A1160" s="117" t="s">
        <v>146</v>
      </c>
      <c r="B1160" s="164">
        <v>46006.0</v>
      </c>
    </row>
    <row r="1161">
      <c r="A1161" s="117" t="s">
        <v>244</v>
      </c>
      <c r="B1161" s="164">
        <v>46006.0</v>
      </c>
    </row>
    <row r="1162">
      <c r="A1162" s="117" t="s">
        <v>2257</v>
      </c>
      <c r="B1162" s="164">
        <v>46006.0</v>
      </c>
    </row>
    <row r="1163">
      <c r="A1163" s="117" t="s">
        <v>2258</v>
      </c>
      <c r="B1163" s="164">
        <v>46007.0</v>
      </c>
    </row>
    <row r="1164">
      <c r="A1164" s="117" t="s">
        <v>2259</v>
      </c>
      <c r="B1164" s="164">
        <v>46007.0</v>
      </c>
    </row>
    <row r="1165">
      <c r="A1165" s="117" t="s">
        <v>2260</v>
      </c>
      <c r="B1165" s="164">
        <v>46007.0</v>
      </c>
    </row>
    <row r="1166">
      <c r="A1166" s="117" t="s">
        <v>2261</v>
      </c>
      <c r="B1166" s="164">
        <v>46007.0</v>
      </c>
    </row>
    <row r="1167">
      <c r="A1167" s="117" t="s">
        <v>1483</v>
      </c>
      <c r="B1167" s="164">
        <v>46007.0</v>
      </c>
    </row>
    <row r="1168">
      <c r="A1168" s="117" t="s">
        <v>2262</v>
      </c>
      <c r="B1168" s="164">
        <v>46007.0</v>
      </c>
    </row>
    <row r="1169">
      <c r="A1169" s="117" t="s">
        <v>2262</v>
      </c>
      <c r="B1169" s="164">
        <v>46007.0</v>
      </c>
    </row>
    <row r="1170">
      <c r="A1170" s="117" t="s">
        <v>2263</v>
      </c>
      <c r="B1170" s="164">
        <v>46007.0</v>
      </c>
    </row>
    <row r="1171">
      <c r="A1171" s="119" t="s">
        <v>471</v>
      </c>
      <c r="B1171" s="164">
        <v>46007.0</v>
      </c>
    </row>
    <row r="1172">
      <c r="A1172" s="117" t="s">
        <v>2264</v>
      </c>
      <c r="B1172" s="174"/>
    </row>
    <row r="1173">
      <c r="A1173" s="117" t="s">
        <v>2265</v>
      </c>
      <c r="B1173" s="174"/>
    </row>
    <row r="1174">
      <c r="A1174" s="117" t="s">
        <v>2266</v>
      </c>
      <c r="B1174" s="174"/>
    </row>
    <row r="1175">
      <c r="A1175" s="117" t="s">
        <v>2267</v>
      </c>
      <c r="B1175" s="174"/>
    </row>
    <row r="1176">
      <c r="A1176" s="117" t="s">
        <v>853</v>
      </c>
      <c r="B1176" s="177"/>
    </row>
    <row r="1177">
      <c r="A1177" s="117" t="s">
        <v>2268</v>
      </c>
      <c r="B1177" s="174"/>
    </row>
    <row r="1178">
      <c r="A1178" s="117" t="s">
        <v>2269</v>
      </c>
      <c r="B1178" s="174"/>
    </row>
    <row r="1179">
      <c r="A1179" s="117" t="s">
        <v>2270</v>
      </c>
      <c r="B1179" s="171">
        <v>46012.74676517361</v>
      </c>
    </row>
    <row r="1180">
      <c r="A1180" s="117" t="s">
        <v>2271</v>
      </c>
      <c r="B1180" s="174"/>
    </row>
    <row r="1181">
      <c r="A1181" s="117" t="s">
        <v>2272</v>
      </c>
      <c r="B1181" s="171">
        <v>46014.0</v>
      </c>
    </row>
    <row r="1182">
      <c r="A1182" s="117" t="s">
        <v>2273</v>
      </c>
      <c r="B1182" s="171">
        <v>46014.0</v>
      </c>
    </row>
    <row r="1183">
      <c r="A1183" s="117" t="s">
        <v>1896</v>
      </c>
      <c r="B1183" s="171">
        <v>46012.74676517361</v>
      </c>
    </row>
    <row r="1184">
      <c r="A1184" s="117" t="s">
        <v>1392</v>
      </c>
      <c r="B1184" s="177"/>
    </row>
    <row r="1185">
      <c r="A1185" s="119" t="s">
        <v>2205</v>
      </c>
      <c r="B1185" s="177"/>
    </row>
    <row r="1186">
      <c r="A1186" s="117" t="s">
        <v>126</v>
      </c>
      <c r="B1186" s="174"/>
    </row>
    <row r="1187">
      <c r="A1187" s="117" t="s">
        <v>126</v>
      </c>
      <c r="B1187" s="174"/>
    </row>
    <row r="1188">
      <c r="A1188" s="117" t="s">
        <v>1896</v>
      </c>
      <c r="B1188" s="177"/>
    </row>
    <row r="1189">
      <c r="A1189" s="117" t="s">
        <v>471</v>
      </c>
      <c r="B1189" s="177"/>
    </row>
    <row r="1190">
      <c r="A1190" s="117" t="s">
        <v>2275</v>
      </c>
      <c r="B1190" s="171">
        <v>46012.74676517361</v>
      </c>
    </row>
    <row r="1191">
      <c r="A1191" s="117" t="s">
        <v>2276</v>
      </c>
      <c r="B1191" s="171">
        <v>46012.74904086806</v>
      </c>
    </row>
    <row r="1192">
      <c r="A1192" s="117" t="s">
        <v>583</v>
      </c>
      <c r="B1192" s="174"/>
    </row>
    <row r="1193">
      <c r="A1193" s="117" t="s">
        <v>2277</v>
      </c>
      <c r="B1193" s="174"/>
    </row>
    <row r="1194">
      <c r="A1194" s="117" t="s">
        <v>2278</v>
      </c>
      <c r="B1194" s="174"/>
    </row>
    <row r="1195">
      <c r="A1195" s="117" t="s">
        <v>2279</v>
      </c>
      <c r="B1195" s="174"/>
    </row>
    <row r="1196">
      <c r="A1196" s="117" t="s">
        <v>2280</v>
      </c>
      <c r="B1196" s="174"/>
    </row>
    <row r="1197">
      <c r="A1197" s="117" t="s">
        <v>1859</v>
      </c>
      <c r="B1197" s="174"/>
    </row>
    <row r="1198">
      <c r="A1198" s="117" t="s">
        <v>2282</v>
      </c>
      <c r="B1198" s="174"/>
    </row>
    <row r="1199">
      <c r="A1199" s="117" t="s">
        <v>1948</v>
      </c>
      <c r="B1199" s="174"/>
    </row>
    <row r="1200">
      <c r="A1200" s="117" t="s">
        <v>2250</v>
      </c>
      <c r="B1200" s="174"/>
    </row>
    <row r="1201">
      <c r="A1201" s="117" t="s">
        <v>2283</v>
      </c>
      <c r="B1201" s="174"/>
    </row>
    <row r="1202">
      <c r="A1202" s="117" t="s">
        <v>377</v>
      </c>
      <c r="B1202" s="174"/>
    </row>
    <row r="1203">
      <c r="A1203" s="119" t="s">
        <v>2284</v>
      </c>
      <c r="B1203" s="174"/>
    </row>
    <row r="1204">
      <c r="A1204" s="117" t="s">
        <v>2224</v>
      </c>
      <c r="B1204" s="177"/>
    </row>
    <row r="1205">
      <c r="A1205" s="117" t="s">
        <v>2271</v>
      </c>
      <c r="B1205" s="174"/>
    </row>
    <row r="1206">
      <c r="A1206" s="117" t="s">
        <v>2271</v>
      </c>
      <c r="B1206" s="174"/>
    </row>
    <row r="1207">
      <c r="A1207" s="180" t="s">
        <v>20</v>
      </c>
      <c r="B1207" s="181" t="s">
        <v>23</v>
      </c>
    </row>
    <row r="1208">
      <c r="A1208" s="182" t="s">
        <v>1900</v>
      </c>
      <c r="B1208" s="183">
        <v>46027.0</v>
      </c>
    </row>
    <row r="1209">
      <c r="A1209" s="182" t="s">
        <v>1922</v>
      </c>
      <c r="B1209" s="184">
        <v>46027.0</v>
      </c>
    </row>
    <row r="1210">
      <c r="A1210" s="182" t="s">
        <v>1933</v>
      </c>
      <c r="B1210" s="184">
        <v>46027.0</v>
      </c>
    </row>
    <row r="1211">
      <c r="A1211" s="182" t="s">
        <v>1943</v>
      </c>
      <c r="B1211" s="184">
        <v>46027.0</v>
      </c>
    </row>
    <row r="1212">
      <c r="A1212" s="182" t="s">
        <v>1954</v>
      </c>
      <c r="B1212" s="184">
        <v>46027.0</v>
      </c>
    </row>
    <row r="1213">
      <c r="A1213" s="187" t="s">
        <v>1966</v>
      </c>
      <c r="B1213" s="188">
        <v>46041.0</v>
      </c>
    </row>
    <row r="1214">
      <c r="A1214" s="182" t="s">
        <v>1983</v>
      </c>
      <c r="B1214" s="184">
        <v>46027.0</v>
      </c>
    </row>
    <row r="1215">
      <c r="A1215" s="182" t="s">
        <v>1992</v>
      </c>
      <c r="B1215" s="184">
        <v>46027.0</v>
      </c>
    </row>
    <row r="1216">
      <c r="A1216" s="182" t="s">
        <v>2000</v>
      </c>
      <c r="B1216" s="184">
        <v>46027.0</v>
      </c>
    </row>
    <row r="1217">
      <c r="A1217" s="182" t="s">
        <v>2005</v>
      </c>
      <c r="B1217" s="184">
        <v>46027.0</v>
      </c>
    </row>
    <row r="1218">
      <c r="A1218" s="182" t="s">
        <v>126</v>
      </c>
      <c r="B1218" s="184">
        <v>46027.0</v>
      </c>
    </row>
    <row r="1219">
      <c r="A1219" s="187" t="s">
        <v>2020</v>
      </c>
      <c r="B1219" s="188">
        <v>46041.0</v>
      </c>
    </row>
    <row r="1220">
      <c r="A1220" s="182" t="s">
        <v>2035</v>
      </c>
      <c r="B1220" s="192">
        <v>46027.0</v>
      </c>
    </row>
    <row r="1221">
      <c r="A1221" s="182" t="s">
        <v>2042</v>
      </c>
      <c r="B1221" s="192">
        <v>46029.0</v>
      </c>
    </row>
    <row r="1222">
      <c r="A1222" s="182" t="s">
        <v>2045</v>
      </c>
      <c r="B1222" s="192">
        <v>46029.0</v>
      </c>
    </row>
    <row r="1223">
      <c r="A1223" s="182" t="s">
        <v>2053</v>
      </c>
      <c r="B1223" s="192">
        <v>46029.0</v>
      </c>
    </row>
    <row r="1224">
      <c r="A1224" s="182" t="s">
        <v>2061</v>
      </c>
      <c r="B1224" s="192">
        <v>46029.0</v>
      </c>
    </row>
    <row r="1225">
      <c r="A1225" s="182" t="s">
        <v>51</v>
      </c>
      <c r="B1225" s="192">
        <v>46029.0</v>
      </c>
    </row>
    <row r="1226">
      <c r="A1226" s="182" t="s">
        <v>126</v>
      </c>
      <c r="B1226" s="192">
        <v>46029.0</v>
      </c>
    </row>
    <row r="1227">
      <c r="A1227" s="182" t="s">
        <v>814</v>
      </c>
      <c r="B1227" s="192">
        <v>46029.0</v>
      </c>
    </row>
    <row r="1228">
      <c r="A1228" s="182" t="s">
        <v>2092</v>
      </c>
      <c r="B1228" s="192">
        <v>46030.0</v>
      </c>
    </row>
    <row r="1229">
      <c r="A1229" s="182" t="s">
        <v>2099</v>
      </c>
      <c r="B1229" s="192">
        <v>46030.0</v>
      </c>
    </row>
    <row r="1230">
      <c r="A1230" s="182" t="s">
        <v>2111</v>
      </c>
      <c r="B1230" s="192">
        <v>46030.0</v>
      </c>
    </row>
    <row r="1231">
      <c r="A1231" s="182" t="s">
        <v>2122</v>
      </c>
      <c r="B1231" s="192">
        <v>46030.0</v>
      </c>
    </row>
    <row r="1232">
      <c r="A1232" s="182" t="s">
        <v>610</v>
      </c>
      <c r="B1232" s="192">
        <v>46030.0</v>
      </c>
    </row>
    <row r="1233">
      <c r="A1233" s="182" t="s">
        <v>618</v>
      </c>
      <c r="B1233" s="192">
        <v>46030.0</v>
      </c>
    </row>
    <row r="1234">
      <c r="A1234" s="182" t="s">
        <v>748</v>
      </c>
      <c r="B1234" s="192">
        <v>46030.0</v>
      </c>
    </row>
    <row r="1235">
      <c r="A1235" s="182" t="s">
        <v>2147</v>
      </c>
      <c r="B1235" s="192">
        <v>46030.0</v>
      </c>
    </row>
    <row r="1236">
      <c r="A1236" s="182" t="s">
        <v>377</v>
      </c>
      <c r="B1236" s="192">
        <v>46034.0</v>
      </c>
    </row>
    <row r="1237">
      <c r="A1237" s="182" t="s">
        <v>2157</v>
      </c>
      <c r="B1237" s="192">
        <v>46034.0</v>
      </c>
    </row>
    <row r="1238">
      <c r="A1238" s="182" t="s">
        <v>2157</v>
      </c>
      <c r="B1238" s="192">
        <v>46034.0</v>
      </c>
    </row>
    <row r="1239">
      <c r="A1239" s="182" t="s">
        <v>1954</v>
      </c>
      <c r="B1239" s="192">
        <v>46034.0</v>
      </c>
    </row>
    <row r="1240">
      <c r="A1240" s="182" t="s">
        <v>2177</v>
      </c>
      <c r="B1240" s="192">
        <v>46034.0</v>
      </c>
    </row>
    <row r="1241">
      <c r="A1241" s="182" t="s">
        <v>2183</v>
      </c>
      <c r="B1241" s="192">
        <v>46034.0</v>
      </c>
    </row>
    <row r="1242">
      <c r="A1242" s="182" t="s">
        <v>146</v>
      </c>
      <c r="B1242" s="192">
        <v>46034.0</v>
      </c>
    </row>
    <row r="1243">
      <c r="A1243" s="182" t="s">
        <v>2193</v>
      </c>
      <c r="B1243" s="192">
        <v>46034.0</v>
      </c>
    </row>
    <row r="1244">
      <c r="A1244" s="182" t="s">
        <v>2197</v>
      </c>
      <c r="B1244" s="192">
        <v>46034.0</v>
      </c>
    </row>
    <row r="1245">
      <c r="A1245" s="182" t="s">
        <v>2199</v>
      </c>
      <c r="B1245" s="192">
        <v>46034.0</v>
      </c>
    </row>
    <row r="1246">
      <c r="A1246" s="182" t="s">
        <v>2210</v>
      </c>
      <c r="B1246" s="192">
        <v>46037.0</v>
      </c>
    </row>
    <row r="1247">
      <c r="A1247" s="182" t="s">
        <v>2224</v>
      </c>
      <c r="B1247" s="192">
        <v>46037.0</v>
      </c>
    </row>
    <row r="1248">
      <c r="A1248" s="182" t="s">
        <v>2224</v>
      </c>
      <c r="B1248" s="192">
        <v>46037.0</v>
      </c>
    </row>
    <row r="1249">
      <c r="A1249" s="182" t="s">
        <v>2239</v>
      </c>
      <c r="B1249" s="192">
        <v>46037.0</v>
      </c>
    </row>
    <row r="1250">
      <c r="A1250" s="182" t="s">
        <v>2015</v>
      </c>
      <c r="B1250" s="192">
        <v>46037.0</v>
      </c>
    </row>
    <row r="1251">
      <c r="A1251" s="182" t="s">
        <v>2249</v>
      </c>
      <c r="B1251" s="192">
        <v>46037.0</v>
      </c>
    </row>
    <row r="1252">
      <c r="A1252" s="182" t="s">
        <v>2166</v>
      </c>
      <c r="B1252" s="192">
        <v>46037.0</v>
      </c>
    </row>
    <row r="1253">
      <c r="A1253" s="182" t="s">
        <v>957</v>
      </c>
      <c r="B1253" s="192">
        <v>46037.0</v>
      </c>
    </row>
    <row r="1254">
      <c r="A1254" s="182" t="s">
        <v>1866</v>
      </c>
      <c r="B1254" s="192">
        <v>46037.0</v>
      </c>
    </row>
    <row r="1255">
      <c r="A1255" s="182" t="s">
        <v>2131</v>
      </c>
      <c r="B1255" s="192">
        <v>46037.0</v>
      </c>
    </row>
    <row r="1256">
      <c r="A1256" s="182" t="s">
        <v>2274</v>
      </c>
      <c r="B1256" s="192">
        <v>46037.0</v>
      </c>
    </row>
    <row r="1257">
      <c r="A1257" s="182" t="s">
        <v>2281</v>
      </c>
      <c r="B1257" s="192">
        <v>46037.0</v>
      </c>
    </row>
    <row r="1258">
      <c r="A1258" s="182" t="s">
        <v>1865</v>
      </c>
      <c r="B1258" s="192">
        <v>46037.0</v>
      </c>
    </row>
    <row r="1259">
      <c r="A1259" s="182" t="s">
        <v>2285</v>
      </c>
      <c r="B1259" s="192">
        <v>46037.0</v>
      </c>
    </row>
    <row r="1260">
      <c r="A1260" s="182" t="s">
        <v>2286</v>
      </c>
      <c r="B1260" s="192">
        <v>46037.0</v>
      </c>
    </row>
    <row r="1261">
      <c r="A1261" s="182" t="s">
        <v>2140</v>
      </c>
      <c r="B1261" s="192">
        <v>46037.0</v>
      </c>
    </row>
    <row r="1262">
      <c r="A1262" s="182" t="s">
        <v>1943</v>
      </c>
      <c r="B1262" s="192">
        <v>46037.0</v>
      </c>
    </row>
    <row r="1263">
      <c r="A1263" s="182" t="s">
        <v>2288</v>
      </c>
      <c r="B1263" s="192">
        <v>46037.0</v>
      </c>
    </row>
    <row r="1264">
      <c r="A1264" s="182" t="s">
        <v>2290</v>
      </c>
      <c r="B1264" s="192">
        <v>46037.0</v>
      </c>
    </row>
    <row r="1265">
      <c r="A1265" s="182" t="s">
        <v>854</v>
      </c>
      <c r="B1265" s="192">
        <v>46037.0</v>
      </c>
    </row>
    <row r="1266">
      <c r="A1266" s="182" t="s">
        <v>1106</v>
      </c>
      <c r="B1266" s="192">
        <v>46037.0</v>
      </c>
    </row>
    <row r="1267">
      <c r="A1267" s="182" t="s">
        <v>603</v>
      </c>
      <c r="B1267" s="192">
        <v>46037.0</v>
      </c>
    </row>
    <row r="1268">
      <c r="A1268" s="182" t="s">
        <v>2292</v>
      </c>
      <c r="B1268" s="192">
        <v>46037.0</v>
      </c>
    </row>
    <row r="1269">
      <c r="A1269" s="182" t="s">
        <v>2082</v>
      </c>
      <c r="B1269" s="192">
        <v>46037.0</v>
      </c>
    </row>
    <row r="1270">
      <c r="A1270" s="182" t="s">
        <v>658</v>
      </c>
      <c r="B1270" s="192">
        <v>46037.0</v>
      </c>
    </row>
    <row r="1271">
      <c r="A1271" s="182" t="s">
        <v>2295</v>
      </c>
      <c r="B1271" s="192">
        <v>46037.0</v>
      </c>
    </row>
    <row r="1272">
      <c r="A1272" s="182" t="s">
        <v>2296</v>
      </c>
      <c r="B1272" s="192">
        <v>46037.0</v>
      </c>
    </row>
    <row r="1273">
      <c r="A1273" s="182" t="s">
        <v>2297</v>
      </c>
      <c r="B1273" s="192">
        <v>46037.0</v>
      </c>
    </row>
    <row r="1274">
      <c r="A1274" s="182" t="s">
        <v>2298</v>
      </c>
      <c r="B1274" s="192">
        <v>46037.0</v>
      </c>
    </row>
    <row r="1275">
      <c r="A1275" s="182" t="s">
        <v>2299</v>
      </c>
      <c r="B1275" s="192">
        <v>46037.0</v>
      </c>
    </row>
    <row r="1276">
      <c r="A1276" s="182" t="s">
        <v>1809</v>
      </c>
      <c r="B1276" s="192">
        <v>46037.0</v>
      </c>
    </row>
    <row r="1277">
      <c r="A1277" s="182" t="s">
        <v>2300</v>
      </c>
      <c r="B1277" s="192">
        <v>46041.0</v>
      </c>
    </row>
    <row r="1278">
      <c r="A1278" s="182" t="s">
        <v>2302</v>
      </c>
      <c r="B1278" s="192">
        <v>46041.0</v>
      </c>
    </row>
    <row r="1279">
      <c r="A1279" s="182" t="s">
        <v>2250</v>
      </c>
      <c r="B1279" s="192">
        <v>46041.0</v>
      </c>
    </row>
    <row r="1280">
      <c r="A1280" s="182" t="s">
        <v>2304</v>
      </c>
      <c r="B1280" s="205">
        <v>46041.0</v>
      </c>
    </row>
    <row r="1281">
      <c r="A1281" s="182" t="s">
        <v>583</v>
      </c>
      <c r="B1281" s="205">
        <v>46041.0</v>
      </c>
    </row>
    <row r="1282">
      <c r="A1282" s="182" t="s">
        <v>2305</v>
      </c>
      <c r="B1282" s="205">
        <v>46041.0</v>
      </c>
    </row>
    <row r="1283">
      <c r="A1283" s="182" t="s">
        <v>2304</v>
      </c>
      <c r="B1283" s="205">
        <v>46041.0</v>
      </c>
    </row>
    <row r="1284">
      <c r="A1284" s="182" t="s">
        <v>238</v>
      </c>
      <c r="B1284" s="205">
        <v>46041.0</v>
      </c>
    </row>
    <row r="1285">
      <c r="A1285" s="206" t="s">
        <v>2308</v>
      </c>
      <c r="B1285" s="207">
        <v>46041.0</v>
      </c>
    </row>
    <row r="1286">
      <c r="A1286" s="206" t="s">
        <v>2311</v>
      </c>
      <c r="B1286" s="207">
        <v>46041.0</v>
      </c>
    </row>
    <row r="1287">
      <c r="A1287" s="208" t="s">
        <v>171</v>
      </c>
      <c r="B1287" s="209">
        <v>46041.0</v>
      </c>
    </row>
    <row r="1288">
      <c r="A1288" s="182" t="s">
        <v>377</v>
      </c>
      <c r="B1288" s="192">
        <v>46041.0</v>
      </c>
    </row>
    <row r="1289">
      <c r="A1289" s="182" t="s">
        <v>2312</v>
      </c>
      <c r="B1289" s="192">
        <v>46041.0</v>
      </c>
    </row>
    <row r="1290">
      <c r="A1290" s="182" t="s">
        <v>699</v>
      </c>
      <c r="B1290" s="192">
        <v>46041.0</v>
      </c>
    </row>
    <row r="1291">
      <c r="A1291" s="182" t="s">
        <v>2313</v>
      </c>
      <c r="B1291" s="192">
        <v>46043.0</v>
      </c>
    </row>
    <row r="1292">
      <c r="A1292" s="182" t="s">
        <v>2315</v>
      </c>
      <c r="B1292" s="205">
        <v>46043.0</v>
      </c>
    </row>
    <row r="1293">
      <c r="A1293" s="182" t="s">
        <v>2250</v>
      </c>
      <c r="B1293" s="192">
        <v>46043.0</v>
      </c>
    </row>
    <row r="1294">
      <c r="A1294" s="182" t="s">
        <v>2317</v>
      </c>
      <c r="B1294" s="192">
        <v>46043.0</v>
      </c>
    </row>
    <row r="1295">
      <c r="A1295" s="210" t="s">
        <v>2318</v>
      </c>
      <c r="B1295" s="211">
        <v>46043.0</v>
      </c>
    </row>
    <row r="1296">
      <c r="A1296" s="212" t="s">
        <v>478</v>
      </c>
      <c r="B1296" s="213">
        <v>46043.0</v>
      </c>
    </row>
    <row r="1297">
      <c r="A1297" s="212" t="s">
        <v>2319</v>
      </c>
      <c r="B1297" s="213">
        <v>46043.0</v>
      </c>
    </row>
    <row r="1298">
      <c r="A1298" s="182" t="s">
        <v>689</v>
      </c>
      <c r="B1298" s="205">
        <v>46043.0</v>
      </c>
    </row>
    <row r="1299">
      <c r="A1299" s="182" t="s">
        <v>2320</v>
      </c>
      <c r="B1299" s="205">
        <v>46043.0</v>
      </c>
    </row>
    <row r="1300">
      <c r="A1300" s="182" t="s">
        <v>2321</v>
      </c>
      <c r="B1300" s="205">
        <v>46043.0</v>
      </c>
    </row>
    <row r="1301">
      <c r="A1301" s="182" t="s">
        <v>725</v>
      </c>
      <c r="B1301" s="192">
        <v>46043.0</v>
      </c>
    </row>
    <row r="1302">
      <c r="A1302" s="182" t="s">
        <v>2324</v>
      </c>
      <c r="B1302" s="192">
        <v>46043.0</v>
      </c>
    </row>
    <row r="1303">
      <c r="A1303" s="182" t="s">
        <v>606</v>
      </c>
      <c r="B1303" s="192">
        <v>46043.0</v>
      </c>
    </row>
    <row r="1304">
      <c r="A1304" s="182" t="s">
        <v>240</v>
      </c>
      <c r="B1304" s="192">
        <v>46043.0</v>
      </c>
    </row>
    <row r="1305">
      <c r="A1305" s="182" t="s">
        <v>2325</v>
      </c>
      <c r="B1305" s="192">
        <v>46043.0</v>
      </c>
    </row>
    <row r="1306">
      <c r="A1306" s="182" t="s">
        <v>2326</v>
      </c>
      <c r="B1306" s="192">
        <v>46043.0</v>
      </c>
    </row>
    <row r="1307">
      <c r="A1307" s="182" t="s">
        <v>2327</v>
      </c>
      <c r="B1307" s="192">
        <v>46043.0</v>
      </c>
    </row>
    <row r="1308">
      <c r="A1308" s="182" t="s">
        <v>2328</v>
      </c>
      <c r="B1308" s="192">
        <v>46046.0</v>
      </c>
    </row>
    <row r="1309">
      <c r="A1309" s="182" t="s">
        <v>2329</v>
      </c>
      <c r="B1309" s="192">
        <v>46046.0</v>
      </c>
    </row>
    <row r="1310">
      <c r="A1310" s="212" t="s">
        <v>2330</v>
      </c>
      <c r="B1310" s="213">
        <v>46046.0</v>
      </c>
    </row>
    <row r="1311">
      <c r="A1311" s="214" t="s">
        <v>2332</v>
      </c>
      <c r="B1311" s="215">
        <v>46046.0</v>
      </c>
    </row>
    <row r="1312">
      <c r="A1312" s="212" t="s">
        <v>2334</v>
      </c>
      <c r="B1312" s="216">
        <v>46046.0</v>
      </c>
    </row>
    <row r="1313">
      <c r="A1313" s="210" t="s">
        <v>2335</v>
      </c>
      <c r="B1313" s="211">
        <v>46046.0</v>
      </c>
    </row>
    <row r="1314">
      <c r="A1314" s="210" t="s">
        <v>2336</v>
      </c>
      <c r="B1314" s="211">
        <v>46046.0</v>
      </c>
    </row>
    <row r="1315">
      <c r="A1315" s="210" t="s">
        <v>2337</v>
      </c>
      <c r="B1315" s="211">
        <v>46046.0</v>
      </c>
    </row>
    <row r="1316">
      <c r="A1316" s="210" t="s">
        <v>2106</v>
      </c>
      <c r="B1316" s="211">
        <v>46046.0</v>
      </c>
    </row>
    <row r="1317">
      <c r="A1317" s="212" t="s">
        <v>2339</v>
      </c>
      <c r="B1317" s="213">
        <v>46048.0</v>
      </c>
    </row>
    <row r="1318">
      <c r="A1318" s="182" t="s">
        <v>2342</v>
      </c>
      <c r="B1318" s="205">
        <v>46048.0</v>
      </c>
    </row>
    <row r="1319">
      <c r="A1319" s="210" t="s">
        <v>2344</v>
      </c>
      <c r="B1319" s="211">
        <v>46048.0</v>
      </c>
    </row>
    <row r="1320">
      <c r="A1320" s="214" t="s">
        <v>2345</v>
      </c>
      <c r="B1320" s="215">
        <v>46048.0</v>
      </c>
    </row>
    <row r="1321">
      <c r="A1321" s="182" t="s">
        <v>1870</v>
      </c>
      <c r="B1321" s="205">
        <v>46048.0</v>
      </c>
    </row>
    <row r="1322">
      <c r="A1322" s="182" t="s">
        <v>2346</v>
      </c>
      <c r="B1322" s="192">
        <v>46048.0</v>
      </c>
    </row>
    <row r="1323">
      <c r="A1323" s="182" t="s">
        <v>335</v>
      </c>
      <c r="B1323" s="205">
        <v>46048.0</v>
      </c>
    </row>
    <row r="1324">
      <c r="A1324" s="182" t="s">
        <v>2347</v>
      </c>
      <c r="B1324" s="205">
        <v>46048.0</v>
      </c>
    </row>
    <row r="1325">
      <c r="A1325" s="182" t="s">
        <v>2348</v>
      </c>
      <c r="B1325" s="205">
        <v>46052.0</v>
      </c>
    </row>
    <row r="1326">
      <c r="A1326" s="182" t="s">
        <v>122</v>
      </c>
      <c r="B1326" s="205">
        <v>46052.0</v>
      </c>
    </row>
    <row r="1327">
      <c r="A1327" s="182" t="s">
        <v>2349</v>
      </c>
      <c r="B1327" s="205">
        <v>46052.0</v>
      </c>
    </row>
    <row r="1328">
      <c r="A1328" s="182" t="s">
        <v>2350</v>
      </c>
      <c r="B1328" s="205">
        <v>46052.0</v>
      </c>
    </row>
    <row r="1329">
      <c r="A1329" s="182" t="s">
        <v>2342</v>
      </c>
      <c r="B1329" s="205">
        <v>46055.0</v>
      </c>
    </row>
    <row r="1330">
      <c r="A1330" s="182" t="s">
        <v>1896</v>
      </c>
      <c r="B1330" s="205">
        <v>46055.0</v>
      </c>
    </row>
    <row r="1331">
      <c r="A1331" s="182" t="s">
        <v>2351</v>
      </c>
      <c r="B1331" s="205">
        <v>46055.0</v>
      </c>
    </row>
    <row r="1332">
      <c r="A1332" s="182" t="s">
        <v>2351</v>
      </c>
      <c r="B1332" s="205">
        <v>46055.0</v>
      </c>
    </row>
    <row r="1333">
      <c r="A1333" s="182" t="s">
        <v>2353</v>
      </c>
      <c r="B1333" s="205">
        <v>46055.0</v>
      </c>
    </row>
    <row r="1334">
      <c r="A1334" s="182" t="s">
        <v>2354</v>
      </c>
      <c r="B1334" s="205">
        <v>46055.0</v>
      </c>
    </row>
    <row r="1335">
      <c r="A1335" s="182" t="s">
        <v>2356</v>
      </c>
      <c r="B1335" s="205">
        <v>46055.0</v>
      </c>
    </row>
    <row r="1336">
      <c r="A1336" s="182" t="s">
        <v>2357</v>
      </c>
      <c r="B1336" s="205">
        <v>46055.0</v>
      </c>
    </row>
    <row r="1337">
      <c r="A1337" s="182" t="s">
        <v>2358</v>
      </c>
      <c r="B1337" s="205">
        <v>46055.0</v>
      </c>
    </row>
    <row r="1338">
      <c r="A1338" s="182" t="s">
        <v>2295</v>
      </c>
      <c r="B1338" s="205">
        <v>46055.0</v>
      </c>
    </row>
    <row r="1339">
      <c r="A1339" s="182" t="s">
        <v>68</v>
      </c>
      <c r="B1339" s="192">
        <v>46055.0</v>
      </c>
    </row>
    <row r="1340">
      <c r="A1340" s="182" t="s">
        <v>2359</v>
      </c>
      <c r="B1340" s="192">
        <v>46055.0</v>
      </c>
    </row>
    <row r="1341">
      <c r="A1341" s="182" t="s">
        <v>2134</v>
      </c>
      <c r="B1341" s="192">
        <v>46055.0</v>
      </c>
    </row>
    <row r="1342">
      <c r="A1342" s="182" t="s">
        <v>2360</v>
      </c>
      <c r="B1342" s="192">
        <v>46055.0</v>
      </c>
    </row>
    <row r="1343">
      <c r="A1343" s="182" t="s">
        <v>2361</v>
      </c>
      <c r="B1343" s="192">
        <v>46055.0</v>
      </c>
    </row>
    <row r="1344">
      <c r="A1344" s="182" t="s">
        <v>2362</v>
      </c>
      <c r="B1344" s="192">
        <v>46055.0</v>
      </c>
    </row>
    <row r="1345">
      <c r="A1345" s="210" t="s">
        <v>2363</v>
      </c>
      <c r="B1345" s="211">
        <v>46055.0</v>
      </c>
    </row>
    <row r="1346">
      <c r="A1346" s="212" t="s">
        <v>2365</v>
      </c>
      <c r="B1346" s="213">
        <v>46055.0</v>
      </c>
    </row>
    <row r="1347">
      <c r="A1347" s="210" t="s">
        <v>2366</v>
      </c>
      <c r="B1347" s="211">
        <v>46055.0</v>
      </c>
    </row>
    <row r="1348">
      <c r="A1348" s="182" t="s">
        <v>2250</v>
      </c>
      <c r="B1348" s="205">
        <v>46055.0</v>
      </c>
    </row>
    <row r="1349">
      <c r="A1349" s="214" t="s">
        <v>2367</v>
      </c>
      <c r="B1349" s="215">
        <v>46055.0</v>
      </c>
    </row>
    <row r="1350">
      <c r="A1350" s="210" t="s">
        <v>2369</v>
      </c>
      <c r="B1350" s="211">
        <v>46055.0</v>
      </c>
    </row>
    <row r="1351">
      <c r="A1351" s="210" t="s">
        <v>2370</v>
      </c>
      <c r="B1351" s="211">
        <v>46055.0</v>
      </c>
    </row>
    <row r="1352">
      <c r="A1352" s="210" t="s">
        <v>2370</v>
      </c>
      <c r="B1352" s="211">
        <v>46055.0</v>
      </c>
    </row>
    <row r="1353">
      <c r="A1353" s="182" t="s">
        <v>2199</v>
      </c>
      <c r="B1353" s="205">
        <v>46055.0</v>
      </c>
    </row>
    <row r="1354">
      <c r="A1354" s="182" t="s">
        <v>2371</v>
      </c>
      <c r="B1354" s="205">
        <v>46055.0</v>
      </c>
    </row>
    <row r="1355">
      <c r="A1355" s="182" t="s">
        <v>2372</v>
      </c>
      <c r="B1355" s="205">
        <v>46055.0</v>
      </c>
    </row>
    <row r="1356">
      <c r="A1356" s="182" t="s">
        <v>2373</v>
      </c>
      <c r="B1356" s="205">
        <v>46055.0</v>
      </c>
    </row>
    <row r="1357">
      <c r="A1357" s="214" t="s">
        <v>745</v>
      </c>
      <c r="B1357" s="215">
        <v>46062.0</v>
      </c>
    </row>
    <row r="1358">
      <c r="A1358" s="212" t="s">
        <v>2374</v>
      </c>
      <c r="B1358" s="213">
        <v>46062.0</v>
      </c>
    </row>
    <row r="1359">
      <c r="A1359" s="212" t="s">
        <v>2375</v>
      </c>
      <c r="B1359" s="213">
        <v>46062.0</v>
      </c>
    </row>
    <row r="1360">
      <c r="A1360" s="212" t="s">
        <v>264</v>
      </c>
      <c r="B1360" s="213">
        <v>46062.0</v>
      </c>
    </row>
    <row r="1361">
      <c r="A1361" s="210" t="s">
        <v>2378</v>
      </c>
      <c r="B1361" s="211">
        <v>46062.0</v>
      </c>
    </row>
    <row r="1362">
      <c r="A1362" s="182" t="s">
        <v>2380</v>
      </c>
      <c r="B1362" s="192">
        <v>46062.0</v>
      </c>
    </row>
    <row r="1363">
      <c r="A1363" s="182" t="s">
        <v>2381</v>
      </c>
      <c r="B1363" s="192">
        <v>46062.0</v>
      </c>
    </row>
    <row r="1364">
      <c r="A1364" s="182" t="s">
        <v>2382</v>
      </c>
      <c r="B1364" s="192">
        <v>46062.0</v>
      </c>
    </row>
    <row r="1365">
      <c r="A1365" s="182" t="s">
        <v>2383</v>
      </c>
      <c r="B1365" s="205">
        <v>46062.0</v>
      </c>
    </row>
    <row r="1366">
      <c r="A1366" s="182" t="s">
        <v>2384</v>
      </c>
      <c r="B1366" s="192">
        <v>46062.0</v>
      </c>
    </row>
    <row r="1367">
      <c r="A1367" s="182" t="s">
        <v>2385</v>
      </c>
      <c r="B1367" s="192">
        <v>46062.0</v>
      </c>
    </row>
    <row r="1368">
      <c r="A1368" s="182" t="s">
        <v>2386</v>
      </c>
      <c r="B1368" s="192">
        <v>46062.0</v>
      </c>
    </row>
    <row r="1369">
      <c r="A1369" s="182" t="s">
        <v>2055</v>
      </c>
      <c r="B1369" s="192">
        <v>46062.0</v>
      </c>
    </row>
    <row r="1370">
      <c r="A1370" s="182" t="s">
        <v>1858</v>
      </c>
      <c r="B1370" s="192">
        <v>46062.0</v>
      </c>
    </row>
    <row r="1371">
      <c r="A1371" s="182" t="s">
        <v>658</v>
      </c>
      <c r="B1371" s="205">
        <v>46062.0</v>
      </c>
    </row>
    <row r="1372">
      <c r="A1372" s="182" t="s">
        <v>601</v>
      </c>
      <c r="B1372" s="192">
        <v>46062.0</v>
      </c>
    </row>
    <row r="1373">
      <c r="A1373" s="182" t="s">
        <v>2388</v>
      </c>
      <c r="B1373" s="192">
        <v>46062.0</v>
      </c>
    </row>
    <row r="1374">
      <c r="A1374" s="182" t="s">
        <v>2359</v>
      </c>
      <c r="B1374" s="192">
        <v>46062.0</v>
      </c>
    </row>
    <row r="1375">
      <c r="A1375" s="182" t="s">
        <v>2169</v>
      </c>
      <c r="B1375" s="192">
        <v>46062.0</v>
      </c>
    </row>
    <row r="1376">
      <c r="A1376" s="214" t="s">
        <v>2390</v>
      </c>
      <c r="B1376" s="215">
        <v>46062.0</v>
      </c>
    </row>
    <row r="1377">
      <c r="A1377" s="214" t="s">
        <v>2391</v>
      </c>
      <c r="B1377" s="215">
        <v>46062.0</v>
      </c>
    </row>
    <row r="1378">
      <c r="A1378" s="214" t="s">
        <v>2393</v>
      </c>
      <c r="B1378" s="215">
        <v>46062.0</v>
      </c>
    </row>
    <row r="1379">
      <c r="A1379" s="214" t="s">
        <v>2393</v>
      </c>
      <c r="B1379" s="215">
        <v>46062.0</v>
      </c>
    </row>
    <row r="1380">
      <c r="A1380" s="182" t="s">
        <v>2395</v>
      </c>
      <c r="B1380" s="192">
        <v>46062.0</v>
      </c>
    </row>
    <row r="1381">
      <c r="A1381" s="182" t="s">
        <v>2396</v>
      </c>
      <c r="B1381" s="192">
        <v>46062.0</v>
      </c>
    </row>
    <row r="1382">
      <c r="A1382" s="182" t="s">
        <v>766</v>
      </c>
      <c r="B1382" s="192">
        <v>46062.0</v>
      </c>
    </row>
    <row r="1383">
      <c r="A1383" s="182" t="s">
        <v>2397</v>
      </c>
      <c r="B1383" s="192">
        <v>46062.0</v>
      </c>
    </row>
    <row r="1384">
      <c r="A1384" s="182" t="s">
        <v>2398</v>
      </c>
      <c r="B1384" s="192">
        <v>46062.0</v>
      </c>
    </row>
    <row r="1385">
      <c r="A1385" s="182" t="s">
        <v>2399</v>
      </c>
      <c r="B1385" s="192">
        <v>46062.0</v>
      </c>
    </row>
    <row r="1386">
      <c r="A1386" s="182" t="s">
        <v>2400</v>
      </c>
      <c r="B1386" s="192">
        <v>46062.0</v>
      </c>
    </row>
    <row r="1387">
      <c r="A1387" s="210" t="s">
        <v>2402</v>
      </c>
      <c r="B1387" s="211">
        <v>46062.0</v>
      </c>
    </row>
    <row r="1388">
      <c r="A1388" s="210" t="s">
        <v>2403</v>
      </c>
      <c r="B1388" s="211">
        <v>46062.0</v>
      </c>
    </row>
    <row r="1389">
      <c r="A1389" s="210" t="s">
        <v>2404</v>
      </c>
      <c r="B1389" s="211">
        <v>46062.0</v>
      </c>
    </row>
    <row r="1390">
      <c r="A1390" s="210" t="s">
        <v>2405</v>
      </c>
      <c r="B1390" s="211">
        <v>46062.0</v>
      </c>
    </row>
    <row r="1391">
      <c r="A1391" s="210" t="s">
        <v>2406</v>
      </c>
      <c r="B1391" s="211">
        <v>46062.0</v>
      </c>
    </row>
    <row r="1392">
      <c r="A1392" s="182" t="s">
        <v>2407</v>
      </c>
      <c r="B1392" s="192">
        <v>46062.0</v>
      </c>
    </row>
    <row r="1393">
      <c r="A1393" s="212" t="s">
        <v>481</v>
      </c>
      <c r="B1393" s="213">
        <v>46062.0</v>
      </c>
    </row>
    <row r="1394">
      <c r="A1394" s="212" t="s">
        <v>481</v>
      </c>
      <c r="B1394" s="213">
        <v>46062.0</v>
      </c>
    </row>
    <row r="1395">
      <c r="A1395" s="212" t="s">
        <v>2411</v>
      </c>
      <c r="B1395" s="213">
        <v>46062.0</v>
      </c>
    </row>
    <row r="1396">
      <c r="A1396" s="182" t="s">
        <v>2412</v>
      </c>
      <c r="B1396" s="192">
        <v>46065.0</v>
      </c>
    </row>
    <row r="1397">
      <c r="A1397" s="182" t="s">
        <v>2413</v>
      </c>
      <c r="B1397" s="192">
        <v>46065.0</v>
      </c>
    </row>
    <row r="1398">
      <c r="A1398" s="182" t="s">
        <v>2414</v>
      </c>
      <c r="B1398" s="205">
        <v>46065.0</v>
      </c>
    </row>
    <row r="1399">
      <c r="A1399" s="212" t="s">
        <v>2415</v>
      </c>
      <c r="B1399" s="213">
        <v>46065.0</v>
      </c>
    </row>
    <row r="1400">
      <c r="A1400" s="182" t="s">
        <v>677</v>
      </c>
      <c r="B1400" s="205">
        <v>46065.0</v>
      </c>
    </row>
    <row r="1401">
      <c r="A1401" s="182" t="s">
        <v>2416</v>
      </c>
      <c r="B1401" s="192">
        <v>46065.0</v>
      </c>
    </row>
    <row r="1402">
      <c r="A1402" s="182" t="s">
        <v>2417</v>
      </c>
      <c r="B1402" s="192">
        <v>46065.0</v>
      </c>
    </row>
    <row r="1403">
      <c r="A1403" s="182" t="s">
        <v>2418</v>
      </c>
      <c r="B1403" s="205">
        <v>46065.0</v>
      </c>
    </row>
    <row r="1404">
      <c r="A1404" s="182" t="s">
        <v>2419</v>
      </c>
      <c r="B1404" s="192">
        <v>46065.0</v>
      </c>
    </row>
    <row r="1405">
      <c r="A1405" s="214" t="s">
        <v>110</v>
      </c>
      <c r="B1405" s="215">
        <v>46065.0</v>
      </c>
    </row>
    <row r="1406">
      <c r="A1406" s="182" t="s">
        <v>876</v>
      </c>
      <c r="B1406" s="192">
        <v>46069.0</v>
      </c>
    </row>
    <row r="1407">
      <c r="A1407" s="182" t="s">
        <v>2422</v>
      </c>
      <c r="B1407" s="205">
        <v>46069.0</v>
      </c>
    </row>
    <row r="1408">
      <c r="A1408" s="182" t="s">
        <v>2423</v>
      </c>
      <c r="B1408" s="192">
        <v>46069.0</v>
      </c>
    </row>
    <row r="1409">
      <c r="A1409" s="182" t="s">
        <v>2423</v>
      </c>
      <c r="B1409" s="192">
        <v>46069.0</v>
      </c>
    </row>
    <row r="1410">
      <c r="A1410" s="182" t="s">
        <v>2424</v>
      </c>
      <c r="B1410" s="192">
        <v>46069.0</v>
      </c>
    </row>
    <row r="1411">
      <c r="A1411" s="182" t="s">
        <v>335</v>
      </c>
      <c r="B1411" s="192">
        <v>46069.0</v>
      </c>
    </row>
    <row r="1412">
      <c r="A1412" s="182" t="s">
        <v>2425</v>
      </c>
      <c r="B1412" s="192">
        <v>46069.0</v>
      </c>
    </row>
    <row r="1413">
      <c r="A1413" s="210" t="s">
        <v>2342</v>
      </c>
      <c r="B1413" s="211">
        <v>46069.0</v>
      </c>
    </row>
    <row r="1414">
      <c r="A1414" s="210" t="s">
        <v>2427</v>
      </c>
      <c r="B1414" s="211">
        <v>46069.0</v>
      </c>
    </row>
    <row r="1415">
      <c r="A1415" s="210" t="s">
        <v>2428</v>
      </c>
      <c r="B1415" s="211">
        <v>46069.0</v>
      </c>
    </row>
    <row r="1416">
      <c r="A1416" s="231" t="s">
        <v>2429</v>
      </c>
      <c r="B1416" s="233">
        <v>46070.0</v>
      </c>
    </row>
    <row r="1417">
      <c r="A1417" s="231" t="s">
        <v>2430</v>
      </c>
      <c r="B1417" s="233">
        <v>46070.0</v>
      </c>
    </row>
    <row r="1418">
      <c r="A1418" s="210" t="s">
        <v>2432</v>
      </c>
      <c r="B1418" s="211">
        <v>46073.0</v>
      </c>
    </row>
    <row r="1419">
      <c r="A1419" s="182" t="s">
        <v>2433</v>
      </c>
      <c r="B1419" s="192">
        <v>46073.0</v>
      </c>
    </row>
    <row r="1420">
      <c r="A1420" s="182" t="s">
        <v>2435</v>
      </c>
      <c r="B1420" s="192">
        <v>46073.0</v>
      </c>
    </row>
    <row r="1421">
      <c r="A1421" s="212" t="s">
        <v>2436</v>
      </c>
      <c r="B1421" s="213">
        <v>46073.0</v>
      </c>
    </row>
    <row r="1422">
      <c r="A1422" s="212" t="s">
        <v>2437</v>
      </c>
      <c r="B1422" s="213">
        <v>46073.0</v>
      </c>
    </row>
    <row r="1423">
      <c r="A1423" s="212" t="s">
        <v>447</v>
      </c>
      <c r="B1423" s="213">
        <v>46073.0</v>
      </c>
    </row>
    <row r="1424">
      <c r="A1424" s="212" t="s">
        <v>2439</v>
      </c>
      <c r="B1424" s="213">
        <v>46073.0</v>
      </c>
    </row>
    <row r="1425">
      <c r="A1425" s="212" t="s">
        <v>2131</v>
      </c>
      <c r="B1425" s="213">
        <v>46073.0</v>
      </c>
    </row>
    <row r="1426">
      <c r="A1426" s="182" t="s">
        <v>309</v>
      </c>
      <c r="B1426" s="192">
        <v>46073.0</v>
      </c>
    </row>
    <row r="1427">
      <c r="A1427" s="182" t="s">
        <v>322</v>
      </c>
      <c r="B1427" s="192">
        <v>46073.0</v>
      </c>
    </row>
    <row r="1428">
      <c r="A1428" s="182" t="s">
        <v>1242</v>
      </c>
      <c r="B1428" s="205">
        <v>46073.0</v>
      </c>
    </row>
    <row r="1429">
      <c r="A1429" s="182" t="s">
        <v>725</v>
      </c>
      <c r="B1429" s="192">
        <v>46073.0</v>
      </c>
    </row>
    <row r="1430">
      <c r="A1430" s="182" t="s">
        <v>725</v>
      </c>
      <c r="B1430" s="192">
        <v>46073.0</v>
      </c>
    </row>
    <row r="1431">
      <c r="A1431" s="182" t="s">
        <v>2440</v>
      </c>
      <c r="B1431" s="192">
        <v>46073.0</v>
      </c>
    </row>
    <row r="1432">
      <c r="A1432" s="182" t="s">
        <v>2441</v>
      </c>
      <c r="B1432" s="192">
        <v>46073.0</v>
      </c>
    </row>
    <row r="1433">
      <c r="A1433" s="182" t="s">
        <v>2442</v>
      </c>
      <c r="B1433" s="192">
        <v>46073.0</v>
      </c>
    </row>
    <row r="1434">
      <c r="A1434" s="210" t="s">
        <v>2444</v>
      </c>
      <c r="B1434" s="211">
        <v>46073.0</v>
      </c>
    </row>
    <row r="1435">
      <c r="A1435" s="212" t="s">
        <v>2445</v>
      </c>
      <c r="B1435" s="213">
        <v>46073.0</v>
      </c>
    </row>
    <row r="1436">
      <c r="A1436" s="212" t="s">
        <v>2446</v>
      </c>
      <c r="B1436" s="213">
        <v>46073.0</v>
      </c>
    </row>
    <row r="1437">
      <c r="A1437" s="212" t="s">
        <v>264</v>
      </c>
      <c r="B1437" s="213">
        <v>46073.0</v>
      </c>
    </row>
    <row r="1438">
      <c r="A1438" s="210" t="s">
        <v>2448</v>
      </c>
      <c r="B1438" s="211">
        <v>46073.0</v>
      </c>
    </row>
    <row r="1439">
      <c r="A1439" s="210" t="s">
        <v>2449</v>
      </c>
      <c r="B1439" s="211">
        <v>46073.0</v>
      </c>
    </row>
    <row r="1440">
      <c r="A1440" s="182" t="s">
        <v>2450</v>
      </c>
      <c r="B1440" s="192">
        <v>46073.0</v>
      </c>
    </row>
    <row r="1441">
      <c r="A1441" s="212" t="s">
        <v>2330</v>
      </c>
      <c r="B1441" s="213">
        <v>46073.0</v>
      </c>
    </row>
    <row r="1442">
      <c r="A1442" s="210" t="s">
        <v>2451</v>
      </c>
      <c r="B1442" s="242">
        <v>46076.0</v>
      </c>
    </row>
    <row r="1443">
      <c r="A1443" s="187" t="s">
        <v>51</v>
      </c>
      <c r="B1443" s="244">
        <v>46076.0</v>
      </c>
    </row>
    <row r="1444">
      <c r="A1444" s="187" t="s">
        <v>51</v>
      </c>
      <c r="B1444" s="244">
        <v>46076.0</v>
      </c>
    </row>
    <row r="1445">
      <c r="A1445" s="187" t="s">
        <v>2283</v>
      </c>
      <c r="B1445" s="244">
        <v>46076.0</v>
      </c>
    </row>
    <row r="1446">
      <c r="A1446" s="187" t="s">
        <v>2250</v>
      </c>
      <c r="B1446" s="244">
        <v>46076.0</v>
      </c>
    </row>
    <row r="1447">
      <c r="A1447" s="187" t="s">
        <v>339</v>
      </c>
      <c r="B1447" s="244">
        <v>46076.0</v>
      </c>
    </row>
    <row r="1448">
      <c r="A1448" s="187" t="s">
        <v>1954</v>
      </c>
      <c r="B1448" s="244">
        <v>46076.0</v>
      </c>
    </row>
    <row r="1449">
      <c r="A1449" s="187" t="s">
        <v>2452</v>
      </c>
      <c r="B1449" s="248">
        <v>46076.0</v>
      </c>
    </row>
    <row r="1450">
      <c r="A1450" s="187" t="s">
        <v>474</v>
      </c>
      <c r="B1450" s="248">
        <v>46076.0</v>
      </c>
    </row>
    <row r="1451">
      <c r="A1451" s="187" t="s">
        <v>2342</v>
      </c>
      <c r="B1451" s="248">
        <v>46076.0</v>
      </c>
    </row>
    <row r="1452">
      <c r="A1452" s="187" t="s">
        <v>335</v>
      </c>
      <c r="B1452" s="248">
        <v>46076.0</v>
      </c>
    </row>
    <row r="1453">
      <c r="A1453" s="187" t="s">
        <v>2423</v>
      </c>
      <c r="B1453" s="248">
        <v>46076.0</v>
      </c>
    </row>
    <row r="1454">
      <c r="A1454" s="187" t="s">
        <v>471</v>
      </c>
      <c r="B1454" s="248">
        <v>46076.0</v>
      </c>
    </row>
    <row r="1455">
      <c r="A1455" s="187" t="s">
        <v>471</v>
      </c>
      <c r="B1455" s="248">
        <v>46080.0</v>
      </c>
    </row>
    <row r="1456">
      <c r="A1456" s="187" t="s">
        <v>471</v>
      </c>
      <c r="B1456" s="248">
        <v>46080.0</v>
      </c>
    </row>
    <row r="1457">
      <c r="A1457" s="187" t="s">
        <v>471</v>
      </c>
      <c r="B1457" s="248">
        <v>46080.0</v>
      </c>
    </row>
    <row r="1458">
      <c r="A1458" s="206" t="s">
        <v>2179</v>
      </c>
      <c r="B1458" s="233">
        <v>46080.0</v>
      </c>
    </row>
    <row r="1459">
      <c r="A1459" s="187" t="s">
        <v>146</v>
      </c>
      <c r="B1459" s="211">
        <v>46080.0</v>
      </c>
    </row>
    <row r="1460">
      <c r="A1460" s="212" t="s">
        <v>2453</v>
      </c>
      <c r="B1460" s="213">
        <v>46083.0</v>
      </c>
    </row>
    <row r="1461">
      <c r="A1461" s="212" t="s">
        <v>1865</v>
      </c>
      <c r="B1461" s="213">
        <v>46083.0</v>
      </c>
    </row>
    <row r="1462">
      <c r="A1462" s="212" t="s">
        <v>2454</v>
      </c>
      <c r="B1462" s="213">
        <v>46083.0</v>
      </c>
    </row>
    <row r="1463">
      <c r="A1463" s="212" t="s">
        <v>2285</v>
      </c>
      <c r="B1463" s="213">
        <v>46083.0</v>
      </c>
    </row>
    <row r="1464">
      <c r="A1464" s="212" t="s">
        <v>2455</v>
      </c>
      <c r="B1464" s="213">
        <v>46083.0</v>
      </c>
    </row>
    <row r="1465">
      <c r="A1465" s="212" t="s">
        <v>2281</v>
      </c>
      <c r="B1465" s="213">
        <v>46083.0</v>
      </c>
    </row>
    <row r="1466">
      <c r="A1466" s="212" t="s">
        <v>1058</v>
      </c>
      <c r="B1466" s="213">
        <v>46083.0</v>
      </c>
    </row>
    <row r="1467">
      <c r="A1467" s="212" t="s">
        <v>2456</v>
      </c>
      <c r="B1467" s="213">
        <v>46083.0</v>
      </c>
    </row>
    <row r="1468">
      <c r="A1468" s="212" t="s">
        <v>2361</v>
      </c>
      <c r="B1468" s="213">
        <v>46083.0</v>
      </c>
    </row>
    <row r="1469">
      <c r="A1469" s="212" t="s">
        <v>2135</v>
      </c>
      <c r="B1469" s="213">
        <v>46083.0</v>
      </c>
    </row>
    <row r="1470">
      <c r="A1470" s="212" t="s">
        <v>2132</v>
      </c>
      <c r="B1470" s="213">
        <v>46083.0</v>
      </c>
    </row>
    <row r="1471">
      <c r="A1471" s="212" t="s">
        <v>1866</v>
      </c>
      <c r="B1471" s="213">
        <v>46083.0</v>
      </c>
    </row>
    <row r="1472">
      <c r="A1472" s="212" t="s">
        <v>1868</v>
      </c>
      <c r="B1472" s="213">
        <v>46083.0</v>
      </c>
    </row>
    <row r="1473">
      <c r="A1473" s="212" t="s">
        <v>2457</v>
      </c>
      <c r="B1473" s="213">
        <v>46083.0</v>
      </c>
    </row>
    <row r="1474">
      <c r="A1474" s="182" t="s">
        <v>1859</v>
      </c>
      <c r="B1474" s="192">
        <v>46083.0</v>
      </c>
    </row>
    <row r="1475">
      <c r="A1475" s="182" t="s">
        <v>2082</v>
      </c>
      <c r="B1475" s="192">
        <v>46083.0</v>
      </c>
    </row>
    <row r="1476">
      <c r="A1476" s="182" t="s">
        <v>2459</v>
      </c>
      <c r="B1476" s="192">
        <v>46083.0</v>
      </c>
    </row>
    <row r="1477">
      <c r="A1477" s="182" t="s">
        <v>71</v>
      </c>
      <c r="B1477" s="192">
        <v>46083.0</v>
      </c>
    </row>
    <row r="1478">
      <c r="A1478" s="182" t="s">
        <v>1861</v>
      </c>
      <c r="B1478" s="192">
        <v>46083.0</v>
      </c>
    </row>
    <row r="1479">
      <c r="A1479" s="182" t="s">
        <v>873</v>
      </c>
      <c r="B1479" s="192">
        <v>46083.0</v>
      </c>
    </row>
    <row r="1480">
      <c r="A1480" s="182" t="s">
        <v>2136</v>
      </c>
      <c r="B1480" s="192">
        <v>46083.0</v>
      </c>
    </row>
    <row r="1481">
      <c r="A1481" s="212" t="s">
        <v>883</v>
      </c>
      <c r="B1481" s="213">
        <v>46083.0</v>
      </c>
    </row>
    <row r="1482">
      <c r="A1482" s="212" t="s">
        <v>2461</v>
      </c>
      <c r="B1482" s="213">
        <v>46083.0</v>
      </c>
    </row>
    <row r="1483">
      <c r="A1483" s="212" t="s">
        <v>2436</v>
      </c>
      <c r="B1483" s="213">
        <v>46083.0</v>
      </c>
    </row>
    <row r="1484">
      <c r="A1484" s="210" t="s">
        <v>134</v>
      </c>
      <c r="B1484" s="242">
        <v>46083.0</v>
      </c>
    </row>
    <row r="1485">
      <c r="A1485" s="212" t="s">
        <v>2462</v>
      </c>
      <c r="B1485" s="216">
        <v>46083.0</v>
      </c>
    </row>
    <row r="1486">
      <c r="A1486" s="210" t="s">
        <v>2463</v>
      </c>
      <c r="B1486" s="242">
        <v>46083.0</v>
      </c>
    </row>
    <row r="1487">
      <c r="A1487" s="212" t="s">
        <v>2464</v>
      </c>
      <c r="B1487" s="216">
        <v>46083.0</v>
      </c>
    </row>
    <row r="1488">
      <c r="A1488" s="212" t="s">
        <v>2365</v>
      </c>
      <c r="B1488" s="216">
        <v>46083.0</v>
      </c>
    </row>
    <row r="1489">
      <c r="A1489" s="212" t="s">
        <v>2465</v>
      </c>
      <c r="B1489" s="216">
        <v>46083.0</v>
      </c>
    </row>
    <row r="1490">
      <c r="A1490" s="212" t="s">
        <v>61</v>
      </c>
      <c r="B1490" s="216">
        <v>46083.0</v>
      </c>
    </row>
    <row r="1491">
      <c r="A1491" s="212" t="s">
        <v>1240</v>
      </c>
      <c r="B1491" s="216">
        <v>46083.0</v>
      </c>
    </row>
    <row r="1492">
      <c r="A1492" s="212" t="s">
        <v>294</v>
      </c>
      <c r="B1492" s="216">
        <v>46083.0</v>
      </c>
    </row>
    <row r="1493">
      <c r="A1493" s="212" t="s">
        <v>331</v>
      </c>
      <c r="B1493" s="216">
        <v>46083.0</v>
      </c>
    </row>
    <row r="1494">
      <c r="A1494" s="210" t="s">
        <v>2467</v>
      </c>
      <c r="B1494" s="242">
        <v>46083.0</v>
      </c>
    </row>
    <row r="1495">
      <c r="A1495" s="212" t="s">
        <v>2423</v>
      </c>
      <c r="B1495" s="216">
        <v>46083.0</v>
      </c>
    </row>
    <row r="1496">
      <c r="A1496" s="212" t="s">
        <v>2423</v>
      </c>
      <c r="B1496" s="216">
        <v>46083.0</v>
      </c>
    </row>
    <row r="1497">
      <c r="A1497" s="212" t="s">
        <v>2342</v>
      </c>
      <c r="B1497" s="216">
        <v>46083.0</v>
      </c>
    </row>
    <row r="1498">
      <c r="A1498" s="212" t="s">
        <v>2469</v>
      </c>
      <c r="B1498" s="216">
        <v>46083.0</v>
      </c>
    </row>
    <row r="1499">
      <c r="A1499" s="210" t="s">
        <v>474</v>
      </c>
      <c r="B1499" s="242">
        <v>46083.0</v>
      </c>
    </row>
    <row r="1500">
      <c r="A1500" s="214" t="s">
        <v>134</v>
      </c>
      <c r="B1500" s="257">
        <v>46083.0</v>
      </c>
    </row>
    <row r="1501">
      <c r="A1501" s="182" t="s">
        <v>2472</v>
      </c>
      <c r="B1501" s="184">
        <v>46083.0</v>
      </c>
    </row>
    <row r="1502">
      <c r="A1502" s="182" t="s">
        <v>264</v>
      </c>
      <c r="B1502" s="184">
        <v>46083.0</v>
      </c>
    </row>
    <row r="1503">
      <c r="A1503" s="182" t="s">
        <v>2180</v>
      </c>
      <c r="B1503" s="184">
        <v>46083.0</v>
      </c>
    </row>
    <row r="1504">
      <c r="A1504" s="182" t="s">
        <v>51</v>
      </c>
      <c r="B1504" s="184">
        <v>46083.0</v>
      </c>
    </row>
    <row r="1505">
      <c r="A1505" s="182" t="s">
        <v>2057</v>
      </c>
      <c r="B1505" s="184">
        <v>46083.0</v>
      </c>
    </row>
    <row r="1506">
      <c r="A1506" s="182" t="s">
        <v>264</v>
      </c>
      <c r="B1506" s="184">
        <v>46083.0</v>
      </c>
    </row>
    <row r="1507">
      <c r="A1507" s="212" t="s">
        <v>308</v>
      </c>
      <c r="B1507" s="216">
        <v>46083.0</v>
      </c>
    </row>
    <row r="1508">
      <c r="A1508" s="210" t="s">
        <v>2474</v>
      </c>
      <c r="B1508" s="242">
        <v>46083.0</v>
      </c>
    </row>
    <row r="1509">
      <c r="A1509" s="210" t="s">
        <v>2475</v>
      </c>
      <c r="B1509" s="242">
        <v>46083.0</v>
      </c>
    </row>
    <row r="1510">
      <c r="A1510" s="210" t="s">
        <v>2477</v>
      </c>
      <c r="B1510" s="242">
        <v>46083.0</v>
      </c>
    </row>
    <row r="1511">
      <c r="A1511" s="212" t="s">
        <v>2423</v>
      </c>
      <c r="B1511" s="216">
        <v>46084.0</v>
      </c>
    </row>
    <row r="1512">
      <c r="A1512" s="212" t="s">
        <v>2480</v>
      </c>
      <c r="B1512" s="216">
        <v>46084.0</v>
      </c>
    </row>
    <row r="1513">
      <c r="A1513" s="210" t="s">
        <v>2181</v>
      </c>
      <c r="B1513" s="242">
        <v>46084.0</v>
      </c>
    </row>
    <row r="1514">
      <c r="A1514" s="210" t="s">
        <v>2481</v>
      </c>
      <c r="B1514" s="242">
        <v>46084.0</v>
      </c>
    </row>
    <row r="1515">
      <c r="A1515" s="210" t="s">
        <v>853</v>
      </c>
      <c r="B1515" s="242">
        <v>46084.0</v>
      </c>
    </row>
    <row r="1516">
      <c r="A1516" s="212" t="s">
        <v>529</v>
      </c>
      <c r="B1516" s="216">
        <v>46090.0</v>
      </c>
    </row>
    <row r="1517">
      <c r="A1517" s="210" t="s">
        <v>2482</v>
      </c>
      <c r="B1517" s="216">
        <v>46090.0</v>
      </c>
    </row>
    <row r="1518">
      <c r="A1518" s="182" t="s">
        <v>2484</v>
      </c>
      <c r="B1518" s="216">
        <v>46090.0</v>
      </c>
    </row>
    <row r="1519">
      <c r="A1519" s="214" t="s">
        <v>2486</v>
      </c>
      <c r="B1519" s="216">
        <v>46090.0</v>
      </c>
    </row>
    <row r="1520">
      <c r="A1520" s="212" t="s">
        <v>2080</v>
      </c>
      <c r="B1520" s="216">
        <v>46090.0</v>
      </c>
    </row>
    <row r="1521">
      <c r="A1521" s="212" t="s">
        <v>2488</v>
      </c>
      <c r="B1521" s="216">
        <v>46090.0</v>
      </c>
    </row>
    <row r="1522">
      <c r="A1522" s="212" t="s">
        <v>2489</v>
      </c>
      <c r="B1522" s="216">
        <v>46090.0</v>
      </c>
    </row>
    <row r="1523">
      <c r="A1523" s="212" t="s">
        <v>471</v>
      </c>
      <c r="B1523" s="216">
        <v>46090.0</v>
      </c>
    </row>
    <row r="1524">
      <c r="A1524" s="212" t="s">
        <v>335</v>
      </c>
      <c r="B1524" s="216">
        <v>46090.0</v>
      </c>
    </row>
    <row r="1525">
      <c r="A1525" s="182" t="s">
        <v>2156</v>
      </c>
      <c r="B1525" s="216">
        <v>46090.0</v>
      </c>
    </row>
    <row r="1526">
      <c r="A1526" s="182" t="s">
        <v>2011</v>
      </c>
      <c r="B1526" s="216">
        <v>46090.0</v>
      </c>
    </row>
    <row r="1527">
      <c r="A1527" s="182" t="s">
        <v>1778</v>
      </c>
      <c r="B1527" s="216">
        <v>46090.0</v>
      </c>
    </row>
    <row r="1528">
      <c r="A1528" s="214" t="s">
        <v>2491</v>
      </c>
      <c r="B1528" s="216">
        <v>46090.0</v>
      </c>
    </row>
    <row r="1529">
      <c r="A1529" s="182" t="s">
        <v>471</v>
      </c>
      <c r="B1529" s="216">
        <v>46090.0</v>
      </c>
    </row>
    <row r="1530">
      <c r="A1530" s="267" t="s">
        <v>2492</v>
      </c>
      <c r="B1530" s="216">
        <v>46090.0</v>
      </c>
    </row>
    <row r="1531">
      <c r="A1531" s="267" t="s">
        <v>2493</v>
      </c>
      <c r="B1531" s="216">
        <v>46090.0</v>
      </c>
    </row>
    <row r="1532">
      <c r="A1532" s="210" t="s">
        <v>335</v>
      </c>
      <c r="B1532" s="216">
        <v>46090.0</v>
      </c>
    </row>
    <row r="1533">
      <c r="A1533" s="210" t="s">
        <v>2423</v>
      </c>
      <c r="B1533" s="216">
        <v>46090.0</v>
      </c>
    </row>
    <row r="1534">
      <c r="A1534" s="182" t="s">
        <v>2495</v>
      </c>
      <c r="B1534" s="216">
        <v>46090.0</v>
      </c>
    </row>
    <row r="1535">
      <c r="A1535" s="212" t="s">
        <v>2496</v>
      </c>
      <c r="B1535" s="216">
        <v>46090.0</v>
      </c>
    </row>
    <row r="1536">
      <c r="A1536" s="212" t="s">
        <v>2497</v>
      </c>
      <c r="B1536" s="216">
        <v>46090.0</v>
      </c>
    </row>
    <row r="1537">
      <c r="A1537" s="212" t="s">
        <v>2498</v>
      </c>
      <c r="B1537" s="216">
        <v>46090.0</v>
      </c>
    </row>
    <row r="1538">
      <c r="A1538" s="212" t="s">
        <v>2499</v>
      </c>
      <c r="B1538" s="216">
        <v>46090.0</v>
      </c>
    </row>
    <row r="1539">
      <c r="A1539" s="212" t="s">
        <v>2500</v>
      </c>
      <c r="B1539" s="216">
        <v>46090.0</v>
      </c>
    </row>
    <row r="1540">
      <c r="A1540" s="187" t="s">
        <v>2501</v>
      </c>
      <c r="B1540" s="216">
        <v>46090.0</v>
      </c>
    </row>
    <row r="1541">
      <c r="A1541" s="206" t="s">
        <v>2502</v>
      </c>
      <c r="B1541" s="269">
        <v>46090.0</v>
      </c>
    </row>
    <row r="1542">
      <c r="A1542" s="206" t="s">
        <v>2505</v>
      </c>
      <c r="B1542" s="269">
        <v>46090.0</v>
      </c>
    </row>
    <row r="1543">
      <c r="A1543" s="206" t="s">
        <v>2506</v>
      </c>
      <c r="B1543" s="269">
        <v>46090.0</v>
      </c>
    </row>
    <row r="1544">
      <c r="A1544" s="206" t="s">
        <v>481</v>
      </c>
      <c r="B1544" s="269">
        <v>46090.0</v>
      </c>
    </row>
    <row r="1545">
      <c r="A1545" s="206" t="s">
        <v>134</v>
      </c>
      <c r="B1545" s="269">
        <v>46090.0</v>
      </c>
    </row>
    <row r="1546">
      <c r="A1546" s="187" t="s">
        <v>234</v>
      </c>
      <c r="B1546" s="216">
        <v>46090.0</v>
      </c>
    </row>
    <row r="1547">
      <c r="A1547" s="206" t="s">
        <v>204</v>
      </c>
      <c r="B1547" s="269">
        <v>46090.0</v>
      </c>
    </row>
    <row r="1548">
      <c r="A1548" s="206" t="s">
        <v>2507</v>
      </c>
      <c r="B1548" s="269">
        <v>46090.0</v>
      </c>
    </row>
    <row r="1549">
      <c r="A1549" s="187" t="s">
        <v>2508</v>
      </c>
      <c r="B1549" s="188">
        <v>46090.0</v>
      </c>
    </row>
    <row r="1550">
      <c r="A1550" s="187" t="s">
        <v>2509</v>
      </c>
      <c r="B1550" s="188">
        <v>46090.0</v>
      </c>
    </row>
    <row r="1551">
      <c r="A1551" s="231" t="s">
        <v>2510</v>
      </c>
      <c r="B1551" s="270">
        <v>46097.0</v>
      </c>
    </row>
    <row r="1552">
      <c r="A1552" s="212" t="s">
        <v>856</v>
      </c>
      <c r="B1552" s="244">
        <v>46097.0</v>
      </c>
    </row>
    <row r="1553">
      <c r="A1553" s="206" t="s">
        <v>486</v>
      </c>
      <c r="B1553" s="270">
        <v>46097.0</v>
      </c>
    </row>
    <row r="1554">
      <c r="A1554" s="206" t="s">
        <v>2511</v>
      </c>
      <c r="B1554" s="270">
        <v>46097.0</v>
      </c>
    </row>
    <row r="1555">
      <c r="A1555" s="187" t="s">
        <v>2512</v>
      </c>
      <c r="B1555" s="244">
        <v>46097.0</v>
      </c>
    </row>
    <row r="1556">
      <c r="A1556" s="187" t="s">
        <v>2513</v>
      </c>
      <c r="B1556" s="244">
        <v>46097.0</v>
      </c>
    </row>
    <row r="1557">
      <c r="A1557" s="187" t="s">
        <v>2514</v>
      </c>
      <c r="B1557" s="244">
        <v>46097.0</v>
      </c>
    </row>
    <row r="1558">
      <c r="A1558" s="187" t="s">
        <v>2515</v>
      </c>
      <c r="B1558" s="244">
        <v>46097.0</v>
      </c>
    </row>
    <row r="1559">
      <c r="A1559" s="206" t="s">
        <v>2516</v>
      </c>
      <c r="B1559" s="270">
        <v>46097.0</v>
      </c>
    </row>
    <row r="1560">
      <c r="A1560" s="206" t="s">
        <v>2517</v>
      </c>
      <c r="B1560" s="270">
        <v>46097.0</v>
      </c>
    </row>
    <row r="1561">
      <c r="A1561" s="187" t="s">
        <v>2518</v>
      </c>
      <c r="B1561" s="244">
        <v>46097.0</v>
      </c>
    </row>
    <row r="1562">
      <c r="A1562" s="206" t="s">
        <v>264</v>
      </c>
      <c r="B1562" s="270">
        <v>46097.0</v>
      </c>
    </row>
    <row r="1563">
      <c r="A1563" s="206" t="s">
        <v>234</v>
      </c>
      <c r="B1563" s="270">
        <v>46097.0</v>
      </c>
    </row>
    <row r="1564">
      <c r="A1564" s="206" t="s">
        <v>839</v>
      </c>
      <c r="B1564" s="270">
        <v>46097.0</v>
      </c>
    </row>
    <row r="1565">
      <c r="A1565" s="206" t="s">
        <v>2519</v>
      </c>
      <c r="B1565" s="207">
        <v>46097.0</v>
      </c>
    </row>
    <row r="1566">
      <c r="A1566" s="187" t="s">
        <v>2520</v>
      </c>
      <c r="B1566" s="188">
        <v>46097.0</v>
      </c>
    </row>
    <row r="1567">
      <c r="A1567" s="206" t="s">
        <v>2521</v>
      </c>
      <c r="B1567" s="207">
        <v>46097.0</v>
      </c>
    </row>
    <row r="1568">
      <c r="A1568" s="187" t="s">
        <v>2522</v>
      </c>
      <c r="B1568" s="188">
        <v>46097.0</v>
      </c>
    </row>
    <row r="1569">
      <c r="A1569" s="187" t="s">
        <v>2512</v>
      </c>
      <c r="B1569" s="188">
        <v>46097.0</v>
      </c>
    </row>
    <row r="1570">
      <c r="A1570" s="187" t="s">
        <v>2513</v>
      </c>
      <c r="B1570" s="188">
        <v>46097.0</v>
      </c>
    </row>
    <row r="1571">
      <c r="A1571" s="187" t="s">
        <v>2516</v>
      </c>
      <c r="B1571" s="188">
        <v>46097.0</v>
      </c>
    </row>
    <row r="1572">
      <c r="A1572" s="187" t="s">
        <v>2523</v>
      </c>
      <c r="B1572" s="188">
        <v>46097.0</v>
      </c>
    </row>
    <row r="1573">
      <c r="A1573" s="206" t="s">
        <v>1842</v>
      </c>
      <c r="B1573" s="270">
        <v>46097.0</v>
      </c>
    </row>
    <row r="1574">
      <c r="A1574" s="182" t="s">
        <v>322</v>
      </c>
      <c r="B1574" s="244">
        <v>46097.0</v>
      </c>
    </row>
    <row r="1575">
      <c r="A1575" s="210" t="s">
        <v>2525</v>
      </c>
      <c r="B1575" s="244">
        <v>46097.0</v>
      </c>
    </row>
    <row r="1576">
      <c r="A1576" s="210" t="s">
        <v>2526</v>
      </c>
      <c r="B1576" s="244">
        <v>46097.0</v>
      </c>
    </row>
    <row r="1577">
      <c r="A1577" s="206" t="s">
        <v>2527</v>
      </c>
      <c r="B1577" s="270">
        <v>46097.0</v>
      </c>
    </row>
    <row r="1578">
      <c r="A1578" s="206" t="s">
        <v>2528</v>
      </c>
      <c r="B1578" s="270">
        <v>46104.0</v>
      </c>
    </row>
    <row r="1579">
      <c r="A1579" s="206" t="s">
        <v>2529</v>
      </c>
      <c r="B1579" s="270">
        <v>46104.0</v>
      </c>
    </row>
    <row r="1580">
      <c r="A1580" s="206" t="s">
        <v>2530</v>
      </c>
      <c r="B1580" s="270">
        <v>46104.0</v>
      </c>
    </row>
    <row r="1581">
      <c r="A1581" s="206" t="s">
        <v>2532</v>
      </c>
      <c r="B1581" s="270">
        <v>46104.0</v>
      </c>
    </row>
    <row r="1582">
      <c r="A1582" s="206" t="s">
        <v>2533</v>
      </c>
      <c r="B1582" s="270">
        <v>46104.0</v>
      </c>
    </row>
    <row r="1583">
      <c r="A1583" s="206" t="s">
        <v>704</v>
      </c>
      <c r="B1583" s="270">
        <v>46104.0</v>
      </c>
    </row>
    <row r="1584">
      <c r="A1584" s="206" t="s">
        <v>2534</v>
      </c>
      <c r="B1584" s="270">
        <v>46104.0</v>
      </c>
    </row>
    <row r="1585">
      <c r="A1585" s="206" t="s">
        <v>2444</v>
      </c>
      <c r="B1585" s="270">
        <v>46104.0</v>
      </c>
    </row>
    <row r="1586">
      <c r="A1586" s="206" t="s">
        <v>2528</v>
      </c>
      <c r="B1586" s="270">
        <v>46104.0</v>
      </c>
    </row>
    <row r="1587">
      <c r="A1587" s="206" t="s">
        <v>2529</v>
      </c>
      <c r="B1587" s="270">
        <v>46104.0</v>
      </c>
    </row>
    <row r="1588">
      <c r="A1588" s="187" t="s">
        <v>2535</v>
      </c>
      <c r="B1588" s="188">
        <v>46104.0</v>
      </c>
    </row>
    <row r="1589">
      <c r="A1589" s="187" t="s">
        <v>2536</v>
      </c>
      <c r="B1589" s="188">
        <v>46104.0</v>
      </c>
    </row>
    <row r="1590">
      <c r="A1590" s="187" t="s">
        <v>2537</v>
      </c>
      <c r="B1590" s="188">
        <v>46104.0</v>
      </c>
    </row>
    <row r="1591">
      <c r="A1591" s="206" t="s">
        <v>2538</v>
      </c>
      <c r="B1591" s="207">
        <v>46104.0</v>
      </c>
    </row>
    <row r="1592">
      <c r="A1592" s="187" t="s">
        <v>2539</v>
      </c>
      <c r="B1592" s="188">
        <v>46104.0</v>
      </c>
    </row>
    <row r="1593">
      <c r="A1593" s="187" t="s">
        <v>2540</v>
      </c>
      <c r="B1593" s="188">
        <v>46104.0</v>
      </c>
    </row>
    <row r="1594">
      <c r="A1594" s="206" t="s">
        <v>2541</v>
      </c>
      <c r="B1594" s="207">
        <v>46104.0</v>
      </c>
    </row>
    <row r="1595">
      <c r="A1595" s="187" t="s">
        <v>2542</v>
      </c>
      <c r="B1595" s="188">
        <v>46104.0</v>
      </c>
    </row>
    <row r="1596">
      <c r="A1596" s="187" t="s">
        <v>2543</v>
      </c>
      <c r="B1596" s="188">
        <v>46104.0</v>
      </c>
    </row>
    <row r="1597">
      <c r="A1597" s="206" t="s">
        <v>2544</v>
      </c>
      <c r="B1597" s="207">
        <v>46104.0</v>
      </c>
    </row>
    <row r="1598">
      <c r="A1598" s="187" t="s">
        <v>2545</v>
      </c>
      <c r="B1598" s="188">
        <v>46104.0</v>
      </c>
    </row>
    <row r="1599">
      <c r="A1599" s="187" t="s">
        <v>2546</v>
      </c>
      <c r="B1599" s="188">
        <v>46104.0</v>
      </c>
    </row>
    <row r="1600">
      <c r="A1600" s="187" t="s">
        <v>2547</v>
      </c>
      <c r="B1600" s="244">
        <v>46111.0</v>
      </c>
    </row>
    <row r="1601">
      <c r="A1601" s="187" t="s">
        <v>2548</v>
      </c>
      <c r="B1601" s="244">
        <v>46111.0</v>
      </c>
    </row>
    <row r="1602">
      <c r="A1602" s="206" t="s">
        <v>125</v>
      </c>
      <c r="B1602" s="270">
        <v>46111.0</v>
      </c>
    </row>
    <row r="1603">
      <c r="A1603" s="206" t="s">
        <v>2549</v>
      </c>
      <c r="B1603" s="270">
        <v>46111.0</v>
      </c>
    </row>
    <row r="1604">
      <c r="A1604" s="206" t="s">
        <v>2551</v>
      </c>
      <c r="B1604" s="270">
        <v>46111.0</v>
      </c>
    </row>
    <row r="1605">
      <c r="A1605" s="206" t="s">
        <v>2552</v>
      </c>
      <c r="B1605" s="270">
        <v>46111.0</v>
      </c>
    </row>
    <row r="1606">
      <c r="A1606" s="206" t="s">
        <v>2552</v>
      </c>
      <c r="B1606" s="270">
        <v>46111.0</v>
      </c>
    </row>
    <row r="1607">
      <c r="A1607" s="206" t="s">
        <v>2552</v>
      </c>
      <c r="B1607" s="270">
        <v>46111.0</v>
      </c>
    </row>
    <row r="1608">
      <c r="A1608" s="187" t="s">
        <v>2553</v>
      </c>
      <c r="B1608" s="244">
        <v>46111.0</v>
      </c>
    </row>
    <row r="1609">
      <c r="A1609" s="206" t="s">
        <v>2516</v>
      </c>
      <c r="B1609" s="270">
        <v>46111.0</v>
      </c>
    </row>
    <row r="1610">
      <c r="A1610" s="187" t="s">
        <v>2554</v>
      </c>
      <c r="B1610" s="244">
        <v>46111.0</v>
      </c>
    </row>
    <row r="1611">
      <c r="A1611" s="206" t="s">
        <v>2555</v>
      </c>
      <c r="B1611" s="270">
        <v>46111.0</v>
      </c>
    </row>
    <row r="1612">
      <c r="A1612" s="206" t="s">
        <v>264</v>
      </c>
      <c r="B1612" s="270">
        <v>46111.0</v>
      </c>
    </row>
    <row r="1613">
      <c r="A1613" s="206" t="s">
        <v>2250</v>
      </c>
      <c r="B1613" s="270">
        <v>46111.0</v>
      </c>
    </row>
    <row r="1614">
      <c r="A1614" s="206" t="s">
        <v>2556</v>
      </c>
      <c r="B1614" s="270">
        <v>46111.0</v>
      </c>
    </row>
    <row r="1615">
      <c r="A1615" s="206" t="s">
        <v>2528</v>
      </c>
      <c r="B1615" s="270">
        <v>46111.0</v>
      </c>
    </row>
    <row r="1616">
      <c r="A1616" s="223" t="s">
        <v>2557</v>
      </c>
      <c r="B1616" s="270">
        <v>46111.0</v>
      </c>
    </row>
    <row r="1617">
      <c r="A1617" s="206" t="s">
        <v>2507</v>
      </c>
      <c r="B1617" s="270">
        <v>46111.0</v>
      </c>
    </row>
    <row r="1618">
      <c r="A1618" s="187" t="s">
        <v>2558</v>
      </c>
      <c r="B1618" s="244">
        <v>46111.0</v>
      </c>
    </row>
    <row r="1619">
      <c r="A1619" s="187" t="s">
        <v>2559</v>
      </c>
      <c r="B1619" s="244">
        <v>46111.0</v>
      </c>
    </row>
    <row r="1620">
      <c r="A1620" s="206" t="s">
        <v>2560</v>
      </c>
      <c r="B1620" s="270">
        <v>46111.0</v>
      </c>
    </row>
    <row r="1621">
      <c r="A1621" s="187" t="s">
        <v>2561</v>
      </c>
      <c r="B1621" s="244">
        <v>46111.0</v>
      </c>
    </row>
    <row r="1622">
      <c r="A1622" s="206" t="s">
        <v>2562</v>
      </c>
      <c r="B1622" s="270">
        <v>46111.0</v>
      </c>
    </row>
    <row r="1623">
      <c r="A1623" s="206" t="s">
        <v>2563</v>
      </c>
      <c r="B1623" s="270">
        <v>46111.0</v>
      </c>
    </row>
    <row r="1624">
      <c r="A1624" s="206" t="s">
        <v>2474</v>
      </c>
      <c r="B1624" s="270">
        <v>46111.0</v>
      </c>
    </row>
    <row r="1625">
      <c r="A1625" s="187" t="s">
        <v>2564</v>
      </c>
      <c r="B1625" s="244">
        <v>46111.0</v>
      </c>
    </row>
    <row r="1626">
      <c r="A1626" s="206" t="s">
        <v>2530</v>
      </c>
      <c r="B1626" s="270">
        <v>46111.0</v>
      </c>
    </row>
    <row r="1627">
      <c r="A1627" s="206" t="s">
        <v>2532</v>
      </c>
      <c r="B1627" s="270">
        <v>46111.0</v>
      </c>
    </row>
    <row r="1628">
      <c r="A1628" s="206" t="s">
        <v>2533</v>
      </c>
      <c r="B1628" s="270">
        <v>46111.0</v>
      </c>
    </row>
    <row r="1629">
      <c r="A1629" s="12" t="s">
        <v>20</v>
      </c>
      <c r="B1629" s="12" t="s">
        <v>23</v>
      </c>
    </row>
    <row r="1630">
      <c r="A1630" s="12" t="s">
        <v>36</v>
      </c>
      <c r="B1630" s="271">
        <v>46119.0</v>
      </c>
    </row>
    <row r="1631">
      <c r="A1631" s="12" t="s">
        <v>42</v>
      </c>
      <c r="B1631" s="271">
        <v>46119.0</v>
      </c>
    </row>
    <row r="1632">
      <c r="A1632" s="12" t="s">
        <v>47</v>
      </c>
      <c r="B1632" s="271">
        <v>46119.0</v>
      </c>
    </row>
    <row r="1633">
      <c r="A1633" s="12" t="s">
        <v>51</v>
      </c>
      <c r="B1633" s="271">
        <v>46119.0</v>
      </c>
    </row>
    <row r="1634">
      <c r="A1634" s="12" t="s">
        <v>57</v>
      </c>
      <c r="B1634" s="271">
        <v>46119.0</v>
      </c>
    </row>
    <row r="1635">
      <c r="A1635" s="12" t="s">
        <v>61</v>
      </c>
      <c r="B1635" s="271">
        <v>46119.0</v>
      </c>
    </row>
    <row r="1636">
      <c r="A1636" s="12" t="s">
        <v>65</v>
      </c>
      <c r="B1636" s="271">
        <v>46119.0</v>
      </c>
    </row>
    <row r="1637">
      <c r="A1637" s="12" t="s">
        <v>68</v>
      </c>
      <c r="B1637" s="271">
        <v>46119.0</v>
      </c>
    </row>
    <row r="1638">
      <c r="A1638" s="12" t="s">
        <v>71</v>
      </c>
      <c r="B1638" s="271">
        <v>46119.0</v>
      </c>
    </row>
    <row r="1639">
      <c r="A1639" s="12" t="s">
        <v>72</v>
      </c>
      <c r="B1639" s="271">
        <v>46119.0</v>
      </c>
    </row>
    <row r="1640">
      <c r="A1640" s="12" t="s">
        <v>75</v>
      </c>
      <c r="B1640" s="271">
        <v>46119.0</v>
      </c>
    </row>
    <row r="1641">
      <c r="A1641" s="12" t="s">
        <v>78</v>
      </c>
      <c r="B1641" s="271">
        <v>46119.0</v>
      </c>
    </row>
    <row r="1642">
      <c r="A1642" s="12" t="s">
        <v>80</v>
      </c>
      <c r="B1642" s="271">
        <v>46119.0</v>
      </c>
    </row>
    <row r="1643">
      <c r="A1643" s="12" t="s">
        <v>83</v>
      </c>
      <c r="B1643" s="271">
        <v>46119.0</v>
      </c>
    </row>
    <row r="1644">
      <c r="A1644" s="12" t="s">
        <v>87</v>
      </c>
      <c r="B1644" s="271">
        <v>46119.0</v>
      </c>
    </row>
    <row r="1645">
      <c r="A1645" s="12" t="s">
        <v>89</v>
      </c>
      <c r="B1645" s="271">
        <v>46119.0</v>
      </c>
    </row>
    <row r="1646">
      <c r="A1646" s="12" t="s">
        <v>93</v>
      </c>
      <c r="B1646" s="271">
        <v>46119.0</v>
      </c>
    </row>
    <row r="1647">
      <c r="A1647" s="12" t="s">
        <v>96</v>
      </c>
      <c r="B1647" s="271">
        <v>46119.0</v>
      </c>
    </row>
    <row r="1648">
      <c r="A1648" s="12" t="s">
        <v>98</v>
      </c>
      <c r="B1648" s="271">
        <v>46119.0</v>
      </c>
    </row>
    <row r="1649">
      <c r="A1649" s="12" t="s">
        <v>99</v>
      </c>
      <c r="B1649" s="271">
        <v>46119.0</v>
      </c>
    </row>
    <row r="1650">
      <c r="A1650" s="12" t="s">
        <v>100</v>
      </c>
      <c r="B1650" s="271">
        <v>46119.0</v>
      </c>
    </row>
    <row r="1651">
      <c r="A1651" s="12" t="s">
        <v>102</v>
      </c>
      <c r="B1651" s="271">
        <v>46119.0</v>
      </c>
    </row>
    <row r="1652">
      <c r="A1652" s="12" t="s">
        <v>103</v>
      </c>
      <c r="B1652" s="271">
        <v>46122.0</v>
      </c>
    </row>
    <row r="1653">
      <c r="A1653" s="12" t="s">
        <v>106</v>
      </c>
      <c r="B1653" s="271">
        <v>46122.0</v>
      </c>
    </row>
    <row r="1654">
      <c r="A1654" s="12" t="s">
        <v>110</v>
      </c>
      <c r="B1654" s="271">
        <v>46122.0</v>
      </c>
    </row>
    <row r="1655">
      <c r="A1655" s="12" t="s">
        <v>113</v>
      </c>
      <c r="B1655" s="271">
        <v>46122.0</v>
      </c>
    </row>
    <row r="1656">
      <c r="A1656" s="12" t="s">
        <v>117</v>
      </c>
      <c r="B1656" s="271">
        <v>46122.0</v>
      </c>
    </row>
    <row r="1657">
      <c r="A1657" s="12" t="s">
        <v>119</v>
      </c>
      <c r="B1657" s="271">
        <v>46122.0</v>
      </c>
    </row>
    <row r="1658">
      <c r="A1658" s="12" t="s">
        <v>122</v>
      </c>
      <c r="B1658" s="271">
        <v>46122.0</v>
      </c>
    </row>
    <row r="1659">
      <c r="A1659" s="12" t="s">
        <v>125</v>
      </c>
      <c r="B1659" s="271">
        <v>46122.0</v>
      </c>
    </row>
    <row r="1660">
      <c r="A1660" s="12" t="s">
        <v>126</v>
      </c>
      <c r="B1660" s="271">
        <v>46122.0</v>
      </c>
    </row>
    <row r="1661">
      <c r="A1661" s="12" t="s">
        <v>130</v>
      </c>
      <c r="B1661" s="271">
        <v>46122.0</v>
      </c>
    </row>
    <row r="1662">
      <c r="A1662" s="12" t="s">
        <v>131</v>
      </c>
      <c r="B1662" s="271">
        <v>46122.0</v>
      </c>
    </row>
    <row r="1663">
      <c r="A1663" s="12" t="s">
        <v>132</v>
      </c>
      <c r="B1663" s="271">
        <v>46125.0</v>
      </c>
    </row>
    <row r="1664">
      <c r="A1664" s="12" t="s">
        <v>134</v>
      </c>
      <c r="B1664" s="271">
        <v>46125.0</v>
      </c>
    </row>
    <row r="1665">
      <c r="A1665" s="12" t="s">
        <v>138</v>
      </c>
      <c r="B1665" s="271">
        <v>46125.0</v>
      </c>
    </row>
    <row r="1666">
      <c r="A1666" s="12" t="s">
        <v>141</v>
      </c>
      <c r="B1666" s="271">
        <v>46125.0</v>
      </c>
    </row>
    <row r="1667">
      <c r="A1667" s="12" t="s">
        <v>144</v>
      </c>
      <c r="B1667" s="271">
        <v>46125.0</v>
      </c>
    </row>
    <row r="1668">
      <c r="A1668" s="12" t="s">
        <v>147</v>
      </c>
      <c r="B1668" s="271">
        <v>46125.0</v>
      </c>
    </row>
    <row r="1669">
      <c r="A1669" s="12" t="s">
        <v>150</v>
      </c>
      <c r="B1669" s="271">
        <v>46125.0</v>
      </c>
    </row>
    <row r="1670">
      <c r="A1670" s="12" t="s">
        <v>151</v>
      </c>
      <c r="B1670" s="271">
        <v>46125.0</v>
      </c>
    </row>
    <row r="1671">
      <c r="A1671" s="12" t="s">
        <v>154</v>
      </c>
      <c r="B1671" s="271">
        <v>46125.0</v>
      </c>
    </row>
    <row r="1672">
      <c r="A1672" s="12" t="s">
        <v>158</v>
      </c>
      <c r="B1672" s="271">
        <v>46125.0</v>
      </c>
    </row>
    <row r="1673">
      <c r="A1673" s="12" t="s">
        <v>159</v>
      </c>
      <c r="B1673" s="271">
        <v>46125.0</v>
      </c>
    </row>
    <row r="1674">
      <c r="A1674" s="12" t="s">
        <v>161</v>
      </c>
      <c r="B1674" s="271">
        <v>46127.0</v>
      </c>
    </row>
    <row r="1675">
      <c r="A1675" s="12" t="s">
        <v>165</v>
      </c>
      <c r="B1675" s="271">
        <v>46127.0</v>
      </c>
    </row>
    <row r="1676">
      <c r="A1676" s="12" t="s">
        <v>166</v>
      </c>
      <c r="B1676" s="271">
        <v>46127.0</v>
      </c>
    </row>
    <row r="1677">
      <c r="A1677" s="12" t="s">
        <v>167</v>
      </c>
      <c r="B1677" s="271">
        <v>46127.0</v>
      </c>
    </row>
    <row r="1678">
      <c r="A1678" s="12" t="s">
        <v>168</v>
      </c>
      <c r="B1678" s="271">
        <v>46127.0</v>
      </c>
    </row>
    <row r="1679">
      <c r="A1679" s="12" t="s">
        <v>170</v>
      </c>
      <c r="B1679" s="271">
        <v>46127.0</v>
      </c>
    </row>
    <row r="1680">
      <c r="A1680" s="12" t="s">
        <v>175</v>
      </c>
      <c r="B1680" s="271">
        <v>46127.0</v>
      </c>
    </row>
    <row r="1681">
      <c r="A1681" s="12" t="s">
        <v>176</v>
      </c>
      <c r="B1681" s="271">
        <v>46127.0</v>
      </c>
    </row>
    <row r="1682">
      <c r="A1682" s="12" t="s">
        <v>178</v>
      </c>
      <c r="B1682" s="271">
        <v>46127.0</v>
      </c>
    </row>
    <row r="1683">
      <c r="A1683" s="12" t="s">
        <v>147</v>
      </c>
      <c r="B1683" s="271">
        <v>46127.0</v>
      </c>
    </row>
    <row r="1684">
      <c r="A1684" s="12" t="s">
        <v>180</v>
      </c>
      <c r="B1684" s="271">
        <v>46127.0</v>
      </c>
    </row>
    <row r="1685">
      <c r="A1685" s="12" t="s">
        <v>182</v>
      </c>
      <c r="B1685" s="271">
        <v>46127.0</v>
      </c>
    </row>
    <row r="1686">
      <c r="A1686" s="12" t="s">
        <v>183</v>
      </c>
      <c r="B1686" s="271">
        <v>46127.0</v>
      </c>
    </row>
    <row r="1687">
      <c r="A1687" s="12" t="s">
        <v>185</v>
      </c>
      <c r="B1687" s="271">
        <v>46127.0</v>
      </c>
    </row>
    <row r="1688">
      <c r="A1688" s="12" t="s">
        <v>186</v>
      </c>
      <c r="B1688" s="271">
        <v>46127.0</v>
      </c>
    </row>
    <row r="1689">
      <c r="A1689" s="12" t="s">
        <v>187</v>
      </c>
      <c r="B1689" s="271">
        <v>46127.0</v>
      </c>
    </row>
    <row r="1690">
      <c r="A1690" s="12" t="s">
        <v>188</v>
      </c>
      <c r="B1690" s="271">
        <v>46127.0</v>
      </c>
    </row>
    <row r="1691">
      <c r="A1691" s="12" t="s">
        <v>189</v>
      </c>
      <c r="B1691" s="271">
        <v>46127.0</v>
      </c>
    </row>
    <row r="1692">
      <c r="A1692" s="12" t="s">
        <v>190</v>
      </c>
      <c r="B1692" s="271">
        <v>46127.0</v>
      </c>
    </row>
    <row r="1693">
      <c r="A1693" s="12" t="s">
        <v>191</v>
      </c>
      <c r="B1693" s="271">
        <v>46127.0</v>
      </c>
    </row>
    <row r="1694">
      <c r="A1694" s="12" t="s">
        <v>192</v>
      </c>
      <c r="B1694" s="271">
        <v>46127.0</v>
      </c>
    </row>
    <row r="1695">
      <c r="A1695" s="12" t="s">
        <v>194</v>
      </c>
      <c r="B1695" s="271">
        <v>46127.0</v>
      </c>
    </row>
    <row r="1696">
      <c r="A1696" s="12" t="s">
        <v>195</v>
      </c>
      <c r="B1696" s="271">
        <v>46127.0</v>
      </c>
    </row>
    <row r="1697">
      <c r="A1697" s="12" t="s">
        <v>196</v>
      </c>
      <c r="B1697" s="271">
        <v>46127.0</v>
      </c>
    </row>
    <row r="1698">
      <c r="A1698" s="12" t="s">
        <v>197</v>
      </c>
      <c r="B1698" s="271">
        <v>46127.0</v>
      </c>
    </row>
    <row r="1699">
      <c r="A1699" s="12" t="s">
        <v>198</v>
      </c>
      <c r="B1699" s="271">
        <v>46127.0</v>
      </c>
    </row>
    <row r="1700">
      <c r="A1700" s="12" t="s">
        <v>201</v>
      </c>
      <c r="B1700" s="271">
        <v>46128.0</v>
      </c>
    </row>
    <row r="1701">
      <c r="A1701" s="12" t="s">
        <v>51</v>
      </c>
      <c r="B1701" s="271">
        <v>46128.0</v>
      </c>
    </row>
    <row r="1702">
      <c r="A1702" s="12" t="s">
        <v>204</v>
      </c>
      <c r="B1702" s="271">
        <v>46128.0</v>
      </c>
    </row>
    <row r="1703">
      <c r="A1703" s="12" t="s">
        <v>205</v>
      </c>
      <c r="B1703" s="271">
        <v>46128.0</v>
      </c>
    </row>
    <row r="1704">
      <c r="A1704" s="12" t="s">
        <v>206</v>
      </c>
      <c r="B1704" s="271">
        <v>46128.0</v>
      </c>
    </row>
    <row r="1705">
      <c r="A1705" s="12" t="s">
        <v>207</v>
      </c>
      <c r="B1705" s="271">
        <v>46174.0</v>
      </c>
    </row>
    <row r="1706">
      <c r="A1706" s="12" t="s">
        <v>209</v>
      </c>
      <c r="B1706" s="271">
        <v>46174.0</v>
      </c>
    </row>
    <row r="1707">
      <c r="A1707" s="12" t="s">
        <v>210</v>
      </c>
      <c r="B1707" s="271">
        <v>46174.0</v>
      </c>
    </row>
    <row r="1708">
      <c r="A1708" s="12" t="s">
        <v>212</v>
      </c>
      <c r="B1708" s="271">
        <v>46174.0</v>
      </c>
    </row>
    <row r="1709">
      <c r="A1709" s="12" t="s">
        <v>213</v>
      </c>
      <c r="B1709" s="271">
        <v>46174.0</v>
      </c>
    </row>
    <row r="1710">
      <c r="A1710" s="12" t="s">
        <v>214</v>
      </c>
      <c r="B1710" s="271">
        <v>46174.0</v>
      </c>
    </row>
    <row r="1711">
      <c r="A1711" s="12" t="s">
        <v>215</v>
      </c>
      <c r="B1711" s="271">
        <v>46174.0</v>
      </c>
    </row>
    <row r="1712">
      <c r="A1712" s="12" t="s">
        <v>216</v>
      </c>
      <c r="B1712" s="271">
        <v>46174.0</v>
      </c>
    </row>
    <row r="1713">
      <c r="A1713" s="12" t="s">
        <v>217</v>
      </c>
      <c r="B1713" s="271">
        <v>46174.0</v>
      </c>
    </row>
    <row r="1714">
      <c r="A1714" s="12" t="s">
        <v>220</v>
      </c>
      <c r="B1714" s="271">
        <v>46174.0</v>
      </c>
    </row>
    <row r="1715">
      <c r="A1715" s="12" t="s">
        <v>221</v>
      </c>
      <c r="B1715" s="271">
        <v>46174.0</v>
      </c>
    </row>
    <row r="1716">
      <c r="A1716" s="12" t="s">
        <v>224</v>
      </c>
      <c r="B1716" s="271">
        <v>46174.0</v>
      </c>
    </row>
    <row r="1717">
      <c r="A1717" s="12" t="s">
        <v>226</v>
      </c>
      <c r="B1717" s="271">
        <v>46174.0</v>
      </c>
    </row>
    <row r="1718">
      <c r="A1718" s="12" t="s">
        <v>227</v>
      </c>
      <c r="B1718" s="271">
        <v>46174.0</v>
      </c>
    </row>
    <row r="1719">
      <c r="A1719" s="12" t="s">
        <v>217</v>
      </c>
      <c r="B1719" s="271">
        <v>46174.0</v>
      </c>
    </row>
    <row r="1720">
      <c r="A1720" s="12" t="s">
        <v>229</v>
      </c>
      <c r="B1720" s="271">
        <v>46174.0</v>
      </c>
    </row>
    <row r="1721">
      <c r="A1721" s="12" t="s">
        <v>231</v>
      </c>
      <c r="B1721" s="271">
        <v>46174.0</v>
      </c>
    </row>
    <row r="1722">
      <c r="A1722" s="12" t="s">
        <v>233</v>
      </c>
      <c r="B1722" s="271">
        <v>46174.0</v>
      </c>
    </row>
    <row r="1723">
      <c r="A1723" s="12" t="s">
        <v>234</v>
      </c>
      <c r="B1723" s="271">
        <v>46174.0</v>
      </c>
    </row>
    <row r="1724">
      <c r="A1724" s="12" t="s">
        <v>235</v>
      </c>
      <c r="B1724" s="271">
        <v>46174.0</v>
      </c>
    </row>
    <row r="1725">
      <c r="A1725" s="12" t="s">
        <v>132</v>
      </c>
      <c r="B1725" s="271">
        <v>46174.0</v>
      </c>
    </row>
    <row r="1726">
      <c r="A1726" s="12" t="s">
        <v>237</v>
      </c>
      <c r="B1726" s="271">
        <v>46174.0</v>
      </c>
    </row>
    <row r="1727">
      <c r="A1727" s="12" t="s">
        <v>239</v>
      </c>
      <c r="B1727" s="271">
        <v>46174.0</v>
      </c>
    </row>
    <row r="1728">
      <c r="A1728" s="12" t="s">
        <v>240</v>
      </c>
      <c r="B1728" s="271">
        <v>46174.0</v>
      </c>
    </row>
    <row r="1729">
      <c r="A1729" s="12" t="s">
        <v>241</v>
      </c>
      <c r="B1729" s="271">
        <v>46174.0</v>
      </c>
    </row>
    <row r="1730">
      <c r="A1730" s="12" t="s">
        <v>242</v>
      </c>
      <c r="B1730" s="271">
        <v>46174.0</v>
      </c>
    </row>
    <row r="1731">
      <c r="A1731" s="12" t="s">
        <v>244</v>
      </c>
      <c r="B1731" s="271">
        <v>46174.0</v>
      </c>
    </row>
    <row r="1732">
      <c r="A1732" s="12" t="s">
        <v>146</v>
      </c>
      <c r="B1732" s="271">
        <v>46174.0</v>
      </c>
    </row>
    <row r="1733">
      <c r="A1733" s="12" t="s">
        <v>245</v>
      </c>
      <c r="B1733" s="271">
        <v>46174.0</v>
      </c>
    </row>
    <row r="1734">
      <c r="A1734" s="12" t="s">
        <v>246</v>
      </c>
      <c r="B1734" s="271">
        <v>46174.0</v>
      </c>
    </row>
    <row r="1735">
      <c r="A1735" s="12" t="s">
        <v>249</v>
      </c>
      <c r="B1735" s="271">
        <v>46132.0</v>
      </c>
    </row>
    <row r="1736">
      <c r="A1736" s="12" t="s">
        <v>246</v>
      </c>
      <c r="B1736" s="271">
        <v>46132.0</v>
      </c>
    </row>
    <row r="1737">
      <c r="A1737" s="12" t="s">
        <v>256</v>
      </c>
      <c r="B1737" s="271">
        <v>46132.0</v>
      </c>
    </row>
    <row r="1738">
      <c r="A1738" s="12" t="s">
        <v>260</v>
      </c>
      <c r="B1738" s="271">
        <v>46132.0</v>
      </c>
    </row>
    <row r="1739">
      <c r="A1739" s="12" t="s">
        <v>261</v>
      </c>
      <c r="B1739" s="271">
        <v>46132.0</v>
      </c>
    </row>
    <row r="1740">
      <c r="A1740" s="12" t="s">
        <v>262</v>
      </c>
      <c r="B1740" s="271">
        <v>46132.0</v>
      </c>
    </row>
    <row r="1741">
      <c r="A1741" s="12" t="s">
        <v>263</v>
      </c>
      <c r="B1741" s="271">
        <v>46132.0</v>
      </c>
    </row>
    <row r="1742">
      <c r="A1742" s="12" t="s">
        <v>264</v>
      </c>
      <c r="B1742" s="271">
        <v>46132.0</v>
      </c>
    </row>
    <row r="1743">
      <c r="A1743" s="12" t="s">
        <v>265</v>
      </c>
      <c r="B1743" s="271">
        <v>46132.0</v>
      </c>
    </row>
    <row r="1744">
      <c r="A1744" s="12" t="s">
        <v>267</v>
      </c>
      <c r="B1744" s="271">
        <v>46132.0</v>
      </c>
    </row>
    <row r="1745">
      <c r="A1745" s="12" t="s">
        <v>268</v>
      </c>
      <c r="B1745" s="271">
        <v>46132.0</v>
      </c>
    </row>
    <row r="1746">
      <c r="A1746" s="12" t="s">
        <v>269</v>
      </c>
      <c r="B1746" s="271">
        <v>46132.0</v>
      </c>
    </row>
    <row r="1747">
      <c r="A1747" s="12" t="s">
        <v>270</v>
      </c>
      <c r="B1747" s="271">
        <v>46132.0</v>
      </c>
    </row>
    <row r="1748">
      <c r="A1748" s="12" t="s">
        <v>272</v>
      </c>
      <c r="B1748" s="271">
        <v>46132.0</v>
      </c>
    </row>
    <row r="1749">
      <c r="A1749" s="12" t="s">
        <v>276</v>
      </c>
      <c r="B1749" s="271">
        <v>46132.0</v>
      </c>
    </row>
    <row r="1750">
      <c r="A1750" s="12" t="s">
        <v>278</v>
      </c>
      <c r="B1750" s="271">
        <v>46132.0</v>
      </c>
    </row>
    <row r="1751">
      <c r="A1751" s="12" t="s">
        <v>57</v>
      </c>
      <c r="B1751" s="271">
        <v>46132.0</v>
      </c>
    </row>
    <row r="1752">
      <c r="A1752" s="12" t="s">
        <v>170</v>
      </c>
      <c r="B1752" s="271">
        <v>46132.0</v>
      </c>
    </row>
    <row r="1753">
      <c r="A1753" s="12" t="s">
        <v>282</v>
      </c>
      <c r="B1753" s="271">
        <v>46132.0</v>
      </c>
    </row>
    <row r="1754">
      <c r="A1754" s="12" t="s">
        <v>284</v>
      </c>
      <c r="B1754" s="271">
        <v>46132.0</v>
      </c>
    </row>
    <row r="1755">
      <c r="A1755" s="12" t="s">
        <v>286</v>
      </c>
      <c r="B1755" s="271">
        <v>46132.0</v>
      </c>
    </row>
    <row r="1756">
      <c r="A1756" s="12" t="s">
        <v>287</v>
      </c>
      <c r="B1756" s="271">
        <v>46132.0</v>
      </c>
    </row>
    <row r="1757">
      <c r="A1757" s="12" t="s">
        <v>288</v>
      </c>
      <c r="B1757" s="271">
        <v>46132.0</v>
      </c>
    </row>
    <row r="1758">
      <c r="A1758" s="12" t="s">
        <v>291</v>
      </c>
      <c r="B1758" s="271">
        <v>46132.0</v>
      </c>
    </row>
    <row r="1759">
      <c r="A1759" s="12" t="s">
        <v>132</v>
      </c>
      <c r="B1759" s="271">
        <v>46132.0</v>
      </c>
    </row>
    <row r="1760">
      <c r="A1760" s="12" t="s">
        <v>134</v>
      </c>
      <c r="B1760" s="271">
        <v>46132.0</v>
      </c>
    </row>
    <row r="1761">
      <c r="A1761" s="12" t="s">
        <v>138</v>
      </c>
      <c r="B1761" s="271">
        <v>46132.0</v>
      </c>
    </row>
    <row r="1762">
      <c r="A1762" s="12" t="s">
        <v>144</v>
      </c>
      <c r="B1762" s="271">
        <v>46132.0</v>
      </c>
    </row>
    <row r="1763">
      <c r="A1763" s="12" t="s">
        <v>296</v>
      </c>
      <c r="B1763" s="271">
        <v>46139.0</v>
      </c>
    </row>
    <row r="1764">
      <c r="A1764" s="12" t="s">
        <v>297</v>
      </c>
      <c r="B1764" s="271">
        <v>46139.0</v>
      </c>
    </row>
    <row r="1765">
      <c r="A1765" s="12" t="s">
        <v>233</v>
      </c>
      <c r="B1765" s="271">
        <v>46139.0</v>
      </c>
    </row>
    <row r="1766">
      <c r="A1766" s="12" t="s">
        <v>234</v>
      </c>
      <c r="B1766" s="271">
        <v>46139.0</v>
      </c>
    </row>
    <row r="1767">
      <c r="A1767" s="12" t="s">
        <v>298</v>
      </c>
      <c r="B1767" s="271">
        <v>46139.0</v>
      </c>
    </row>
    <row r="1768">
      <c r="A1768" s="12" t="s">
        <v>299</v>
      </c>
      <c r="B1768" s="271">
        <v>46139.0</v>
      </c>
    </row>
    <row r="1769">
      <c r="A1769" s="12" t="s">
        <v>299</v>
      </c>
      <c r="B1769" s="271">
        <v>46139.0</v>
      </c>
    </row>
    <row r="1770">
      <c r="A1770" s="12" t="s">
        <v>302</v>
      </c>
      <c r="B1770" s="271">
        <v>46139.0</v>
      </c>
    </row>
    <row r="1771">
      <c r="A1771" s="12" t="s">
        <v>304</v>
      </c>
      <c r="B1771" s="271">
        <v>46139.0</v>
      </c>
    </row>
    <row r="1772">
      <c r="A1772" s="12" t="s">
        <v>146</v>
      </c>
      <c r="B1772" s="271">
        <v>46139.0</v>
      </c>
    </row>
    <row r="1773">
      <c r="A1773" s="12" t="s">
        <v>244</v>
      </c>
      <c r="B1773" s="271">
        <v>46139.0</v>
      </c>
    </row>
    <row r="1774">
      <c r="A1774" s="12" t="s">
        <v>307</v>
      </c>
      <c r="B1774" s="271">
        <v>46139.0</v>
      </c>
    </row>
    <row r="1775">
      <c r="A1775" s="12" t="s">
        <v>308</v>
      </c>
      <c r="B1775" s="271">
        <v>46139.0</v>
      </c>
    </row>
    <row r="1776">
      <c r="A1776" s="12" t="s">
        <v>240</v>
      </c>
      <c r="B1776" s="271">
        <v>46139.0</v>
      </c>
    </row>
    <row r="1777">
      <c r="A1777" s="12" t="s">
        <v>311</v>
      </c>
      <c r="B1777" s="271">
        <v>46139.0</v>
      </c>
    </row>
    <row r="1778">
      <c r="A1778" s="12" t="s">
        <v>312</v>
      </c>
      <c r="B1778" s="271">
        <v>46139.0</v>
      </c>
    </row>
    <row r="1779">
      <c r="A1779" s="12" t="s">
        <v>317</v>
      </c>
      <c r="B1779" s="271">
        <v>46139.0</v>
      </c>
    </row>
    <row r="1780">
      <c r="A1780" s="12" t="s">
        <v>321</v>
      </c>
      <c r="B1780" s="271">
        <v>46139.0</v>
      </c>
    </row>
    <row r="1781">
      <c r="A1781" s="12" t="s">
        <v>217</v>
      </c>
      <c r="B1781" s="271">
        <v>46139.0</v>
      </c>
    </row>
    <row r="1782">
      <c r="A1782" s="12" t="s">
        <v>221</v>
      </c>
      <c r="B1782" s="271">
        <v>46139.0</v>
      </c>
    </row>
    <row r="1783">
      <c r="A1783" s="12" t="s">
        <v>284</v>
      </c>
      <c r="B1783" s="271">
        <v>46139.0</v>
      </c>
    </row>
    <row r="1784">
      <c r="A1784" s="12" t="s">
        <v>323</v>
      </c>
      <c r="B1784" s="271">
        <v>46139.0</v>
      </c>
    </row>
    <row r="1785">
      <c r="A1785" s="12" t="s">
        <v>324</v>
      </c>
      <c r="B1785" s="271">
        <v>46139.0</v>
      </c>
    </row>
    <row r="1786">
      <c r="A1786" s="12" t="s">
        <v>325</v>
      </c>
      <c r="B1786" s="271">
        <v>46139.0</v>
      </c>
    </row>
    <row r="1787">
      <c r="A1787" s="12" t="s">
        <v>326</v>
      </c>
      <c r="B1787" s="271">
        <v>46139.0</v>
      </c>
    </row>
    <row r="1788">
      <c r="A1788" s="12" t="s">
        <v>327</v>
      </c>
      <c r="B1788" s="271">
        <v>46139.0</v>
      </c>
    </row>
    <row r="1789">
      <c r="A1789" s="12" t="s">
        <v>329</v>
      </c>
      <c r="B1789" s="271">
        <v>46139.0</v>
      </c>
    </row>
    <row r="1790">
      <c r="A1790" s="12" t="s">
        <v>330</v>
      </c>
      <c r="B1790" s="271">
        <v>46139.0</v>
      </c>
    </row>
    <row r="1791">
      <c r="A1791" s="12" t="s">
        <v>331</v>
      </c>
      <c r="B1791" s="271">
        <v>46139.0</v>
      </c>
    </row>
    <row r="1792">
      <c r="A1792" s="12" t="s">
        <v>332</v>
      </c>
      <c r="B1792" s="271">
        <v>46139.0</v>
      </c>
    </row>
    <row r="1793">
      <c r="A1793" s="12" t="s">
        <v>333</v>
      </c>
      <c r="B1793" s="271">
        <v>46139.0</v>
      </c>
    </row>
    <row r="1794">
      <c r="A1794" s="12" t="s">
        <v>335</v>
      </c>
      <c r="B1794" s="271">
        <v>46139.0</v>
      </c>
    </row>
    <row r="1795">
      <c r="A1795" s="12" t="s">
        <v>339</v>
      </c>
      <c r="B1795" s="271">
        <v>46139.0</v>
      </c>
    </row>
    <row r="1796">
      <c r="A1796" s="12" t="s">
        <v>340</v>
      </c>
      <c r="B1796" s="271">
        <v>46139.0</v>
      </c>
    </row>
    <row r="1797">
      <c r="A1797" s="12" t="s">
        <v>132</v>
      </c>
      <c r="B1797" s="271">
        <v>46139.0</v>
      </c>
    </row>
    <row r="1798">
      <c r="A1798" s="12" t="s">
        <v>341</v>
      </c>
      <c r="B1798" s="271">
        <v>46139.0</v>
      </c>
    </row>
    <row r="1799">
      <c r="A1799" s="12" t="s">
        <v>342</v>
      </c>
      <c r="B1799" s="271">
        <v>46139.0</v>
      </c>
    </row>
    <row r="1800">
      <c r="A1800" s="12" t="s">
        <v>343</v>
      </c>
      <c r="B1800" s="271">
        <v>46139.0</v>
      </c>
    </row>
    <row r="1801">
      <c r="A1801" s="12" t="s">
        <v>344</v>
      </c>
      <c r="B1801" s="271">
        <v>46139.0</v>
      </c>
    </row>
    <row r="1802">
      <c r="A1802" s="12" t="s">
        <v>346</v>
      </c>
      <c r="B1802" s="271">
        <v>46143.0</v>
      </c>
    </row>
    <row r="1803">
      <c r="A1803" s="12" t="s">
        <v>349</v>
      </c>
      <c r="B1803" s="271">
        <v>46143.0</v>
      </c>
    </row>
    <row r="1804">
      <c r="A1804" s="12" t="s">
        <v>203</v>
      </c>
      <c r="B1804" s="271">
        <v>46146.0</v>
      </c>
    </row>
    <row r="1805">
      <c r="A1805" s="12" t="s">
        <v>354</v>
      </c>
      <c r="B1805" s="271">
        <v>46146.0</v>
      </c>
    </row>
    <row r="1806">
      <c r="A1806" s="12" t="s">
        <v>356</v>
      </c>
      <c r="B1806" s="271">
        <v>46146.0</v>
      </c>
    </row>
    <row r="1807">
      <c r="A1807" s="12" t="s">
        <v>356</v>
      </c>
      <c r="B1807" s="271">
        <v>46146.0</v>
      </c>
    </row>
    <row r="1808">
      <c r="A1808" s="12" t="s">
        <v>362</v>
      </c>
      <c r="B1808" s="271">
        <v>46146.0</v>
      </c>
    </row>
    <row r="1809">
      <c r="A1809" s="12" t="s">
        <v>364</v>
      </c>
      <c r="B1809" s="271">
        <v>46146.0</v>
      </c>
    </row>
    <row r="1810">
      <c r="A1810" s="12" t="s">
        <v>366</v>
      </c>
      <c r="B1810" s="271">
        <v>46146.0</v>
      </c>
    </row>
    <row r="1811">
      <c r="A1811" s="12" t="s">
        <v>373</v>
      </c>
      <c r="B1811" s="271">
        <v>46146.0</v>
      </c>
    </row>
    <row r="1812">
      <c r="A1812" s="12" t="s">
        <v>351</v>
      </c>
      <c r="B1812" s="271">
        <v>46146.0</v>
      </c>
    </row>
    <row r="1813">
      <c r="A1813" s="12" t="s">
        <v>378</v>
      </c>
      <c r="B1813" s="271">
        <v>46146.0</v>
      </c>
    </row>
    <row r="1814">
      <c r="A1814" s="12" t="s">
        <v>370</v>
      </c>
      <c r="B1814" s="271">
        <v>46146.0</v>
      </c>
    </row>
    <row r="1815">
      <c r="A1815" s="12" t="s">
        <v>374</v>
      </c>
      <c r="B1815" s="271">
        <v>46146.0</v>
      </c>
    </row>
    <row r="1816">
      <c r="A1816" s="12" t="s">
        <v>352</v>
      </c>
      <c r="B1816" s="271">
        <v>46146.0</v>
      </c>
    </row>
    <row r="1817">
      <c r="A1817" s="12" t="s">
        <v>353</v>
      </c>
      <c r="B1817" s="271">
        <v>46146.0</v>
      </c>
    </row>
    <row r="1818">
      <c r="A1818" s="12" t="s">
        <v>376</v>
      </c>
      <c r="B1818" s="271">
        <v>46146.0</v>
      </c>
    </row>
    <row r="1819">
      <c r="A1819" s="12" t="s">
        <v>377</v>
      </c>
      <c r="B1819" s="271">
        <v>46146.0</v>
      </c>
    </row>
    <row r="1820">
      <c r="A1820" s="12" t="s">
        <v>278</v>
      </c>
      <c r="B1820" s="271">
        <v>46146.0</v>
      </c>
    </row>
    <row r="1821">
      <c r="A1821" s="12" t="s">
        <v>380</v>
      </c>
      <c r="B1821" s="271">
        <v>46146.0</v>
      </c>
    </row>
    <row r="1822">
      <c r="A1822" s="12" t="s">
        <v>395</v>
      </c>
      <c r="B1822" s="271">
        <v>46148.0</v>
      </c>
    </row>
    <row r="1823">
      <c r="A1823" s="12" t="s">
        <v>397</v>
      </c>
      <c r="B1823" s="271">
        <v>46148.0</v>
      </c>
    </row>
    <row r="1824">
      <c r="A1824" s="12" t="s">
        <v>392</v>
      </c>
      <c r="B1824" s="271">
        <v>46153.0</v>
      </c>
    </row>
    <row r="1825">
      <c r="A1825" s="12" t="s">
        <v>328</v>
      </c>
      <c r="B1825" s="271">
        <v>46153.0</v>
      </c>
    </row>
    <row r="1826">
      <c r="A1826" s="12" t="s">
        <v>401</v>
      </c>
      <c r="B1826" s="271">
        <v>46153.0</v>
      </c>
    </row>
    <row r="1827">
      <c r="A1827" s="12" t="s">
        <v>402</v>
      </c>
      <c r="B1827" s="271">
        <v>46153.0</v>
      </c>
    </row>
    <row r="1828">
      <c r="A1828" s="12" t="s">
        <v>403</v>
      </c>
      <c r="B1828" s="271">
        <v>46153.0</v>
      </c>
    </row>
    <row r="1829">
      <c r="A1829" s="12" t="s">
        <v>404</v>
      </c>
      <c r="B1829" s="271">
        <v>46153.0</v>
      </c>
    </row>
    <row r="1830">
      <c r="A1830" s="12" t="s">
        <v>405</v>
      </c>
      <c r="B1830" s="271">
        <v>46153.0</v>
      </c>
    </row>
    <row r="1831">
      <c r="A1831" s="12" t="s">
        <v>406</v>
      </c>
      <c r="B1831" s="271">
        <v>46153.0</v>
      </c>
    </row>
    <row r="1832">
      <c r="A1832" s="12" t="s">
        <v>407</v>
      </c>
      <c r="B1832" s="271">
        <v>46153.0</v>
      </c>
    </row>
    <row r="1833">
      <c r="A1833" s="12" t="s">
        <v>408</v>
      </c>
      <c r="B1833" s="271">
        <v>46153.0</v>
      </c>
    </row>
    <row r="1834">
      <c r="A1834" s="12" t="s">
        <v>409</v>
      </c>
      <c r="B1834" s="271">
        <v>46153.0</v>
      </c>
    </row>
    <row r="1835">
      <c r="A1835" s="12" t="s">
        <v>411</v>
      </c>
      <c r="B1835" s="271">
        <v>46153.0</v>
      </c>
    </row>
    <row r="1836">
      <c r="A1836" s="12" t="s">
        <v>393</v>
      </c>
      <c r="B1836" s="271">
        <v>46153.0</v>
      </c>
    </row>
    <row r="1837">
      <c r="A1837" s="12" t="s">
        <v>414</v>
      </c>
      <c r="B1837" s="271">
        <v>46153.0</v>
      </c>
    </row>
    <row r="1838">
      <c r="A1838" s="12" t="s">
        <v>417</v>
      </c>
      <c r="B1838" s="271">
        <v>46153.0</v>
      </c>
    </row>
    <row r="1839">
      <c r="A1839" s="12" t="s">
        <v>389</v>
      </c>
      <c r="B1839" s="271">
        <v>46153.0</v>
      </c>
    </row>
    <row r="1840">
      <c r="A1840" s="12" t="s">
        <v>395</v>
      </c>
      <c r="B1840" s="271">
        <v>46153.0</v>
      </c>
    </row>
    <row r="1841">
      <c r="A1841" s="12" t="s">
        <v>397</v>
      </c>
      <c r="B1841" s="271">
        <v>46153.0</v>
      </c>
    </row>
    <row r="1842">
      <c r="A1842" s="12" t="s">
        <v>422</v>
      </c>
      <c r="B1842" s="271">
        <v>46153.0</v>
      </c>
    </row>
    <row r="1843">
      <c r="A1843" s="12" t="s">
        <v>425</v>
      </c>
      <c r="B1843" s="271">
        <v>46153.0</v>
      </c>
    </row>
    <row r="1844">
      <c r="A1844" s="12" t="s">
        <v>427</v>
      </c>
      <c r="B1844" s="271">
        <v>46153.0</v>
      </c>
    </row>
    <row r="1845">
      <c r="A1845" s="12" t="s">
        <v>328</v>
      </c>
      <c r="B1845" s="271">
        <v>46153.0</v>
      </c>
    </row>
    <row r="1846">
      <c r="A1846" s="12" t="s">
        <v>430</v>
      </c>
      <c r="B1846" s="271">
        <v>46153.0</v>
      </c>
    </row>
    <row r="1847">
      <c r="A1847" s="12" t="s">
        <v>434</v>
      </c>
      <c r="B1847" s="271">
        <v>46163.0</v>
      </c>
    </row>
    <row r="1848">
      <c r="A1848" s="12" t="s">
        <v>439</v>
      </c>
      <c r="B1848" s="271">
        <v>46163.0</v>
      </c>
    </row>
    <row r="1849">
      <c r="A1849" s="12" t="s">
        <v>440</v>
      </c>
      <c r="B1849" s="271">
        <v>46163.0</v>
      </c>
    </row>
    <row r="1850">
      <c r="A1850" s="12" t="s">
        <v>444</v>
      </c>
      <c r="B1850" s="271">
        <v>46163.0</v>
      </c>
    </row>
    <row r="1851">
      <c r="A1851" s="12" t="s">
        <v>445</v>
      </c>
      <c r="B1851" s="271">
        <v>46163.0</v>
      </c>
    </row>
    <row r="1852">
      <c r="A1852" s="12" t="s">
        <v>446</v>
      </c>
      <c r="B1852" s="271">
        <v>46163.0</v>
      </c>
    </row>
    <row r="1853">
      <c r="A1853" s="12" t="s">
        <v>447</v>
      </c>
      <c r="B1853" s="271">
        <v>46163.0</v>
      </c>
    </row>
    <row r="1854">
      <c r="A1854" s="12" t="s">
        <v>448</v>
      </c>
      <c r="B1854" s="271">
        <v>46163.0</v>
      </c>
    </row>
    <row r="1855">
      <c r="A1855" s="12" t="s">
        <v>450</v>
      </c>
      <c r="B1855" s="271">
        <v>46163.0</v>
      </c>
    </row>
    <row r="1856">
      <c r="A1856" s="12" t="s">
        <v>451</v>
      </c>
      <c r="B1856" s="271">
        <v>46163.0</v>
      </c>
    </row>
    <row r="1857">
      <c r="A1857" s="12" t="s">
        <v>453</v>
      </c>
      <c r="B1857" s="271">
        <v>46163.0</v>
      </c>
    </row>
    <row r="1858">
      <c r="A1858" s="12" t="s">
        <v>458</v>
      </c>
      <c r="B1858" s="271">
        <v>46163.0</v>
      </c>
    </row>
    <row r="1859">
      <c r="A1859" s="12" t="s">
        <v>461</v>
      </c>
      <c r="B1859" s="271">
        <v>46163.0</v>
      </c>
    </row>
    <row r="1860">
      <c r="A1860" s="12" t="s">
        <v>463</v>
      </c>
      <c r="B1860" s="271">
        <v>46163.0</v>
      </c>
    </row>
    <row r="1861">
      <c r="A1861" s="12" t="s">
        <v>465</v>
      </c>
      <c r="B1861" s="271">
        <v>46163.0</v>
      </c>
    </row>
    <row r="1862">
      <c r="A1862" s="12" t="s">
        <v>469</v>
      </c>
      <c r="B1862" s="271">
        <v>46163.0</v>
      </c>
    </row>
    <row r="1863">
      <c r="A1863" s="12" t="s">
        <v>470</v>
      </c>
      <c r="B1863" s="271">
        <v>46163.0</v>
      </c>
    </row>
    <row r="1864">
      <c r="A1864" s="12" t="s">
        <v>471</v>
      </c>
      <c r="B1864" s="271">
        <v>46163.0</v>
      </c>
    </row>
    <row r="1865">
      <c r="A1865" s="12" t="s">
        <v>335</v>
      </c>
      <c r="B1865" s="271">
        <v>46163.0</v>
      </c>
    </row>
    <row r="1866">
      <c r="A1866" s="12" t="s">
        <v>441</v>
      </c>
      <c r="B1866" s="271">
        <v>46163.0</v>
      </c>
    </row>
    <row r="1867">
      <c r="A1867" s="12" t="s">
        <v>422</v>
      </c>
      <c r="B1867" s="271">
        <v>46163.0</v>
      </c>
    </row>
    <row r="1868">
      <c r="A1868" s="12" t="s">
        <v>474</v>
      </c>
      <c r="B1868" s="271">
        <v>46163.0</v>
      </c>
    </row>
    <row r="1869">
      <c r="A1869" s="12" t="s">
        <v>328</v>
      </c>
      <c r="B1869" s="271">
        <v>46163.0</v>
      </c>
    </row>
    <row r="1870">
      <c r="A1870" s="12" t="s">
        <v>228</v>
      </c>
      <c r="B1870" s="271">
        <v>46163.0</v>
      </c>
    </row>
    <row r="1871">
      <c r="A1871" s="12" t="s">
        <v>228</v>
      </c>
      <c r="B1871" s="271">
        <v>46163.0</v>
      </c>
    </row>
    <row r="1872">
      <c r="A1872" s="12" t="s">
        <v>204</v>
      </c>
      <c r="B1872" s="271">
        <v>46163.0</v>
      </c>
    </row>
    <row r="1873">
      <c r="A1873" s="12" t="s">
        <v>478</v>
      </c>
      <c r="B1873" s="271">
        <v>46163.0</v>
      </c>
    </row>
    <row r="1874">
      <c r="A1874" s="12" t="s">
        <v>480</v>
      </c>
      <c r="B1874" s="271">
        <v>46163.0</v>
      </c>
    </row>
    <row r="1875">
      <c r="A1875" s="12" t="s">
        <v>481</v>
      </c>
      <c r="B1875" s="271">
        <v>46163.0</v>
      </c>
    </row>
    <row r="1876">
      <c r="A1876" s="12" t="s">
        <v>482</v>
      </c>
      <c r="B1876" s="271">
        <v>46163.0</v>
      </c>
    </row>
    <row r="1877">
      <c r="A1877" s="12" t="s">
        <v>483</v>
      </c>
      <c r="B1877" s="271">
        <v>46163.0</v>
      </c>
    </row>
    <row r="1878">
      <c r="A1878" s="12" t="s">
        <v>484</v>
      </c>
      <c r="B1878" s="271">
        <v>46163.0</v>
      </c>
    </row>
    <row r="1879">
      <c r="A1879" s="12" t="s">
        <v>485</v>
      </c>
      <c r="B1879" s="271">
        <v>46163.0</v>
      </c>
    </row>
    <row r="1880">
      <c r="A1880" s="12" t="s">
        <v>488</v>
      </c>
      <c r="B1880" s="271">
        <v>46163.0</v>
      </c>
    </row>
    <row r="1881">
      <c r="A1881" s="12" t="s">
        <v>490</v>
      </c>
      <c r="B1881" s="271">
        <v>46163.0</v>
      </c>
    </row>
    <row r="1882">
      <c r="A1882" s="12" t="s">
        <v>491</v>
      </c>
      <c r="B1882" s="271">
        <v>46163.0</v>
      </c>
    </row>
    <row r="1883">
      <c r="A1883" s="12" t="s">
        <v>495</v>
      </c>
      <c r="B1883" s="271">
        <v>46168.0</v>
      </c>
    </row>
    <row r="1884">
      <c r="A1884" s="12" t="s">
        <v>497</v>
      </c>
      <c r="B1884" s="271">
        <v>46168.0</v>
      </c>
    </row>
    <row r="1885">
      <c r="A1885" s="12" t="s">
        <v>500</v>
      </c>
      <c r="B1885" s="271">
        <v>46168.0</v>
      </c>
    </row>
    <row r="1886">
      <c r="A1886" s="12" t="s">
        <v>504</v>
      </c>
      <c r="B1886" s="271">
        <v>46168.0</v>
      </c>
    </row>
    <row r="1887">
      <c r="A1887" s="12" t="s">
        <v>508</v>
      </c>
      <c r="B1887" s="271">
        <v>46168.0</v>
      </c>
    </row>
    <row r="1888">
      <c r="A1888" s="12" t="s">
        <v>510</v>
      </c>
      <c r="B1888" s="271">
        <v>46168.0</v>
      </c>
    </row>
    <row r="1889">
      <c r="A1889" s="12" t="s">
        <v>512</v>
      </c>
      <c r="B1889" s="271">
        <v>46168.0</v>
      </c>
    </row>
    <row r="1890">
      <c r="A1890" s="12" t="s">
        <v>514</v>
      </c>
      <c r="B1890" s="271">
        <v>46168.0</v>
      </c>
    </row>
    <row r="1891">
      <c r="A1891" s="12" t="s">
        <v>516</v>
      </c>
      <c r="B1891" s="271">
        <v>46168.0</v>
      </c>
    </row>
    <row r="1892">
      <c r="A1892" s="12" t="s">
        <v>518</v>
      </c>
      <c r="B1892" s="271">
        <v>46168.0</v>
      </c>
    </row>
    <row r="1893">
      <c r="A1893" s="12" t="s">
        <v>240</v>
      </c>
      <c r="B1893" s="271">
        <v>46168.0</v>
      </c>
    </row>
    <row r="1894">
      <c r="A1894" s="12" t="s">
        <v>240</v>
      </c>
      <c r="B1894" s="271">
        <v>46168.0</v>
      </c>
    </row>
    <row r="1895">
      <c r="A1895" s="12" t="s">
        <v>524</v>
      </c>
      <c r="B1895" s="271">
        <v>46168.0</v>
      </c>
    </row>
    <row r="1896">
      <c r="A1896" s="12" t="s">
        <v>525</v>
      </c>
      <c r="B1896" s="271">
        <v>46168.0</v>
      </c>
    </row>
    <row r="1897">
      <c r="A1897" s="180" t="s">
        <v>20</v>
      </c>
      <c r="B1897" s="282" t="s">
        <v>23</v>
      </c>
    </row>
    <row r="1898">
      <c r="A1898" s="283" t="s">
        <v>101</v>
      </c>
      <c r="B1898" s="284">
        <v>46170.0</v>
      </c>
    </row>
    <row r="1899">
      <c r="A1899" s="283" t="s">
        <v>127</v>
      </c>
      <c r="B1899" s="284">
        <v>46170.0</v>
      </c>
    </row>
    <row r="1900">
      <c r="A1900" s="283" t="s">
        <v>146</v>
      </c>
      <c r="B1900" s="284">
        <v>46170.0</v>
      </c>
    </row>
    <row r="1901">
      <c r="A1901" s="283" t="s">
        <v>146</v>
      </c>
      <c r="B1901" s="284">
        <v>46170.0</v>
      </c>
    </row>
    <row r="1902">
      <c r="A1902" s="283" t="s">
        <v>171</v>
      </c>
      <c r="B1902" s="284">
        <v>46170.0</v>
      </c>
    </row>
    <row r="1903">
      <c r="A1903" s="283" t="s">
        <v>184</v>
      </c>
      <c r="B1903" s="284">
        <v>46170.0</v>
      </c>
    </row>
    <row r="1904">
      <c r="A1904" s="283" t="s">
        <v>193</v>
      </c>
      <c r="B1904" s="284">
        <v>46170.0</v>
      </c>
    </row>
    <row r="1905">
      <c r="A1905" s="283" t="s">
        <v>203</v>
      </c>
      <c r="B1905" s="284">
        <v>46170.0</v>
      </c>
    </row>
    <row r="1906">
      <c r="A1906" s="283" t="s">
        <v>211</v>
      </c>
      <c r="B1906" s="284">
        <v>46170.0</v>
      </c>
    </row>
    <row r="1907">
      <c r="A1907" s="283" t="s">
        <v>219</v>
      </c>
      <c r="B1907" s="284">
        <v>46170.0</v>
      </c>
    </row>
    <row r="1908">
      <c r="A1908" s="283" t="s">
        <v>228</v>
      </c>
      <c r="B1908" s="284">
        <v>46170.0</v>
      </c>
    </row>
    <row r="1909">
      <c r="A1909" s="283" t="s">
        <v>238</v>
      </c>
      <c r="B1909" s="284">
        <v>46175.0</v>
      </c>
    </row>
    <row r="1910">
      <c r="A1910" s="283" t="s">
        <v>228</v>
      </c>
      <c r="B1910" s="284">
        <v>46175.0</v>
      </c>
    </row>
    <row r="1911">
      <c r="A1911" s="283" t="s">
        <v>255</v>
      </c>
      <c r="B1911" s="284">
        <v>46175.0</v>
      </c>
    </row>
    <row r="1912">
      <c r="A1912" s="283" t="s">
        <v>266</v>
      </c>
      <c r="B1912" s="284">
        <v>46175.0</v>
      </c>
    </row>
    <row r="1913">
      <c r="A1913" s="283" t="s">
        <v>146</v>
      </c>
      <c r="B1913" s="284">
        <v>46175.0</v>
      </c>
    </row>
    <row r="1914">
      <c r="A1914" s="283" t="s">
        <v>244</v>
      </c>
      <c r="B1914" s="284">
        <v>46175.0</v>
      </c>
    </row>
    <row r="1915">
      <c r="A1915" s="283" t="s">
        <v>294</v>
      </c>
      <c r="B1915" s="284">
        <v>46175.0</v>
      </c>
    </row>
    <row r="1916">
      <c r="A1916" s="283" t="s">
        <v>61</v>
      </c>
      <c r="B1916" s="284">
        <v>46175.0</v>
      </c>
    </row>
    <row r="1917">
      <c r="A1917" s="283" t="s">
        <v>309</v>
      </c>
      <c r="B1917" s="284">
        <v>46175.0</v>
      </c>
    </row>
    <row r="1918">
      <c r="A1918" s="283" t="s">
        <v>322</v>
      </c>
      <c r="B1918" s="284">
        <v>46175.0</v>
      </c>
    </row>
    <row r="1919">
      <c r="A1919" s="283" t="s">
        <v>328</v>
      </c>
      <c r="B1919" s="284">
        <v>46175.0</v>
      </c>
    </row>
    <row r="1920">
      <c r="A1920" s="283" t="s">
        <v>336</v>
      </c>
      <c r="B1920" s="284">
        <v>46181.0</v>
      </c>
    </row>
    <row r="1921">
      <c r="A1921" s="283" t="s">
        <v>345</v>
      </c>
      <c r="B1921" s="284">
        <v>46181.0</v>
      </c>
    </row>
    <row r="1922">
      <c r="A1922" s="283" t="s">
        <v>361</v>
      </c>
      <c r="B1922" s="284">
        <v>46181.0</v>
      </c>
    </row>
    <row r="1923">
      <c r="A1923" s="283" t="s">
        <v>379</v>
      </c>
      <c r="B1923" s="284">
        <v>46181.0</v>
      </c>
    </row>
    <row r="1924">
      <c r="A1924" s="283" t="s">
        <v>387</v>
      </c>
      <c r="B1924" s="284">
        <v>46181.0</v>
      </c>
    </row>
    <row r="1925">
      <c r="A1925" s="283" t="s">
        <v>398</v>
      </c>
      <c r="B1925" s="284">
        <v>46181.0</v>
      </c>
    </row>
    <row r="1926">
      <c r="A1926" s="283" t="s">
        <v>398</v>
      </c>
      <c r="B1926" s="284">
        <v>46181.0</v>
      </c>
    </row>
    <row r="1927">
      <c r="A1927" s="283" t="s">
        <v>398</v>
      </c>
      <c r="B1927" s="284">
        <v>46181.0</v>
      </c>
    </row>
    <row r="1928">
      <c r="A1928" s="283" t="s">
        <v>429</v>
      </c>
      <c r="B1928" s="284">
        <v>46184.0</v>
      </c>
    </row>
    <row r="1929">
      <c r="A1929" s="283" t="s">
        <v>441</v>
      </c>
      <c r="B1929" s="284">
        <v>46184.0</v>
      </c>
    </row>
    <row r="1930">
      <c r="A1930" s="283" t="s">
        <v>449</v>
      </c>
      <c r="B1930" s="284">
        <v>46184.0</v>
      </c>
    </row>
    <row r="1931">
      <c r="A1931" s="283" t="s">
        <v>464</v>
      </c>
      <c r="B1931" s="284">
        <v>46184.0</v>
      </c>
    </row>
    <row r="1932">
      <c r="A1932" s="283" t="s">
        <v>146</v>
      </c>
      <c r="B1932" s="284">
        <v>46184.0</v>
      </c>
    </row>
    <row r="1933">
      <c r="A1933" s="283" t="s">
        <v>479</v>
      </c>
      <c r="B1933" s="284">
        <v>46184.0</v>
      </c>
    </row>
    <row r="1934">
      <c r="A1934" s="283" t="s">
        <v>486</v>
      </c>
      <c r="B1934" s="284">
        <v>46184.0</v>
      </c>
    </row>
    <row r="1935">
      <c r="A1935" s="283" t="s">
        <v>501</v>
      </c>
      <c r="B1935" s="284">
        <v>46184.0</v>
      </c>
    </row>
    <row r="1936">
      <c r="A1936" s="283" t="s">
        <v>519</v>
      </c>
      <c r="B1936" s="284">
        <v>46195.0</v>
      </c>
    </row>
    <row r="1937">
      <c r="A1937" s="283" t="s">
        <v>71</v>
      </c>
      <c r="B1937" s="284">
        <v>46195.0</v>
      </c>
    </row>
    <row r="1938">
      <c r="A1938" s="283" t="s">
        <v>526</v>
      </c>
      <c r="B1938" s="284">
        <v>46195.0</v>
      </c>
    </row>
    <row r="1939">
      <c r="A1939" s="283" t="s">
        <v>527</v>
      </c>
      <c r="B1939" s="284">
        <v>46195.0</v>
      </c>
    </row>
    <row r="1940">
      <c r="A1940" s="283" t="s">
        <v>528</v>
      </c>
      <c r="B1940" s="284">
        <v>46195.0</v>
      </c>
    </row>
    <row r="1941">
      <c r="A1941" s="283" t="s">
        <v>529</v>
      </c>
      <c r="B1941" s="284">
        <v>46195.0</v>
      </c>
    </row>
    <row r="1942">
      <c r="A1942" s="283" t="s">
        <v>530</v>
      </c>
      <c r="B1942" s="284">
        <v>46195.0</v>
      </c>
    </row>
    <row r="1943">
      <c r="A1943" s="283" t="s">
        <v>531</v>
      </c>
      <c r="B1943" s="284">
        <v>46195.0</v>
      </c>
    </row>
    <row r="1944">
      <c r="A1944" s="283" t="s">
        <v>534</v>
      </c>
      <c r="B1944" s="284">
        <v>46195.0</v>
      </c>
    </row>
    <row r="1945">
      <c r="A1945" s="283" t="s">
        <v>543</v>
      </c>
      <c r="B1945" s="284">
        <v>46195.0</v>
      </c>
    </row>
    <row r="1946">
      <c r="A1946" s="283" t="s">
        <v>544</v>
      </c>
      <c r="B1946" s="284">
        <v>46195.0</v>
      </c>
    </row>
    <row r="1947">
      <c r="A1947" s="283" t="s">
        <v>545</v>
      </c>
      <c r="B1947" s="284">
        <v>46195.0</v>
      </c>
    </row>
    <row r="1948">
      <c r="A1948" s="283" t="s">
        <v>546</v>
      </c>
      <c r="B1948" s="284">
        <v>46195.0</v>
      </c>
    </row>
    <row r="1949">
      <c r="A1949" s="283" t="s">
        <v>547</v>
      </c>
      <c r="B1949" s="284">
        <v>46195.0</v>
      </c>
    </row>
    <row r="1950">
      <c r="A1950" s="283" t="s">
        <v>335</v>
      </c>
      <c r="B1950" s="284">
        <v>46195.0</v>
      </c>
    </row>
    <row r="1951">
      <c r="A1951" s="283" t="s">
        <v>550</v>
      </c>
      <c r="B1951" s="284">
        <v>46195.0</v>
      </c>
    </row>
    <row r="1952">
      <c r="A1952" s="283" t="s">
        <v>552</v>
      </c>
      <c r="B1952" s="284">
        <v>46195.0</v>
      </c>
    </row>
    <row r="1953">
      <c r="A1953" s="283" t="s">
        <v>553</v>
      </c>
      <c r="B1953" s="284">
        <v>46195.0</v>
      </c>
    </row>
    <row r="1954">
      <c r="A1954" s="283" t="s">
        <v>234</v>
      </c>
      <c r="B1954" s="284">
        <v>46195.0</v>
      </c>
    </row>
    <row r="1955">
      <c r="A1955" s="283" t="s">
        <v>565</v>
      </c>
      <c r="B1955" s="284">
        <v>46195.0</v>
      </c>
    </row>
    <row r="1956">
      <c r="A1956" s="283" t="s">
        <v>570</v>
      </c>
      <c r="B1956" s="284">
        <v>46195.0</v>
      </c>
    </row>
    <row r="1957">
      <c r="A1957" s="283" t="s">
        <v>328</v>
      </c>
      <c r="B1957" s="284">
        <v>46195.0</v>
      </c>
    </row>
    <row r="1958">
      <c r="A1958" s="283" t="s">
        <v>586</v>
      </c>
      <c r="B1958" s="284">
        <v>46196.0</v>
      </c>
    </row>
    <row r="1959">
      <c r="A1959" s="283" t="s">
        <v>598</v>
      </c>
      <c r="B1959" s="284">
        <v>46196.0</v>
      </c>
    </row>
    <row r="1960">
      <c r="A1960" s="283" t="s">
        <v>605</v>
      </c>
      <c r="B1960" s="284">
        <v>46196.0</v>
      </c>
    </row>
    <row r="1961">
      <c r="A1961" s="283" t="s">
        <v>613</v>
      </c>
      <c r="B1961" s="284">
        <v>46196.0</v>
      </c>
    </row>
    <row r="1962">
      <c r="A1962" s="283" t="s">
        <v>622</v>
      </c>
      <c r="B1962" s="284">
        <v>46198.0</v>
      </c>
    </row>
    <row r="1963">
      <c r="A1963" s="283" t="s">
        <v>634</v>
      </c>
      <c r="B1963" s="284">
        <v>46198.0</v>
      </c>
    </row>
    <row r="1964">
      <c r="A1964" s="283" t="s">
        <v>638</v>
      </c>
      <c r="B1964" s="284">
        <v>46198.0</v>
      </c>
    </row>
    <row r="1965">
      <c r="A1965" s="283" t="s">
        <v>645</v>
      </c>
      <c r="B1965" s="284">
        <v>46198.0</v>
      </c>
    </row>
    <row r="1966">
      <c r="A1966" s="283" t="s">
        <v>653</v>
      </c>
      <c r="B1966" s="284">
        <v>46198.0</v>
      </c>
    </row>
    <row r="1967">
      <c r="A1967" s="283" t="s">
        <v>234</v>
      </c>
      <c r="B1967" s="284">
        <v>46198.0</v>
      </c>
    </row>
    <row r="1968">
      <c r="A1968" s="283" t="s">
        <v>328</v>
      </c>
      <c r="B1968" s="284">
        <v>46198.0</v>
      </c>
    </row>
    <row r="1969">
      <c r="A1969" s="283" t="s">
        <v>671</v>
      </c>
      <c r="B1969" s="284">
        <v>46198.0</v>
      </c>
    </row>
    <row r="1970">
      <c r="A1970" s="283" t="s">
        <v>565</v>
      </c>
      <c r="B1970" s="284">
        <v>46198.0</v>
      </c>
    </row>
    <row r="1971">
      <c r="A1971" s="283" t="s">
        <v>414</v>
      </c>
      <c r="B1971" s="284">
        <v>46198.0</v>
      </c>
    </row>
    <row r="1972">
      <c r="A1972" s="283" t="s">
        <v>700</v>
      </c>
      <c r="B1972" s="284">
        <v>46198.0</v>
      </c>
    </row>
    <row r="1973">
      <c r="A1973" s="283" t="s">
        <v>716</v>
      </c>
      <c r="B1973" s="284">
        <v>46203.0</v>
      </c>
    </row>
    <row r="1974">
      <c r="A1974" s="283" t="s">
        <v>729</v>
      </c>
      <c r="B1974" s="284">
        <v>46203.0</v>
      </c>
    </row>
    <row r="1975">
      <c r="A1975" s="283" t="s">
        <v>741</v>
      </c>
      <c r="B1975" s="284">
        <v>46203.0</v>
      </c>
    </row>
    <row r="1976">
      <c r="A1976" s="283" t="s">
        <v>328</v>
      </c>
      <c r="B1976" s="284">
        <v>46203.0</v>
      </c>
    </row>
    <row r="1977">
      <c r="A1977" s="283" t="s">
        <v>767</v>
      </c>
      <c r="B1977" s="284">
        <v>46203.0</v>
      </c>
    </row>
    <row r="1978">
      <c r="A1978" s="283" t="s">
        <v>791</v>
      </c>
      <c r="B1978" s="284">
        <v>46210.0</v>
      </c>
    </row>
    <row r="1979">
      <c r="A1979" s="153" t="s">
        <v>804</v>
      </c>
      <c r="B1979" s="284">
        <v>46210.0</v>
      </c>
    </row>
    <row r="1980">
      <c r="A1980" s="283" t="s">
        <v>823</v>
      </c>
      <c r="B1980" s="284">
        <v>46210.0</v>
      </c>
    </row>
    <row r="1981">
      <c r="A1981" s="283" t="s">
        <v>834</v>
      </c>
      <c r="B1981" s="284">
        <v>46210.0</v>
      </c>
    </row>
    <row r="1982">
      <c r="A1982" s="283" t="s">
        <v>401</v>
      </c>
      <c r="B1982" s="284">
        <v>46210.0</v>
      </c>
    </row>
    <row r="1983">
      <c r="A1983" s="283" t="s">
        <v>867</v>
      </c>
      <c r="B1983" s="284">
        <v>46210.0</v>
      </c>
    </row>
    <row r="1984">
      <c r="A1984" s="283" t="s">
        <v>884</v>
      </c>
      <c r="B1984" s="284">
        <v>46210.0</v>
      </c>
    </row>
    <row r="1985">
      <c r="A1985" s="283" t="s">
        <v>903</v>
      </c>
      <c r="B1985" s="284">
        <v>46210.0</v>
      </c>
    </row>
    <row r="1986">
      <c r="A1986" s="283" t="s">
        <v>605</v>
      </c>
      <c r="B1986" s="284">
        <v>46216.0</v>
      </c>
    </row>
    <row r="1987">
      <c r="A1987" s="283" t="s">
        <v>943</v>
      </c>
      <c r="B1987" s="284">
        <v>46216.0</v>
      </c>
    </row>
    <row r="1988">
      <c r="A1988" s="283" t="s">
        <v>958</v>
      </c>
      <c r="B1988" s="284">
        <v>46216.0</v>
      </c>
    </row>
    <row r="1989">
      <c r="A1989" s="283" t="s">
        <v>983</v>
      </c>
      <c r="B1989" s="284">
        <v>46216.0</v>
      </c>
    </row>
    <row r="1990">
      <c r="A1990" s="283" t="s">
        <v>1002</v>
      </c>
      <c r="B1990" s="284">
        <v>46216.0</v>
      </c>
    </row>
    <row r="1991">
      <c r="A1991" s="283" t="s">
        <v>1013</v>
      </c>
      <c r="B1991" s="284">
        <v>46216.0</v>
      </c>
    </row>
    <row r="1992">
      <c r="A1992" s="283" t="s">
        <v>1025</v>
      </c>
      <c r="B1992" s="284">
        <v>46216.0</v>
      </c>
    </row>
    <row r="1993">
      <c r="A1993" s="283" t="s">
        <v>1040</v>
      </c>
      <c r="B1993" s="284">
        <v>46216.0</v>
      </c>
    </row>
    <row r="1994">
      <c r="A1994" s="283" t="s">
        <v>1052</v>
      </c>
      <c r="B1994" s="284">
        <v>46216.0</v>
      </c>
    </row>
    <row r="1995">
      <c r="A1995" s="283" t="s">
        <v>1063</v>
      </c>
      <c r="B1995" s="284">
        <v>46216.0</v>
      </c>
    </row>
    <row r="1996">
      <c r="A1996" s="283" t="s">
        <v>1075</v>
      </c>
      <c r="B1996" s="284">
        <v>46217.0</v>
      </c>
    </row>
    <row r="1997">
      <c r="A1997" s="283" t="s">
        <v>1091</v>
      </c>
      <c r="B1997" s="284">
        <v>46217.0</v>
      </c>
    </row>
    <row r="1998">
      <c r="A1998" s="283" t="s">
        <v>1109</v>
      </c>
      <c r="B1998" s="284">
        <v>46217.0</v>
      </c>
    </row>
    <row r="1999">
      <c r="A1999" s="283" t="s">
        <v>1117</v>
      </c>
      <c r="B1999" s="284">
        <v>46217.0</v>
      </c>
    </row>
    <row r="2000">
      <c r="A2000" s="283" t="s">
        <v>1138</v>
      </c>
      <c r="B2000" s="284">
        <v>46217.0</v>
      </c>
    </row>
    <row r="2001">
      <c r="A2001" s="283" t="s">
        <v>1147</v>
      </c>
      <c r="B2001" s="284">
        <v>46217.0</v>
      </c>
    </row>
    <row r="2002">
      <c r="A2002" s="283" t="s">
        <v>1157</v>
      </c>
      <c r="B2002" s="284">
        <v>46217.0</v>
      </c>
    </row>
    <row r="2003">
      <c r="A2003" s="283" t="s">
        <v>1166</v>
      </c>
      <c r="B2003" s="284">
        <v>46217.0</v>
      </c>
    </row>
    <row r="2004">
      <c r="A2004" s="283" t="s">
        <v>1180</v>
      </c>
      <c r="B2004" s="284">
        <v>46217.0</v>
      </c>
    </row>
    <row r="2005">
      <c r="A2005" s="283" t="s">
        <v>1187</v>
      </c>
      <c r="B2005" s="284">
        <v>46217.0</v>
      </c>
    </row>
    <row r="2006">
      <c r="A2006" s="283" t="s">
        <v>1192</v>
      </c>
      <c r="B2006" s="284">
        <v>46217.0</v>
      </c>
    </row>
    <row r="2007">
      <c r="A2007" s="283" t="s">
        <v>1197</v>
      </c>
      <c r="B2007" s="284">
        <v>46217.0</v>
      </c>
    </row>
    <row r="2008">
      <c r="A2008" s="283" t="s">
        <v>1209</v>
      </c>
      <c r="B2008" s="284">
        <v>46217.0</v>
      </c>
    </row>
    <row r="2009">
      <c r="A2009" s="283" t="s">
        <v>1214</v>
      </c>
      <c r="B2009" s="284">
        <v>46217.0</v>
      </c>
    </row>
    <row r="2010">
      <c r="A2010" s="283" t="s">
        <v>1216</v>
      </c>
      <c r="B2010" s="284">
        <v>46217.0</v>
      </c>
    </row>
    <row r="2011">
      <c r="A2011" s="283" t="s">
        <v>1217</v>
      </c>
      <c r="B2011" s="284">
        <v>46217.0</v>
      </c>
    </row>
    <row r="2012">
      <c r="A2012" s="283" t="s">
        <v>1218</v>
      </c>
      <c r="B2012" s="284">
        <v>46217.0</v>
      </c>
    </row>
    <row r="2013">
      <c r="A2013" s="283" t="s">
        <v>1219</v>
      </c>
      <c r="B2013" s="284">
        <v>46217.0</v>
      </c>
    </row>
    <row r="2014">
      <c r="A2014" s="283" t="s">
        <v>1221</v>
      </c>
      <c r="B2014" s="284">
        <v>46221.0</v>
      </c>
    </row>
    <row r="2015">
      <c r="A2015" s="283" t="s">
        <v>1223</v>
      </c>
      <c r="B2015" s="284">
        <v>46221.0</v>
      </c>
    </row>
    <row r="2016">
      <c r="A2016" s="283" t="s">
        <v>1224</v>
      </c>
      <c r="B2016" s="284">
        <v>46221.0</v>
      </c>
    </row>
    <row r="2017">
      <c r="A2017" s="283" t="s">
        <v>1227</v>
      </c>
      <c r="B2017" s="284">
        <v>46221.0</v>
      </c>
    </row>
    <row r="2018">
      <c r="A2018" s="283" t="s">
        <v>1230</v>
      </c>
      <c r="B2018" s="284">
        <v>46221.0</v>
      </c>
    </row>
    <row r="2019">
      <c r="A2019" s="283" t="s">
        <v>1233</v>
      </c>
      <c r="B2019" s="284">
        <v>46221.0</v>
      </c>
    </row>
    <row r="2020">
      <c r="A2020" s="283" t="s">
        <v>1234</v>
      </c>
      <c r="B2020" s="284">
        <v>46231.0</v>
      </c>
    </row>
    <row r="2021">
      <c r="A2021" s="283" t="s">
        <v>1235</v>
      </c>
      <c r="B2021" s="284">
        <v>46231.0</v>
      </c>
    </row>
    <row r="2022">
      <c r="A2022" s="283" t="s">
        <v>1234</v>
      </c>
      <c r="B2022" s="284">
        <v>46233.0</v>
      </c>
    </row>
    <row r="2023">
      <c r="A2023" s="283" t="s">
        <v>1235</v>
      </c>
      <c r="B2023" s="284">
        <v>46233.0</v>
      </c>
    </row>
    <row r="2024">
      <c r="A2024" s="283" t="s">
        <v>1239</v>
      </c>
      <c r="B2024" s="284">
        <v>46233.0</v>
      </c>
    </row>
    <row r="2025">
      <c r="A2025" s="283" t="s">
        <v>1240</v>
      </c>
      <c r="B2025" s="284">
        <v>46233.0</v>
      </c>
    </row>
    <row r="2026">
      <c r="A2026" s="283" t="s">
        <v>1241</v>
      </c>
      <c r="B2026" s="284">
        <v>46233.0</v>
      </c>
    </row>
    <row r="2027">
      <c r="A2027" s="283" t="s">
        <v>598</v>
      </c>
      <c r="B2027" s="284">
        <v>46233.0</v>
      </c>
    </row>
    <row r="2028">
      <c r="A2028" s="283" t="s">
        <v>1242</v>
      </c>
      <c r="B2028" s="284">
        <v>46233.0</v>
      </c>
    </row>
    <row r="2029">
      <c r="A2029" s="283" t="s">
        <v>883</v>
      </c>
      <c r="B2029" s="284">
        <v>46233.0</v>
      </c>
    </row>
    <row r="2030">
      <c r="A2030" s="283" t="s">
        <v>322</v>
      </c>
      <c r="B2030" s="284">
        <v>46233.0</v>
      </c>
    </row>
    <row r="2031">
      <c r="A2031" s="283" t="s">
        <v>844</v>
      </c>
      <c r="B2031" s="284">
        <v>46233.0</v>
      </c>
    </row>
    <row r="2032">
      <c r="A2032" s="283" t="s">
        <v>1244</v>
      </c>
      <c r="B2032" s="284">
        <v>46240.0</v>
      </c>
    </row>
    <row r="2033">
      <c r="A2033" s="283" t="s">
        <v>1247</v>
      </c>
      <c r="B2033" s="284">
        <v>46240.0</v>
      </c>
    </row>
    <row r="2034">
      <c r="A2034" s="283" t="s">
        <v>1249</v>
      </c>
      <c r="B2034" s="284">
        <v>46240.0</v>
      </c>
    </row>
    <row r="2035">
      <c r="A2035" s="283" t="s">
        <v>1252</v>
      </c>
      <c r="B2035" s="284">
        <v>46240.0</v>
      </c>
    </row>
    <row r="2036">
      <c r="A2036" s="283" t="s">
        <v>1254</v>
      </c>
      <c r="B2036" s="284">
        <v>46240.0</v>
      </c>
    </row>
    <row r="2037">
      <c r="A2037" s="283" t="s">
        <v>1259</v>
      </c>
      <c r="B2037" s="284">
        <v>46240.0</v>
      </c>
    </row>
    <row r="2038">
      <c r="A2038" s="283" t="s">
        <v>1260</v>
      </c>
      <c r="B2038" s="284">
        <v>46240.0</v>
      </c>
    </row>
    <row r="2039">
      <c r="A2039" s="288" t="s">
        <v>2623</v>
      </c>
      <c r="B2039" s="289"/>
    </row>
    <row r="2040">
      <c r="A2040" s="288" t="s">
        <v>2624</v>
      </c>
      <c r="B2040" s="289"/>
    </row>
    <row r="2041">
      <c r="A2041" s="288" t="s">
        <v>2625</v>
      </c>
      <c r="B2041" s="289"/>
    </row>
    <row r="2042">
      <c r="A2042" s="288" t="s">
        <v>2626</v>
      </c>
      <c r="B2042" s="289"/>
    </row>
    <row r="2043">
      <c r="A2043" s="288" t="s">
        <v>2627</v>
      </c>
      <c r="B2043" s="289"/>
    </row>
    <row r="2044">
      <c r="A2044" s="288" t="s">
        <v>1727</v>
      </c>
      <c r="B2044" s="289"/>
    </row>
    <row r="2045">
      <c r="A2045" s="288" t="s">
        <v>598</v>
      </c>
      <c r="B2045" s="289"/>
    </row>
    <row r="2046">
      <c r="A2046" s="288" t="s">
        <v>234</v>
      </c>
      <c r="B2046" s="289"/>
    </row>
    <row r="2047">
      <c r="A2047" s="288" t="s">
        <v>471</v>
      </c>
      <c r="B2047" s="289"/>
    </row>
    <row r="2048">
      <c r="A2048" s="288" t="s">
        <v>2628</v>
      </c>
      <c r="B2048" s="289"/>
    </row>
    <row r="2049">
      <c r="A2049" s="288" t="s">
        <v>2629</v>
      </c>
      <c r="B2049" s="289"/>
    </row>
    <row r="2050">
      <c r="A2050" s="289"/>
      <c r="B2050" s="289"/>
    </row>
    <row r="2051">
      <c r="A2051" s="133"/>
      <c r="B2051" s="133"/>
    </row>
    <row r="2052">
      <c r="A2052" s="133"/>
      <c r="B2052" s="133"/>
    </row>
    <row r="2053">
      <c r="A2053" s="133"/>
      <c r="B2053" s="133"/>
    </row>
    <row r="2054">
      <c r="A2054" s="133"/>
      <c r="B2054" s="133"/>
    </row>
    <row r="2055">
      <c r="A2055" s="133"/>
      <c r="B2055" s="133"/>
    </row>
    <row r="2056">
      <c r="A2056" s="133"/>
      <c r="B2056" s="133"/>
    </row>
    <row r="2057">
      <c r="A2057" s="133"/>
      <c r="B2057" s="133"/>
    </row>
    <row r="2058">
      <c r="A2058" s="133"/>
      <c r="B2058" s="133"/>
    </row>
    <row r="2059">
      <c r="A2059" s="133"/>
      <c r="B2059" s="133"/>
    </row>
    <row r="2060">
      <c r="A2060" s="133"/>
      <c r="B2060" s="133"/>
    </row>
    <row r="2061">
      <c r="A2061" s="133"/>
      <c r="B2061" s="133"/>
    </row>
    <row r="2062">
      <c r="A2062" s="133"/>
      <c r="B2062" s="133"/>
    </row>
    <row r="2063">
      <c r="A2063" s="133"/>
      <c r="B2063" s="133"/>
    </row>
    <row r="2064">
      <c r="A2064" s="133"/>
      <c r="B2064" s="133"/>
    </row>
    <row r="2065">
      <c r="A2065" s="133"/>
      <c r="B2065" s="133"/>
    </row>
    <row r="2066">
      <c r="A2066" s="133"/>
      <c r="B2066" s="133"/>
    </row>
    <row r="2067">
      <c r="A2067" s="133"/>
      <c r="B2067" s="133"/>
    </row>
    <row r="2068">
      <c r="A2068" s="133"/>
      <c r="B2068" s="133"/>
    </row>
    <row r="2069">
      <c r="A2069" s="133"/>
      <c r="B2069" s="133"/>
    </row>
    <row r="2070">
      <c r="A2070" s="133"/>
      <c r="B2070" s="133"/>
    </row>
    <row r="2071">
      <c r="A2071" s="133"/>
      <c r="B2071" s="133"/>
    </row>
    <row r="2072">
      <c r="A2072" s="133"/>
      <c r="B2072" s="133"/>
    </row>
    <row r="2073">
      <c r="A2073" s="133"/>
      <c r="B2073" s="133"/>
    </row>
    <row r="2074">
      <c r="A2074" s="133"/>
      <c r="B2074" s="133"/>
    </row>
    <row r="2075">
      <c r="A2075" s="133"/>
      <c r="B2075" s="133"/>
    </row>
    <row r="2076">
      <c r="A2076" s="133"/>
      <c r="B2076" s="133"/>
    </row>
    <row r="2077">
      <c r="A2077" s="133"/>
      <c r="B2077" s="133"/>
    </row>
    <row r="2078">
      <c r="A2078" s="133"/>
      <c r="B2078" s="133"/>
    </row>
    <row r="2079">
      <c r="A2079" s="133"/>
      <c r="B2079" s="133"/>
    </row>
    <row r="2080">
      <c r="A2080" s="133"/>
      <c r="B2080" s="133"/>
    </row>
    <row r="2081">
      <c r="A2081" s="133"/>
      <c r="B2081" s="133"/>
    </row>
    <row r="2082">
      <c r="A2082" s="133"/>
      <c r="B2082" s="133"/>
    </row>
    <row r="2083">
      <c r="A2083" s="133"/>
      <c r="B2083" s="133"/>
    </row>
    <row r="2084">
      <c r="A2084" s="133"/>
      <c r="B2084" s="133"/>
    </row>
    <row r="2085">
      <c r="A2085" s="133"/>
      <c r="B2085" s="133"/>
    </row>
    <row r="2086">
      <c r="A2086" s="133"/>
      <c r="B2086" s="133"/>
    </row>
    <row r="2087">
      <c r="A2087" s="133"/>
      <c r="B2087" s="133"/>
    </row>
    <row r="2088">
      <c r="A2088" s="133"/>
      <c r="B2088" s="133"/>
    </row>
    <row r="2089">
      <c r="A2089" s="133"/>
      <c r="B2089" s="133"/>
    </row>
    <row r="2090">
      <c r="A2090" s="133"/>
      <c r="B2090" s="133"/>
    </row>
    <row r="2091">
      <c r="A2091" s="133"/>
      <c r="B2091" s="133"/>
    </row>
    <row r="2092">
      <c r="A2092" s="133"/>
      <c r="B2092" s="133"/>
    </row>
    <row r="2093">
      <c r="A2093" s="133"/>
      <c r="B2093" s="133"/>
    </row>
    <row r="2094">
      <c r="A2094" s="133"/>
      <c r="B2094" s="133"/>
    </row>
    <row r="2095">
      <c r="A2095" s="133"/>
      <c r="B2095" s="133"/>
    </row>
    <row r="2096">
      <c r="A2096" s="133"/>
      <c r="B2096" s="133"/>
    </row>
    <row r="2097">
      <c r="A2097" s="133"/>
      <c r="B2097" s="133"/>
    </row>
    <row r="2098">
      <c r="A2098" s="133"/>
      <c r="B2098" s="133"/>
    </row>
    <row r="2099">
      <c r="A2099" s="133"/>
      <c r="B2099" s="133"/>
    </row>
    <row r="2100">
      <c r="A2100" s="133"/>
      <c r="B2100" s="133"/>
    </row>
    <row r="2101">
      <c r="A2101" s="133"/>
      <c r="B2101" s="133"/>
    </row>
    <row r="2102">
      <c r="A2102" s="133"/>
      <c r="B2102" s="133"/>
    </row>
    <row r="2103">
      <c r="A2103" s="133"/>
      <c r="B2103" s="133"/>
    </row>
    <row r="2104">
      <c r="A2104" s="133"/>
      <c r="B2104" s="133"/>
    </row>
    <row r="2105">
      <c r="A2105" s="133"/>
      <c r="B2105" s="133"/>
    </row>
    <row r="2106">
      <c r="A2106" s="133"/>
      <c r="B2106" s="133"/>
    </row>
    <row r="2107">
      <c r="A2107" s="133"/>
      <c r="B2107" s="133"/>
    </row>
    <row r="2108">
      <c r="A2108" s="133"/>
      <c r="B2108" s="133"/>
    </row>
    <row r="2109">
      <c r="A2109" s="133"/>
      <c r="B2109" s="133"/>
    </row>
    <row r="2110">
      <c r="A2110" s="133"/>
      <c r="B2110" s="133"/>
    </row>
    <row r="2111">
      <c r="A2111" s="133"/>
      <c r="B2111" s="133"/>
    </row>
    <row r="2112">
      <c r="A2112" s="133"/>
      <c r="B2112" s="133"/>
    </row>
    <row r="2113">
      <c r="A2113" s="133"/>
      <c r="B2113" s="133"/>
    </row>
    <row r="2114">
      <c r="A2114" s="133"/>
      <c r="B2114" s="133"/>
    </row>
    <row r="2115">
      <c r="A2115" s="133"/>
      <c r="B2115" s="133"/>
    </row>
    <row r="2116">
      <c r="A2116" s="133"/>
      <c r="B2116" s="133"/>
    </row>
    <row r="2117">
      <c r="A2117" s="133"/>
      <c r="B2117" s="133"/>
    </row>
    <row r="2118">
      <c r="A2118" s="133"/>
      <c r="B2118" s="133"/>
    </row>
    <row r="2119">
      <c r="A2119" s="133"/>
      <c r="B2119" s="133"/>
    </row>
    <row r="2120">
      <c r="A2120" s="133"/>
      <c r="B2120" s="133"/>
    </row>
    <row r="2121">
      <c r="A2121" s="133"/>
      <c r="B2121" s="133"/>
    </row>
    <row r="2122">
      <c r="A2122" s="133"/>
      <c r="B2122" s="133"/>
    </row>
    <row r="2123">
      <c r="A2123" s="133"/>
      <c r="B2123" s="133"/>
    </row>
    <row r="2124">
      <c r="A2124" s="133"/>
      <c r="B2124" s="133"/>
    </row>
    <row r="2125">
      <c r="A2125" s="133"/>
      <c r="B2125" s="133"/>
    </row>
    <row r="2126">
      <c r="A2126" s="133"/>
      <c r="B2126" s="133"/>
    </row>
    <row r="2127">
      <c r="A2127" s="133"/>
      <c r="B2127" s="133"/>
    </row>
    <row r="2128">
      <c r="A2128" s="133"/>
      <c r="B2128" s="133"/>
    </row>
    <row r="2129">
      <c r="A2129" s="133"/>
      <c r="B2129" s="133"/>
    </row>
    <row r="2130">
      <c r="A2130" s="133"/>
      <c r="B2130" s="133"/>
    </row>
    <row r="2131">
      <c r="A2131" s="133"/>
      <c r="B2131" s="133"/>
    </row>
    <row r="2132">
      <c r="A2132" s="133"/>
      <c r="B2132" s="133"/>
    </row>
    <row r="2133">
      <c r="A2133" s="133"/>
      <c r="B2133" s="133"/>
    </row>
    <row r="2134">
      <c r="A2134" s="133"/>
      <c r="B2134" s="133"/>
    </row>
    <row r="2135">
      <c r="A2135" s="133"/>
      <c r="B2135" s="133"/>
    </row>
    <row r="2136">
      <c r="A2136" s="133"/>
      <c r="B2136" s="133"/>
    </row>
    <row r="2137">
      <c r="A2137" s="133"/>
      <c r="B2137" s="133"/>
    </row>
    <row r="2138">
      <c r="A2138" s="133"/>
      <c r="B2138" s="133"/>
    </row>
    <row r="2139">
      <c r="A2139" s="133"/>
      <c r="B2139" s="133"/>
    </row>
    <row r="2140">
      <c r="A2140" s="133"/>
      <c r="B2140" s="133"/>
    </row>
    <row r="2141">
      <c r="A2141" s="133"/>
      <c r="B2141" s="133"/>
    </row>
    <row r="2142">
      <c r="A2142" s="133"/>
      <c r="B2142" s="133"/>
    </row>
    <row r="2143">
      <c r="A2143" s="133"/>
      <c r="B2143" s="133"/>
    </row>
    <row r="2144">
      <c r="A2144" s="133"/>
      <c r="B2144" s="133"/>
    </row>
    <row r="2145">
      <c r="A2145" s="133"/>
      <c r="B2145" s="133"/>
    </row>
    <row r="2146">
      <c r="A2146" s="133"/>
      <c r="B2146" s="133"/>
    </row>
    <row r="2147">
      <c r="A2147" s="133"/>
      <c r="B2147" s="133"/>
    </row>
    <row r="2148">
      <c r="A2148" s="133"/>
      <c r="B2148" s="133"/>
    </row>
    <row r="2149">
      <c r="A2149" s="133"/>
      <c r="B2149" s="133"/>
    </row>
    <row r="2150">
      <c r="A2150" s="133"/>
      <c r="B2150" s="133"/>
    </row>
    <row r="2151">
      <c r="A2151" s="133"/>
      <c r="B2151" s="133"/>
    </row>
    <row r="2152">
      <c r="A2152" s="133"/>
      <c r="B2152" s="133"/>
    </row>
    <row r="2153">
      <c r="A2153" s="133"/>
      <c r="B2153" s="133"/>
    </row>
    <row r="2154">
      <c r="A2154" s="133"/>
      <c r="B2154" s="133"/>
    </row>
    <row r="2155">
      <c r="A2155" s="133"/>
      <c r="B2155" s="133"/>
    </row>
    <row r="2156">
      <c r="A2156" s="133"/>
      <c r="B2156" s="133"/>
    </row>
    <row r="2157">
      <c r="A2157" s="133"/>
      <c r="B2157" s="133"/>
    </row>
    <row r="2158">
      <c r="A2158" s="133"/>
      <c r="B2158" s="133"/>
    </row>
    <row r="2159">
      <c r="A2159" s="133"/>
      <c r="B2159" s="133"/>
    </row>
    <row r="2160">
      <c r="A2160" s="133"/>
      <c r="B2160" s="133"/>
    </row>
    <row r="2161">
      <c r="A2161" s="133"/>
      <c r="B2161" s="133"/>
    </row>
    <row r="2162">
      <c r="A2162" s="133"/>
      <c r="B2162" s="133"/>
    </row>
    <row r="2163">
      <c r="A2163" s="133"/>
      <c r="B2163" s="133"/>
    </row>
    <row r="2164">
      <c r="A2164" s="133"/>
      <c r="B2164" s="133"/>
    </row>
    <row r="2165">
      <c r="A2165" s="133"/>
      <c r="B2165" s="133"/>
    </row>
    <row r="2166">
      <c r="A2166" s="133"/>
      <c r="B2166" s="133"/>
    </row>
    <row r="2167">
      <c r="A2167" s="133"/>
      <c r="B2167" s="133"/>
    </row>
    <row r="2168">
      <c r="A2168" s="133"/>
      <c r="B2168" s="133"/>
    </row>
    <row r="2169">
      <c r="A2169" s="133"/>
      <c r="B2169" s="133"/>
    </row>
    <row r="2170">
      <c r="A2170" s="133"/>
      <c r="B2170" s="133"/>
    </row>
    <row r="2171">
      <c r="A2171" s="133"/>
      <c r="B2171" s="133"/>
    </row>
    <row r="2172">
      <c r="A2172" s="133"/>
      <c r="B2172" s="133"/>
    </row>
    <row r="2173">
      <c r="A2173" s="133"/>
      <c r="B2173" s="133"/>
    </row>
    <row r="2174">
      <c r="A2174" s="133"/>
      <c r="B2174" s="133"/>
    </row>
    <row r="2175">
      <c r="A2175" s="133"/>
      <c r="B2175" s="133"/>
    </row>
    <row r="2176">
      <c r="A2176" s="133"/>
      <c r="B2176" s="133"/>
    </row>
    <row r="2177">
      <c r="A2177" s="133"/>
      <c r="B2177" s="133"/>
    </row>
    <row r="2178">
      <c r="A2178" s="133"/>
      <c r="B2178" s="133"/>
    </row>
    <row r="2179">
      <c r="A2179" s="133"/>
      <c r="B2179" s="133"/>
    </row>
    <row r="2180">
      <c r="A2180" s="133"/>
      <c r="B2180" s="133"/>
    </row>
    <row r="2181">
      <c r="A2181" s="133"/>
      <c r="B2181" s="133"/>
    </row>
    <row r="2182">
      <c r="A2182" s="133"/>
      <c r="B2182" s="133"/>
    </row>
    <row r="2183">
      <c r="A2183" s="133"/>
      <c r="B2183" s="133"/>
    </row>
    <row r="2184">
      <c r="A2184" s="133"/>
      <c r="B2184" s="133"/>
    </row>
    <row r="2185">
      <c r="A2185" s="133"/>
      <c r="B2185" s="133"/>
    </row>
    <row r="2186">
      <c r="A2186" s="133"/>
      <c r="B2186" s="133"/>
    </row>
    <row r="2187">
      <c r="A2187" s="133"/>
      <c r="B2187" s="133"/>
    </row>
    <row r="2188">
      <c r="A2188" s="133"/>
      <c r="B2188" s="133"/>
    </row>
    <row r="2189">
      <c r="A2189" s="133"/>
      <c r="B2189" s="133"/>
    </row>
    <row r="2190">
      <c r="A2190" s="133"/>
      <c r="B2190" s="133"/>
    </row>
    <row r="2191">
      <c r="A2191" s="133"/>
      <c r="B2191" s="133"/>
    </row>
    <row r="2192">
      <c r="A2192" s="133"/>
      <c r="B2192" s="133"/>
    </row>
    <row r="2193">
      <c r="A2193" s="133"/>
      <c r="B2193" s="133"/>
    </row>
    <row r="2194">
      <c r="A2194" s="133"/>
      <c r="B2194" s="133"/>
    </row>
    <row r="2195">
      <c r="A2195" s="133"/>
      <c r="B2195" s="133"/>
    </row>
    <row r="2196">
      <c r="A2196" s="133"/>
      <c r="B2196" s="133"/>
    </row>
    <row r="2197">
      <c r="A2197" s="133"/>
      <c r="B2197" s="133"/>
    </row>
    <row r="2198">
      <c r="A2198" s="133"/>
      <c r="B2198" s="133"/>
    </row>
    <row r="2199">
      <c r="A2199" s="133"/>
      <c r="B2199" s="133"/>
    </row>
    <row r="2200">
      <c r="A2200" s="133"/>
      <c r="B2200" s="133"/>
    </row>
    <row r="2201">
      <c r="A2201" s="133"/>
      <c r="B2201" s="133"/>
    </row>
    <row r="2202">
      <c r="A2202" s="133"/>
      <c r="B2202" s="133"/>
    </row>
    <row r="2203">
      <c r="A2203" s="133"/>
      <c r="B2203" s="133"/>
    </row>
    <row r="2204">
      <c r="A2204" s="133"/>
      <c r="B2204" s="133"/>
    </row>
    <row r="2205">
      <c r="A2205" s="133"/>
      <c r="B2205" s="133"/>
    </row>
    <row r="2206">
      <c r="A2206" s="133"/>
      <c r="B2206" s="133"/>
    </row>
    <row r="2207">
      <c r="A2207" s="133"/>
      <c r="B2207" s="133"/>
    </row>
    <row r="2208">
      <c r="A2208" s="133"/>
      <c r="B2208" s="133"/>
    </row>
    <row r="2209">
      <c r="A2209" s="133"/>
      <c r="B2209" s="133"/>
    </row>
    <row r="2210">
      <c r="A2210" s="133"/>
      <c r="B2210" s="133"/>
    </row>
    <row r="2211">
      <c r="A2211" s="133"/>
      <c r="B2211" s="133"/>
    </row>
    <row r="2212">
      <c r="A2212" s="133"/>
      <c r="B2212" s="133"/>
    </row>
    <row r="2213">
      <c r="A2213" s="133"/>
      <c r="B2213" s="133"/>
    </row>
    <row r="2214">
      <c r="A2214" s="133"/>
      <c r="B2214" s="133"/>
    </row>
    <row r="2215">
      <c r="A2215" s="133"/>
      <c r="B2215" s="133"/>
    </row>
    <row r="2216">
      <c r="A2216" s="133"/>
      <c r="B2216" s="133"/>
    </row>
    <row r="2217">
      <c r="A2217" s="133"/>
      <c r="B2217" s="133"/>
    </row>
    <row r="2218">
      <c r="A2218" s="133"/>
      <c r="B2218" s="133"/>
    </row>
    <row r="2219">
      <c r="A2219" s="133"/>
      <c r="B2219" s="133"/>
    </row>
    <row r="2220">
      <c r="A2220" s="133"/>
      <c r="B2220" s="133"/>
    </row>
    <row r="2221">
      <c r="A2221" s="133"/>
      <c r="B2221" s="133"/>
    </row>
    <row r="2222">
      <c r="A2222" s="133"/>
      <c r="B2222" s="133"/>
    </row>
    <row r="2223">
      <c r="A2223" s="133"/>
      <c r="B2223" s="133"/>
    </row>
    <row r="2224">
      <c r="A2224" s="133"/>
      <c r="B2224" s="133"/>
    </row>
    <row r="2225">
      <c r="A2225" s="133"/>
      <c r="B2225" s="133"/>
    </row>
    <row r="2226">
      <c r="A2226" s="133"/>
      <c r="B2226" s="133"/>
    </row>
    <row r="2227">
      <c r="A2227" s="133"/>
      <c r="B2227" s="133"/>
    </row>
    <row r="2228">
      <c r="A2228" s="133"/>
      <c r="B2228" s="133"/>
    </row>
    <row r="2229">
      <c r="A2229" s="133"/>
      <c r="B2229" s="133"/>
    </row>
    <row r="2230">
      <c r="A2230" s="133"/>
      <c r="B2230" s="133"/>
    </row>
    <row r="2231">
      <c r="A2231" s="133"/>
      <c r="B2231" s="133"/>
    </row>
    <row r="2232">
      <c r="A2232" s="133"/>
      <c r="B2232" s="133"/>
    </row>
    <row r="2233">
      <c r="A2233" s="133"/>
      <c r="B2233" s="133"/>
    </row>
    <row r="2234">
      <c r="A2234" s="133"/>
      <c r="B2234" s="133"/>
    </row>
    <row r="2235">
      <c r="A2235" s="133"/>
      <c r="B2235" s="133"/>
    </row>
    <row r="2236">
      <c r="A2236" s="133"/>
      <c r="B2236" s="133"/>
    </row>
    <row r="2237">
      <c r="A2237" s="133"/>
      <c r="B2237" s="133"/>
    </row>
    <row r="2238">
      <c r="A2238" s="133"/>
      <c r="B2238" s="133"/>
    </row>
    <row r="2239">
      <c r="A2239" s="133"/>
      <c r="B2239" s="133"/>
    </row>
    <row r="2240">
      <c r="A2240" s="133"/>
      <c r="B2240" s="133"/>
    </row>
    <row r="2241">
      <c r="A2241" s="133"/>
      <c r="B2241" s="133"/>
    </row>
    <row r="2242">
      <c r="A2242" s="133"/>
      <c r="B2242" s="133"/>
    </row>
    <row r="2243">
      <c r="A2243" s="133"/>
      <c r="B2243" s="133"/>
    </row>
    <row r="2244">
      <c r="A2244" s="133"/>
      <c r="B2244" s="133"/>
    </row>
    <row r="2245">
      <c r="A2245" s="133"/>
      <c r="B2245" s="133"/>
    </row>
    <row r="2246">
      <c r="A2246" s="133"/>
      <c r="B2246" s="133"/>
    </row>
    <row r="2247">
      <c r="A2247" s="133"/>
      <c r="B2247" s="133"/>
    </row>
    <row r="2248">
      <c r="A2248" s="133"/>
      <c r="B2248" s="133"/>
    </row>
    <row r="2249">
      <c r="A2249" s="133"/>
      <c r="B2249" s="133"/>
    </row>
    <row r="2250">
      <c r="A2250" s="133"/>
      <c r="B2250" s="133"/>
    </row>
    <row r="2251">
      <c r="A2251" s="133"/>
      <c r="B2251" s="133"/>
    </row>
    <row r="2252">
      <c r="A2252" s="133"/>
      <c r="B2252" s="133"/>
    </row>
    <row r="2253">
      <c r="A2253" s="133"/>
      <c r="B2253" s="133"/>
    </row>
    <row r="2254">
      <c r="A2254" s="133"/>
      <c r="B2254" s="133"/>
    </row>
    <row r="2255">
      <c r="A2255" s="133"/>
      <c r="B2255" s="133"/>
    </row>
    <row r="2256">
      <c r="A2256" s="133"/>
      <c r="B2256" s="133"/>
    </row>
    <row r="2257">
      <c r="A2257" s="133"/>
      <c r="B2257" s="133"/>
    </row>
    <row r="2258">
      <c r="A2258" s="133"/>
      <c r="B2258" s="133"/>
    </row>
    <row r="2259">
      <c r="A2259" s="133"/>
      <c r="B2259" s="133"/>
    </row>
    <row r="2260">
      <c r="A2260" s="133"/>
      <c r="B2260" s="133"/>
    </row>
    <row r="2261">
      <c r="A2261" s="133"/>
      <c r="B2261" s="133"/>
    </row>
    <row r="2262">
      <c r="A2262" s="133"/>
      <c r="B2262" s="133"/>
    </row>
    <row r="2263">
      <c r="A2263" s="133"/>
      <c r="B2263" s="133"/>
    </row>
    <row r="2264">
      <c r="A2264" s="133"/>
      <c r="B2264" s="133"/>
    </row>
    <row r="2265">
      <c r="A2265" s="133"/>
      <c r="B2265" s="133"/>
    </row>
    <row r="2266">
      <c r="A2266" s="133"/>
      <c r="B2266" s="133"/>
    </row>
    <row r="2267">
      <c r="A2267" s="133"/>
      <c r="B2267" s="133"/>
    </row>
    <row r="2268">
      <c r="A2268" s="133"/>
      <c r="B2268" s="133"/>
    </row>
    <row r="2269">
      <c r="A2269" s="133"/>
      <c r="B2269" s="133"/>
    </row>
    <row r="2270">
      <c r="A2270" s="133"/>
      <c r="B2270" s="133"/>
    </row>
    <row r="2271">
      <c r="A2271" s="133"/>
      <c r="B2271" s="133"/>
    </row>
    <row r="2272">
      <c r="A2272" s="133"/>
      <c r="B2272" s="133"/>
    </row>
    <row r="2273">
      <c r="A2273" s="133"/>
      <c r="B2273" s="133"/>
    </row>
    <row r="2274">
      <c r="A2274" s="133"/>
      <c r="B2274" s="133"/>
    </row>
    <row r="2275">
      <c r="A2275" s="133"/>
      <c r="B2275" s="133"/>
    </row>
    <row r="2276">
      <c r="A2276" s="133"/>
      <c r="B2276" s="133"/>
    </row>
    <row r="2277">
      <c r="A2277" s="133"/>
      <c r="B2277" s="133"/>
    </row>
    <row r="2278">
      <c r="A2278" s="133"/>
      <c r="B2278" s="133"/>
    </row>
    <row r="2279">
      <c r="A2279" s="133"/>
      <c r="B2279" s="133"/>
    </row>
    <row r="2280">
      <c r="A2280" s="133"/>
      <c r="B2280" s="133"/>
    </row>
    <row r="2281">
      <c r="A2281" s="133"/>
      <c r="B2281" s="133"/>
    </row>
    <row r="2282">
      <c r="A2282" s="133"/>
      <c r="B2282" s="133"/>
    </row>
    <row r="2283">
      <c r="A2283" s="133"/>
      <c r="B2283" s="133"/>
    </row>
    <row r="2284">
      <c r="A2284" s="133"/>
      <c r="B2284" s="133"/>
    </row>
    <row r="2285">
      <c r="A2285" s="133"/>
      <c r="B2285" s="133"/>
    </row>
    <row r="2286">
      <c r="A2286" s="133"/>
      <c r="B2286" s="133"/>
    </row>
    <row r="2287">
      <c r="A2287" s="133"/>
      <c r="B2287" s="133"/>
    </row>
    <row r="2288">
      <c r="A2288" s="133"/>
      <c r="B2288" s="133"/>
    </row>
    <row r="2289">
      <c r="A2289" s="133"/>
      <c r="B2289" s="133"/>
    </row>
    <row r="2290">
      <c r="A2290" s="133"/>
      <c r="B2290" s="133"/>
    </row>
    <row r="2291">
      <c r="A2291" s="133"/>
      <c r="B2291" s="133"/>
    </row>
    <row r="2292">
      <c r="A2292" s="133"/>
      <c r="B2292" s="133"/>
    </row>
    <row r="2293">
      <c r="A2293" s="133"/>
      <c r="B2293" s="133"/>
    </row>
    <row r="2294">
      <c r="A2294" s="133"/>
      <c r="B2294" s="133"/>
    </row>
    <row r="2295">
      <c r="A2295" s="133"/>
      <c r="B2295" s="133"/>
    </row>
    <row r="2296">
      <c r="A2296" s="133"/>
      <c r="B2296" s="133"/>
    </row>
    <row r="2297">
      <c r="A2297" s="133"/>
      <c r="B2297" s="133"/>
    </row>
    <row r="2298">
      <c r="A2298" s="133"/>
      <c r="B2298" s="133"/>
    </row>
    <row r="2299">
      <c r="A2299" s="133"/>
      <c r="B2299" s="133"/>
    </row>
    <row r="2300">
      <c r="A2300" s="133"/>
      <c r="B2300" s="133"/>
    </row>
    <row r="2301">
      <c r="A2301" s="133"/>
      <c r="B2301" s="133"/>
    </row>
    <row r="2302">
      <c r="A2302" s="133"/>
      <c r="B2302" s="133"/>
    </row>
    <row r="2303">
      <c r="A2303" s="133"/>
      <c r="B2303" s="133"/>
    </row>
    <row r="2304">
      <c r="A2304" s="133"/>
      <c r="B2304" s="133"/>
    </row>
    <row r="2305">
      <c r="A2305" s="133"/>
      <c r="B2305" s="133"/>
    </row>
    <row r="2306">
      <c r="A2306" s="133"/>
      <c r="B2306" s="133"/>
    </row>
    <row r="2307">
      <c r="A2307" s="133"/>
      <c r="B2307" s="133"/>
    </row>
    <row r="2308">
      <c r="A2308" s="133"/>
      <c r="B2308" s="133"/>
    </row>
    <row r="2309">
      <c r="A2309" s="133"/>
      <c r="B2309" s="133"/>
    </row>
    <row r="2310">
      <c r="A2310" s="133"/>
      <c r="B2310" s="133"/>
    </row>
    <row r="2311">
      <c r="A2311" s="133"/>
      <c r="B2311" s="133"/>
    </row>
    <row r="2312">
      <c r="A2312" s="133"/>
      <c r="B2312" s="133"/>
    </row>
    <row r="2313">
      <c r="A2313" s="133"/>
      <c r="B2313" s="133"/>
    </row>
    <row r="2314">
      <c r="A2314" s="133"/>
      <c r="B2314" s="133"/>
    </row>
    <row r="2315">
      <c r="A2315" s="133"/>
      <c r="B2315" s="133"/>
    </row>
    <row r="2316">
      <c r="A2316" s="133"/>
      <c r="B2316" s="133"/>
    </row>
    <row r="2317">
      <c r="A2317" s="133"/>
      <c r="B2317" s="133"/>
    </row>
    <row r="2318">
      <c r="A2318" s="133"/>
      <c r="B2318" s="133"/>
    </row>
    <row r="2319">
      <c r="A2319" s="133"/>
      <c r="B2319" s="133"/>
    </row>
    <row r="2320">
      <c r="A2320" s="133"/>
      <c r="B2320" s="133"/>
    </row>
    <row r="2321">
      <c r="A2321" s="133"/>
      <c r="B2321" s="133"/>
    </row>
    <row r="2322">
      <c r="A2322" s="133"/>
      <c r="B2322" s="133"/>
    </row>
    <row r="2323">
      <c r="A2323" s="133"/>
      <c r="B2323" s="133"/>
    </row>
    <row r="2324">
      <c r="A2324" s="133"/>
      <c r="B2324" s="133"/>
    </row>
    <row r="2325">
      <c r="A2325" s="133"/>
      <c r="B2325" s="133"/>
    </row>
    <row r="2326">
      <c r="A2326" s="133"/>
      <c r="B2326" s="133"/>
    </row>
    <row r="2327">
      <c r="A2327" s="133"/>
      <c r="B2327" s="133"/>
    </row>
    <row r="2328">
      <c r="A2328" s="133"/>
      <c r="B2328" s="133"/>
    </row>
    <row r="2329">
      <c r="A2329" s="133"/>
      <c r="B2329" s="133"/>
    </row>
    <row r="2330">
      <c r="A2330" s="133"/>
      <c r="B2330" s="133"/>
    </row>
    <row r="2331">
      <c r="A2331" s="133"/>
      <c r="B2331" s="133"/>
    </row>
    <row r="2332">
      <c r="A2332" s="133"/>
      <c r="B2332" s="133"/>
    </row>
    <row r="2333">
      <c r="A2333" s="133"/>
      <c r="B2333" s="133"/>
    </row>
    <row r="2334">
      <c r="A2334" s="133"/>
      <c r="B2334" s="133"/>
    </row>
    <row r="2335">
      <c r="A2335" s="133"/>
      <c r="B2335" s="133"/>
    </row>
    <row r="2336">
      <c r="A2336" s="133"/>
      <c r="B2336" s="133"/>
    </row>
    <row r="2337">
      <c r="A2337" s="133"/>
      <c r="B2337" s="133"/>
    </row>
    <row r="2338">
      <c r="A2338" s="133"/>
      <c r="B2338" s="133"/>
    </row>
    <row r="2339">
      <c r="A2339" s="133"/>
      <c r="B2339" s="133"/>
    </row>
    <row r="2340">
      <c r="A2340" s="133"/>
      <c r="B2340" s="133"/>
    </row>
    <row r="2341">
      <c r="A2341" s="133"/>
      <c r="B2341" s="133"/>
    </row>
    <row r="2342">
      <c r="A2342" s="133"/>
      <c r="B2342" s="133"/>
    </row>
    <row r="2343">
      <c r="A2343" s="133"/>
      <c r="B2343" s="133"/>
    </row>
    <row r="2344">
      <c r="A2344" s="133"/>
      <c r="B2344" s="133"/>
    </row>
    <row r="2345">
      <c r="A2345" s="133"/>
      <c r="B2345" s="133"/>
    </row>
    <row r="2346">
      <c r="A2346" s="133"/>
      <c r="B2346" s="133"/>
    </row>
    <row r="2347">
      <c r="A2347" s="133"/>
      <c r="B2347" s="133"/>
    </row>
    <row r="2348">
      <c r="A2348" s="133"/>
      <c r="B2348" s="133"/>
    </row>
    <row r="2349">
      <c r="A2349" s="133"/>
      <c r="B2349" s="133"/>
    </row>
    <row r="2350">
      <c r="A2350" s="133"/>
      <c r="B2350" s="133"/>
    </row>
    <row r="2351">
      <c r="A2351" s="133"/>
      <c r="B2351" s="133"/>
    </row>
    <row r="2352">
      <c r="A2352" s="133"/>
      <c r="B2352" s="133"/>
    </row>
    <row r="2353">
      <c r="A2353" s="133"/>
      <c r="B2353" s="133"/>
    </row>
    <row r="2354">
      <c r="A2354" s="133"/>
      <c r="B2354" s="133"/>
    </row>
    <row r="2355">
      <c r="A2355" s="133"/>
      <c r="B2355" s="133"/>
    </row>
    <row r="2356">
      <c r="A2356" s="133"/>
      <c r="B2356" s="133"/>
    </row>
    <row r="2357">
      <c r="A2357" s="133"/>
      <c r="B2357" s="133"/>
    </row>
    <row r="2358">
      <c r="A2358" s="133"/>
      <c r="B2358" s="133"/>
    </row>
    <row r="2359">
      <c r="A2359" s="133"/>
      <c r="B2359" s="133"/>
    </row>
    <row r="2360">
      <c r="A2360" s="133"/>
      <c r="B2360" s="133"/>
    </row>
    <row r="2361">
      <c r="A2361" s="133"/>
      <c r="B2361" s="133"/>
    </row>
    <row r="2362">
      <c r="A2362" s="133"/>
      <c r="B2362" s="133"/>
    </row>
    <row r="2363">
      <c r="A2363" s="133"/>
      <c r="B2363" s="133"/>
    </row>
    <row r="2364">
      <c r="A2364" s="133"/>
      <c r="B2364" s="133"/>
    </row>
    <row r="2365">
      <c r="A2365" s="133"/>
      <c r="B2365" s="133"/>
    </row>
    <row r="2366">
      <c r="A2366" s="133"/>
      <c r="B2366" s="133"/>
    </row>
    <row r="2367">
      <c r="A2367" s="133"/>
      <c r="B2367" s="133"/>
    </row>
    <row r="2368">
      <c r="A2368" s="133"/>
      <c r="B2368" s="133"/>
    </row>
    <row r="2369">
      <c r="A2369" s="133"/>
      <c r="B2369" s="133"/>
    </row>
    <row r="2370">
      <c r="A2370" s="133"/>
      <c r="B2370" s="133"/>
    </row>
    <row r="2371">
      <c r="A2371" s="133"/>
      <c r="B2371" s="133"/>
    </row>
    <row r="2372">
      <c r="A2372" s="133"/>
      <c r="B2372" s="133"/>
    </row>
    <row r="2373">
      <c r="A2373" s="133"/>
      <c r="B2373" s="133"/>
    </row>
    <row r="2374">
      <c r="A2374" s="133"/>
      <c r="B2374" s="133"/>
    </row>
    <row r="2375">
      <c r="A2375" s="133"/>
      <c r="B2375" s="133"/>
    </row>
    <row r="2376">
      <c r="A2376" s="133"/>
      <c r="B2376" s="133"/>
    </row>
    <row r="2377">
      <c r="A2377" s="133"/>
      <c r="B2377" s="133"/>
    </row>
    <row r="2378">
      <c r="A2378" s="133"/>
      <c r="B2378" s="133"/>
    </row>
    <row r="2379">
      <c r="A2379" s="133"/>
      <c r="B2379" s="133"/>
    </row>
    <row r="2380">
      <c r="A2380" s="133"/>
      <c r="B2380" s="133"/>
    </row>
    <row r="2381">
      <c r="A2381" s="133"/>
      <c r="B2381" s="133"/>
    </row>
    <row r="2382">
      <c r="A2382" s="133"/>
      <c r="B2382" s="133"/>
    </row>
    <row r="2383">
      <c r="A2383" s="133"/>
      <c r="B2383" s="133"/>
    </row>
    <row r="2384">
      <c r="A2384" s="133"/>
      <c r="B2384" s="133"/>
    </row>
    <row r="2385">
      <c r="A2385" s="133"/>
      <c r="B2385" s="133"/>
    </row>
    <row r="2386">
      <c r="A2386" s="133"/>
      <c r="B2386" s="133"/>
    </row>
    <row r="2387">
      <c r="A2387" s="133"/>
      <c r="B2387" s="133"/>
    </row>
    <row r="2388">
      <c r="A2388" s="133"/>
      <c r="B2388" s="133"/>
    </row>
    <row r="2389">
      <c r="A2389" s="133"/>
      <c r="B2389" s="133"/>
    </row>
    <row r="2390">
      <c r="A2390" s="133"/>
      <c r="B2390" s="133"/>
    </row>
    <row r="2391">
      <c r="A2391" s="133"/>
      <c r="B2391" s="133"/>
    </row>
    <row r="2392">
      <c r="A2392" s="133"/>
      <c r="B2392" s="133"/>
    </row>
    <row r="2393">
      <c r="A2393" s="133"/>
      <c r="B2393" s="133"/>
    </row>
    <row r="2394">
      <c r="A2394" s="133"/>
      <c r="B2394" s="133"/>
    </row>
    <row r="2395">
      <c r="A2395" s="133"/>
      <c r="B2395" s="133"/>
    </row>
    <row r="2396">
      <c r="A2396" s="133"/>
      <c r="B2396" s="133"/>
    </row>
    <row r="2397">
      <c r="A2397" s="133"/>
      <c r="B2397" s="133"/>
    </row>
    <row r="2398">
      <c r="A2398" s="133"/>
      <c r="B2398" s="133"/>
    </row>
    <row r="2399">
      <c r="A2399" s="133"/>
      <c r="B2399" s="133"/>
    </row>
    <row r="2400">
      <c r="A2400" s="133"/>
      <c r="B2400" s="133"/>
    </row>
    <row r="2401">
      <c r="A2401" s="133"/>
      <c r="B2401" s="133"/>
    </row>
    <row r="2402">
      <c r="A2402" s="133"/>
      <c r="B2402" s="133"/>
    </row>
    <row r="2403">
      <c r="A2403" s="133"/>
      <c r="B2403" s="133"/>
    </row>
    <row r="2404">
      <c r="A2404" s="133"/>
      <c r="B2404" s="133"/>
    </row>
    <row r="2405">
      <c r="A2405" s="133"/>
      <c r="B2405" s="133"/>
    </row>
    <row r="2406">
      <c r="A2406" s="133"/>
      <c r="B2406" s="133"/>
    </row>
    <row r="2407">
      <c r="A2407" s="133"/>
      <c r="B2407" s="133"/>
    </row>
    <row r="2408">
      <c r="A2408" s="133"/>
      <c r="B2408" s="133"/>
    </row>
    <row r="2409">
      <c r="A2409" s="133"/>
      <c r="B2409" s="133"/>
    </row>
    <row r="2410">
      <c r="A2410" s="133"/>
      <c r="B2410" s="133"/>
    </row>
    <row r="2411">
      <c r="A2411" s="133"/>
      <c r="B2411" s="133"/>
    </row>
    <row r="2412">
      <c r="A2412" s="133"/>
      <c r="B2412" s="133"/>
    </row>
    <row r="2413">
      <c r="A2413" s="133"/>
      <c r="B2413" s="133"/>
    </row>
    <row r="2414">
      <c r="A2414" s="133"/>
      <c r="B2414" s="133"/>
    </row>
    <row r="2415">
      <c r="A2415" s="133"/>
      <c r="B2415" s="133"/>
    </row>
    <row r="2416">
      <c r="A2416" s="133"/>
      <c r="B2416" s="133"/>
    </row>
    <row r="2417">
      <c r="A2417" s="133"/>
      <c r="B2417" s="133"/>
    </row>
    <row r="2418">
      <c r="A2418" s="133"/>
      <c r="B2418" s="133"/>
    </row>
    <row r="2419">
      <c r="A2419" s="133"/>
      <c r="B2419" s="133"/>
    </row>
    <row r="2420">
      <c r="A2420" s="133"/>
      <c r="B2420" s="133"/>
    </row>
    <row r="2421">
      <c r="A2421" s="133"/>
      <c r="B2421" s="133"/>
    </row>
    <row r="2422">
      <c r="A2422" s="133"/>
      <c r="B2422" s="133"/>
    </row>
    <row r="2423">
      <c r="A2423" s="133"/>
      <c r="B2423" s="133"/>
    </row>
    <row r="2424">
      <c r="A2424" s="133"/>
      <c r="B2424" s="133"/>
    </row>
    <row r="2425">
      <c r="A2425" s="133"/>
      <c r="B2425" s="133"/>
    </row>
    <row r="2426">
      <c r="A2426" s="133"/>
      <c r="B2426" s="133"/>
    </row>
    <row r="2427">
      <c r="A2427" s="133"/>
      <c r="B2427" s="133"/>
    </row>
    <row r="2428">
      <c r="A2428" s="133"/>
      <c r="B2428" s="133"/>
    </row>
    <row r="2429">
      <c r="A2429" s="133"/>
      <c r="B2429" s="133"/>
    </row>
    <row r="2430">
      <c r="A2430" s="133"/>
      <c r="B2430" s="133"/>
    </row>
    <row r="2431">
      <c r="A2431" s="133"/>
      <c r="B2431" s="133"/>
    </row>
    <row r="2432">
      <c r="A2432" s="133"/>
      <c r="B2432" s="133"/>
    </row>
    <row r="2433">
      <c r="A2433" s="133"/>
      <c r="B2433" s="133"/>
    </row>
    <row r="2434">
      <c r="A2434" s="133"/>
      <c r="B2434" s="133"/>
    </row>
    <row r="2435">
      <c r="A2435" s="133"/>
      <c r="B2435" s="133"/>
    </row>
    <row r="2436">
      <c r="A2436" s="133"/>
      <c r="B2436" s="133"/>
    </row>
    <row r="2437">
      <c r="A2437" s="133"/>
      <c r="B2437" s="133"/>
    </row>
    <row r="2438">
      <c r="A2438" s="133"/>
      <c r="B2438" s="133"/>
    </row>
    <row r="2439">
      <c r="A2439" s="133"/>
      <c r="B2439" s="133"/>
    </row>
    <row r="2440">
      <c r="A2440" s="133"/>
      <c r="B2440" s="133"/>
    </row>
    <row r="2441">
      <c r="A2441" s="133"/>
      <c r="B2441" s="133"/>
    </row>
    <row r="2442">
      <c r="A2442" s="133"/>
      <c r="B2442" s="133"/>
    </row>
    <row r="2443">
      <c r="A2443" s="133"/>
      <c r="B2443" s="133"/>
    </row>
    <row r="2444">
      <c r="A2444" s="133"/>
      <c r="B2444" s="133"/>
    </row>
    <row r="2445">
      <c r="A2445" s="133"/>
      <c r="B2445" s="133"/>
    </row>
    <row r="2446">
      <c r="A2446" s="133"/>
      <c r="B2446" s="133"/>
    </row>
    <row r="2447">
      <c r="A2447" s="133"/>
      <c r="B2447" s="133"/>
    </row>
    <row r="2448">
      <c r="A2448" s="133"/>
      <c r="B2448" s="133"/>
    </row>
    <row r="2449">
      <c r="A2449" s="133"/>
      <c r="B2449" s="133"/>
    </row>
    <row r="2450">
      <c r="A2450" s="133"/>
      <c r="B2450" s="133"/>
    </row>
    <row r="2451">
      <c r="A2451" s="133"/>
      <c r="B2451" s="133"/>
    </row>
    <row r="2452">
      <c r="A2452" s="133"/>
      <c r="B2452" s="133"/>
    </row>
    <row r="2453">
      <c r="A2453" s="133"/>
      <c r="B2453" s="133"/>
    </row>
    <row r="2454">
      <c r="A2454" s="133"/>
      <c r="B2454" s="133"/>
    </row>
    <row r="2455">
      <c r="A2455" s="133"/>
      <c r="B2455" s="133"/>
    </row>
    <row r="2456">
      <c r="A2456" s="133"/>
      <c r="B2456" s="133"/>
    </row>
    <row r="2457">
      <c r="A2457" s="133"/>
      <c r="B2457" s="133"/>
    </row>
    <row r="2458">
      <c r="A2458" s="133"/>
      <c r="B2458" s="133"/>
    </row>
    <row r="2459">
      <c r="A2459" s="133"/>
      <c r="B2459" s="133"/>
    </row>
    <row r="2460">
      <c r="A2460" s="133"/>
      <c r="B2460" s="133"/>
    </row>
    <row r="2461">
      <c r="A2461" s="133"/>
      <c r="B2461" s="133"/>
    </row>
    <row r="2462">
      <c r="A2462" s="133"/>
      <c r="B2462" s="133"/>
    </row>
    <row r="2463">
      <c r="A2463" s="133"/>
      <c r="B2463" s="133"/>
    </row>
    <row r="2464">
      <c r="A2464" s="133"/>
      <c r="B2464" s="133"/>
    </row>
    <row r="2465">
      <c r="A2465" s="133"/>
      <c r="B2465" s="133"/>
    </row>
    <row r="2466">
      <c r="A2466" s="133"/>
      <c r="B2466" s="133"/>
    </row>
    <row r="2467">
      <c r="A2467" s="133"/>
      <c r="B2467" s="133"/>
    </row>
    <row r="2468">
      <c r="A2468" s="133"/>
      <c r="B2468" s="133"/>
    </row>
    <row r="2469">
      <c r="A2469" s="133"/>
      <c r="B2469" s="133"/>
    </row>
    <row r="2470">
      <c r="A2470" s="133"/>
      <c r="B2470" s="133"/>
    </row>
    <row r="2471">
      <c r="A2471" s="133"/>
      <c r="B2471" s="133"/>
    </row>
    <row r="2472">
      <c r="A2472" s="133"/>
      <c r="B2472" s="133"/>
    </row>
    <row r="2473">
      <c r="A2473" s="133"/>
      <c r="B2473" s="133"/>
    </row>
    <row r="2474">
      <c r="A2474" s="133"/>
      <c r="B2474" s="133"/>
    </row>
    <row r="2475">
      <c r="A2475" s="133"/>
      <c r="B2475" s="133"/>
    </row>
    <row r="2476">
      <c r="A2476" s="133"/>
      <c r="B2476" s="133"/>
    </row>
    <row r="2477">
      <c r="A2477" s="133"/>
      <c r="B2477" s="133"/>
    </row>
    <row r="2478">
      <c r="A2478" s="133"/>
      <c r="B2478" s="133"/>
    </row>
    <row r="2479">
      <c r="A2479" s="133"/>
      <c r="B2479" s="133"/>
    </row>
    <row r="2480">
      <c r="A2480" s="133"/>
      <c r="B2480" s="133"/>
    </row>
    <row r="2481">
      <c r="A2481" s="133"/>
      <c r="B2481" s="133"/>
    </row>
    <row r="2482">
      <c r="A2482" s="133"/>
      <c r="B2482" s="133"/>
    </row>
    <row r="2483">
      <c r="A2483" s="133"/>
      <c r="B2483" s="133"/>
    </row>
    <row r="2484">
      <c r="A2484" s="133"/>
      <c r="B2484" s="133"/>
    </row>
    <row r="2485">
      <c r="A2485" s="133"/>
      <c r="B2485" s="133"/>
    </row>
    <row r="2486">
      <c r="A2486" s="133"/>
      <c r="B2486" s="133"/>
    </row>
    <row r="2487">
      <c r="A2487" s="133"/>
      <c r="B2487" s="133"/>
    </row>
    <row r="2488">
      <c r="A2488" s="133"/>
      <c r="B2488" s="133"/>
    </row>
    <row r="2489">
      <c r="A2489" s="133"/>
      <c r="B2489" s="133"/>
    </row>
    <row r="2490">
      <c r="A2490" s="133"/>
      <c r="B2490" s="133"/>
    </row>
    <row r="2491">
      <c r="A2491" s="133"/>
      <c r="B2491" s="133"/>
    </row>
    <row r="2492">
      <c r="A2492" s="133"/>
      <c r="B2492" s="133"/>
    </row>
    <row r="2493">
      <c r="A2493" s="133"/>
      <c r="B2493" s="133"/>
    </row>
    <row r="2494">
      <c r="A2494" s="133"/>
      <c r="B2494" s="133"/>
    </row>
    <row r="2495">
      <c r="A2495" s="133"/>
      <c r="B2495" s="133"/>
    </row>
    <row r="2496">
      <c r="A2496" s="133"/>
      <c r="B2496" s="133"/>
    </row>
    <row r="2497">
      <c r="A2497" s="133"/>
      <c r="B2497" s="133"/>
    </row>
    <row r="2498">
      <c r="A2498" s="133"/>
      <c r="B2498" s="133"/>
    </row>
    <row r="2499">
      <c r="A2499" s="133"/>
      <c r="B2499" s="133"/>
    </row>
    <row r="2500">
      <c r="A2500" s="133"/>
      <c r="B2500" s="133"/>
    </row>
    <row r="2501">
      <c r="A2501" s="133"/>
      <c r="B2501" s="133"/>
    </row>
    <row r="2502">
      <c r="A2502" s="133"/>
      <c r="B2502" s="133"/>
    </row>
    <row r="2503">
      <c r="A2503" s="133"/>
      <c r="B2503" s="133"/>
    </row>
    <row r="2504">
      <c r="A2504" s="133"/>
      <c r="B2504" s="133"/>
    </row>
    <row r="2505">
      <c r="A2505" s="133"/>
      <c r="B2505" s="133"/>
    </row>
    <row r="2506">
      <c r="A2506" s="133"/>
      <c r="B2506" s="133"/>
    </row>
    <row r="2507">
      <c r="A2507" s="133"/>
      <c r="B2507" s="133"/>
    </row>
    <row r="2508">
      <c r="A2508" s="133"/>
      <c r="B2508" s="133"/>
    </row>
    <row r="2509">
      <c r="A2509" s="133"/>
      <c r="B2509" s="133"/>
    </row>
    <row r="2510">
      <c r="A2510" s="133"/>
      <c r="B2510" s="133"/>
    </row>
    <row r="2511">
      <c r="A2511" s="133"/>
      <c r="B2511" s="133"/>
    </row>
    <row r="2512">
      <c r="A2512" s="133"/>
      <c r="B2512" s="133"/>
    </row>
    <row r="2513">
      <c r="A2513" s="133"/>
      <c r="B2513" s="133"/>
    </row>
    <row r="2514">
      <c r="A2514" s="133"/>
      <c r="B2514" s="133"/>
    </row>
    <row r="2515">
      <c r="A2515" s="133"/>
      <c r="B2515" s="133"/>
    </row>
    <row r="2516">
      <c r="A2516" s="133"/>
      <c r="B2516" s="133"/>
    </row>
    <row r="2517">
      <c r="A2517" s="133"/>
      <c r="B2517" s="133"/>
    </row>
    <row r="2518">
      <c r="A2518" s="133"/>
      <c r="B2518" s="133"/>
    </row>
    <row r="2519">
      <c r="A2519" s="133"/>
      <c r="B2519" s="133"/>
    </row>
    <row r="2520">
      <c r="A2520" s="133"/>
      <c r="B2520" s="133"/>
    </row>
    <row r="2521">
      <c r="A2521" s="133"/>
      <c r="B2521" s="133"/>
    </row>
    <row r="2522">
      <c r="A2522" s="133"/>
      <c r="B2522" s="133"/>
    </row>
    <row r="2523">
      <c r="A2523" s="133"/>
      <c r="B2523" s="133"/>
    </row>
    <row r="2524">
      <c r="A2524" s="133"/>
      <c r="B2524" s="133"/>
    </row>
    <row r="2525">
      <c r="A2525" s="133"/>
      <c r="B2525" s="133"/>
    </row>
    <row r="2526">
      <c r="A2526" s="133"/>
      <c r="B2526" s="133"/>
    </row>
    <row r="2527">
      <c r="A2527" s="133"/>
      <c r="B2527" s="133"/>
    </row>
    <row r="2528">
      <c r="A2528" s="133"/>
      <c r="B2528" s="133"/>
    </row>
    <row r="2529">
      <c r="A2529" s="133"/>
      <c r="B2529" s="133"/>
    </row>
    <row r="2530">
      <c r="A2530" s="133"/>
      <c r="B2530" s="133"/>
    </row>
    <row r="2531">
      <c r="A2531" s="133"/>
      <c r="B2531" s="133"/>
    </row>
    <row r="2532">
      <c r="A2532" s="133"/>
      <c r="B2532" s="133"/>
    </row>
    <row r="2533">
      <c r="A2533" s="133"/>
      <c r="B2533" s="133"/>
    </row>
    <row r="2534">
      <c r="A2534" s="133"/>
      <c r="B2534" s="133"/>
    </row>
    <row r="2535">
      <c r="A2535" s="133"/>
      <c r="B2535" s="133"/>
    </row>
    <row r="2536">
      <c r="A2536" s="133"/>
      <c r="B2536" s="133"/>
    </row>
    <row r="2537">
      <c r="A2537" s="133"/>
      <c r="B2537" s="133"/>
    </row>
    <row r="2538">
      <c r="A2538" s="133"/>
      <c r="B2538" s="133"/>
    </row>
    <row r="2539">
      <c r="A2539" s="133"/>
      <c r="B2539" s="133"/>
    </row>
    <row r="2540">
      <c r="A2540" s="133"/>
      <c r="B2540" s="133"/>
    </row>
    <row r="2541">
      <c r="A2541" s="133"/>
      <c r="B2541" s="133"/>
    </row>
    <row r="2542">
      <c r="A2542" s="133"/>
      <c r="B2542" s="133"/>
    </row>
    <row r="2543">
      <c r="A2543" s="133"/>
      <c r="B2543" s="133"/>
    </row>
    <row r="2544">
      <c r="A2544" s="133"/>
      <c r="B2544" s="133"/>
    </row>
    <row r="2545">
      <c r="A2545" s="133"/>
      <c r="B2545" s="133"/>
    </row>
    <row r="2546">
      <c r="A2546" s="133"/>
      <c r="B2546" s="133"/>
    </row>
    <row r="2547">
      <c r="A2547" s="133"/>
      <c r="B2547" s="133"/>
    </row>
    <row r="2548">
      <c r="A2548" s="133"/>
      <c r="B2548" s="133"/>
    </row>
    <row r="2549">
      <c r="A2549" s="133"/>
      <c r="B2549" s="133"/>
    </row>
    <row r="2550">
      <c r="A2550" s="133"/>
      <c r="B2550" s="133"/>
    </row>
    <row r="2551">
      <c r="A2551" s="133"/>
      <c r="B2551" s="133"/>
    </row>
    <row r="2552">
      <c r="A2552" s="133"/>
      <c r="B2552" s="133"/>
    </row>
    <row r="2553">
      <c r="A2553" s="133"/>
      <c r="B2553" s="133"/>
    </row>
    <row r="2554">
      <c r="A2554" s="133"/>
      <c r="B2554" s="133"/>
    </row>
    <row r="2555">
      <c r="A2555" s="133"/>
      <c r="B2555" s="133"/>
    </row>
    <row r="2556">
      <c r="A2556" s="133"/>
      <c r="B2556" s="133"/>
    </row>
    <row r="2557">
      <c r="A2557" s="133"/>
      <c r="B2557" s="133"/>
    </row>
    <row r="2558">
      <c r="A2558" s="133"/>
      <c r="B2558" s="133"/>
    </row>
    <row r="2559">
      <c r="A2559" s="133"/>
      <c r="B2559" s="133"/>
    </row>
    <row r="2560">
      <c r="A2560" s="133"/>
      <c r="B2560" s="133"/>
    </row>
    <row r="2561">
      <c r="A2561" s="133"/>
      <c r="B2561" s="133"/>
    </row>
    <row r="2562">
      <c r="A2562" s="133"/>
      <c r="B2562" s="133"/>
    </row>
    <row r="2563">
      <c r="A2563" s="133"/>
      <c r="B2563" s="133"/>
    </row>
    <row r="2564">
      <c r="A2564" s="133"/>
      <c r="B2564" s="133"/>
    </row>
    <row r="2565">
      <c r="A2565" s="133"/>
      <c r="B2565" s="133"/>
    </row>
    <row r="2566">
      <c r="A2566" s="133"/>
      <c r="B2566" s="133"/>
    </row>
    <row r="2567">
      <c r="A2567" s="133"/>
      <c r="B2567" s="133"/>
    </row>
    <row r="2568">
      <c r="A2568" s="133"/>
      <c r="B2568" s="133"/>
    </row>
    <row r="2569">
      <c r="A2569" s="133"/>
      <c r="B2569" s="133"/>
    </row>
    <row r="2570">
      <c r="A2570" s="133"/>
      <c r="B2570" s="133"/>
    </row>
    <row r="2571">
      <c r="A2571" s="133"/>
      <c r="B2571" s="133"/>
    </row>
    <row r="2572">
      <c r="A2572" s="133"/>
      <c r="B2572" s="133"/>
    </row>
    <row r="2573">
      <c r="A2573" s="133"/>
      <c r="B2573" s="133"/>
    </row>
    <row r="2574">
      <c r="A2574" s="133"/>
      <c r="B2574" s="133"/>
    </row>
    <row r="2575">
      <c r="A2575" s="133"/>
      <c r="B2575" s="133"/>
    </row>
    <row r="2576">
      <c r="A2576" s="133"/>
      <c r="B2576" s="133"/>
    </row>
    <row r="2577">
      <c r="A2577" s="133"/>
      <c r="B2577" s="133"/>
    </row>
    <row r="2578">
      <c r="A2578" s="133"/>
      <c r="B2578" s="133"/>
    </row>
    <row r="2579">
      <c r="A2579" s="133"/>
      <c r="B2579" s="133"/>
    </row>
    <row r="2580">
      <c r="A2580" s="133"/>
      <c r="B2580" s="133"/>
    </row>
    <row r="2581">
      <c r="A2581" s="133"/>
      <c r="B2581" s="133"/>
    </row>
    <row r="2582">
      <c r="A2582" s="133"/>
      <c r="B2582" s="133"/>
    </row>
    <row r="2583">
      <c r="A2583" s="133"/>
      <c r="B2583" s="133"/>
    </row>
    <row r="2584">
      <c r="A2584" s="133"/>
      <c r="B2584" s="133"/>
    </row>
    <row r="2585">
      <c r="A2585" s="133"/>
      <c r="B2585" s="133"/>
    </row>
    <row r="2586">
      <c r="A2586" s="133"/>
      <c r="B2586" s="133"/>
    </row>
    <row r="2587">
      <c r="A2587" s="133"/>
      <c r="B2587" s="133"/>
    </row>
    <row r="2588">
      <c r="A2588" s="133"/>
      <c r="B2588" s="133"/>
    </row>
    <row r="2589">
      <c r="A2589" s="133"/>
      <c r="B2589" s="133"/>
    </row>
    <row r="2590">
      <c r="A2590" s="133"/>
      <c r="B2590" s="133"/>
    </row>
    <row r="2591">
      <c r="A2591" s="133"/>
      <c r="B2591" s="133"/>
    </row>
    <row r="2592">
      <c r="A2592" s="133"/>
      <c r="B2592" s="133"/>
    </row>
    <row r="2593">
      <c r="A2593" s="133"/>
      <c r="B2593" s="133"/>
    </row>
    <row r="2594">
      <c r="A2594" s="133"/>
      <c r="B2594" s="133"/>
    </row>
    <row r="2595">
      <c r="A2595" s="133"/>
      <c r="B2595" s="133"/>
    </row>
    <row r="2596">
      <c r="A2596" s="133"/>
      <c r="B2596" s="133"/>
    </row>
    <row r="2597">
      <c r="A2597" s="133"/>
      <c r="B2597" s="133"/>
    </row>
    <row r="2598">
      <c r="A2598" s="133"/>
      <c r="B2598" s="133"/>
    </row>
    <row r="2599">
      <c r="A2599" s="133"/>
      <c r="B2599" s="133"/>
    </row>
    <row r="2600">
      <c r="A2600" s="133"/>
      <c r="B2600" s="133"/>
    </row>
    <row r="2601">
      <c r="A2601" s="133"/>
      <c r="B2601" s="133"/>
    </row>
    <row r="2602">
      <c r="A2602" s="133"/>
      <c r="B2602" s="133"/>
    </row>
    <row r="2603">
      <c r="A2603" s="133"/>
      <c r="B2603" s="133"/>
    </row>
    <row r="2604">
      <c r="A2604" s="133"/>
      <c r="B2604" s="133"/>
    </row>
    <row r="2605">
      <c r="A2605" s="133"/>
      <c r="B2605" s="133"/>
    </row>
    <row r="2606">
      <c r="A2606" s="133"/>
      <c r="B2606" s="133"/>
    </row>
    <row r="2607">
      <c r="A2607" s="133"/>
      <c r="B2607" s="133"/>
    </row>
    <row r="2608">
      <c r="A2608" s="133"/>
      <c r="B2608" s="133"/>
    </row>
    <row r="2609">
      <c r="A2609" s="133"/>
      <c r="B2609" s="133"/>
    </row>
    <row r="2610">
      <c r="A2610" s="133"/>
      <c r="B2610" s="133"/>
    </row>
    <row r="2611">
      <c r="A2611" s="133"/>
      <c r="B2611" s="133"/>
    </row>
    <row r="2612">
      <c r="A2612" s="133"/>
      <c r="B2612" s="133"/>
    </row>
    <row r="2613">
      <c r="A2613" s="133"/>
      <c r="B2613" s="133"/>
    </row>
    <row r="2614">
      <c r="A2614" s="133"/>
      <c r="B2614" s="133"/>
    </row>
    <row r="2615">
      <c r="A2615" s="133"/>
      <c r="B2615" s="133"/>
    </row>
    <row r="2616">
      <c r="A2616" s="133"/>
      <c r="B2616" s="133"/>
    </row>
    <row r="2617">
      <c r="A2617" s="133"/>
      <c r="B2617" s="133"/>
    </row>
    <row r="2618">
      <c r="A2618" s="133"/>
      <c r="B2618" s="133"/>
    </row>
    <row r="2619">
      <c r="A2619" s="133"/>
      <c r="B2619" s="133"/>
    </row>
    <row r="2620">
      <c r="A2620" s="133"/>
      <c r="B2620" s="133"/>
    </row>
    <row r="2621">
      <c r="A2621" s="133"/>
      <c r="B2621" s="133"/>
    </row>
    <row r="2622">
      <c r="A2622" s="133"/>
      <c r="B2622" s="133"/>
    </row>
    <row r="2623">
      <c r="A2623" s="133"/>
      <c r="B2623" s="133"/>
    </row>
    <row r="2624">
      <c r="A2624" s="133"/>
      <c r="B2624" s="133"/>
    </row>
    <row r="2625">
      <c r="A2625" s="133"/>
      <c r="B2625" s="133"/>
    </row>
    <row r="2626">
      <c r="A2626" s="133"/>
      <c r="B2626" s="133"/>
    </row>
    <row r="2627">
      <c r="A2627" s="133"/>
      <c r="B2627" s="133"/>
    </row>
    <row r="2628">
      <c r="A2628" s="133"/>
      <c r="B2628" s="133"/>
    </row>
    <row r="2629">
      <c r="A2629" s="133"/>
      <c r="B2629" s="133"/>
    </row>
    <row r="2630">
      <c r="A2630" s="133"/>
      <c r="B2630" s="133"/>
    </row>
    <row r="2631">
      <c r="A2631" s="133"/>
      <c r="B2631" s="133"/>
    </row>
    <row r="2632">
      <c r="A2632" s="133"/>
      <c r="B2632" s="133"/>
    </row>
    <row r="2633">
      <c r="A2633" s="133"/>
      <c r="B2633" s="133"/>
    </row>
    <row r="2634">
      <c r="A2634" s="133"/>
      <c r="B2634" s="133"/>
    </row>
    <row r="2635">
      <c r="A2635" s="133"/>
      <c r="B2635" s="133"/>
    </row>
    <row r="2636">
      <c r="A2636" s="133"/>
      <c r="B2636" s="133"/>
    </row>
    <row r="2637">
      <c r="A2637" s="133"/>
      <c r="B2637" s="133"/>
    </row>
    <row r="2638">
      <c r="A2638" s="133"/>
      <c r="B2638" s="133"/>
    </row>
    <row r="2639">
      <c r="A2639" s="133"/>
      <c r="B2639" s="133"/>
    </row>
    <row r="2640">
      <c r="A2640" s="133"/>
      <c r="B2640" s="133"/>
    </row>
    <row r="2641">
      <c r="A2641" s="133"/>
      <c r="B2641" s="133"/>
    </row>
    <row r="2642">
      <c r="A2642" s="133"/>
      <c r="B2642" s="133"/>
    </row>
    <row r="2643">
      <c r="A2643" s="133"/>
      <c r="B2643" s="133"/>
    </row>
    <row r="2644">
      <c r="A2644" s="133"/>
      <c r="B2644" s="133"/>
    </row>
    <row r="2645">
      <c r="A2645" s="133"/>
      <c r="B2645" s="133"/>
    </row>
    <row r="2646">
      <c r="A2646" s="133"/>
      <c r="B2646" s="133"/>
    </row>
    <row r="2647">
      <c r="A2647" s="133"/>
      <c r="B2647" s="133"/>
    </row>
    <row r="2648">
      <c r="A2648" s="133"/>
      <c r="B2648" s="133"/>
    </row>
    <row r="2649">
      <c r="A2649" s="133"/>
      <c r="B2649" s="133"/>
    </row>
    <row r="2650">
      <c r="A2650" s="133"/>
      <c r="B2650" s="133"/>
    </row>
    <row r="2651">
      <c r="A2651" s="133"/>
      <c r="B2651" s="133"/>
    </row>
    <row r="2652">
      <c r="A2652" s="133"/>
      <c r="B2652" s="133"/>
    </row>
    <row r="2653">
      <c r="A2653" s="133"/>
      <c r="B2653" s="133"/>
    </row>
    <row r="2654">
      <c r="A2654" s="133"/>
      <c r="B2654" s="133"/>
    </row>
    <row r="2655">
      <c r="A2655" s="133"/>
      <c r="B2655" s="133"/>
    </row>
    <row r="2656">
      <c r="A2656" s="133"/>
      <c r="B2656" s="133"/>
    </row>
    <row r="2657">
      <c r="A2657" s="133"/>
      <c r="B2657" s="133"/>
    </row>
    <row r="2658">
      <c r="A2658" s="133"/>
      <c r="B2658" s="133"/>
    </row>
    <row r="2659">
      <c r="A2659" s="133"/>
      <c r="B2659" s="133"/>
    </row>
    <row r="2660">
      <c r="A2660" s="133"/>
      <c r="B2660" s="133"/>
    </row>
    <row r="2661">
      <c r="A2661" s="133"/>
      <c r="B2661" s="133"/>
    </row>
    <row r="2662">
      <c r="A2662" s="133"/>
      <c r="B2662" s="133"/>
    </row>
    <row r="2663">
      <c r="A2663" s="133"/>
      <c r="B2663" s="133"/>
    </row>
    <row r="2664">
      <c r="A2664" s="133"/>
      <c r="B2664" s="133"/>
    </row>
    <row r="2665">
      <c r="A2665" s="133"/>
      <c r="B2665" s="133"/>
    </row>
    <row r="2666">
      <c r="A2666" s="133"/>
      <c r="B2666" s="133"/>
    </row>
    <row r="2667">
      <c r="A2667" s="133"/>
      <c r="B2667" s="133"/>
    </row>
    <row r="2668">
      <c r="A2668" s="133"/>
      <c r="B2668" s="133"/>
    </row>
    <row r="2669">
      <c r="A2669" s="133"/>
      <c r="B2669" s="133"/>
    </row>
    <row r="2670">
      <c r="A2670" s="133"/>
      <c r="B2670" s="133"/>
    </row>
    <row r="2671">
      <c r="A2671" s="133"/>
      <c r="B2671" s="133"/>
    </row>
    <row r="2672">
      <c r="A2672" s="133"/>
      <c r="B2672" s="133"/>
    </row>
    <row r="2673">
      <c r="A2673" s="133"/>
      <c r="B2673" s="133"/>
    </row>
    <row r="2674">
      <c r="A2674" s="133"/>
      <c r="B2674" s="133"/>
    </row>
    <row r="2675">
      <c r="A2675" s="133"/>
      <c r="B2675" s="133"/>
    </row>
    <row r="2676">
      <c r="A2676" s="133"/>
      <c r="B2676" s="133"/>
    </row>
    <row r="2677">
      <c r="A2677" s="133"/>
      <c r="B2677" s="133"/>
    </row>
    <row r="2678">
      <c r="A2678" s="133"/>
      <c r="B2678" s="133"/>
    </row>
    <row r="2679">
      <c r="A2679" s="133"/>
      <c r="B2679" s="133"/>
    </row>
    <row r="2680">
      <c r="A2680" s="133"/>
      <c r="B2680" s="133"/>
    </row>
    <row r="2681">
      <c r="A2681" s="133"/>
      <c r="B2681" s="133"/>
    </row>
    <row r="2682">
      <c r="A2682" s="133"/>
      <c r="B2682" s="133"/>
    </row>
    <row r="2683">
      <c r="A2683" s="133"/>
      <c r="B2683" s="133"/>
    </row>
    <row r="2684">
      <c r="A2684" s="133"/>
      <c r="B2684" s="133"/>
    </row>
    <row r="2685">
      <c r="A2685" s="133"/>
      <c r="B2685" s="133"/>
    </row>
    <row r="2686">
      <c r="A2686" s="133"/>
      <c r="B2686" s="133"/>
    </row>
    <row r="2687">
      <c r="A2687" s="133"/>
      <c r="B2687" s="133"/>
    </row>
    <row r="2688">
      <c r="A2688" s="133"/>
      <c r="B2688" s="133"/>
    </row>
    <row r="2689">
      <c r="A2689" s="133"/>
      <c r="B2689" s="133"/>
    </row>
    <row r="2690">
      <c r="A2690" s="133"/>
      <c r="B2690" s="133"/>
    </row>
    <row r="2691">
      <c r="A2691" s="133"/>
      <c r="B2691" s="133"/>
    </row>
    <row r="2692">
      <c r="A2692" s="133"/>
      <c r="B2692" s="133"/>
    </row>
    <row r="2693">
      <c r="A2693" s="133"/>
      <c r="B2693" s="133"/>
    </row>
    <row r="2694">
      <c r="A2694" s="133"/>
      <c r="B2694" s="133"/>
    </row>
    <row r="2695">
      <c r="A2695" s="133"/>
      <c r="B2695" s="133"/>
    </row>
    <row r="2696">
      <c r="A2696" s="133"/>
      <c r="B2696" s="133"/>
    </row>
    <row r="2697">
      <c r="A2697" s="133"/>
      <c r="B2697" s="133"/>
    </row>
    <row r="2698">
      <c r="A2698" s="133"/>
      <c r="B2698" s="133"/>
    </row>
    <row r="2699">
      <c r="A2699" s="133"/>
      <c r="B2699" s="133"/>
    </row>
    <row r="2700">
      <c r="A2700" s="133"/>
      <c r="B2700" s="133"/>
    </row>
    <row r="2701">
      <c r="A2701" s="133"/>
      <c r="B2701" s="133"/>
    </row>
    <row r="2702">
      <c r="A2702" s="133"/>
      <c r="B2702" s="133"/>
    </row>
    <row r="2703">
      <c r="A2703" s="133"/>
      <c r="B2703" s="133"/>
    </row>
    <row r="2704">
      <c r="A2704" s="133"/>
      <c r="B2704" s="133"/>
    </row>
    <row r="2705">
      <c r="A2705" s="133"/>
      <c r="B2705" s="133"/>
    </row>
    <row r="2706">
      <c r="A2706" s="133"/>
      <c r="B2706" s="133"/>
    </row>
    <row r="2707">
      <c r="A2707" s="133"/>
      <c r="B2707" s="133"/>
    </row>
    <row r="2708">
      <c r="A2708" s="133"/>
      <c r="B2708" s="133"/>
    </row>
    <row r="2709">
      <c r="A2709" s="133"/>
      <c r="B2709" s="133"/>
    </row>
    <row r="2710">
      <c r="A2710" s="133"/>
      <c r="B2710" s="133"/>
    </row>
    <row r="2711">
      <c r="A2711" s="133"/>
      <c r="B2711" s="133"/>
    </row>
    <row r="2712">
      <c r="A2712" s="133"/>
      <c r="B2712" s="133"/>
    </row>
    <row r="2713">
      <c r="A2713" s="133"/>
      <c r="B2713" s="133"/>
    </row>
    <row r="2714">
      <c r="A2714" s="133"/>
      <c r="B2714" s="133"/>
    </row>
    <row r="2715">
      <c r="A2715" s="133"/>
      <c r="B2715" s="133"/>
    </row>
    <row r="2716">
      <c r="A2716" s="133"/>
      <c r="B2716" s="133"/>
    </row>
    <row r="2717">
      <c r="A2717" s="133"/>
      <c r="B2717" s="133"/>
    </row>
    <row r="2718">
      <c r="A2718" s="133"/>
      <c r="B2718" s="133"/>
    </row>
    <row r="2719">
      <c r="A2719" s="133"/>
      <c r="B2719" s="133"/>
    </row>
    <row r="2720">
      <c r="A2720" s="133"/>
      <c r="B2720" s="133"/>
    </row>
    <row r="2721">
      <c r="A2721" s="133"/>
      <c r="B2721" s="133"/>
    </row>
    <row r="2722">
      <c r="A2722" s="133"/>
      <c r="B2722" s="133"/>
    </row>
    <row r="2723">
      <c r="A2723" s="133"/>
      <c r="B2723" s="133"/>
    </row>
    <row r="2724">
      <c r="A2724" s="133"/>
      <c r="B2724" s="133"/>
    </row>
    <row r="2725">
      <c r="A2725" s="133"/>
      <c r="B2725" s="133"/>
    </row>
    <row r="2726">
      <c r="A2726" s="133"/>
      <c r="B2726" s="133"/>
    </row>
    <row r="2727">
      <c r="A2727" s="133"/>
      <c r="B2727" s="133"/>
    </row>
    <row r="2728">
      <c r="A2728" s="133"/>
      <c r="B2728" s="133"/>
    </row>
    <row r="2729">
      <c r="A2729" s="133"/>
      <c r="B2729" s="133"/>
    </row>
    <row r="2730">
      <c r="A2730" s="133"/>
      <c r="B2730" s="133"/>
    </row>
    <row r="2731">
      <c r="A2731" s="133"/>
      <c r="B2731" s="133"/>
    </row>
    <row r="2732">
      <c r="A2732" s="133"/>
      <c r="B2732" s="133"/>
    </row>
    <row r="2733">
      <c r="A2733" s="133"/>
      <c r="B2733" s="133"/>
    </row>
    <row r="2734">
      <c r="A2734" s="133"/>
      <c r="B2734" s="133"/>
    </row>
    <row r="2735">
      <c r="A2735" s="133"/>
      <c r="B2735" s="133"/>
    </row>
    <row r="2736">
      <c r="A2736" s="133"/>
      <c r="B2736" s="133"/>
    </row>
    <row r="2737">
      <c r="A2737" s="133"/>
      <c r="B2737" s="133"/>
    </row>
    <row r="2738">
      <c r="A2738" s="133"/>
      <c r="B2738" s="133"/>
    </row>
    <row r="2739">
      <c r="A2739" s="133"/>
      <c r="B2739" s="133"/>
    </row>
    <row r="2740">
      <c r="A2740" s="133"/>
      <c r="B2740" s="133"/>
    </row>
    <row r="2741">
      <c r="A2741" s="133"/>
      <c r="B2741" s="133"/>
    </row>
    <row r="2742">
      <c r="A2742" s="133"/>
      <c r="B2742" s="133"/>
    </row>
    <row r="2743">
      <c r="A2743" s="133"/>
      <c r="B2743" s="133"/>
    </row>
    <row r="2744">
      <c r="A2744" s="133"/>
      <c r="B2744" s="133"/>
    </row>
    <row r="2745">
      <c r="A2745" s="133"/>
      <c r="B2745" s="133"/>
    </row>
    <row r="2746">
      <c r="A2746" s="133"/>
      <c r="B2746" s="133"/>
    </row>
    <row r="2747">
      <c r="A2747" s="133"/>
      <c r="B2747" s="133"/>
    </row>
    <row r="2748">
      <c r="A2748" s="133"/>
      <c r="B2748" s="133"/>
    </row>
    <row r="2749">
      <c r="A2749" s="133"/>
      <c r="B2749" s="133"/>
    </row>
    <row r="2750">
      <c r="A2750" s="133"/>
      <c r="B2750" s="133"/>
    </row>
    <row r="2751">
      <c r="A2751" s="133"/>
      <c r="B2751" s="133"/>
    </row>
    <row r="2752">
      <c r="A2752" s="133"/>
      <c r="B2752" s="133"/>
    </row>
    <row r="2753">
      <c r="A2753" s="133"/>
      <c r="B2753" s="133"/>
    </row>
    <row r="2754">
      <c r="A2754" s="133"/>
      <c r="B2754" s="133"/>
    </row>
    <row r="2755">
      <c r="A2755" s="133"/>
      <c r="B2755" s="133"/>
    </row>
    <row r="2756">
      <c r="A2756" s="133"/>
      <c r="B2756" s="133"/>
    </row>
    <row r="2757">
      <c r="A2757" s="133"/>
      <c r="B2757" s="133"/>
    </row>
    <row r="2758">
      <c r="A2758" s="133"/>
      <c r="B2758" s="133"/>
    </row>
    <row r="2759">
      <c r="A2759" s="133"/>
      <c r="B2759" s="133"/>
    </row>
    <row r="2760">
      <c r="A2760" s="133"/>
      <c r="B2760" s="133"/>
    </row>
    <row r="2761">
      <c r="A2761" s="133"/>
      <c r="B2761" s="133"/>
    </row>
    <row r="2762">
      <c r="A2762" s="133"/>
      <c r="B2762" s="133"/>
    </row>
    <row r="2763">
      <c r="A2763" s="133"/>
      <c r="B2763" s="133"/>
    </row>
    <row r="2764">
      <c r="A2764" s="133"/>
      <c r="B2764" s="133"/>
    </row>
    <row r="2765">
      <c r="A2765" s="133"/>
      <c r="B2765" s="133"/>
    </row>
    <row r="2766">
      <c r="A2766" s="133"/>
      <c r="B2766" s="133"/>
    </row>
    <row r="2767">
      <c r="A2767" s="133"/>
      <c r="B2767" s="133"/>
    </row>
    <row r="2768">
      <c r="A2768" s="133"/>
      <c r="B2768" s="133"/>
    </row>
    <row r="2769">
      <c r="A2769" s="133"/>
      <c r="B2769" s="133"/>
    </row>
    <row r="2770">
      <c r="A2770" s="133"/>
      <c r="B2770" s="133"/>
    </row>
    <row r="2771">
      <c r="A2771" s="133"/>
      <c r="B2771" s="133"/>
    </row>
    <row r="2772">
      <c r="A2772" s="133"/>
      <c r="B2772" s="133"/>
    </row>
    <row r="2773">
      <c r="A2773" s="133"/>
      <c r="B2773" s="133"/>
    </row>
    <row r="2774">
      <c r="A2774" s="133"/>
      <c r="B2774" s="133"/>
    </row>
    <row r="2775">
      <c r="A2775" s="133"/>
      <c r="B2775" s="133"/>
    </row>
    <row r="2776">
      <c r="A2776" s="133"/>
      <c r="B2776" s="133"/>
    </row>
    <row r="2777">
      <c r="A2777" s="133"/>
      <c r="B2777" s="133"/>
    </row>
    <row r="2778">
      <c r="A2778" s="133"/>
      <c r="B2778" s="133"/>
    </row>
    <row r="2779">
      <c r="A2779" s="133"/>
      <c r="B2779" s="133"/>
    </row>
    <row r="2780">
      <c r="A2780" s="133"/>
      <c r="B2780" s="133"/>
    </row>
    <row r="2781">
      <c r="A2781" s="133"/>
      <c r="B2781" s="133"/>
    </row>
    <row r="2782">
      <c r="A2782" s="133"/>
      <c r="B2782" s="133"/>
    </row>
    <row r="2783">
      <c r="A2783" s="133"/>
      <c r="B2783" s="133"/>
    </row>
    <row r="2784">
      <c r="A2784" s="133"/>
      <c r="B2784" s="133"/>
    </row>
    <row r="2785">
      <c r="A2785" s="133"/>
      <c r="B2785" s="133"/>
    </row>
    <row r="2786">
      <c r="A2786" s="133"/>
      <c r="B2786" s="133"/>
    </row>
    <row r="2787">
      <c r="A2787" s="133"/>
      <c r="B2787" s="133"/>
    </row>
    <row r="2788">
      <c r="A2788" s="133"/>
      <c r="B2788" s="133"/>
    </row>
    <row r="2789">
      <c r="A2789" s="133"/>
      <c r="B2789" s="133"/>
    </row>
    <row r="2790">
      <c r="A2790" s="133"/>
      <c r="B2790" s="133"/>
    </row>
    <row r="2791">
      <c r="A2791" s="133"/>
      <c r="B2791" s="133"/>
    </row>
    <row r="2792">
      <c r="A2792" s="133"/>
      <c r="B2792" s="133"/>
    </row>
    <row r="2793">
      <c r="A2793" s="133"/>
      <c r="B2793" s="133"/>
    </row>
    <row r="2794">
      <c r="A2794" s="133"/>
      <c r="B2794" s="133"/>
    </row>
    <row r="2795">
      <c r="A2795" s="133"/>
      <c r="B2795" s="133"/>
    </row>
    <row r="2796">
      <c r="A2796" s="133"/>
      <c r="B2796" s="133"/>
    </row>
    <row r="2797">
      <c r="A2797" s="133"/>
      <c r="B2797" s="133"/>
    </row>
    <row r="2798">
      <c r="A2798" s="133"/>
      <c r="B2798" s="133"/>
    </row>
    <row r="2799">
      <c r="A2799" s="133"/>
      <c r="B2799" s="133"/>
    </row>
    <row r="2800">
      <c r="A2800" s="133"/>
      <c r="B2800" s="133"/>
    </row>
    <row r="2801">
      <c r="A2801" s="133"/>
      <c r="B2801" s="133"/>
    </row>
    <row r="2802">
      <c r="A2802" s="133"/>
      <c r="B2802" s="133"/>
    </row>
    <row r="2803">
      <c r="A2803" s="133"/>
      <c r="B2803" s="133"/>
    </row>
    <row r="2804">
      <c r="A2804" s="133"/>
      <c r="B2804" s="133"/>
    </row>
    <row r="2805">
      <c r="A2805" s="133"/>
      <c r="B2805" s="133"/>
    </row>
    <row r="2806">
      <c r="A2806" s="133"/>
      <c r="B2806" s="133"/>
    </row>
    <row r="2807">
      <c r="A2807" s="133"/>
      <c r="B2807" s="133"/>
    </row>
    <row r="2808">
      <c r="A2808" s="133"/>
      <c r="B2808" s="133"/>
    </row>
    <row r="2809">
      <c r="A2809" s="133"/>
      <c r="B2809" s="133"/>
    </row>
    <row r="2810">
      <c r="A2810" s="133"/>
      <c r="B2810" s="133"/>
    </row>
    <row r="2811">
      <c r="A2811" s="133"/>
      <c r="B2811" s="133"/>
    </row>
    <row r="2812">
      <c r="A2812" s="133"/>
      <c r="B2812" s="133"/>
    </row>
    <row r="2813">
      <c r="A2813" s="133"/>
      <c r="B2813" s="133"/>
    </row>
    <row r="2814">
      <c r="A2814" s="133"/>
      <c r="B2814" s="133"/>
    </row>
    <row r="2815">
      <c r="A2815" s="133"/>
      <c r="B2815" s="133"/>
    </row>
    <row r="2816">
      <c r="A2816" s="133"/>
      <c r="B2816" s="133"/>
    </row>
    <row r="2817">
      <c r="A2817" s="133"/>
      <c r="B2817" s="133"/>
    </row>
    <row r="2818">
      <c r="A2818" s="133"/>
      <c r="B2818" s="133"/>
    </row>
    <row r="2819">
      <c r="A2819" s="133"/>
      <c r="B2819" s="133"/>
    </row>
    <row r="2820">
      <c r="A2820" s="133"/>
      <c r="B2820" s="133"/>
    </row>
    <row r="2821">
      <c r="A2821" s="133"/>
      <c r="B2821" s="133"/>
    </row>
    <row r="2822">
      <c r="A2822" s="133"/>
      <c r="B2822" s="133"/>
    </row>
    <row r="2823">
      <c r="A2823" s="133"/>
      <c r="B2823" s="133"/>
    </row>
    <row r="2824">
      <c r="A2824" s="133"/>
      <c r="B2824" s="133"/>
    </row>
    <row r="2825">
      <c r="A2825" s="133"/>
      <c r="B2825" s="133"/>
    </row>
    <row r="2826">
      <c r="A2826" s="133"/>
      <c r="B2826" s="133"/>
    </row>
    <row r="2827">
      <c r="A2827" s="133"/>
      <c r="B2827" s="133"/>
    </row>
    <row r="2828">
      <c r="A2828" s="133"/>
      <c r="B2828" s="133"/>
    </row>
    <row r="2829">
      <c r="A2829" s="133"/>
      <c r="B2829" s="133"/>
    </row>
    <row r="2830">
      <c r="A2830" s="133"/>
      <c r="B2830" s="133"/>
    </row>
    <row r="2831">
      <c r="A2831" s="133"/>
      <c r="B2831" s="133"/>
    </row>
    <row r="2832">
      <c r="A2832" s="133"/>
      <c r="B2832" s="133"/>
    </row>
    <row r="2833">
      <c r="A2833" s="133"/>
      <c r="B2833" s="133"/>
    </row>
    <row r="2834">
      <c r="A2834" s="133"/>
      <c r="B2834" s="133"/>
    </row>
    <row r="2835">
      <c r="A2835" s="133"/>
      <c r="B2835" s="133"/>
    </row>
    <row r="2836">
      <c r="A2836" s="133"/>
      <c r="B2836" s="133"/>
    </row>
    <row r="2837">
      <c r="A2837" s="133"/>
      <c r="B2837" s="133"/>
    </row>
    <row r="2838">
      <c r="A2838" s="133"/>
      <c r="B2838" s="133"/>
    </row>
    <row r="2839">
      <c r="A2839" s="133"/>
      <c r="B2839" s="133"/>
    </row>
    <row r="2840">
      <c r="A2840" s="133"/>
      <c r="B2840" s="133"/>
    </row>
    <row r="2841">
      <c r="A2841" s="133"/>
      <c r="B2841" s="133"/>
    </row>
    <row r="2842">
      <c r="A2842" s="133"/>
      <c r="B2842" s="133"/>
    </row>
    <row r="2843">
      <c r="A2843" s="133"/>
      <c r="B2843" s="133"/>
    </row>
    <row r="2844">
      <c r="A2844" s="133"/>
      <c r="B2844" s="133"/>
    </row>
    <row r="2845">
      <c r="A2845" s="133"/>
      <c r="B2845" s="133"/>
    </row>
    <row r="2846">
      <c r="A2846" s="133"/>
      <c r="B2846" s="133"/>
    </row>
    <row r="2847">
      <c r="A2847" s="133"/>
      <c r="B2847" s="133"/>
    </row>
    <row r="2848">
      <c r="A2848" s="133"/>
      <c r="B2848" s="133"/>
    </row>
    <row r="2849">
      <c r="A2849" s="133"/>
      <c r="B2849" s="133"/>
    </row>
    <row r="2850">
      <c r="A2850" s="133"/>
      <c r="B2850" s="133"/>
    </row>
    <row r="2851">
      <c r="A2851" s="133"/>
      <c r="B2851" s="133"/>
    </row>
    <row r="2852">
      <c r="A2852" s="133"/>
      <c r="B2852" s="133"/>
    </row>
    <row r="2853">
      <c r="A2853" s="133"/>
      <c r="B2853" s="133"/>
    </row>
    <row r="2854">
      <c r="A2854" s="133"/>
      <c r="B2854" s="133"/>
    </row>
    <row r="2855">
      <c r="A2855" s="133"/>
      <c r="B2855" s="133"/>
    </row>
    <row r="2856">
      <c r="A2856" s="133"/>
      <c r="B2856" s="133"/>
    </row>
    <row r="2857">
      <c r="A2857" s="133"/>
      <c r="B2857" s="133"/>
    </row>
    <row r="2858">
      <c r="A2858" s="133"/>
      <c r="B2858" s="133"/>
    </row>
    <row r="2859">
      <c r="A2859" s="133"/>
      <c r="B2859" s="133"/>
    </row>
    <row r="2860">
      <c r="A2860" s="133"/>
      <c r="B2860" s="133"/>
    </row>
    <row r="2861">
      <c r="A2861" s="133"/>
      <c r="B2861" s="133"/>
    </row>
    <row r="2862">
      <c r="A2862" s="133"/>
      <c r="B2862" s="133"/>
    </row>
    <row r="2863">
      <c r="A2863" s="133"/>
      <c r="B2863" s="133"/>
    </row>
    <row r="2864">
      <c r="A2864" s="133"/>
      <c r="B2864" s="133"/>
    </row>
    <row r="2865">
      <c r="A2865" s="133"/>
      <c r="B2865" s="133"/>
    </row>
    <row r="2866">
      <c r="A2866" s="133"/>
      <c r="B2866" s="133"/>
    </row>
    <row r="2867">
      <c r="A2867" s="133"/>
      <c r="B2867" s="133"/>
    </row>
    <row r="2868">
      <c r="A2868" s="133"/>
      <c r="B2868" s="133"/>
    </row>
    <row r="2869">
      <c r="A2869" s="133"/>
      <c r="B2869" s="133"/>
    </row>
    <row r="2870">
      <c r="A2870" s="133"/>
      <c r="B2870" s="133"/>
    </row>
    <row r="2871">
      <c r="A2871" s="133"/>
      <c r="B2871" s="133"/>
    </row>
    <row r="2872">
      <c r="A2872" s="133"/>
      <c r="B2872" s="133"/>
    </row>
    <row r="2873">
      <c r="A2873" s="133"/>
      <c r="B2873" s="133"/>
    </row>
    <row r="2874">
      <c r="A2874" s="133"/>
      <c r="B2874" s="133"/>
    </row>
    <row r="2875">
      <c r="A2875" s="133"/>
      <c r="B2875" s="133"/>
    </row>
    <row r="2876">
      <c r="A2876" s="133"/>
      <c r="B2876" s="133"/>
    </row>
    <row r="2877">
      <c r="A2877" s="133"/>
      <c r="B2877" s="133"/>
    </row>
    <row r="2878">
      <c r="A2878" s="133"/>
      <c r="B2878" s="133"/>
    </row>
    <row r="2879">
      <c r="A2879" s="133"/>
      <c r="B2879" s="133"/>
    </row>
    <row r="2880">
      <c r="A2880" s="133"/>
      <c r="B2880" s="133"/>
    </row>
    <row r="2881">
      <c r="A2881" s="133"/>
      <c r="B2881" s="133"/>
    </row>
    <row r="2882">
      <c r="A2882" s="133"/>
      <c r="B2882" s="133"/>
    </row>
    <row r="2883">
      <c r="A2883" s="133"/>
      <c r="B2883" s="133"/>
    </row>
    <row r="2884">
      <c r="A2884" s="133"/>
      <c r="B2884" s="133"/>
    </row>
    <row r="2885">
      <c r="A2885" s="133"/>
      <c r="B2885" s="133"/>
    </row>
    <row r="2886">
      <c r="A2886" s="133"/>
      <c r="B2886" s="133"/>
    </row>
    <row r="2887">
      <c r="A2887" s="133"/>
      <c r="B2887" s="133"/>
    </row>
    <row r="2888">
      <c r="A2888" s="133"/>
      <c r="B2888" s="133"/>
    </row>
    <row r="2889">
      <c r="A2889" s="133"/>
      <c r="B2889" s="133"/>
    </row>
    <row r="2890">
      <c r="A2890" s="133"/>
      <c r="B2890" s="133"/>
    </row>
    <row r="2891">
      <c r="A2891" s="133"/>
      <c r="B2891" s="133"/>
    </row>
    <row r="2892">
      <c r="A2892" s="133"/>
      <c r="B2892" s="133"/>
    </row>
    <row r="2893">
      <c r="A2893" s="133"/>
      <c r="B2893" s="133"/>
    </row>
    <row r="2894">
      <c r="A2894" s="133"/>
      <c r="B2894" s="133"/>
    </row>
    <row r="2895">
      <c r="A2895" s="133"/>
      <c r="B2895" s="133"/>
    </row>
    <row r="2896">
      <c r="A2896" s="133"/>
      <c r="B2896" s="133"/>
    </row>
    <row r="2897">
      <c r="A2897" s="133"/>
      <c r="B2897" s="133"/>
    </row>
    <row r="2898">
      <c r="A2898" s="133"/>
      <c r="B2898" s="133"/>
    </row>
    <row r="2899">
      <c r="A2899" s="133"/>
      <c r="B2899" s="133"/>
    </row>
    <row r="2900">
      <c r="A2900" s="133"/>
      <c r="B2900" s="133"/>
    </row>
    <row r="2901">
      <c r="A2901" s="133"/>
      <c r="B2901" s="133"/>
    </row>
    <row r="2902">
      <c r="A2902" s="133"/>
      <c r="B2902" s="133"/>
    </row>
    <row r="2903">
      <c r="A2903" s="133"/>
      <c r="B2903" s="133"/>
    </row>
    <row r="2904">
      <c r="A2904" s="133"/>
      <c r="B2904" s="133"/>
    </row>
    <row r="2905">
      <c r="A2905" s="133"/>
      <c r="B2905" s="133"/>
    </row>
    <row r="2906">
      <c r="A2906" s="133"/>
      <c r="B2906" s="133"/>
    </row>
    <row r="2907">
      <c r="A2907" s="133"/>
      <c r="B2907" s="133"/>
    </row>
    <row r="2908">
      <c r="A2908" s="133"/>
      <c r="B2908" s="133"/>
    </row>
    <row r="2909">
      <c r="A2909" s="133"/>
      <c r="B2909" s="133"/>
    </row>
    <row r="2910">
      <c r="A2910" s="133"/>
      <c r="B2910" s="133"/>
    </row>
    <row r="2911">
      <c r="A2911" s="133"/>
      <c r="B2911" s="133"/>
    </row>
    <row r="2912">
      <c r="A2912" s="133"/>
      <c r="B2912" s="133"/>
    </row>
    <row r="2913">
      <c r="A2913" s="133"/>
      <c r="B2913" s="133"/>
    </row>
    <row r="2914">
      <c r="A2914" s="133"/>
      <c r="B2914" s="133"/>
    </row>
    <row r="2915">
      <c r="A2915" s="133"/>
      <c r="B2915" s="133"/>
    </row>
    <row r="2916">
      <c r="A2916" s="133"/>
      <c r="B2916" s="133"/>
    </row>
    <row r="2917">
      <c r="A2917" s="133"/>
      <c r="B2917" s="133"/>
    </row>
    <row r="2918">
      <c r="A2918" s="133"/>
      <c r="B2918" s="133"/>
    </row>
    <row r="2919">
      <c r="A2919" s="133"/>
      <c r="B2919" s="133"/>
    </row>
    <row r="2920">
      <c r="A2920" s="133"/>
      <c r="B2920" s="133"/>
    </row>
    <row r="2921">
      <c r="A2921" s="133"/>
      <c r="B2921" s="133"/>
    </row>
    <row r="2922">
      <c r="A2922" s="133"/>
      <c r="B2922" s="133"/>
    </row>
    <row r="2923">
      <c r="A2923" s="133"/>
      <c r="B2923" s="133"/>
    </row>
    <row r="2924">
      <c r="A2924" s="133"/>
      <c r="B2924" s="133"/>
    </row>
    <row r="2925">
      <c r="A2925" s="133"/>
      <c r="B2925" s="133"/>
    </row>
    <row r="2926">
      <c r="A2926" s="133"/>
      <c r="B2926" s="133"/>
    </row>
    <row r="2927">
      <c r="A2927" s="133"/>
      <c r="B2927" s="133"/>
    </row>
    <row r="2928">
      <c r="A2928" s="133"/>
      <c r="B2928" s="133"/>
    </row>
    <row r="2929">
      <c r="A2929" s="133"/>
      <c r="B2929" s="133"/>
    </row>
    <row r="2930">
      <c r="A2930" s="133"/>
      <c r="B2930" s="133"/>
    </row>
    <row r="2931">
      <c r="A2931" s="133"/>
      <c r="B2931" s="133"/>
    </row>
    <row r="2932">
      <c r="A2932" s="133"/>
      <c r="B2932" s="133"/>
    </row>
    <row r="2933">
      <c r="A2933" s="133"/>
      <c r="B2933" s="133"/>
    </row>
    <row r="2934">
      <c r="A2934" s="133"/>
      <c r="B2934" s="133"/>
    </row>
    <row r="2935">
      <c r="A2935" s="133"/>
      <c r="B2935" s="133"/>
    </row>
    <row r="2936">
      <c r="A2936" s="133"/>
      <c r="B2936" s="133"/>
    </row>
    <row r="2937">
      <c r="A2937" s="133"/>
      <c r="B2937" s="133"/>
    </row>
    <row r="2938">
      <c r="A2938" s="133"/>
      <c r="B2938" s="133"/>
    </row>
    <row r="2939">
      <c r="A2939" s="133"/>
      <c r="B2939" s="133"/>
    </row>
    <row r="2940">
      <c r="A2940" s="133"/>
      <c r="B2940" s="133"/>
    </row>
    <row r="2941">
      <c r="A2941" s="133"/>
      <c r="B2941" s="133"/>
    </row>
    <row r="2942">
      <c r="A2942" s="133"/>
      <c r="B2942" s="133"/>
    </row>
    <row r="2943">
      <c r="A2943" s="133"/>
      <c r="B2943" s="133"/>
    </row>
    <row r="2944">
      <c r="A2944" s="133"/>
      <c r="B2944" s="133"/>
    </row>
    <row r="2945">
      <c r="A2945" s="133"/>
      <c r="B2945" s="133"/>
    </row>
    <row r="2946">
      <c r="A2946" s="133"/>
      <c r="B2946" s="133"/>
    </row>
    <row r="2947">
      <c r="A2947" s="133"/>
      <c r="B2947" s="133"/>
    </row>
    <row r="2948">
      <c r="A2948" s="133"/>
      <c r="B2948" s="133"/>
    </row>
    <row r="2949">
      <c r="A2949" s="133"/>
      <c r="B2949" s="133"/>
    </row>
    <row r="2950">
      <c r="A2950" s="133"/>
      <c r="B2950" s="133"/>
    </row>
    <row r="2951">
      <c r="A2951" s="133"/>
      <c r="B2951" s="133"/>
    </row>
    <row r="2952">
      <c r="A2952" s="57"/>
    </row>
    <row r="2953">
      <c r="A2953" s="57"/>
    </row>
    <row r="2954">
      <c r="A2954" s="57"/>
    </row>
    <row r="2955">
      <c r="A2955" s="57"/>
    </row>
    <row r="2956">
      <c r="A2956" s="57"/>
    </row>
    <row r="2957">
      <c r="A2957" s="57"/>
    </row>
    <row r="2958">
      <c r="A2958" s="57"/>
    </row>
    <row r="2959">
      <c r="A2959" s="57"/>
    </row>
    <row r="2960">
      <c r="A2960" s="57"/>
    </row>
    <row r="2961">
      <c r="A2961" s="57"/>
    </row>
    <row r="2962">
      <c r="A2962" s="57"/>
    </row>
    <row r="2963">
      <c r="A2963" s="57"/>
    </row>
    <row r="2964">
      <c r="A2964" s="57"/>
    </row>
    <row r="2965">
      <c r="A2965" s="57"/>
    </row>
    <row r="2966">
      <c r="A2966" s="57"/>
    </row>
    <row r="2967">
      <c r="A2967" s="57"/>
    </row>
    <row r="2968">
      <c r="A2968" s="57"/>
    </row>
    <row r="2969">
      <c r="A2969" s="57"/>
    </row>
    <row r="2970">
      <c r="A2970" s="57"/>
    </row>
    <row r="2971">
      <c r="A2971" s="57"/>
    </row>
    <row r="2972">
      <c r="A2972" s="57"/>
    </row>
    <row r="2973">
      <c r="A2973" s="57"/>
    </row>
    <row r="2974">
      <c r="A2974" s="57"/>
    </row>
    <row r="2975">
      <c r="A2975" s="57"/>
    </row>
    <row r="2976">
      <c r="A2976" s="57"/>
    </row>
    <row r="2977">
      <c r="A2977" s="57"/>
    </row>
    <row r="2978">
      <c r="A2978" s="57"/>
    </row>
    <row r="2979">
      <c r="A2979" s="57"/>
    </row>
    <row r="2980">
      <c r="A2980" s="57"/>
    </row>
    <row r="2981">
      <c r="A2981" s="57"/>
    </row>
    <row r="2982">
      <c r="A2982" s="57"/>
    </row>
    <row r="2983">
      <c r="A2983" s="57"/>
    </row>
    <row r="2984">
      <c r="A2984" s="57"/>
    </row>
    <row r="2985">
      <c r="A2985" s="57"/>
    </row>
    <row r="2986">
      <c r="A2986" s="57"/>
    </row>
    <row r="2987">
      <c r="A2987" s="57"/>
    </row>
    <row r="2988">
      <c r="A2988" s="57"/>
    </row>
    <row r="2989">
      <c r="A2989" s="57"/>
    </row>
    <row r="2990">
      <c r="A2990" s="57"/>
    </row>
    <row r="2991">
      <c r="A2991" s="57"/>
    </row>
    <row r="2992">
      <c r="A2992" s="57"/>
    </row>
    <row r="2993">
      <c r="A2993" s="57"/>
    </row>
    <row r="2994">
      <c r="A2994" s="57"/>
    </row>
    <row r="2995">
      <c r="A2995" s="57"/>
    </row>
    <row r="2996">
      <c r="A2996" s="57"/>
    </row>
    <row r="2997">
      <c r="A2997" s="57"/>
    </row>
    <row r="2998">
      <c r="A2998" s="57"/>
    </row>
    <row r="2999">
      <c r="A2999" s="57"/>
    </row>
    <row r="3000">
      <c r="A3000" s="57"/>
    </row>
    <row r="3001">
      <c r="A3001" s="57"/>
    </row>
    <row r="3002">
      <c r="A3002" s="57"/>
    </row>
    <row r="3003">
      <c r="A3003" s="57"/>
    </row>
    <row r="3004">
      <c r="A3004" s="57"/>
    </row>
    <row r="3005">
      <c r="A3005" s="57"/>
    </row>
    <row r="3006">
      <c r="A3006" s="57"/>
    </row>
    <row r="3007">
      <c r="A3007" s="57"/>
    </row>
    <row r="3008">
      <c r="A3008" s="57"/>
    </row>
    <row r="3009">
      <c r="A3009" s="57"/>
    </row>
    <row r="3010">
      <c r="A3010" s="57"/>
    </row>
    <row r="3011">
      <c r="A3011" s="57"/>
    </row>
    <row r="3012">
      <c r="A3012" s="57"/>
    </row>
    <row r="3013">
      <c r="A3013" s="57"/>
    </row>
    <row r="3014">
      <c r="A3014" s="57"/>
    </row>
    <row r="3015">
      <c r="A3015" s="57"/>
    </row>
    <row r="3016">
      <c r="A3016" s="57"/>
    </row>
    <row r="3017">
      <c r="A3017" s="57"/>
    </row>
    <row r="3018">
      <c r="A3018" s="57"/>
    </row>
    <row r="3019">
      <c r="A3019" s="57"/>
    </row>
    <row r="3020">
      <c r="A3020" s="57"/>
    </row>
    <row r="3021">
      <c r="A3021" s="57"/>
    </row>
    <row r="3022">
      <c r="A3022" s="57"/>
    </row>
    <row r="3023">
      <c r="A3023" s="57"/>
    </row>
    <row r="3024">
      <c r="A3024" s="57"/>
    </row>
    <row r="3025">
      <c r="A3025" s="57"/>
    </row>
    <row r="3026">
      <c r="A3026" s="57"/>
    </row>
    <row r="3027">
      <c r="A3027" s="57"/>
    </row>
    <row r="3028">
      <c r="A3028" s="57"/>
    </row>
    <row r="3029">
      <c r="A3029" s="57"/>
    </row>
    <row r="3030">
      <c r="A3030" s="57"/>
    </row>
    <row r="3031">
      <c r="A3031" s="57"/>
    </row>
    <row r="3032">
      <c r="A3032" s="57"/>
    </row>
    <row r="3033">
      <c r="A3033" s="57"/>
    </row>
    <row r="3034">
      <c r="A3034" s="57"/>
    </row>
    <row r="3035">
      <c r="A3035" s="57"/>
    </row>
    <row r="3036">
      <c r="A3036" s="57"/>
    </row>
    <row r="3037">
      <c r="A3037" s="57"/>
    </row>
    <row r="3038">
      <c r="A3038" s="57"/>
    </row>
    <row r="3039">
      <c r="A3039" s="57"/>
    </row>
    <row r="3040">
      <c r="A3040" s="57"/>
    </row>
    <row r="3041">
      <c r="A3041" s="57"/>
    </row>
    <row r="3042">
      <c r="A3042" s="57"/>
    </row>
    <row r="3043">
      <c r="A3043" s="57"/>
    </row>
    <row r="3044">
      <c r="A3044" s="57"/>
    </row>
    <row r="3045">
      <c r="A3045" s="57"/>
    </row>
    <row r="3046">
      <c r="A3046" s="57"/>
    </row>
    <row r="3047">
      <c r="A3047" s="57"/>
    </row>
    <row r="3048">
      <c r="A3048" s="57"/>
    </row>
    <row r="3049">
      <c r="A3049" s="57"/>
    </row>
    <row r="3050">
      <c r="A3050" s="57"/>
    </row>
    <row r="3051">
      <c r="A3051" s="57"/>
    </row>
    <row r="3052">
      <c r="A3052" s="57"/>
    </row>
    <row r="3053">
      <c r="A3053" s="57"/>
    </row>
    <row r="3054">
      <c r="A3054" s="57"/>
    </row>
    <row r="3055">
      <c r="A3055" s="57"/>
    </row>
    <row r="3056">
      <c r="A3056" s="57"/>
    </row>
    <row r="3057">
      <c r="A3057" s="57"/>
    </row>
    <row r="3058">
      <c r="A3058" s="57"/>
    </row>
    <row r="3059">
      <c r="A3059" s="57"/>
    </row>
    <row r="3060">
      <c r="A3060" s="57"/>
    </row>
    <row r="3061">
      <c r="A3061" s="57"/>
    </row>
    <row r="3062">
      <c r="A3062" s="57"/>
    </row>
    <row r="3063">
      <c r="A3063" s="57"/>
    </row>
    <row r="3064">
      <c r="A3064" s="57"/>
    </row>
    <row r="3065">
      <c r="A3065" s="57"/>
    </row>
    <row r="3066">
      <c r="A3066" s="57"/>
    </row>
    <row r="3067">
      <c r="A3067" s="57"/>
    </row>
    <row r="3068">
      <c r="A3068" s="57"/>
    </row>
    <row r="3069">
      <c r="A3069" s="57"/>
    </row>
    <row r="3070">
      <c r="A3070" s="57"/>
    </row>
    <row r="3071">
      <c r="A3071" s="57"/>
    </row>
    <row r="3072">
      <c r="A3072" s="57"/>
    </row>
    <row r="3073">
      <c r="A3073" s="57"/>
    </row>
    <row r="3074">
      <c r="A3074" s="57"/>
    </row>
    <row r="3075">
      <c r="A3075" s="57"/>
    </row>
    <row r="3076">
      <c r="A3076" s="57"/>
    </row>
    <row r="3077">
      <c r="A3077" s="57"/>
    </row>
    <row r="3078">
      <c r="A3078" s="57"/>
    </row>
    <row r="3079">
      <c r="A3079" s="57"/>
    </row>
    <row r="3080">
      <c r="A3080" s="57"/>
    </row>
    <row r="3081">
      <c r="A3081" s="57"/>
    </row>
    <row r="3082">
      <c r="A3082" s="57"/>
    </row>
    <row r="3083">
      <c r="A3083" s="57"/>
    </row>
    <row r="3084">
      <c r="A3084" s="57"/>
    </row>
    <row r="3085">
      <c r="A3085" s="57"/>
    </row>
    <row r="3086">
      <c r="A3086" s="57"/>
    </row>
    <row r="3087">
      <c r="A3087" s="57"/>
    </row>
    <row r="3088">
      <c r="A3088" s="57"/>
    </row>
    <row r="3089">
      <c r="A3089" s="57"/>
    </row>
    <row r="3090">
      <c r="A3090" s="57"/>
    </row>
    <row r="3091">
      <c r="A3091" s="57"/>
    </row>
    <row r="3092">
      <c r="A3092" s="57"/>
    </row>
    <row r="3093">
      <c r="A3093" s="57"/>
    </row>
    <row r="3094">
      <c r="A3094" s="57"/>
    </row>
    <row r="3095">
      <c r="A3095" s="57"/>
    </row>
    <row r="3096">
      <c r="A3096" s="57"/>
    </row>
    <row r="3097">
      <c r="A3097" s="57"/>
    </row>
    <row r="3098">
      <c r="A3098" s="57"/>
    </row>
    <row r="3099">
      <c r="A3099" s="57"/>
    </row>
    <row r="3100">
      <c r="A3100" s="57"/>
    </row>
    <row r="3101">
      <c r="A3101" s="57"/>
    </row>
    <row r="3102">
      <c r="A3102" s="57"/>
    </row>
    <row r="3103">
      <c r="A3103" s="57"/>
    </row>
    <row r="3104">
      <c r="A3104" s="57"/>
    </row>
    <row r="3105">
      <c r="A3105" s="57"/>
    </row>
    <row r="3106">
      <c r="A3106" s="57"/>
    </row>
    <row r="3107">
      <c r="A3107" s="57"/>
    </row>
    <row r="3108">
      <c r="A3108" s="57"/>
    </row>
    <row r="3109">
      <c r="A3109" s="57"/>
    </row>
    <row r="3110">
      <c r="A3110" s="57"/>
    </row>
    <row r="3111">
      <c r="A3111" s="57"/>
    </row>
    <row r="3112">
      <c r="A3112" s="57"/>
    </row>
    <row r="3113">
      <c r="A3113" s="57"/>
    </row>
    <row r="3114">
      <c r="A3114" s="57"/>
    </row>
    <row r="3115">
      <c r="A3115" s="57"/>
    </row>
    <row r="3116">
      <c r="A3116" s="57"/>
    </row>
    <row r="3117">
      <c r="A3117" s="57"/>
    </row>
    <row r="3118">
      <c r="A3118" s="57"/>
    </row>
    <row r="3119">
      <c r="A3119" s="57"/>
    </row>
    <row r="3120">
      <c r="A3120" s="57"/>
    </row>
    <row r="3121">
      <c r="A3121" s="57"/>
    </row>
    <row r="3122">
      <c r="A3122" s="57"/>
    </row>
    <row r="3123">
      <c r="A3123" s="57"/>
    </row>
    <row r="3124">
      <c r="A3124" s="57"/>
    </row>
    <row r="3125">
      <c r="A3125" s="57"/>
    </row>
    <row r="3126">
      <c r="A3126" s="57"/>
    </row>
    <row r="3127">
      <c r="A3127" s="57"/>
    </row>
    <row r="3128">
      <c r="A3128" s="57"/>
    </row>
    <row r="3129">
      <c r="A3129" s="57"/>
    </row>
    <row r="3130">
      <c r="A3130" s="57"/>
    </row>
    <row r="3131">
      <c r="A3131" s="57"/>
    </row>
    <row r="3132">
      <c r="A3132" s="57"/>
    </row>
    <row r="3133">
      <c r="A3133" s="57"/>
    </row>
    <row r="3134">
      <c r="A3134" s="57"/>
    </row>
    <row r="3135">
      <c r="A3135" s="57"/>
    </row>
    <row r="3136">
      <c r="A3136" s="57"/>
    </row>
    <row r="3137">
      <c r="A3137" s="57"/>
    </row>
    <row r="3138">
      <c r="A3138" s="57"/>
    </row>
    <row r="3139">
      <c r="A3139" s="57"/>
    </row>
    <row r="3140">
      <c r="A3140" s="57"/>
    </row>
    <row r="3141">
      <c r="A3141" s="57"/>
    </row>
    <row r="3142">
      <c r="A3142" s="57"/>
    </row>
    <row r="3143">
      <c r="A3143" s="57"/>
    </row>
    <row r="3144">
      <c r="A3144" s="57"/>
    </row>
    <row r="3145">
      <c r="A3145" s="57"/>
    </row>
    <row r="3146">
      <c r="A3146" s="57"/>
    </row>
    <row r="3147">
      <c r="A3147" s="57"/>
    </row>
    <row r="3148">
      <c r="A3148" s="57"/>
    </row>
    <row r="3149">
      <c r="A3149" s="57"/>
    </row>
    <row r="3150">
      <c r="A3150" s="57"/>
    </row>
    <row r="3151">
      <c r="A3151" s="57"/>
    </row>
    <row r="3152">
      <c r="A3152" s="57"/>
    </row>
    <row r="3153">
      <c r="A3153" s="57"/>
    </row>
    <row r="3154">
      <c r="A3154" s="57"/>
    </row>
    <row r="3155">
      <c r="A3155" s="57"/>
    </row>
    <row r="3156">
      <c r="A3156" s="57"/>
    </row>
    <row r="3157">
      <c r="A3157" s="57"/>
    </row>
    <row r="3158">
      <c r="A3158" s="57"/>
    </row>
    <row r="3159">
      <c r="A3159" s="57"/>
    </row>
    <row r="3160">
      <c r="A3160" s="57"/>
    </row>
    <row r="3161">
      <c r="A3161" s="57"/>
    </row>
    <row r="3162">
      <c r="A3162" s="57"/>
    </row>
    <row r="3163">
      <c r="A3163" s="57"/>
    </row>
    <row r="3164">
      <c r="A3164" s="57"/>
    </row>
    <row r="3165">
      <c r="A3165" s="57"/>
    </row>
    <row r="3166">
      <c r="A3166" s="57"/>
    </row>
    <row r="3167">
      <c r="A3167" s="57"/>
    </row>
    <row r="3168">
      <c r="A3168" s="57"/>
    </row>
    <row r="3169">
      <c r="A3169" s="57"/>
    </row>
    <row r="3170">
      <c r="A3170" s="57"/>
    </row>
    <row r="3171">
      <c r="A3171" s="57"/>
    </row>
    <row r="3172">
      <c r="A3172" s="57"/>
    </row>
    <row r="3173">
      <c r="A3173" s="57"/>
    </row>
    <row r="3174">
      <c r="A3174" s="57"/>
    </row>
    <row r="3175">
      <c r="A3175" s="57"/>
    </row>
    <row r="3176">
      <c r="A3176" s="57"/>
    </row>
    <row r="3177">
      <c r="A3177" s="57"/>
    </row>
    <row r="3178">
      <c r="A3178" s="57"/>
    </row>
    <row r="3179">
      <c r="A3179" s="57"/>
    </row>
    <row r="3180">
      <c r="A3180" s="57"/>
    </row>
    <row r="3181">
      <c r="A3181" s="57"/>
    </row>
    <row r="3182">
      <c r="A3182" s="57"/>
    </row>
    <row r="3183">
      <c r="A3183" s="57"/>
    </row>
    <row r="3184">
      <c r="A3184" s="57"/>
    </row>
    <row r="3185">
      <c r="A3185" s="57"/>
    </row>
    <row r="3186">
      <c r="A3186" s="57"/>
    </row>
    <row r="3187">
      <c r="A3187" s="57"/>
    </row>
    <row r="3188">
      <c r="A3188" s="57"/>
    </row>
    <row r="3189">
      <c r="A3189" s="57"/>
    </row>
    <row r="3190">
      <c r="A3190" s="57"/>
    </row>
    <row r="3191">
      <c r="A3191" s="57"/>
    </row>
    <row r="3192">
      <c r="A3192" s="57"/>
    </row>
    <row r="3193">
      <c r="A3193" s="57"/>
    </row>
    <row r="3194">
      <c r="A3194" s="57"/>
    </row>
    <row r="3195">
      <c r="A3195" s="57"/>
    </row>
    <row r="3196">
      <c r="A3196" s="57"/>
    </row>
    <row r="3197">
      <c r="A3197" s="57"/>
    </row>
    <row r="3198">
      <c r="A3198" s="57"/>
    </row>
    <row r="3199">
      <c r="A3199" s="57"/>
    </row>
    <row r="3200">
      <c r="A3200" s="57"/>
    </row>
    <row r="3201">
      <c r="A3201" s="57"/>
    </row>
    <row r="3202">
      <c r="A3202" s="57"/>
    </row>
    <row r="3203">
      <c r="A3203" s="57"/>
    </row>
    <row r="3204">
      <c r="A3204" s="57"/>
    </row>
    <row r="3205">
      <c r="A3205" s="57"/>
    </row>
    <row r="3206">
      <c r="A3206" s="57"/>
    </row>
    <row r="3207">
      <c r="A3207" s="57"/>
    </row>
    <row r="3208">
      <c r="A3208" s="57"/>
    </row>
    <row r="3209">
      <c r="A3209" s="57"/>
    </row>
    <row r="3210">
      <c r="A3210" s="57"/>
    </row>
    <row r="3211">
      <c r="A3211" s="57"/>
    </row>
    <row r="3212">
      <c r="A3212" s="57"/>
    </row>
    <row r="3213">
      <c r="A3213" s="57"/>
    </row>
    <row r="3214">
      <c r="A3214" s="57"/>
    </row>
    <row r="3215">
      <c r="A3215" s="57"/>
    </row>
    <row r="3216">
      <c r="A3216" s="57"/>
    </row>
    <row r="3217">
      <c r="A3217" s="57"/>
    </row>
    <row r="3218">
      <c r="A3218" s="57"/>
    </row>
    <row r="3219">
      <c r="A3219" s="57"/>
    </row>
    <row r="3220">
      <c r="A3220" s="57"/>
    </row>
    <row r="3221">
      <c r="A3221" s="57"/>
    </row>
    <row r="3222">
      <c r="A3222" s="57"/>
    </row>
    <row r="3223">
      <c r="A3223" s="57"/>
    </row>
    <row r="3224">
      <c r="A3224" s="57"/>
    </row>
    <row r="3225">
      <c r="A3225" s="57"/>
    </row>
    <row r="3226">
      <c r="A3226" s="57"/>
    </row>
    <row r="3227">
      <c r="A3227" s="57"/>
    </row>
    <row r="3228">
      <c r="A3228" s="57"/>
    </row>
    <row r="3229">
      <c r="A3229" s="57"/>
    </row>
    <row r="3230">
      <c r="A3230" s="57"/>
    </row>
    <row r="3231">
      <c r="A3231" s="57"/>
    </row>
    <row r="3232">
      <c r="A3232" s="57"/>
    </row>
    <row r="3233">
      <c r="A3233" s="57"/>
    </row>
    <row r="3234">
      <c r="A3234" s="57"/>
    </row>
    <row r="3235">
      <c r="A3235" s="57"/>
    </row>
    <row r="3236">
      <c r="A3236" s="57"/>
    </row>
    <row r="3237">
      <c r="A3237" s="57"/>
    </row>
    <row r="3238">
      <c r="A3238" s="57"/>
    </row>
    <row r="3239">
      <c r="A3239" s="57"/>
    </row>
    <row r="3240">
      <c r="A3240" s="57"/>
    </row>
    <row r="3241">
      <c r="A3241" s="57"/>
    </row>
    <row r="3242">
      <c r="A3242" s="57"/>
    </row>
    <row r="3243">
      <c r="A3243" s="57"/>
    </row>
    <row r="3244">
      <c r="A3244" s="57"/>
    </row>
    <row r="3245">
      <c r="A3245" s="57"/>
    </row>
    <row r="3246">
      <c r="A3246" s="57"/>
    </row>
    <row r="3247">
      <c r="A3247" s="57"/>
    </row>
    <row r="3248">
      <c r="A3248" s="57"/>
    </row>
    <row r="3249">
      <c r="A3249" s="57"/>
    </row>
    <row r="3250">
      <c r="A3250" s="57"/>
    </row>
    <row r="3251">
      <c r="A3251" s="57"/>
    </row>
    <row r="3252">
      <c r="A3252" s="57"/>
    </row>
    <row r="3253">
      <c r="A3253" s="57"/>
    </row>
    <row r="3254">
      <c r="A3254" s="57"/>
    </row>
    <row r="3255">
      <c r="A3255" s="57"/>
    </row>
    <row r="3256">
      <c r="A3256" s="57"/>
    </row>
    <row r="3257">
      <c r="A3257" s="57"/>
    </row>
    <row r="3258">
      <c r="A3258" s="57"/>
    </row>
    <row r="3259">
      <c r="A3259" s="57"/>
    </row>
    <row r="3260">
      <c r="A3260" s="57"/>
    </row>
    <row r="3261">
      <c r="A3261" s="57"/>
    </row>
    <row r="3262">
      <c r="A3262" s="57"/>
    </row>
    <row r="3263">
      <c r="A3263" s="57"/>
    </row>
    <row r="3264">
      <c r="A3264" s="57"/>
    </row>
    <row r="3265">
      <c r="A3265" s="57"/>
    </row>
    <row r="3266">
      <c r="A3266" s="57"/>
    </row>
    <row r="3267">
      <c r="A3267" s="57"/>
    </row>
    <row r="3268">
      <c r="A3268" s="57"/>
    </row>
    <row r="3269">
      <c r="A3269" s="57"/>
    </row>
    <row r="3270">
      <c r="A3270" s="57"/>
    </row>
    <row r="3271">
      <c r="A3271" s="57"/>
    </row>
    <row r="3272">
      <c r="A3272" s="57"/>
    </row>
    <row r="3273">
      <c r="A3273" s="57"/>
    </row>
    <row r="3274">
      <c r="A3274" s="57"/>
    </row>
    <row r="3275">
      <c r="A3275" s="57"/>
    </row>
    <row r="3276">
      <c r="A3276" s="57"/>
    </row>
    <row r="3277">
      <c r="A3277" s="57"/>
    </row>
    <row r="3278">
      <c r="A3278" s="57"/>
    </row>
    <row r="3279">
      <c r="A3279" s="57"/>
    </row>
    <row r="3280">
      <c r="A3280" s="57"/>
    </row>
    <row r="3281">
      <c r="A3281" s="57"/>
    </row>
    <row r="3282">
      <c r="A3282" s="57"/>
    </row>
    <row r="3283">
      <c r="A3283" s="57"/>
    </row>
    <row r="3284">
      <c r="A3284" s="57"/>
    </row>
    <row r="3285">
      <c r="A3285" s="57"/>
    </row>
    <row r="3286">
      <c r="A3286" s="57"/>
    </row>
    <row r="3287">
      <c r="A3287" s="57"/>
    </row>
    <row r="3288">
      <c r="A3288" s="57"/>
    </row>
    <row r="3289">
      <c r="A3289" s="57"/>
    </row>
    <row r="3290">
      <c r="A3290" s="57"/>
    </row>
    <row r="3291">
      <c r="A3291" s="57"/>
    </row>
    <row r="3292">
      <c r="A3292" s="57"/>
    </row>
    <row r="3293">
      <c r="A3293" s="57"/>
    </row>
    <row r="3294">
      <c r="A3294" s="57"/>
    </row>
    <row r="3295">
      <c r="A3295" s="57"/>
    </row>
    <row r="3296">
      <c r="A3296" s="57"/>
    </row>
    <row r="3297">
      <c r="A3297" s="57"/>
    </row>
    <row r="3298">
      <c r="A3298" s="57"/>
    </row>
    <row r="3299">
      <c r="A3299" s="57"/>
    </row>
    <row r="3300">
      <c r="A3300" s="57"/>
    </row>
    <row r="3301">
      <c r="A3301" s="57"/>
    </row>
    <row r="3302">
      <c r="A3302" s="57"/>
    </row>
    <row r="3303">
      <c r="A3303" s="57"/>
    </row>
    <row r="3304">
      <c r="A3304" s="57"/>
    </row>
    <row r="3305">
      <c r="A3305" s="57"/>
    </row>
    <row r="3306">
      <c r="A3306" s="57"/>
    </row>
    <row r="3307">
      <c r="A3307" s="57"/>
    </row>
    <row r="3308">
      <c r="A3308" s="57"/>
    </row>
    <row r="3309">
      <c r="A3309" s="57"/>
    </row>
    <row r="3310">
      <c r="A3310" s="57"/>
    </row>
    <row r="3311">
      <c r="A3311" s="57"/>
    </row>
    <row r="3312">
      <c r="A3312" s="57"/>
    </row>
    <row r="3313">
      <c r="A3313" s="57"/>
    </row>
    <row r="3314">
      <c r="A3314" s="57"/>
    </row>
    <row r="3315">
      <c r="A3315" s="57"/>
    </row>
    <row r="3316">
      <c r="A3316" s="57"/>
    </row>
    <row r="3317">
      <c r="A3317" s="57"/>
    </row>
    <row r="3318">
      <c r="A3318" s="57"/>
    </row>
    <row r="3319">
      <c r="A3319" s="57"/>
    </row>
    <row r="3320">
      <c r="A3320" s="57"/>
    </row>
    <row r="3321">
      <c r="A3321" s="57"/>
    </row>
    <row r="3322">
      <c r="A3322" s="57"/>
    </row>
    <row r="3323">
      <c r="A3323" s="57"/>
    </row>
    <row r="3324">
      <c r="A3324" s="57"/>
    </row>
    <row r="3325">
      <c r="A3325" s="57"/>
    </row>
    <row r="3326">
      <c r="A3326" s="57"/>
    </row>
    <row r="3327">
      <c r="A3327" s="57"/>
    </row>
    <row r="3328">
      <c r="A3328" s="57"/>
    </row>
    <row r="3329">
      <c r="A3329" s="57"/>
    </row>
    <row r="3330">
      <c r="A3330" s="57"/>
    </row>
    <row r="3331">
      <c r="A3331" s="57"/>
    </row>
    <row r="3332">
      <c r="A3332" s="57"/>
    </row>
    <row r="3333">
      <c r="A3333" s="57"/>
    </row>
    <row r="3334">
      <c r="A3334" s="57"/>
    </row>
    <row r="3335">
      <c r="A3335" s="57"/>
    </row>
    <row r="3336">
      <c r="A3336" s="57"/>
    </row>
    <row r="3337">
      <c r="A3337" s="57"/>
    </row>
    <row r="3338">
      <c r="A3338" s="57"/>
    </row>
    <row r="3339">
      <c r="A3339" s="57"/>
    </row>
    <row r="3340">
      <c r="A3340" s="57"/>
    </row>
    <row r="3341">
      <c r="A3341" s="57"/>
    </row>
    <row r="3342">
      <c r="A3342" s="57"/>
    </row>
    <row r="3343">
      <c r="A3343" s="57"/>
    </row>
    <row r="3344">
      <c r="A3344" s="57"/>
    </row>
    <row r="3345">
      <c r="A3345" s="57"/>
    </row>
    <row r="3346">
      <c r="A3346" s="57"/>
    </row>
    <row r="3347">
      <c r="A3347" s="57"/>
    </row>
    <row r="3348">
      <c r="A3348" s="57"/>
    </row>
    <row r="3349">
      <c r="A3349" s="57"/>
    </row>
    <row r="3350">
      <c r="A3350" s="57"/>
    </row>
    <row r="3351">
      <c r="A3351" s="57"/>
    </row>
    <row r="3352">
      <c r="A3352" s="57"/>
    </row>
    <row r="3353">
      <c r="A3353" s="57"/>
    </row>
    <row r="3354">
      <c r="A3354" s="57"/>
    </row>
    <row r="3355">
      <c r="A3355" s="57"/>
    </row>
    <row r="3356">
      <c r="A3356" s="57"/>
    </row>
    <row r="3357">
      <c r="A3357" s="57"/>
    </row>
    <row r="3358">
      <c r="A3358" s="57"/>
    </row>
    <row r="3359">
      <c r="A3359" s="57"/>
    </row>
    <row r="3360">
      <c r="A3360" s="57"/>
    </row>
    <row r="3361">
      <c r="A3361" s="57"/>
    </row>
    <row r="3362">
      <c r="A3362" s="57"/>
    </row>
    <row r="3363">
      <c r="A3363" s="57"/>
    </row>
    <row r="3364">
      <c r="A3364" s="57"/>
    </row>
    <row r="3365">
      <c r="A3365" s="57"/>
    </row>
    <row r="3366">
      <c r="A3366" s="57"/>
    </row>
    <row r="3367">
      <c r="A3367" s="57"/>
    </row>
    <row r="3368">
      <c r="A3368" s="57"/>
    </row>
    <row r="3369">
      <c r="A3369" s="57"/>
    </row>
    <row r="3370">
      <c r="A3370" s="57"/>
    </row>
    <row r="3371">
      <c r="A3371" s="57"/>
    </row>
    <row r="3372">
      <c r="A3372" s="57"/>
    </row>
    <row r="3373">
      <c r="A3373" s="57"/>
    </row>
    <row r="3374">
      <c r="A3374" s="57"/>
    </row>
    <row r="3375">
      <c r="A3375" s="57"/>
    </row>
    <row r="3376">
      <c r="A3376" s="57"/>
    </row>
    <row r="3377">
      <c r="A3377" s="57"/>
    </row>
    <row r="3378">
      <c r="A3378" s="57"/>
    </row>
    <row r="3379">
      <c r="A3379" s="57"/>
    </row>
    <row r="3380">
      <c r="A3380" s="57"/>
    </row>
    <row r="3381">
      <c r="A3381" s="57"/>
    </row>
    <row r="3382">
      <c r="A3382" s="57"/>
    </row>
    <row r="3383">
      <c r="A3383" s="57"/>
    </row>
    <row r="3384">
      <c r="A3384" s="57"/>
    </row>
    <row r="3385">
      <c r="A3385" s="57"/>
    </row>
    <row r="3386">
      <c r="A3386" s="57"/>
    </row>
    <row r="3387">
      <c r="A3387" s="57"/>
    </row>
    <row r="3388">
      <c r="A3388" s="57"/>
    </row>
    <row r="3389">
      <c r="A3389" s="57"/>
    </row>
    <row r="3390">
      <c r="A3390" s="57"/>
    </row>
    <row r="3391">
      <c r="A3391" s="57"/>
    </row>
    <row r="3392">
      <c r="A3392" s="57"/>
    </row>
    <row r="3393">
      <c r="A3393" s="57"/>
    </row>
    <row r="3394">
      <c r="A3394" s="57"/>
    </row>
    <row r="3395">
      <c r="A3395" s="57"/>
    </row>
    <row r="3396">
      <c r="A3396" s="57"/>
    </row>
    <row r="3397">
      <c r="A3397" s="57"/>
    </row>
    <row r="3398">
      <c r="A3398" s="57"/>
    </row>
    <row r="3399">
      <c r="A3399" s="57"/>
    </row>
    <row r="3400">
      <c r="A3400" s="57"/>
    </row>
    <row r="3401">
      <c r="A3401" s="57"/>
    </row>
    <row r="3402">
      <c r="A3402" s="57"/>
    </row>
    <row r="3403">
      <c r="A3403" s="57"/>
    </row>
    <row r="3404">
      <c r="A3404" s="57"/>
    </row>
    <row r="3405">
      <c r="A3405" s="57"/>
    </row>
    <row r="3406">
      <c r="A3406" s="57"/>
    </row>
    <row r="3407">
      <c r="A3407" s="57"/>
    </row>
    <row r="3408">
      <c r="A3408" s="57"/>
    </row>
    <row r="3409">
      <c r="A3409" s="57"/>
    </row>
    <row r="3410">
      <c r="A3410" s="57"/>
    </row>
    <row r="3411">
      <c r="A3411" s="57"/>
    </row>
    <row r="3412">
      <c r="A3412" s="57"/>
    </row>
    <row r="3413">
      <c r="A3413" s="57"/>
    </row>
    <row r="3414">
      <c r="A3414" s="57"/>
    </row>
    <row r="3415">
      <c r="A3415" s="57"/>
    </row>
    <row r="3416">
      <c r="A3416" s="57"/>
    </row>
    <row r="3417">
      <c r="A3417" s="57"/>
    </row>
    <row r="3418">
      <c r="A3418" s="57"/>
    </row>
    <row r="3419">
      <c r="A3419" s="57"/>
    </row>
    <row r="3420">
      <c r="A3420" s="57"/>
    </row>
    <row r="3421">
      <c r="A3421" s="57"/>
    </row>
    <row r="3422">
      <c r="A3422" s="57"/>
    </row>
    <row r="3423">
      <c r="A3423" s="57"/>
    </row>
    <row r="3424">
      <c r="A3424" s="57"/>
    </row>
    <row r="3425">
      <c r="A3425" s="57"/>
    </row>
    <row r="3426">
      <c r="A3426" s="57"/>
    </row>
    <row r="3427">
      <c r="A3427" s="57"/>
    </row>
    <row r="3428">
      <c r="A3428" s="57"/>
    </row>
    <row r="3429">
      <c r="A3429" s="57"/>
    </row>
    <row r="3430">
      <c r="A3430" s="57"/>
    </row>
    <row r="3431">
      <c r="A3431" s="57"/>
    </row>
    <row r="3432">
      <c r="A3432" s="57"/>
    </row>
    <row r="3433">
      <c r="A3433" s="57"/>
    </row>
    <row r="3434">
      <c r="A3434" s="57"/>
    </row>
    <row r="3435">
      <c r="A3435" s="57"/>
    </row>
    <row r="3436">
      <c r="A3436" s="57"/>
    </row>
    <row r="3437">
      <c r="A3437" s="57"/>
    </row>
    <row r="3438">
      <c r="A3438" s="57"/>
    </row>
    <row r="3439">
      <c r="A3439" s="57"/>
    </row>
    <row r="3440">
      <c r="A3440" s="57"/>
    </row>
    <row r="3441">
      <c r="A3441" s="57"/>
    </row>
    <row r="3442">
      <c r="A3442" s="57"/>
    </row>
    <row r="3443">
      <c r="A3443" s="57"/>
    </row>
    <row r="3444">
      <c r="A3444" s="57"/>
    </row>
    <row r="3445">
      <c r="A3445" s="57"/>
    </row>
    <row r="3446">
      <c r="A3446" s="57"/>
    </row>
    <row r="3447">
      <c r="A3447" s="57"/>
    </row>
    <row r="3448">
      <c r="A3448" s="57"/>
    </row>
    <row r="3449">
      <c r="A3449" s="57"/>
    </row>
    <row r="3450">
      <c r="A3450" s="57"/>
    </row>
    <row r="3451">
      <c r="A3451" s="57"/>
    </row>
    <row r="3452">
      <c r="A3452" s="57"/>
    </row>
    <row r="3453">
      <c r="A3453" s="57"/>
    </row>
    <row r="3454">
      <c r="A3454" s="57"/>
    </row>
    <row r="3455">
      <c r="A3455" s="57"/>
    </row>
    <row r="3456">
      <c r="A3456" s="57"/>
    </row>
    <row r="3457">
      <c r="A3457" s="57"/>
    </row>
    <row r="3458">
      <c r="A3458" s="57"/>
    </row>
    <row r="3459">
      <c r="A3459" s="57"/>
    </row>
    <row r="3460">
      <c r="A3460" s="57"/>
    </row>
    <row r="3461">
      <c r="A3461" s="57"/>
    </row>
    <row r="3462">
      <c r="A3462" s="57"/>
    </row>
    <row r="3463">
      <c r="A3463" s="57"/>
    </row>
    <row r="3464">
      <c r="A3464" s="57"/>
    </row>
    <row r="3465">
      <c r="A3465" s="57"/>
    </row>
    <row r="3466">
      <c r="A3466" s="57"/>
    </row>
    <row r="3467">
      <c r="A3467" s="57"/>
    </row>
    <row r="3468">
      <c r="A3468" s="57"/>
    </row>
    <row r="3469">
      <c r="A3469" s="57"/>
    </row>
    <row r="3470">
      <c r="A3470" s="57"/>
    </row>
    <row r="3471">
      <c r="A3471" s="57"/>
    </row>
    <row r="3472">
      <c r="A3472" s="57"/>
    </row>
    <row r="3473">
      <c r="A3473" s="57"/>
    </row>
    <row r="3474">
      <c r="A3474" s="57"/>
    </row>
    <row r="3475">
      <c r="A3475" s="57"/>
    </row>
    <row r="3476">
      <c r="A3476" s="57"/>
    </row>
    <row r="3477">
      <c r="A3477" s="57"/>
    </row>
    <row r="3478">
      <c r="A3478" s="57"/>
    </row>
    <row r="3479">
      <c r="A3479" s="57"/>
    </row>
    <row r="3480">
      <c r="A3480" s="57"/>
    </row>
    <row r="3481">
      <c r="A3481" s="57"/>
    </row>
    <row r="3482">
      <c r="A3482" s="57"/>
    </row>
    <row r="3483">
      <c r="A3483" s="57"/>
    </row>
    <row r="3484">
      <c r="A3484" s="57"/>
    </row>
    <row r="3485">
      <c r="A3485" s="57"/>
    </row>
    <row r="3486">
      <c r="A3486" s="57"/>
    </row>
    <row r="3487">
      <c r="A3487" s="57"/>
    </row>
    <row r="3488">
      <c r="A3488" s="57"/>
    </row>
    <row r="3489">
      <c r="A3489" s="57"/>
    </row>
    <row r="3490">
      <c r="A3490" s="57"/>
    </row>
    <row r="3491">
      <c r="A3491" s="57"/>
    </row>
    <row r="3492">
      <c r="A3492" s="57"/>
    </row>
    <row r="3493">
      <c r="A3493" s="57"/>
    </row>
    <row r="3494">
      <c r="A3494" s="57"/>
    </row>
    <row r="3495">
      <c r="A3495" s="57"/>
    </row>
    <row r="3496">
      <c r="A3496" s="57"/>
    </row>
    <row r="3497">
      <c r="A3497" s="57"/>
    </row>
    <row r="3498">
      <c r="A3498" s="57"/>
    </row>
    <row r="3499">
      <c r="A3499" s="57"/>
    </row>
    <row r="3500">
      <c r="A3500" s="57"/>
    </row>
    <row r="3501">
      <c r="A3501" s="57"/>
    </row>
    <row r="3502">
      <c r="A3502" s="57"/>
    </row>
    <row r="3503">
      <c r="A3503" s="57"/>
    </row>
    <row r="3504">
      <c r="A3504" s="57"/>
    </row>
    <row r="3505">
      <c r="A3505" s="57"/>
    </row>
    <row r="3506">
      <c r="A3506" s="57"/>
    </row>
    <row r="3507">
      <c r="A3507" s="57"/>
    </row>
    <row r="3508">
      <c r="A3508" s="57"/>
    </row>
    <row r="3509">
      <c r="A3509" s="57"/>
    </row>
    <row r="3510">
      <c r="A3510" s="57"/>
    </row>
    <row r="3511">
      <c r="A3511" s="57"/>
    </row>
    <row r="3512">
      <c r="A3512" s="57"/>
    </row>
    <row r="3513">
      <c r="A3513" s="57"/>
    </row>
    <row r="3514">
      <c r="A3514" s="57"/>
    </row>
    <row r="3515">
      <c r="A3515" s="57"/>
    </row>
    <row r="3516">
      <c r="A3516" s="57"/>
    </row>
    <row r="3517">
      <c r="A3517" s="57"/>
    </row>
    <row r="3518">
      <c r="A3518" s="57"/>
    </row>
    <row r="3519">
      <c r="A3519" s="57"/>
    </row>
    <row r="3520">
      <c r="A3520" s="57"/>
    </row>
    <row r="3521">
      <c r="A3521" s="57"/>
    </row>
    <row r="3522">
      <c r="A3522" s="57"/>
    </row>
    <row r="3523">
      <c r="A3523" s="57"/>
    </row>
    <row r="3524">
      <c r="A3524" s="57"/>
    </row>
    <row r="3525">
      <c r="A3525" s="57"/>
    </row>
    <row r="3526">
      <c r="A3526" s="57"/>
    </row>
    <row r="3527">
      <c r="A3527" s="57"/>
    </row>
    <row r="3528">
      <c r="A3528" s="57"/>
    </row>
    <row r="3529">
      <c r="A3529" s="57"/>
    </row>
    <row r="3530">
      <c r="A3530" s="57"/>
    </row>
    <row r="3531">
      <c r="A3531" s="57"/>
    </row>
    <row r="3532">
      <c r="A3532" s="57"/>
    </row>
    <row r="3533">
      <c r="A3533" s="57"/>
    </row>
    <row r="3534">
      <c r="A3534" s="57"/>
    </row>
    <row r="3535">
      <c r="A3535" s="57"/>
    </row>
    <row r="3536">
      <c r="A3536" s="57"/>
    </row>
    <row r="3537">
      <c r="A3537" s="57"/>
    </row>
    <row r="3538">
      <c r="A3538" s="57"/>
    </row>
    <row r="3539">
      <c r="A3539" s="57"/>
    </row>
    <row r="3540">
      <c r="A3540" s="57"/>
    </row>
    <row r="3541">
      <c r="A3541" s="57"/>
    </row>
    <row r="3542">
      <c r="A3542" s="57"/>
    </row>
    <row r="3543">
      <c r="A3543" s="57"/>
    </row>
    <row r="3544">
      <c r="A3544" s="57"/>
    </row>
    <row r="3545">
      <c r="A3545" s="57"/>
    </row>
    <row r="3546">
      <c r="A3546" s="57"/>
    </row>
    <row r="3547">
      <c r="A3547" s="57"/>
    </row>
    <row r="3548">
      <c r="A3548" s="57"/>
    </row>
    <row r="3549">
      <c r="A3549" s="57"/>
    </row>
    <row r="3550">
      <c r="A3550" s="57"/>
    </row>
    <row r="3551">
      <c r="A3551" s="57"/>
    </row>
    <row r="3552">
      <c r="A3552" s="57"/>
    </row>
    <row r="3553">
      <c r="A3553" s="57"/>
    </row>
    <row r="3554">
      <c r="A3554" s="57"/>
    </row>
    <row r="3555">
      <c r="A3555" s="57"/>
    </row>
    <row r="3556">
      <c r="A3556" s="57"/>
    </row>
    <row r="3557">
      <c r="A3557" s="57"/>
    </row>
    <row r="3558">
      <c r="A3558" s="57"/>
    </row>
    <row r="3559">
      <c r="A3559" s="57"/>
    </row>
    <row r="3560">
      <c r="A3560" s="57"/>
    </row>
    <row r="3561">
      <c r="A3561" s="57"/>
    </row>
    <row r="3562">
      <c r="A3562" s="57"/>
    </row>
    <row r="3563">
      <c r="A3563" s="57"/>
    </row>
    <row r="3564">
      <c r="A3564" s="57"/>
    </row>
    <row r="3565">
      <c r="A3565" s="57"/>
    </row>
    <row r="3566">
      <c r="A3566" s="57"/>
    </row>
    <row r="3567">
      <c r="A3567" s="57"/>
    </row>
    <row r="3568">
      <c r="A3568" s="57"/>
    </row>
    <row r="3569">
      <c r="A3569" s="57"/>
    </row>
    <row r="3570">
      <c r="A3570" s="57"/>
    </row>
    <row r="3571">
      <c r="A3571" s="57"/>
    </row>
    <row r="3572">
      <c r="A3572" s="57"/>
    </row>
    <row r="3573">
      <c r="A3573" s="57"/>
    </row>
    <row r="3574">
      <c r="A3574" s="57"/>
    </row>
    <row r="3575">
      <c r="A3575" s="57"/>
    </row>
    <row r="3576">
      <c r="A3576" s="57"/>
    </row>
    <row r="3577">
      <c r="A3577" s="57"/>
    </row>
    <row r="3578">
      <c r="A3578" s="57"/>
    </row>
    <row r="3579">
      <c r="A3579" s="57"/>
    </row>
    <row r="3580">
      <c r="A3580" s="57"/>
    </row>
    <row r="3581">
      <c r="A3581" s="57"/>
    </row>
    <row r="3582">
      <c r="A3582" s="57"/>
    </row>
    <row r="3583">
      <c r="A3583" s="57"/>
    </row>
    <row r="3584">
      <c r="A3584" s="57"/>
    </row>
    <row r="3585">
      <c r="A3585" s="57"/>
    </row>
    <row r="3586">
      <c r="A3586" s="57"/>
    </row>
    <row r="3587">
      <c r="A3587" s="57"/>
    </row>
    <row r="3588">
      <c r="A3588" s="57"/>
    </row>
    <row r="3589">
      <c r="A3589" s="57"/>
    </row>
    <row r="3590">
      <c r="A3590" s="57"/>
    </row>
    <row r="3591">
      <c r="A3591" s="57"/>
    </row>
    <row r="3592">
      <c r="A3592" s="57"/>
    </row>
    <row r="3593">
      <c r="A3593" s="57"/>
    </row>
    <row r="3594">
      <c r="A3594" s="57"/>
    </row>
    <row r="3595">
      <c r="A3595" s="57"/>
    </row>
    <row r="3596">
      <c r="A3596" s="57"/>
    </row>
    <row r="3597">
      <c r="A3597" s="57"/>
    </row>
    <row r="3598">
      <c r="A3598" s="57"/>
    </row>
    <row r="3599">
      <c r="A3599" s="57"/>
    </row>
    <row r="3600">
      <c r="A3600" s="57"/>
    </row>
    <row r="3601">
      <c r="A3601" s="57"/>
    </row>
    <row r="3602">
      <c r="A3602" s="57"/>
    </row>
    <row r="3603">
      <c r="A3603" s="57"/>
    </row>
    <row r="3604">
      <c r="A3604" s="57"/>
    </row>
    <row r="3605">
      <c r="A3605" s="57"/>
    </row>
    <row r="3606">
      <c r="A3606" s="57"/>
    </row>
    <row r="3607">
      <c r="A3607" s="57"/>
    </row>
    <row r="3608">
      <c r="A3608" s="57"/>
    </row>
    <row r="3609">
      <c r="A3609" s="57"/>
    </row>
    <row r="3610">
      <c r="A3610" s="57"/>
    </row>
    <row r="3611">
      <c r="A3611" s="57"/>
    </row>
    <row r="3612">
      <c r="A3612" s="57"/>
    </row>
    <row r="3613">
      <c r="A3613" s="57"/>
    </row>
    <row r="3614">
      <c r="A3614" s="57"/>
    </row>
    <row r="3615">
      <c r="A3615" s="57"/>
    </row>
    <row r="3616">
      <c r="A3616" s="57"/>
    </row>
    <row r="3617">
      <c r="A3617" s="57"/>
    </row>
    <row r="3618">
      <c r="A3618" s="57"/>
    </row>
    <row r="3619">
      <c r="A3619" s="57"/>
    </row>
    <row r="3620">
      <c r="A3620" s="57"/>
    </row>
    <row r="3621">
      <c r="A3621" s="57"/>
    </row>
    <row r="3622">
      <c r="A3622" s="57"/>
    </row>
    <row r="3623">
      <c r="A3623" s="57"/>
    </row>
    <row r="3624">
      <c r="A3624" s="57"/>
    </row>
    <row r="3625">
      <c r="A3625" s="57"/>
    </row>
    <row r="3626">
      <c r="A3626" s="57"/>
    </row>
    <row r="3627">
      <c r="A3627" s="57"/>
    </row>
    <row r="3628">
      <c r="A3628" s="57"/>
    </row>
    <row r="3629">
      <c r="A3629" s="57"/>
    </row>
    <row r="3630">
      <c r="A3630" s="57"/>
    </row>
    <row r="3631">
      <c r="A3631" s="57"/>
    </row>
    <row r="3632">
      <c r="A3632" s="57"/>
    </row>
    <row r="3633">
      <c r="A3633" s="57"/>
    </row>
    <row r="3634">
      <c r="A3634" s="57"/>
    </row>
    <row r="3635">
      <c r="A3635" s="57"/>
    </row>
    <row r="3636">
      <c r="A3636" s="57"/>
    </row>
    <row r="3637">
      <c r="A3637" s="57"/>
    </row>
    <row r="3638">
      <c r="A3638" s="57"/>
    </row>
    <row r="3639">
      <c r="A3639" s="57"/>
    </row>
    <row r="3640">
      <c r="A3640" s="57"/>
    </row>
    <row r="3641">
      <c r="A3641" s="57"/>
    </row>
    <row r="3642">
      <c r="A3642" s="57"/>
    </row>
    <row r="3643">
      <c r="A3643" s="57"/>
    </row>
    <row r="3644">
      <c r="A3644" s="57"/>
    </row>
    <row r="3645">
      <c r="A3645" s="57"/>
    </row>
    <row r="3646">
      <c r="A3646" s="57"/>
    </row>
    <row r="3647">
      <c r="A3647" s="57"/>
    </row>
    <row r="3648">
      <c r="A3648" s="57"/>
    </row>
    <row r="3649">
      <c r="A3649" s="57"/>
    </row>
    <row r="3650">
      <c r="A3650" s="57"/>
    </row>
    <row r="3651">
      <c r="A3651" s="57"/>
    </row>
    <row r="3652">
      <c r="A3652" s="57"/>
    </row>
    <row r="3653">
      <c r="A3653" s="57"/>
    </row>
    <row r="3654">
      <c r="A3654" s="57"/>
    </row>
    <row r="3655">
      <c r="A3655" s="57"/>
    </row>
    <row r="3656">
      <c r="A3656" s="57"/>
    </row>
    <row r="3657">
      <c r="A3657" s="57"/>
    </row>
    <row r="3658">
      <c r="A3658" s="57"/>
    </row>
    <row r="3659">
      <c r="A3659" s="57"/>
    </row>
    <row r="3660">
      <c r="A3660" s="57"/>
    </row>
    <row r="3661">
      <c r="A3661" s="57"/>
    </row>
    <row r="3662">
      <c r="A3662" s="57"/>
    </row>
    <row r="3663">
      <c r="A3663" s="57"/>
    </row>
    <row r="3664">
      <c r="A3664" s="57"/>
    </row>
    <row r="3665">
      <c r="A3665" s="57"/>
    </row>
    <row r="3666">
      <c r="A3666" s="57"/>
    </row>
    <row r="3667">
      <c r="A3667" s="57"/>
    </row>
    <row r="3668">
      <c r="A3668" s="57"/>
    </row>
    <row r="3669">
      <c r="A3669" s="57"/>
    </row>
    <row r="3670">
      <c r="A3670" s="57"/>
    </row>
    <row r="3671">
      <c r="A3671" s="57"/>
    </row>
    <row r="3672">
      <c r="A3672" s="57"/>
    </row>
    <row r="3673">
      <c r="A3673" s="57"/>
    </row>
    <row r="3674">
      <c r="A3674" s="57"/>
    </row>
    <row r="3675">
      <c r="A3675" s="57"/>
    </row>
    <row r="3676">
      <c r="A3676" s="57"/>
    </row>
    <row r="3677">
      <c r="A3677" s="57"/>
    </row>
    <row r="3678">
      <c r="A3678" s="57"/>
    </row>
    <row r="3679">
      <c r="A3679" s="57"/>
    </row>
    <row r="3680">
      <c r="A3680" s="57"/>
    </row>
    <row r="3681">
      <c r="A3681" s="57"/>
    </row>
    <row r="3682">
      <c r="A3682" s="57"/>
    </row>
    <row r="3683">
      <c r="A3683" s="57"/>
    </row>
    <row r="3684">
      <c r="A3684" s="57"/>
    </row>
    <row r="3685">
      <c r="A3685" s="57"/>
    </row>
    <row r="3686">
      <c r="A3686" s="57"/>
    </row>
    <row r="3687">
      <c r="A3687" s="57"/>
    </row>
    <row r="3688">
      <c r="A3688" s="57"/>
    </row>
    <row r="3689">
      <c r="A3689" s="57"/>
    </row>
    <row r="3690">
      <c r="A3690" s="57"/>
    </row>
    <row r="3691">
      <c r="A3691" s="57"/>
    </row>
    <row r="3692">
      <c r="A3692" s="57"/>
    </row>
    <row r="3693">
      <c r="A3693" s="57"/>
    </row>
    <row r="3694">
      <c r="A3694" s="57"/>
    </row>
    <row r="3695">
      <c r="A3695" s="57"/>
    </row>
    <row r="3696">
      <c r="A3696" s="57"/>
    </row>
    <row r="3697">
      <c r="A3697" s="57"/>
    </row>
    <row r="3698">
      <c r="A3698" s="57"/>
    </row>
    <row r="3699">
      <c r="A3699" s="57"/>
    </row>
    <row r="3700">
      <c r="A3700" s="57"/>
    </row>
    <row r="3701">
      <c r="A3701" s="57"/>
    </row>
    <row r="3702">
      <c r="A3702" s="57"/>
    </row>
    <row r="3703">
      <c r="A3703" s="57"/>
    </row>
    <row r="3704">
      <c r="A3704" s="57"/>
    </row>
    <row r="3705">
      <c r="A3705" s="57"/>
    </row>
    <row r="3706">
      <c r="A3706" s="57"/>
    </row>
    <row r="3707">
      <c r="A3707" s="57"/>
    </row>
    <row r="3708">
      <c r="A3708" s="57"/>
    </row>
    <row r="3709">
      <c r="A3709" s="57"/>
    </row>
    <row r="3710">
      <c r="A3710" s="57"/>
    </row>
    <row r="3711">
      <c r="A3711" s="57"/>
    </row>
    <row r="3712">
      <c r="A3712" s="57"/>
    </row>
    <row r="3713">
      <c r="A3713" s="57"/>
    </row>
    <row r="3714">
      <c r="A3714" s="57"/>
    </row>
    <row r="3715">
      <c r="A3715" s="57"/>
    </row>
    <row r="3716">
      <c r="A3716" s="57"/>
    </row>
    <row r="3717">
      <c r="A3717" s="57"/>
    </row>
    <row r="3718">
      <c r="A3718" s="57"/>
    </row>
    <row r="3719">
      <c r="A3719" s="57"/>
    </row>
    <row r="3720">
      <c r="A3720" s="57"/>
    </row>
    <row r="3721">
      <c r="A3721" s="57"/>
    </row>
    <row r="3722">
      <c r="A3722" s="57"/>
    </row>
    <row r="3723">
      <c r="A3723" s="57"/>
    </row>
    <row r="3724">
      <c r="A3724" s="57"/>
    </row>
    <row r="3725">
      <c r="A3725" s="57"/>
    </row>
    <row r="3726">
      <c r="A3726" s="57"/>
    </row>
    <row r="3727">
      <c r="A3727" s="57"/>
    </row>
    <row r="3728">
      <c r="A3728" s="57"/>
    </row>
    <row r="3729">
      <c r="A3729" s="57"/>
    </row>
    <row r="3730">
      <c r="A3730" s="57"/>
    </row>
    <row r="3731">
      <c r="A3731" s="57"/>
    </row>
    <row r="3732">
      <c r="A3732" s="57"/>
    </row>
    <row r="3733">
      <c r="A3733" s="57"/>
    </row>
    <row r="3734">
      <c r="A3734" s="57"/>
    </row>
    <row r="3735">
      <c r="A3735" s="57"/>
    </row>
    <row r="3736">
      <c r="A3736" s="57"/>
    </row>
    <row r="3737">
      <c r="A3737" s="57"/>
    </row>
    <row r="3738">
      <c r="A3738" s="57"/>
    </row>
    <row r="3739">
      <c r="A3739" s="57"/>
    </row>
    <row r="3740">
      <c r="A3740" s="57"/>
    </row>
    <row r="3741">
      <c r="A3741" s="57"/>
    </row>
    <row r="3742">
      <c r="A3742" s="57"/>
    </row>
    <row r="3743">
      <c r="A3743" s="57"/>
    </row>
    <row r="3744">
      <c r="A3744" s="57"/>
    </row>
    <row r="3745">
      <c r="A3745" s="57"/>
    </row>
    <row r="3746">
      <c r="A3746" s="57"/>
    </row>
    <row r="3747">
      <c r="A3747" s="57"/>
    </row>
    <row r="3748">
      <c r="A3748" s="57"/>
    </row>
    <row r="3749">
      <c r="A3749" s="57"/>
    </row>
    <row r="3750">
      <c r="A3750" s="57"/>
    </row>
    <row r="3751">
      <c r="A3751" s="57"/>
    </row>
    <row r="3752">
      <c r="A3752" s="57"/>
    </row>
    <row r="3753">
      <c r="A3753" s="57"/>
    </row>
    <row r="3754">
      <c r="A3754" s="57"/>
    </row>
    <row r="3755">
      <c r="A3755" s="57"/>
    </row>
    <row r="3756">
      <c r="A3756" s="57"/>
    </row>
    <row r="3757">
      <c r="A3757" s="57"/>
    </row>
    <row r="3758">
      <c r="A3758" s="57"/>
    </row>
    <row r="3759">
      <c r="A3759" s="57"/>
    </row>
    <row r="3760">
      <c r="A3760" s="57"/>
    </row>
    <row r="3761">
      <c r="A3761" s="57"/>
    </row>
    <row r="3762">
      <c r="A3762" s="57"/>
    </row>
    <row r="3763">
      <c r="A3763" s="57"/>
    </row>
    <row r="3764">
      <c r="A3764" s="57"/>
    </row>
    <row r="3765">
      <c r="A3765" s="57"/>
    </row>
    <row r="3766">
      <c r="A3766" s="57"/>
    </row>
    <row r="3767">
      <c r="A3767" s="57"/>
    </row>
    <row r="3768">
      <c r="A3768" s="57"/>
    </row>
    <row r="3769">
      <c r="A3769" s="57"/>
    </row>
    <row r="3770">
      <c r="A3770" s="57"/>
    </row>
    <row r="3771">
      <c r="A3771" s="57"/>
    </row>
    <row r="3772">
      <c r="A3772" s="57"/>
    </row>
    <row r="3773">
      <c r="A3773" s="57"/>
    </row>
    <row r="3774">
      <c r="A3774" s="57"/>
    </row>
    <row r="3775">
      <c r="A3775" s="57"/>
    </row>
    <row r="3776">
      <c r="A3776" s="57"/>
    </row>
    <row r="3777">
      <c r="A3777" s="57"/>
    </row>
    <row r="3778">
      <c r="A3778" s="57"/>
    </row>
    <row r="3779">
      <c r="A3779" s="57"/>
    </row>
    <row r="3780">
      <c r="A3780" s="57"/>
    </row>
    <row r="3781">
      <c r="A3781" s="57"/>
    </row>
    <row r="3782">
      <c r="A3782" s="57"/>
    </row>
    <row r="3783">
      <c r="A3783" s="57"/>
    </row>
    <row r="3784">
      <c r="A3784" s="57"/>
    </row>
    <row r="3785">
      <c r="A3785" s="57"/>
    </row>
    <row r="3786">
      <c r="A3786" s="57"/>
    </row>
    <row r="3787">
      <c r="A3787" s="57"/>
    </row>
    <row r="3788">
      <c r="A3788" s="57"/>
    </row>
    <row r="3789">
      <c r="A3789" s="57"/>
    </row>
    <row r="3790">
      <c r="A3790" s="57"/>
    </row>
    <row r="3791">
      <c r="A3791" s="57"/>
    </row>
    <row r="3792">
      <c r="A3792" s="57"/>
    </row>
    <row r="3793">
      <c r="A3793" s="57"/>
    </row>
    <row r="3794">
      <c r="A3794" s="57"/>
    </row>
    <row r="3795">
      <c r="A3795" s="57"/>
    </row>
    <row r="3796">
      <c r="A3796" s="57"/>
    </row>
    <row r="3797">
      <c r="A3797" s="57"/>
    </row>
    <row r="3798">
      <c r="A3798" s="57"/>
    </row>
    <row r="3799">
      <c r="A3799" s="57"/>
    </row>
    <row r="3800">
      <c r="A3800" s="57"/>
    </row>
    <row r="3801">
      <c r="A3801" s="57"/>
    </row>
    <row r="3802">
      <c r="A3802" s="57"/>
    </row>
    <row r="3803">
      <c r="A3803" s="57"/>
    </row>
    <row r="3804">
      <c r="A3804" s="57"/>
    </row>
    <row r="3805">
      <c r="A3805" s="57"/>
    </row>
    <row r="3806">
      <c r="A3806" s="57"/>
    </row>
    <row r="3807">
      <c r="A3807" s="57"/>
    </row>
    <row r="3808">
      <c r="A3808" s="57"/>
    </row>
    <row r="3809">
      <c r="A3809" s="57"/>
    </row>
    <row r="3810">
      <c r="A3810" s="57"/>
    </row>
    <row r="3811">
      <c r="A3811" s="57"/>
    </row>
    <row r="3812">
      <c r="A3812" s="57"/>
    </row>
    <row r="3813">
      <c r="A3813" s="57"/>
    </row>
    <row r="3814">
      <c r="A3814" s="57"/>
    </row>
    <row r="3815">
      <c r="A3815" s="57"/>
    </row>
    <row r="3816">
      <c r="A3816" s="57"/>
    </row>
    <row r="3817">
      <c r="A3817" s="57"/>
    </row>
    <row r="3818">
      <c r="A3818" s="57"/>
    </row>
    <row r="3819">
      <c r="A3819" s="57"/>
    </row>
    <row r="3820">
      <c r="A3820" s="57"/>
    </row>
    <row r="3821">
      <c r="A3821" s="57"/>
    </row>
    <row r="3822">
      <c r="A3822" s="57"/>
    </row>
    <row r="3823">
      <c r="A3823" s="57"/>
    </row>
    <row r="3824">
      <c r="A3824" s="57"/>
    </row>
    <row r="3825">
      <c r="A3825" s="57"/>
    </row>
    <row r="3826">
      <c r="A3826" s="57"/>
    </row>
    <row r="3827">
      <c r="A3827" s="57"/>
    </row>
    <row r="3828">
      <c r="A3828" s="57"/>
    </row>
    <row r="3829">
      <c r="A3829" s="57"/>
    </row>
    <row r="3830">
      <c r="A3830" s="57"/>
    </row>
    <row r="3831">
      <c r="A3831" s="57"/>
    </row>
    <row r="3832">
      <c r="A3832" s="57"/>
    </row>
    <row r="3833">
      <c r="A3833" s="57"/>
    </row>
    <row r="3834">
      <c r="A3834" s="57"/>
    </row>
    <row r="3835">
      <c r="A3835" s="57"/>
    </row>
    <row r="3836">
      <c r="A3836" s="57"/>
    </row>
    <row r="3837">
      <c r="A3837" s="57"/>
    </row>
    <row r="3838">
      <c r="A3838" s="57"/>
    </row>
    <row r="3839">
      <c r="A3839" s="57"/>
    </row>
    <row r="3840">
      <c r="A3840" s="57"/>
    </row>
    <row r="3841">
      <c r="A3841" s="57"/>
    </row>
    <row r="3842">
      <c r="A3842" s="57"/>
    </row>
    <row r="3843">
      <c r="A3843" s="57"/>
    </row>
    <row r="3844">
      <c r="A3844" s="57"/>
    </row>
    <row r="3845">
      <c r="A3845" s="57"/>
    </row>
    <row r="3846">
      <c r="A3846" s="57"/>
    </row>
    <row r="3847">
      <c r="A3847" s="57"/>
    </row>
    <row r="3848">
      <c r="A3848" s="57"/>
    </row>
    <row r="3849">
      <c r="A3849" s="57"/>
    </row>
    <row r="3850">
      <c r="A3850" s="57"/>
    </row>
    <row r="3851">
      <c r="A3851" s="57"/>
    </row>
    <row r="3852">
      <c r="A3852" s="57"/>
    </row>
    <row r="3853">
      <c r="A3853" s="57"/>
    </row>
    <row r="3854">
      <c r="A3854" s="57"/>
    </row>
    <row r="3855">
      <c r="A3855" s="57"/>
    </row>
    <row r="3856">
      <c r="A3856" s="57"/>
    </row>
    <row r="3857">
      <c r="A3857" s="57"/>
    </row>
    <row r="3858">
      <c r="A3858" s="57"/>
    </row>
    <row r="3859">
      <c r="A3859" s="57"/>
    </row>
    <row r="3860">
      <c r="A3860" s="57"/>
    </row>
    <row r="3861">
      <c r="A3861" s="57"/>
    </row>
    <row r="3862">
      <c r="A3862" s="57"/>
    </row>
    <row r="3863">
      <c r="A3863" s="57"/>
    </row>
    <row r="3864">
      <c r="A3864" s="57"/>
    </row>
    <row r="3865">
      <c r="A3865" s="57"/>
    </row>
    <row r="3866">
      <c r="A3866" s="57"/>
    </row>
    <row r="3867">
      <c r="A3867" s="57"/>
    </row>
    <row r="3868">
      <c r="A3868" s="57"/>
    </row>
    <row r="3869">
      <c r="A3869" s="57"/>
    </row>
    <row r="3870">
      <c r="A3870" s="57"/>
    </row>
    <row r="3871">
      <c r="A3871" s="57"/>
    </row>
    <row r="3872">
      <c r="A3872" s="57"/>
    </row>
    <row r="3873">
      <c r="A3873" s="57"/>
    </row>
    <row r="3874">
      <c r="A3874" s="57"/>
    </row>
    <row r="3875">
      <c r="A3875" s="57"/>
    </row>
    <row r="3876">
      <c r="A3876" s="57"/>
    </row>
    <row r="3877">
      <c r="A3877" s="57"/>
    </row>
    <row r="3878">
      <c r="A3878" s="57"/>
    </row>
    <row r="3879">
      <c r="A3879" s="57"/>
    </row>
    <row r="3880">
      <c r="A3880" s="57"/>
    </row>
    <row r="3881">
      <c r="A3881" s="57"/>
    </row>
    <row r="3882">
      <c r="A3882" s="57"/>
    </row>
    <row r="3883">
      <c r="A3883" s="57"/>
    </row>
    <row r="3884">
      <c r="A3884" s="57"/>
    </row>
    <row r="3885">
      <c r="A3885" s="57"/>
    </row>
    <row r="3886">
      <c r="A3886" s="57"/>
    </row>
    <row r="3887">
      <c r="A3887" s="57"/>
    </row>
    <row r="3888">
      <c r="A3888" s="57"/>
    </row>
    <row r="3889">
      <c r="A3889" s="57"/>
    </row>
    <row r="3890">
      <c r="A3890" s="57"/>
    </row>
    <row r="3891">
      <c r="A3891" s="57"/>
    </row>
    <row r="3892">
      <c r="A3892" s="57"/>
    </row>
    <row r="3893">
      <c r="A3893" s="57"/>
    </row>
    <row r="3894">
      <c r="A3894" s="57"/>
    </row>
    <row r="3895">
      <c r="A3895" s="57"/>
    </row>
    <row r="3896">
      <c r="A3896" s="57"/>
    </row>
    <row r="3897">
      <c r="A3897" s="57"/>
    </row>
    <row r="3898">
      <c r="A3898" s="57"/>
    </row>
    <row r="3899">
      <c r="A3899" s="57"/>
    </row>
    <row r="3900">
      <c r="A3900" s="57"/>
    </row>
    <row r="3901">
      <c r="A3901" s="57"/>
    </row>
    <row r="3902">
      <c r="A3902" s="57"/>
    </row>
    <row r="3903">
      <c r="A3903" s="57"/>
    </row>
    <row r="3904">
      <c r="A3904" s="57"/>
    </row>
    <row r="3905">
      <c r="A3905" s="57"/>
    </row>
    <row r="3906">
      <c r="A3906" s="57"/>
    </row>
    <row r="3907">
      <c r="A3907" s="57"/>
    </row>
    <row r="3908">
      <c r="A3908" s="57"/>
    </row>
    <row r="3909">
      <c r="A3909" s="57"/>
    </row>
    <row r="3910">
      <c r="A3910" s="57"/>
    </row>
    <row r="3911">
      <c r="A3911" s="57"/>
    </row>
    <row r="3912">
      <c r="A3912" s="57"/>
    </row>
    <row r="3913">
      <c r="A3913" s="57"/>
    </row>
    <row r="3914">
      <c r="A3914" s="57"/>
    </row>
    <row r="3915">
      <c r="A3915" s="57"/>
    </row>
    <row r="3916">
      <c r="A3916" s="57"/>
    </row>
    <row r="3917">
      <c r="A3917" s="57"/>
    </row>
    <row r="3918">
      <c r="A3918" s="57"/>
    </row>
    <row r="3919">
      <c r="A3919" s="57"/>
    </row>
    <row r="3920">
      <c r="A3920" s="57"/>
    </row>
    <row r="3921">
      <c r="A3921" s="57"/>
    </row>
    <row r="3922">
      <c r="A3922" s="57"/>
    </row>
    <row r="3923">
      <c r="A3923" s="57"/>
    </row>
    <row r="3924">
      <c r="A3924" s="57"/>
    </row>
    <row r="3925">
      <c r="A3925" s="57"/>
    </row>
    <row r="3926">
      <c r="A3926" s="57"/>
    </row>
    <row r="3927">
      <c r="A3927" s="57"/>
    </row>
    <row r="3928">
      <c r="A3928" s="57"/>
    </row>
    <row r="3929">
      <c r="A3929" s="57"/>
    </row>
    <row r="3930">
      <c r="A3930" s="57"/>
    </row>
    <row r="3931">
      <c r="A3931" s="57"/>
    </row>
    <row r="3932">
      <c r="A3932" s="57"/>
    </row>
    <row r="3933">
      <c r="A3933" s="57"/>
    </row>
    <row r="3934">
      <c r="A3934" s="57"/>
    </row>
    <row r="3935">
      <c r="A3935" s="57"/>
    </row>
    <row r="3936">
      <c r="A3936" s="57"/>
    </row>
    <row r="3937">
      <c r="A3937" s="57"/>
    </row>
    <row r="3938">
      <c r="A3938" s="57"/>
    </row>
    <row r="3939">
      <c r="A3939" s="57"/>
    </row>
    <row r="3940">
      <c r="A3940" s="57"/>
    </row>
    <row r="3941">
      <c r="A3941" s="57"/>
    </row>
    <row r="3942">
      <c r="A3942" s="57"/>
    </row>
    <row r="3943">
      <c r="A3943" s="57"/>
    </row>
    <row r="3944">
      <c r="A3944" s="57"/>
    </row>
    <row r="3945">
      <c r="A3945" s="57"/>
    </row>
    <row r="3946">
      <c r="A3946" s="57"/>
    </row>
    <row r="3947">
      <c r="A3947" s="57"/>
    </row>
    <row r="3948">
      <c r="A3948" s="57"/>
    </row>
    <row r="3949">
      <c r="A3949" s="57"/>
    </row>
    <row r="3950">
      <c r="A3950" s="57"/>
    </row>
    <row r="3951">
      <c r="A3951" s="57"/>
    </row>
    <row r="3952">
      <c r="A3952" s="57"/>
    </row>
    <row r="3953">
      <c r="A3953" s="57"/>
    </row>
    <row r="3954">
      <c r="A3954" s="57"/>
    </row>
    <row r="3955">
      <c r="A3955" s="57"/>
    </row>
    <row r="3956">
      <c r="A3956" s="57"/>
    </row>
    <row r="3957">
      <c r="A3957" s="57"/>
    </row>
    <row r="3958">
      <c r="A3958" s="57"/>
    </row>
    <row r="3959">
      <c r="A3959" s="57"/>
    </row>
    <row r="3960">
      <c r="A3960" s="57"/>
    </row>
    <row r="3961">
      <c r="A3961" s="57"/>
    </row>
    <row r="3962">
      <c r="A3962" s="57"/>
    </row>
    <row r="3963">
      <c r="A3963" s="57"/>
    </row>
    <row r="3964">
      <c r="A3964" s="57"/>
    </row>
    <row r="3965">
      <c r="A3965" s="57"/>
    </row>
    <row r="3966">
      <c r="A3966" s="57"/>
    </row>
    <row r="3967">
      <c r="A3967" s="57"/>
    </row>
    <row r="3968">
      <c r="A3968" s="57"/>
    </row>
    <row r="3969">
      <c r="A3969" s="57"/>
    </row>
    <row r="3970">
      <c r="A3970" s="57"/>
    </row>
    <row r="3971">
      <c r="A3971" s="57"/>
    </row>
    <row r="3972">
      <c r="A3972" s="57"/>
    </row>
    <row r="3973">
      <c r="A3973" s="57"/>
    </row>
    <row r="3974">
      <c r="A3974" s="57"/>
    </row>
    <row r="3975">
      <c r="A3975" s="57"/>
    </row>
    <row r="3976">
      <c r="A3976" s="57"/>
    </row>
    <row r="3977">
      <c r="A3977" s="57"/>
    </row>
    <row r="3978">
      <c r="A3978" s="57"/>
    </row>
    <row r="3979">
      <c r="A3979" s="57"/>
    </row>
    <row r="3980">
      <c r="A3980" s="57"/>
    </row>
    <row r="3981">
      <c r="A3981" s="57"/>
    </row>
    <row r="3982">
      <c r="A3982" s="57"/>
    </row>
    <row r="3983">
      <c r="A3983" s="57"/>
    </row>
    <row r="3984">
      <c r="A3984" s="57"/>
    </row>
    <row r="3985">
      <c r="A3985" s="57"/>
    </row>
    <row r="3986">
      <c r="A3986" s="57"/>
    </row>
    <row r="3987">
      <c r="A3987" s="57"/>
    </row>
    <row r="3988">
      <c r="A3988" s="57"/>
    </row>
    <row r="3989">
      <c r="A3989" s="57"/>
    </row>
    <row r="3990">
      <c r="A3990" s="57"/>
    </row>
    <row r="3991">
      <c r="A3991" s="57"/>
    </row>
    <row r="3992">
      <c r="A3992" s="57"/>
    </row>
    <row r="3993">
      <c r="A3993" s="57"/>
    </row>
    <row r="3994">
      <c r="A3994" s="57"/>
    </row>
    <row r="3995">
      <c r="A3995" s="57"/>
    </row>
    <row r="3996">
      <c r="A3996" s="57"/>
    </row>
    <row r="3997">
      <c r="A3997" s="57"/>
    </row>
    <row r="3998">
      <c r="A3998" s="57"/>
    </row>
    <row r="3999">
      <c r="A3999" s="57"/>
    </row>
    <row r="4000">
      <c r="A4000" s="57"/>
    </row>
    <row r="4001">
      <c r="A4001" s="57"/>
    </row>
    <row r="4002">
      <c r="A4002" s="57"/>
    </row>
    <row r="4003">
      <c r="A4003" s="57"/>
    </row>
    <row r="4004">
      <c r="A4004" s="57"/>
    </row>
    <row r="4005">
      <c r="A4005" s="57"/>
    </row>
    <row r="4006">
      <c r="A4006" s="57"/>
    </row>
    <row r="4007">
      <c r="A4007" s="57"/>
    </row>
    <row r="4008">
      <c r="A4008" s="57"/>
    </row>
    <row r="4009">
      <c r="A4009" s="57"/>
    </row>
    <row r="4010">
      <c r="A4010" s="57"/>
    </row>
    <row r="4011">
      <c r="A4011" s="57"/>
    </row>
    <row r="4012">
      <c r="A4012" s="57"/>
    </row>
    <row r="4013">
      <c r="A4013" s="57"/>
    </row>
    <row r="4014">
      <c r="A4014" s="57"/>
    </row>
    <row r="4015">
      <c r="A4015" s="57"/>
    </row>
    <row r="4016">
      <c r="A4016" s="57"/>
    </row>
    <row r="4017">
      <c r="A4017" s="57"/>
    </row>
    <row r="4018">
      <c r="A4018" s="57"/>
    </row>
    <row r="4019">
      <c r="A4019" s="57"/>
    </row>
    <row r="4020">
      <c r="A4020" s="57"/>
    </row>
    <row r="4021">
      <c r="A4021" s="57"/>
    </row>
    <row r="4022">
      <c r="A4022" s="57"/>
    </row>
    <row r="4023">
      <c r="A4023" s="57"/>
    </row>
    <row r="4024">
      <c r="A4024" s="57"/>
    </row>
    <row r="4025">
      <c r="A4025" s="57"/>
    </row>
    <row r="4026">
      <c r="A4026" s="57"/>
    </row>
    <row r="4027">
      <c r="A4027" s="57"/>
    </row>
    <row r="4028">
      <c r="A4028" s="57"/>
    </row>
    <row r="4029">
      <c r="A4029" s="57"/>
    </row>
    <row r="4030">
      <c r="A4030" s="57"/>
    </row>
    <row r="4031">
      <c r="A4031" s="57"/>
    </row>
    <row r="4032">
      <c r="A4032" s="57"/>
    </row>
    <row r="4033">
      <c r="A4033" s="57"/>
    </row>
    <row r="4034">
      <c r="A4034" s="57"/>
    </row>
    <row r="4035">
      <c r="A4035" s="57"/>
    </row>
    <row r="4036">
      <c r="A4036" s="57"/>
    </row>
    <row r="4037">
      <c r="A4037" s="57"/>
    </row>
    <row r="4038">
      <c r="A4038" s="57"/>
    </row>
    <row r="4039">
      <c r="A4039" s="57"/>
    </row>
    <row r="4040">
      <c r="A4040" s="57"/>
    </row>
    <row r="4041">
      <c r="A4041" s="57"/>
    </row>
    <row r="4042">
      <c r="A4042" s="57"/>
    </row>
    <row r="4043">
      <c r="A4043" s="57"/>
    </row>
    <row r="4044">
      <c r="A4044" s="57"/>
    </row>
    <row r="4045">
      <c r="A4045" s="57"/>
    </row>
    <row r="4046">
      <c r="A4046" s="57"/>
    </row>
    <row r="4047">
      <c r="A4047" s="57"/>
    </row>
    <row r="4048">
      <c r="A4048" s="57"/>
    </row>
    <row r="4049">
      <c r="A4049" s="57"/>
    </row>
    <row r="4050">
      <c r="A4050" s="57"/>
    </row>
    <row r="4051">
      <c r="A4051" s="57"/>
    </row>
    <row r="4052">
      <c r="A4052" s="57"/>
    </row>
    <row r="4053">
      <c r="A4053" s="57"/>
    </row>
    <row r="4054">
      <c r="A4054" s="57"/>
    </row>
    <row r="4055">
      <c r="A4055" s="57"/>
    </row>
    <row r="4056">
      <c r="A4056" s="57"/>
    </row>
    <row r="4057">
      <c r="A4057" s="57"/>
    </row>
    <row r="4058">
      <c r="A4058" s="57"/>
    </row>
    <row r="4059">
      <c r="A4059" s="57"/>
    </row>
    <row r="4060">
      <c r="A4060" s="57"/>
    </row>
    <row r="4061">
      <c r="A4061" s="57"/>
    </row>
    <row r="4062">
      <c r="A4062" s="57"/>
    </row>
    <row r="4063">
      <c r="A4063" s="57"/>
    </row>
    <row r="4064">
      <c r="A4064" s="57"/>
    </row>
    <row r="4065">
      <c r="A4065" s="57"/>
    </row>
    <row r="4066">
      <c r="A4066" s="57"/>
    </row>
    <row r="4067">
      <c r="A4067" s="57"/>
    </row>
    <row r="4068">
      <c r="A4068" s="57"/>
    </row>
    <row r="4069">
      <c r="A4069" s="57"/>
    </row>
    <row r="4070">
      <c r="A4070" s="57"/>
    </row>
    <row r="4071">
      <c r="A4071" s="57"/>
    </row>
    <row r="4072">
      <c r="A4072" s="57"/>
    </row>
    <row r="4073">
      <c r="A4073" s="57"/>
    </row>
    <row r="4074">
      <c r="A4074" s="57"/>
    </row>
    <row r="4075">
      <c r="A4075" s="57"/>
    </row>
    <row r="4076">
      <c r="A4076" s="57"/>
    </row>
    <row r="4077">
      <c r="A4077" s="57"/>
    </row>
    <row r="4078">
      <c r="A4078" s="57"/>
    </row>
    <row r="4079">
      <c r="A4079" s="57"/>
    </row>
    <row r="4080">
      <c r="A4080" s="57"/>
    </row>
    <row r="4081">
      <c r="A4081" s="57"/>
    </row>
    <row r="4082">
      <c r="A4082" s="57"/>
    </row>
    <row r="4083">
      <c r="A4083" s="57"/>
    </row>
    <row r="4084">
      <c r="A4084" s="57"/>
    </row>
    <row r="4085">
      <c r="A4085" s="57"/>
    </row>
    <row r="4086">
      <c r="A4086" s="57"/>
    </row>
    <row r="4087">
      <c r="A4087" s="57"/>
    </row>
    <row r="4088">
      <c r="A4088" s="57"/>
    </row>
    <row r="4089">
      <c r="A4089" s="57"/>
    </row>
    <row r="4090">
      <c r="A4090" s="57"/>
    </row>
    <row r="4091">
      <c r="A4091" s="57"/>
    </row>
    <row r="4092">
      <c r="A4092" s="57"/>
    </row>
    <row r="4093">
      <c r="A4093" s="57"/>
    </row>
    <row r="4094">
      <c r="A4094" s="57"/>
    </row>
    <row r="4095">
      <c r="A4095" s="57"/>
    </row>
    <row r="4096">
      <c r="A4096" s="57"/>
    </row>
    <row r="4097">
      <c r="A4097" s="57"/>
    </row>
    <row r="4098">
      <c r="A4098" s="57"/>
    </row>
    <row r="4099">
      <c r="A4099" s="57"/>
    </row>
    <row r="4100">
      <c r="A4100" s="57"/>
    </row>
    <row r="4101">
      <c r="A4101" s="57"/>
    </row>
    <row r="4102">
      <c r="A4102" s="57"/>
    </row>
    <row r="4103">
      <c r="A4103" s="57"/>
    </row>
    <row r="4104">
      <c r="A4104" s="57"/>
    </row>
    <row r="4105">
      <c r="A4105" s="57"/>
    </row>
    <row r="4106">
      <c r="A4106" s="57"/>
    </row>
    <row r="4107">
      <c r="A4107" s="57"/>
    </row>
    <row r="4108">
      <c r="A4108" s="57"/>
    </row>
    <row r="4109">
      <c r="A4109" s="57"/>
    </row>
    <row r="4110">
      <c r="A4110" s="57"/>
    </row>
    <row r="4111">
      <c r="A4111" s="57"/>
    </row>
    <row r="4112">
      <c r="A4112" s="57"/>
    </row>
    <row r="4113">
      <c r="A4113" s="57"/>
    </row>
    <row r="4114">
      <c r="A4114" s="57"/>
    </row>
    <row r="4115">
      <c r="A4115" s="57"/>
    </row>
    <row r="4116">
      <c r="A4116" s="57"/>
    </row>
    <row r="4117">
      <c r="A4117" s="57"/>
    </row>
    <row r="4118">
      <c r="A4118" s="57"/>
    </row>
    <row r="4119">
      <c r="A4119" s="57"/>
    </row>
    <row r="4120">
      <c r="A4120" s="57"/>
    </row>
    <row r="4121">
      <c r="A4121" s="57"/>
    </row>
    <row r="4122">
      <c r="A4122" s="57"/>
    </row>
    <row r="4123">
      <c r="A4123" s="57"/>
    </row>
    <row r="4124">
      <c r="A4124" s="57"/>
    </row>
    <row r="4125">
      <c r="A4125" s="57"/>
    </row>
    <row r="4126">
      <c r="A4126" s="57"/>
    </row>
    <row r="4127">
      <c r="A4127" s="57"/>
    </row>
    <row r="4128">
      <c r="A4128" s="57"/>
    </row>
    <row r="4129">
      <c r="A4129" s="57"/>
    </row>
    <row r="4130">
      <c r="A4130" s="57"/>
    </row>
    <row r="4131">
      <c r="A4131" s="57"/>
    </row>
    <row r="4132">
      <c r="A4132" s="57"/>
    </row>
    <row r="4133">
      <c r="A4133" s="57"/>
    </row>
    <row r="4134">
      <c r="A4134" s="57"/>
    </row>
    <row r="4135">
      <c r="A4135" s="57"/>
    </row>
    <row r="4136">
      <c r="A4136" s="57"/>
    </row>
    <row r="4137">
      <c r="A4137" s="57"/>
    </row>
    <row r="4138">
      <c r="A4138" s="57"/>
    </row>
    <row r="4139">
      <c r="A4139" s="57"/>
    </row>
    <row r="4140">
      <c r="A4140" s="57"/>
    </row>
    <row r="4141">
      <c r="A4141" s="57"/>
    </row>
    <row r="4142">
      <c r="A4142" s="57"/>
    </row>
    <row r="4143">
      <c r="A4143" s="57"/>
    </row>
    <row r="4144">
      <c r="A4144" s="57"/>
    </row>
    <row r="4145">
      <c r="A4145" s="57"/>
    </row>
    <row r="4146">
      <c r="A4146" s="57"/>
    </row>
    <row r="4147">
      <c r="A4147" s="57"/>
    </row>
    <row r="4148">
      <c r="A4148" s="57"/>
    </row>
    <row r="4149">
      <c r="A4149" s="57"/>
    </row>
    <row r="4150">
      <c r="A4150" s="57"/>
    </row>
    <row r="4151">
      <c r="A4151" s="57"/>
    </row>
    <row r="4152">
      <c r="A4152" s="57"/>
    </row>
    <row r="4153">
      <c r="A4153" s="57"/>
    </row>
    <row r="4154">
      <c r="A4154" s="57"/>
    </row>
    <row r="4155">
      <c r="A4155" s="57"/>
    </row>
    <row r="4156">
      <c r="A4156" s="57"/>
    </row>
    <row r="4157">
      <c r="A4157" s="57"/>
    </row>
    <row r="4158">
      <c r="A4158" s="57"/>
    </row>
    <row r="4159">
      <c r="A4159" s="57"/>
    </row>
    <row r="4160">
      <c r="A4160" s="57"/>
    </row>
    <row r="4161">
      <c r="A4161" s="57"/>
    </row>
    <row r="4162">
      <c r="A4162" s="57"/>
    </row>
    <row r="4163">
      <c r="A4163" s="57"/>
    </row>
    <row r="4164">
      <c r="A4164" s="57"/>
    </row>
    <row r="4165">
      <c r="A4165" s="57"/>
    </row>
    <row r="4166">
      <c r="A4166" s="57"/>
    </row>
    <row r="4167">
      <c r="A4167" s="57"/>
    </row>
    <row r="4168">
      <c r="A4168" s="57"/>
    </row>
    <row r="4169">
      <c r="A4169" s="57"/>
    </row>
    <row r="4170">
      <c r="A4170" s="57"/>
    </row>
    <row r="4171">
      <c r="A4171" s="57"/>
    </row>
    <row r="4172">
      <c r="A4172" s="57"/>
    </row>
    <row r="4173">
      <c r="A4173" s="57"/>
    </row>
    <row r="4174">
      <c r="A4174" s="57"/>
    </row>
    <row r="4175">
      <c r="A4175" s="57"/>
    </row>
    <row r="4176">
      <c r="A4176" s="57"/>
    </row>
    <row r="4177">
      <c r="A4177" s="57"/>
    </row>
    <row r="4178">
      <c r="A4178" s="57"/>
    </row>
    <row r="4179">
      <c r="A4179" s="57"/>
    </row>
    <row r="4180">
      <c r="A4180" s="57"/>
    </row>
    <row r="4181">
      <c r="A4181" s="57"/>
    </row>
    <row r="4182">
      <c r="A4182" s="57"/>
    </row>
    <row r="4183">
      <c r="A4183" s="57"/>
    </row>
    <row r="4184">
      <c r="A4184" s="57"/>
    </row>
    <row r="4185">
      <c r="A4185" s="57"/>
    </row>
    <row r="4186">
      <c r="A4186" s="57"/>
    </row>
    <row r="4187">
      <c r="A4187" s="57"/>
    </row>
    <row r="4188">
      <c r="A4188" s="57"/>
    </row>
    <row r="4189">
      <c r="A4189" s="57"/>
    </row>
    <row r="4190">
      <c r="A4190" s="57"/>
    </row>
    <row r="4191">
      <c r="A4191" s="57"/>
    </row>
    <row r="4192">
      <c r="A4192" s="57"/>
    </row>
    <row r="4193">
      <c r="A4193" s="57"/>
    </row>
    <row r="4194">
      <c r="A4194" s="57"/>
    </row>
    <row r="4195">
      <c r="A4195" s="57"/>
    </row>
    <row r="4196">
      <c r="A4196" s="57"/>
    </row>
    <row r="4197">
      <c r="A4197" s="57"/>
    </row>
    <row r="4198">
      <c r="A4198" s="57"/>
    </row>
    <row r="4199">
      <c r="A4199" s="57"/>
    </row>
    <row r="4200">
      <c r="A4200" s="57"/>
    </row>
    <row r="4201">
      <c r="A4201" s="57"/>
    </row>
    <row r="4202">
      <c r="A4202" s="57"/>
    </row>
    <row r="4203">
      <c r="A4203" s="57"/>
    </row>
    <row r="4204">
      <c r="A4204" s="57"/>
    </row>
    <row r="4205">
      <c r="A4205" s="57"/>
    </row>
    <row r="4206">
      <c r="A4206" s="57"/>
    </row>
    <row r="4207">
      <c r="A4207" s="57"/>
    </row>
    <row r="4208">
      <c r="A4208" s="57"/>
    </row>
    <row r="4209">
      <c r="A4209" s="57"/>
    </row>
    <row r="4210">
      <c r="A4210" s="57"/>
    </row>
    <row r="4211">
      <c r="A4211" s="57"/>
    </row>
    <row r="4212">
      <c r="A4212" s="57"/>
    </row>
    <row r="4213">
      <c r="A4213" s="57"/>
    </row>
    <row r="4214">
      <c r="A4214" s="57"/>
    </row>
    <row r="4215">
      <c r="A4215" s="57"/>
    </row>
    <row r="4216">
      <c r="A4216" s="57"/>
    </row>
    <row r="4217">
      <c r="A4217" s="57"/>
    </row>
    <row r="4218">
      <c r="A4218" s="57"/>
    </row>
    <row r="4219">
      <c r="A4219" s="57"/>
    </row>
    <row r="4220">
      <c r="A4220" s="57"/>
    </row>
    <row r="4221">
      <c r="A4221" s="57"/>
    </row>
    <row r="4222">
      <c r="A4222" s="57"/>
    </row>
    <row r="4223">
      <c r="A4223" s="57"/>
    </row>
    <row r="4224">
      <c r="A4224" s="57"/>
    </row>
    <row r="4225">
      <c r="A4225" s="57"/>
    </row>
    <row r="4226">
      <c r="A4226" s="57"/>
    </row>
    <row r="4227">
      <c r="A4227" s="57"/>
    </row>
    <row r="4228">
      <c r="A4228" s="57"/>
    </row>
    <row r="4229">
      <c r="A4229" s="57"/>
    </row>
    <row r="4230">
      <c r="A4230" s="57"/>
    </row>
    <row r="4231">
      <c r="A4231" s="57"/>
    </row>
    <row r="4232">
      <c r="A4232" s="57"/>
    </row>
    <row r="4233">
      <c r="A4233" s="57"/>
    </row>
    <row r="4234">
      <c r="A4234" s="57"/>
    </row>
    <row r="4235">
      <c r="A4235" s="57"/>
    </row>
    <row r="4236">
      <c r="A4236" s="57"/>
    </row>
    <row r="4237">
      <c r="A4237" s="57"/>
    </row>
    <row r="4238">
      <c r="A4238" s="57"/>
    </row>
    <row r="4239">
      <c r="A4239" s="57"/>
    </row>
    <row r="4240">
      <c r="A4240" s="57"/>
    </row>
    <row r="4241">
      <c r="A4241" s="57"/>
    </row>
    <row r="4242">
      <c r="A4242" s="57"/>
    </row>
    <row r="4243">
      <c r="A4243" s="57"/>
    </row>
    <row r="4244">
      <c r="A4244" s="57"/>
    </row>
    <row r="4245">
      <c r="A4245" s="57"/>
    </row>
    <row r="4246">
      <c r="A4246" s="57"/>
    </row>
    <row r="4247">
      <c r="A4247" s="57"/>
    </row>
    <row r="4248">
      <c r="A4248" s="57"/>
    </row>
    <row r="4249">
      <c r="A4249" s="57"/>
    </row>
    <row r="4250">
      <c r="A4250" s="57"/>
    </row>
    <row r="4251">
      <c r="A4251" s="57"/>
    </row>
    <row r="4252">
      <c r="A4252" s="57"/>
    </row>
    <row r="4253">
      <c r="A4253" s="57"/>
    </row>
    <row r="4254">
      <c r="A4254" s="57"/>
    </row>
    <row r="4255">
      <c r="A4255" s="57"/>
    </row>
    <row r="4256">
      <c r="A4256" s="57"/>
    </row>
    <row r="4257">
      <c r="A4257" s="57"/>
    </row>
    <row r="4258">
      <c r="A4258" s="57"/>
    </row>
    <row r="4259">
      <c r="A4259" s="57"/>
    </row>
    <row r="4260">
      <c r="A4260" s="57"/>
    </row>
    <row r="4261">
      <c r="A4261" s="57"/>
    </row>
    <row r="4262">
      <c r="A4262" s="57"/>
    </row>
    <row r="4263">
      <c r="A4263" s="57"/>
    </row>
    <row r="4264">
      <c r="A4264" s="57"/>
    </row>
    <row r="4265">
      <c r="A4265" s="57"/>
    </row>
    <row r="4266">
      <c r="A4266" s="57"/>
    </row>
    <row r="4267">
      <c r="A4267" s="57"/>
    </row>
    <row r="4268">
      <c r="A4268" s="57"/>
    </row>
    <row r="4269">
      <c r="A4269" s="57"/>
    </row>
    <row r="4270">
      <c r="A4270" s="57"/>
    </row>
    <row r="4271">
      <c r="A4271" s="57"/>
    </row>
    <row r="4272">
      <c r="A4272" s="57"/>
    </row>
    <row r="4273">
      <c r="A4273" s="57"/>
    </row>
    <row r="4274">
      <c r="A4274" s="57"/>
    </row>
    <row r="4275">
      <c r="A4275" s="57"/>
    </row>
    <row r="4276">
      <c r="A4276" s="57"/>
    </row>
    <row r="4277">
      <c r="A4277" s="57"/>
    </row>
    <row r="4278">
      <c r="A4278" s="57"/>
    </row>
    <row r="4279">
      <c r="A4279" s="57"/>
    </row>
    <row r="4280">
      <c r="A4280" s="57"/>
    </row>
    <row r="4281">
      <c r="A4281" s="57"/>
    </row>
    <row r="4282">
      <c r="A4282" s="57"/>
    </row>
    <row r="4283">
      <c r="A4283" s="57"/>
    </row>
    <row r="4284">
      <c r="A4284" s="57"/>
    </row>
    <row r="4285">
      <c r="A4285" s="57"/>
    </row>
    <row r="4286">
      <c r="A4286" s="57"/>
    </row>
    <row r="4287">
      <c r="A4287" s="57"/>
    </row>
    <row r="4288">
      <c r="A4288" s="57"/>
    </row>
    <row r="4289">
      <c r="A4289" s="57"/>
    </row>
    <row r="4290">
      <c r="A4290" s="57"/>
    </row>
    <row r="4291">
      <c r="A4291" s="57"/>
    </row>
    <row r="4292">
      <c r="A4292" s="57"/>
    </row>
    <row r="4293">
      <c r="A4293" s="57"/>
    </row>
    <row r="4294">
      <c r="A4294" s="57"/>
    </row>
    <row r="4295">
      <c r="A4295" s="57"/>
    </row>
    <row r="4296">
      <c r="A4296" s="57"/>
    </row>
    <row r="4297">
      <c r="A4297" s="57"/>
    </row>
    <row r="4298">
      <c r="A4298" s="57"/>
    </row>
    <row r="4299">
      <c r="A4299" s="57"/>
    </row>
    <row r="4300">
      <c r="A4300" s="57"/>
    </row>
    <row r="4301">
      <c r="A4301" s="57"/>
    </row>
    <row r="4302">
      <c r="A4302" s="57"/>
    </row>
    <row r="4303">
      <c r="A4303" s="57"/>
    </row>
    <row r="4304">
      <c r="A4304" s="57"/>
    </row>
    <row r="4305">
      <c r="A4305" s="57"/>
    </row>
    <row r="4306">
      <c r="A4306" s="57"/>
    </row>
    <row r="4307">
      <c r="A4307" s="57"/>
    </row>
    <row r="4308">
      <c r="A4308" s="57"/>
    </row>
    <row r="4309">
      <c r="A4309" s="57"/>
    </row>
    <row r="4310">
      <c r="A4310" s="57"/>
    </row>
    <row r="4311">
      <c r="A4311" s="57"/>
    </row>
    <row r="4312">
      <c r="A4312" s="57"/>
    </row>
    <row r="4313">
      <c r="A4313" s="57"/>
    </row>
    <row r="4314">
      <c r="A4314" s="57"/>
    </row>
    <row r="4315">
      <c r="A4315" s="57"/>
    </row>
    <row r="4316">
      <c r="A4316" s="57"/>
    </row>
    <row r="4317">
      <c r="A4317" s="57"/>
    </row>
    <row r="4318">
      <c r="A4318" s="57"/>
    </row>
    <row r="4319">
      <c r="A4319" s="57"/>
    </row>
    <row r="4320">
      <c r="A4320" s="57"/>
    </row>
    <row r="4321">
      <c r="A4321" s="57"/>
    </row>
    <row r="4322">
      <c r="A4322" s="57"/>
    </row>
    <row r="4323">
      <c r="A4323" s="57"/>
    </row>
    <row r="4324">
      <c r="A4324" s="57"/>
    </row>
    <row r="4325">
      <c r="A4325" s="57"/>
    </row>
    <row r="4326">
      <c r="A4326" s="57"/>
    </row>
    <row r="4327">
      <c r="A4327" s="57"/>
    </row>
    <row r="4328">
      <c r="A4328" s="57"/>
    </row>
    <row r="4329">
      <c r="A4329" s="57"/>
    </row>
    <row r="4330">
      <c r="A4330" s="57"/>
    </row>
    <row r="4331">
      <c r="A4331" s="57"/>
    </row>
    <row r="4332">
      <c r="A4332" s="57"/>
    </row>
    <row r="4333">
      <c r="A4333" s="57"/>
    </row>
    <row r="4334">
      <c r="A4334" s="57"/>
    </row>
    <row r="4335">
      <c r="A4335" s="57"/>
    </row>
    <row r="4336">
      <c r="A4336" s="57"/>
    </row>
    <row r="4337">
      <c r="A4337" s="57"/>
    </row>
    <row r="4338">
      <c r="A4338" s="57"/>
    </row>
    <row r="4339">
      <c r="A4339" s="57"/>
    </row>
    <row r="4340">
      <c r="A4340" s="57"/>
    </row>
    <row r="4341">
      <c r="A4341" s="57"/>
    </row>
    <row r="4342">
      <c r="A4342" s="57"/>
    </row>
    <row r="4343">
      <c r="A4343" s="57"/>
    </row>
    <row r="4344">
      <c r="A4344" s="57"/>
    </row>
    <row r="4345">
      <c r="A4345" s="57"/>
    </row>
    <row r="4346">
      <c r="A4346" s="57"/>
    </row>
    <row r="4347">
      <c r="A4347" s="57"/>
    </row>
    <row r="4348">
      <c r="A4348" s="57"/>
    </row>
    <row r="4349">
      <c r="A4349" s="57"/>
    </row>
    <row r="4350">
      <c r="A4350" s="57"/>
    </row>
    <row r="4351">
      <c r="A4351" s="57"/>
    </row>
    <row r="4352">
      <c r="A4352" s="57"/>
    </row>
    <row r="4353">
      <c r="A4353" s="57"/>
    </row>
    <row r="4354">
      <c r="A4354" s="57"/>
    </row>
    <row r="4355">
      <c r="A4355" s="57"/>
    </row>
    <row r="4356">
      <c r="A4356" s="57"/>
    </row>
    <row r="4357">
      <c r="A4357" s="57"/>
    </row>
    <row r="4358">
      <c r="A4358" s="57"/>
    </row>
    <row r="4359">
      <c r="A4359" s="57"/>
    </row>
    <row r="4360">
      <c r="A4360" s="57"/>
    </row>
    <row r="4361">
      <c r="A4361" s="57"/>
    </row>
    <row r="4362">
      <c r="A4362" s="57"/>
    </row>
    <row r="4363">
      <c r="A4363" s="57"/>
    </row>
    <row r="4364">
      <c r="A4364" s="57"/>
    </row>
    <row r="4365">
      <c r="A4365" s="57"/>
    </row>
    <row r="4366">
      <c r="A4366" s="57"/>
    </row>
    <row r="4367">
      <c r="A4367" s="57"/>
    </row>
    <row r="4368">
      <c r="A4368" s="57"/>
    </row>
    <row r="4369">
      <c r="A4369" s="57"/>
    </row>
    <row r="4370">
      <c r="A4370" s="57"/>
    </row>
    <row r="4371">
      <c r="A4371" s="57"/>
    </row>
    <row r="4372">
      <c r="A4372" s="57"/>
    </row>
    <row r="4373">
      <c r="A4373" s="57"/>
    </row>
    <row r="4374">
      <c r="A4374" s="57"/>
    </row>
    <row r="4375">
      <c r="A4375" s="57"/>
    </row>
    <row r="4376">
      <c r="A4376" s="57"/>
    </row>
    <row r="4377">
      <c r="A4377" s="57"/>
    </row>
    <row r="4378">
      <c r="A4378" s="57"/>
    </row>
    <row r="4379">
      <c r="A4379" s="57"/>
    </row>
    <row r="4380">
      <c r="A4380" s="57"/>
    </row>
    <row r="4381">
      <c r="A4381" s="57"/>
    </row>
    <row r="4382">
      <c r="A4382" s="57"/>
    </row>
    <row r="4383">
      <c r="A4383" s="57"/>
    </row>
    <row r="4384">
      <c r="A4384" s="57"/>
    </row>
    <row r="4385">
      <c r="A4385" s="57"/>
    </row>
    <row r="4386">
      <c r="A4386" s="57"/>
    </row>
    <row r="4387">
      <c r="A4387" s="57"/>
    </row>
    <row r="4388">
      <c r="A4388" s="57"/>
    </row>
    <row r="4389">
      <c r="A4389" s="57"/>
    </row>
    <row r="4390">
      <c r="A4390" s="57"/>
    </row>
    <row r="4391">
      <c r="A4391" s="57"/>
    </row>
    <row r="4392">
      <c r="A4392" s="57"/>
    </row>
    <row r="4393">
      <c r="A4393" s="57"/>
    </row>
    <row r="4394">
      <c r="A4394" s="57"/>
    </row>
    <row r="4395">
      <c r="A4395" s="57"/>
    </row>
    <row r="4396">
      <c r="A4396" s="57"/>
    </row>
    <row r="4397">
      <c r="A4397" s="57"/>
    </row>
    <row r="4398">
      <c r="A4398" s="57"/>
    </row>
    <row r="4399">
      <c r="A4399" s="57"/>
    </row>
    <row r="4400">
      <c r="A4400" s="57"/>
    </row>
    <row r="4401">
      <c r="A4401" s="57"/>
    </row>
    <row r="4402">
      <c r="A4402" s="57"/>
    </row>
    <row r="4403">
      <c r="A4403" s="57"/>
    </row>
    <row r="4404">
      <c r="A4404" s="57"/>
    </row>
    <row r="4405">
      <c r="A4405" s="57"/>
    </row>
    <row r="4406">
      <c r="A4406" s="57"/>
    </row>
    <row r="4407">
      <c r="A4407" s="57"/>
    </row>
    <row r="4408">
      <c r="A4408" s="57"/>
    </row>
    <row r="4409">
      <c r="A4409" s="57"/>
    </row>
    <row r="4410">
      <c r="A4410" s="57"/>
    </row>
    <row r="4411">
      <c r="A4411" s="57"/>
    </row>
    <row r="4412">
      <c r="A4412" s="57"/>
    </row>
    <row r="4413">
      <c r="A4413" s="57"/>
    </row>
    <row r="4414">
      <c r="A4414" s="57"/>
    </row>
    <row r="4415">
      <c r="A4415" s="57"/>
    </row>
    <row r="4416">
      <c r="A4416" s="57"/>
    </row>
    <row r="4417">
      <c r="A4417" s="57"/>
    </row>
    <row r="4418">
      <c r="A4418" s="57"/>
    </row>
    <row r="4419">
      <c r="A4419" s="57"/>
    </row>
    <row r="4420">
      <c r="A4420" s="57"/>
    </row>
    <row r="4421">
      <c r="A4421" s="57"/>
    </row>
    <row r="4422">
      <c r="A4422" s="57"/>
    </row>
    <row r="4423">
      <c r="A4423" s="57"/>
    </row>
    <row r="4424">
      <c r="A4424" s="57"/>
    </row>
    <row r="4425">
      <c r="A4425" s="57"/>
    </row>
    <row r="4426">
      <c r="A4426" s="57"/>
    </row>
    <row r="4427">
      <c r="A4427" s="57"/>
    </row>
    <row r="4428">
      <c r="A4428" s="57"/>
    </row>
    <row r="4429">
      <c r="A4429" s="57"/>
    </row>
    <row r="4430">
      <c r="A4430" s="57"/>
    </row>
    <row r="4431">
      <c r="A4431" s="57"/>
    </row>
    <row r="4432">
      <c r="A4432" s="57"/>
    </row>
    <row r="4433">
      <c r="A4433" s="57"/>
    </row>
    <row r="4434">
      <c r="A4434" s="57"/>
    </row>
    <row r="4435">
      <c r="A4435" s="57"/>
    </row>
    <row r="4436">
      <c r="A4436" s="57"/>
    </row>
    <row r="4437">
      <c r="A4437" s="57"/>
    </row>
    <row r="4438">
      <c r="A4438" s="57"/>
    </row>
    <row r="4439">
      <c r="A4439" s="57"/>
    </row>
    <row r="4440">
      <c r="A4440" s="57"/>
    </row>
    <row r="4441">
      <c r="A4441" s="57"/>
    </row>
    <row r="4442">
      <c r="A4442" s="57"/>
    </row>
    <row r="4443">
      <c r="A4443" s="57"/>
    </row>
    <row r="4444">
      <c r="A4444" s="57"/>
    </row>
    <row r="4445">
      <c r="A4445" s="57"/>
    </row>
    <row r="4446">
      <c r="A4446" s="57"/>
    </row>
    <row r="4447">
      <c r="A4447" s="57"/>
    </row>
    <row r="4448">
      <c r="A4448" s="57"/>
    </row>
    <row r="4449">
      <c r="A4449" s="57"/>
    </row>
    <row r="4450">
      <c r="A4450" s="57"/>
    </row>
    <row r="4451">
      <c r="A4451" s="57"/>
    </row>
    <row r="4452">
      <c r="A4452" s="57"/>
    </row>
    <row r="4453">
      <c r="A4453" s="57"/>
    </row>
    <row r="4454">
      <c r="A4454" s="57"/>
    </row>
    <row r="4455">
      <c r="A4455" s="57"/>
    </row>
    <row r="4456">
      <c r="A4456" s="57"/>
    </row>
    <row r="4457">
      <c r="A4457" s="57"/>
    </row>
    <row r="4458">
      <c r="A4458" s="57"/>
    </row>
    <row r="4459">
      <c r="A4459" s="57"/>
    </row>
    <row r="4460">
      <c r="A4460" s="57"/>
    </row>
    <row r="4461">
      <c r="A4461" s="57"/>
    </row>
    <row r="4462">
      <c r="A4462" s="57"/>
    </row>
    <row r="4463">
      <c r="A4463" s="57"/>
    </row>
    <row r="4464">
      <c r="A4464" s="57"/>
    </row>
    <row r="4465">
      <c r="A4465" s="57"/>
    </row>
    <row r="4466">
      <c r="A4466" s="57"/>
    </row>
    <row r="4467">
      <c r="A4467" s="57"/>
    </row>
    <row r="4468">
      <c r="A4468" s="57"/>
    </row>
    <row r="4469">
      <c r="A4469" s="57"/>
    </row>
    <row r="4470">
      <c r="A4470" s="57"/>
    </row>
    <row r="4471">
      <c r="A4471" s="57"/>
    </row>
    <row r="4472">
      <c r="A4472" s="57"/>
    </row>
    <row r="4473">
      <c r="A4473" s="57"/>
    </row>
    <row r="4474">
      <c r="A4474" s="57"/>
    </row>
    <row r="4475">
      <c r="A4475" s="57"/>
    </row>
    <row r="4476">
      <c r="A4476" s="57"/>
    </row>
    <row r="4477">
      <c r="A4477" s="57"/>
    </row>
    <row r="4478">
      <c r="A4478" s="57"/>
    </row>
    <row r="4479">
      <c r="A4479" s="57"/>
    </row>
    <row r="4480">
      <c r="A4480" s="57"/>
    </row>
    <row r="4481">
      <c r="A4481" s="57"/>
    </row>
    <row r="4482">
      <c r="A4482" s="57"/>
    </row>
    <row r="4483">
      <c r="A4483" s="57"/>
    </row>
    <row r="4484">
      <c r="A4484" s="57"/>
    </row>
    <row r="4485">
      <c r="A4485" s="57"/>
    </row>
    <row r="4486">
      <c r="A4486" s="57"/>
    </row>
    <row r="4487">
      <c r="A4487" s="57"/>
    </row>
    <row r="4488">
      <c r="A4488" s="57"/>
    </row>
    <row r="4489">
      <c r="A4489" s="57"/>
    </row>
    <row r="4490">
      <c r="A4490" s="57"/>
    </row>
    <row r="4491">
      <c r="A4491" s="57"/>
    </row>
    <row r="4492">
      <c r="A4492" s="57"/>
    </row>
    <row r="4493">
      <c r="A4493" s="57"/>
    </row>
    <row r="4494">
      <c r="A4494" s="57"/>
    </row>
    <row r="4495">
      <c r="A4495" s="57"/>
    </row>
    <row r="4496">
      <c r="A4496" s="57"/>
    </row>
    <row r="4497">
      <c r="A4497" s="57"/>
    </row>
    <row r="4498">
      <c r="A4498" s="57"/>
    </row>
    <row r="4499">
      <c r="A4499" s="57"/>
    </row>
    <row r="4500">
      <c r="A4500" s="57"/>
    </row>
    <row r="4501">
      <c r="A4501" s="57"/>
    </row>
    <row r="4502">
      <c r="A4502" s="57"/>
    </row>
    <row r="4503">
      <c r="A4503" s="57"/>
    </row>
    <row r="4504">
      <c r="A4504" s="57"/>
    </row>
    <row r="4505">
      <c r="A4505" s="57"/>
    </row>
    <row r="4506">
      <c r="A4506" s="57"/>
    </row>
    <row r="4507">
      <c r="A4507" s="57"/>
    </row>
    <row r="4508">
      <c r="A4508" s="57"/>
    </row>
    <row r="4509">
      <c r="A4509" s="57"/>
    </row>
    <row r="4510">
      <c r="A4510" s="57"/>
    </row>
    <row r="4511">
      <c r="A4511" s="57"/>
    </row>
    <row r="4512">
      <c r="A4512" s="57"/>
    </row>
    <row r="4513">
      <c r="A4513" s="57"/>
    </row>
    <row r="4514">
      <c r="A4514" s="57"/>
    </row>
    <row r="4515">
      <c r="A4515" s="57"/>
    </row>
    <row r="4516">
      <c r="A4516" s="57"/>
    </row>
    <row r="4517">
      <c r="A4517" s="57"/>
    </row>
    <row r="4518">
      <c r="A4518" s="57"/>
    </row>
    <row r="4519">
      <c r="A4519" s="57"/>
    </row>
    <row r="4520">
      <c r="A4520" s="57"/>
    </row>
    <row r="4521">
      <c r="A4521" s="57"/>
    </row>
    <row r="4522">
      <c r="A4522" s="57"/>
    </row>
    <row r="4523">
      <c r="A4523" s="57"/>
    </row>
    <row r="4524">
      <c r="A4524" s="57"/>
    </row>
    <row r="4525">
      <c r="A4525" s="57"/>
    </row>
    <row r="4526">
      <c r="A4526" s="57"/>
    </row>
    <row r="4527">
      <c r="A4527" s="57"/>
    </row>
    <row r="4528">
      <c r="A4528" s="57"/>
    </row>
    <row r="4529">
      <c r="A4529" s="57"/>
    </row>
    <row r="4530">
      <c r="A4530" s="57"/>
    </row>
    <row r="4531">
      <c r="A4531" s="57"/>
    </row>
    <row r="4532">
      <c r="A4532" s="57"/>
    </row>
    <row r="4533">
      <c r="A4533" s="57"/>
    </row>
    <row r="4534">
      <c r="A4534" s="57"/>
    </row>
    <row r="4535">
      <c r="A4535" s="57"/>
    </row>
    <row r="4536">
      <c r="A4536" s="57"/>
    </row>
    <row r="4537">
      <c r="A4537" s="57"/>
    </row>
    <row r="4538">
      <c r="A4538" s="57"/>
    </row>
    <row r="4539">
      <c r="A4539" s="57"/>
    </row>
    <row r="4540">
      <c r="A4540" s="57"/>
    </row>
    <row r="4541">
      <c r="A4541" s="57"/>
    </row>
    <row r="4542">
      <c r="A4542" s="57"/>
    </row>
    <row r="4543">
      <c r="A4543" s="57"/>
    </row>
    <row r="4544">
      <c r="A4544" s="57"/>
    </row>
    <row r="4545">
      <c r="A4545" s="57"/>
    </row>
    <row r="4546">
      <c r="A4546" s="57"/>
    </row>
    <row r="4547">
      <c r="A4547" s="57"/>
    </row>
    <row r="4548">
      <c r="A4548" s="57"/>
    </row>
    <row r="4549">
      <c r="A4549" s="57"/>
    </row>
    <row r="4550">
      <c r="A4550" s="57"/>
    </row>
    <row r="4551">
      <c r="A4551" s="57"/>
    </row>
    <row r="4552">
      <c r="A4552" s="57"/>
    </row>
    <row r="4553">
      <c r="A4553" s="57"/>
    </row>
    <row r="4554">
      <c r="A4554" s="57"/>
    </row>
    <row r="4555">
      <c r="A4555" s="57"/>
    </row>
    <row r="4556">
      <c r="A4556" s="57"/>
    </row>
    <row r="4557">
      <c r="A4557" s="57"/>
    </row>
    <row r="4558">
      <c r="A4558" s="57"/>
    </row>
    <row r="4559">
      <c r="A4559" s="57"/>
    </row>
    <row r="4560">
      <c r="A4560" s="57"/>
    </row>
    <row r="4561">
      <c r="A4561" s="57"/>
    </row>
    <row r="4562">
      <c r="A4562" s="57"/>
    </row>
    <row r="4563">
      <c r="A4563" s="57"/>
    </row>
    <row r="4564">
      <c r="A4564" s="57"/>
    </row>
    <row r="4565">
      <c r="A4565" s="57"/>
    </row>
    <row r="4566">
      <c r="A4566" s="57"/>
    </row>
    <row r="4567">
      <c r="A4567" s="57"/>
    </row>
    <row r="4568">
      <c r="A4568" s="57"/>
    </row>
    <row r="4569">
      <c r="A4569" s="57"/>
    </row>
    <row r="4570">
      <c r="A4570" s="57"/>
    </row>
    <row r="4571">
      <c r="A4571" s="57"/>
    </row>
    <row r="4572">
      <c r="A4572" s="57"/>
    </row>
    <row r="4573">
      <c r="A4573" s="57"/>
    </row>
    <row r="4574">
      <c r="A4574" s="57"/>
    </row>
    <row r="4575">
      <c r="A4575" s="57"/>
    </row>
    <row r="4576">
      <c r="A4576" s="57"/>
    </row>
    <row r="4577">
      <c r="A4577" s="57"/>
    </row>
    <row r="4578">
      <c r="A4578" s="57"/>
    </row>
    <row r="4579">
      <c r="A4579" s="57"/>
    </row>
    <row r="4580">
      <c r="A4580" s="57"/>
    </row>
    <row r="4581">
      <c r="A4581" s="57"/>
    </row>
    <row r="4582">
      <c r="A4582" s="57"/>
    </row>
    <row r="4583">
      <c r="A4583" s="57"/>
    </row>
    <row r="4584">
      <c r="A4584" s="57"/>
    </row>
    <row r="4585">
      <c r="A4585" s="57"/>
    </row>
    <row r="4586">
      <c r="A4586" s="57"/>
    </row>
    <row r="4587">
      <c r="A4587" s="57"/>
    </row>
    <row r="4588">
      <c r="A4588" s="57"/>
    </row>
    <row r="4589">
      <c r="A4589" s="57"/>
    </row>
    <row r="4590">
      <c r="A4590" s="57"/>
    </row>
    <row r="4591">
      <c r="A4591" s="57"/>
    </row>
    <row r="4592">
      <c r="A4592" s="57"/>
    </row>
    <row r="4593">
      <c r="A4593" s="57"/>
    </row>
    <row r="4594">
      <c r="A4594" s="57"/>
    </row>
    <row r="4595">
      <c r="A4595" s="57"/>
    </row>
    <row r="4596">
      <c r="A4596" s="57"/>
    </row>
    <row r="4597">
      <c r="A4597" s="57"/>
    </row>
    <row r="4598">
      <c r="A4598" s="57"/>
    </row>
    <row r="4599">
      <c r="A4599" s="57"/>
    </row>
    <row r="4600">
      <c r="A4600" s="57"/>
    </row>
    <row r="4601">
      <c r="A4601" s="57"/>
    </row>
    <row r="4602">
      <c r="A4602" s="57"/>
    </row>
    <row r="4603">
      <c r="A4603" s="57"/>
    </row>
    <row r="4604">
      <c r="A4604" s="57"/>
    </row>
    <row r="4605">
      <c r="A4605" s="57"/>
    </row>
    <row r="4606">
      <c r="A4606" s="57"/>
    </row>
    <row r="4607">
      <c r="A4607" s="57"/>
    </row>
    <row r="4608">
      <c r="A4608" s="57"/>
    </row>
    <row r="4609">
      <c r="A4609" s="57"/>
    </row>
    <row r="4610">
      <c r="A4610" s="57"/>
    </row>
    <row r="4611">
      <c r="A4611" s="57"/>
    </row>
    <row r="4612">
      <c r="A4612" s="57"/>
    </row>
    <row r="4613">
      <c r="A4613" s="57"/>
    </row>
    <row r="4614">
      <c r="A4614" s="57"/>
    </row>
    <row r="4615">
      <c r="A4615" s="57"/>
    </row>
    <row r="4616">
      <c r="A4616" s="57"/>
    </row>
    <row r="4617">
      <c r="A4617" s="57"/>
    </row>
    <row r="4618">
      <c r="A4618" s="57"/>
    </row>
    <row r="4619">
      <c r="A4619" s="57"/>
    </row>
    <row r="4620">
      <c r="A4620" s="57"/>
    </row>
    <row r="4621">
      <c r="A4621" s="57"/>
    </row>
    <row r="4622">
      <c r="A4622" s="57"/>
    </row>
    <row r="4623">
      <c r="A4623" s="57"/>
    </row>
    <row r="4624">
      <c r="A4624" s="57"/>
    </row>
    <row r="4625">
      <c r="A4625" s="57"/>
    </row>
    <row r="4626">
      <c r="A4626" s="57"/>
    </row>
    <row r="4627">
      <c r="A4627" s="57"/>
    </row>
    <row r="4628">
      <c r="A4628" s="57"/>
    </row>
    <row r="4629">
      <c r="A4629" s="57"/>
    </row>
    <row r="4630">
      <c r="A4630" s="57"/>
    </row>
    <row r="4631">
      <c r="A4631" s="57"/>
    </row>
    <row r="4632">
      <c r="A4632" s="57"/>
    </row>
    <row r="4633">
      <c r="A4633" s="57"/>
    </row>
    <row r="4634">
      <c r="A4634" s="57"/>
    </row>
    <row r="4635">
      <c r="A4635" s="57"/>
    </row>
    <row r="4636">
      <c r="A4636" s="57"/>
    </row>
    <row r="4637">
      <c r="A4637" s="57"/>
    </row>
    <row r="4638">
      <c r="A4638" s="57"/>
    </row>
    <row r="4639">
      <c r="A4639" s="57"/>
    </row>
    <row r="4640">
      <c r="A4640" s="57"/>
    </row>
    <row r="4641">
      <c r="A4641" s="57"/>
    </row>
    <row r="4642">
      <c r="A4642" s="57"/>
    </row>
    <row r="4643">
      <c r="A4643" s="57"/>
    </row>
    <row r="4644">
      <c r="A4644" s="57"/>
    </row>
    <row r="4645">
      <c r="A4645" s="57"/>
    </row>
    <row r="4646">
      <c r="A4646" s="57"/>
    </row>
    <row r="4647">
      <c r="A4647" s="57"/>
    </row>
    <row r="4648">
      <c r="A4648" s="57"/>
    </row>
    <row r="4649">
      <c r="A4649" s="57"/>
    </row>
    <row r="4650">
      <c r="A4650" s="57"/>
    </row>
    <row r="4651">
      <c r="A4651" s="57"/>
    </row>
    <row r="4652">
      <c r="A4652" s="57"/>
    </row>
    <row r="4653">
      <c r="A4653" s="57"/>
    </row>
    <row r="4654">
      <c r="A4654" s="57"/>
    </row>
    <row r="4655">
      <c r="A4655" s="57"/>
    </row>
    <row r="4656">
      <c r="A4656" s="57"/>
    </row>
    <row r="4657">
      <c r="A4657" s="57"/>
    </row>
    <row r="4658">
      <c r="A4658" s="57"/>
    </row>
    <row r="4659">
      <c r="A4659" s="57"/>
    </row>
    <row r="4660">
      <c r="A4660" s="57"/>
    </row>
    <row r="4661">
      <c r="A4661" s="57"/>
    </row>
    <row r="4662">
      <c r="A4662" s="57"/>
    </row>
    <row r="4663">
      <c r="A4663" s="57"/>
    </row>
    <row r="4664">
      <c r="A4664" s="57"/>
    </row>
    <row r="4665">
      <c r="A4665" s="57"/>
    </row>
    <row r="4666">
      <c r="A4666" s="57"/>
    </row>
    <row r="4667">
      <c r="A4667" s="57"/>
    </row>
    <row r="4668">
      <c r="A4668" s="57"/>
    </row>
    <row r="4669">
      <c r="A4669" s="57"/>
    </row>
    <row r="4670">
      <c r="A4670" s="57"/>
    </row>
    <row r="4671">
      <c r="A4671" s="57"/>
    </row>
    <row r="4672">
      <c r="A4672" s="57"/>
    </row>
    <row r="4673">
      <c r="A4673" s="57"/>
    </row>
    <row r="4674">
      <c r="A4674" s="57"/>
    </row>
    <row r="4675">
      <c r="A4675" s="57"/>
    </row>
    <row r="4676">
      <c r="A4676" s="57"/>
    </row>
    <row r="4677">
      <c r="A4677" s="57"/>
    </row>
    <row r="4678">
      <c r="A4678" s="57"/>
    </row>
    <row r="4679">
      <c r="A4679" s="57"/>
    </row>
    <row r="4680">
      <c r="A4680" s="57"/>
    </row>
    <row r="4681">
      <c r="A4681" s="57"/>
    </row>
    <row r="4682">
      <c r="A4682" s="57"/>
    </row>
    <row r="4683">
      <c r="A4683" s="57"/>
    </row>
    <row r="4684">
      <c r="A4684" s="57"/>
    </row>
    <row r="4685">
      <c r="A4685" s="57"/>
    </row>
    <row r="4686">
      <c r="A4686" s="57"/>
    </row>
    <row r="4687">
      <c r="A4687" s="57"/>
    </row>
    <row r="4688">
      <c r="A4688" s="57"/>
    </row>
    <row r="4689">
      <c r="A4689" s="57"/>
    </row>
    <row r="4690">
      <c r="A4690" s="57"/>
    </row>
    <row r="4691">
      <c r="A4691" s="57"/>
    </row>
    <row r="4692">
      <c r="A4692" s="57"/>
    </row>
    <row r="4693">
      <c r="A4693" s="57"/>
    </row>
    <row r="4694">
      <c r="A4694" s="57"/>
    </row>
    <row r="4695">
      <c r="A4695" s="57"/>
    </row>
    <row r="4696">
      <c r="A4696" s="57"/>
    </row>
    <row r="4697">
      <c r="A4697" s="57"/>
    </row>
    <row r="4698">
      <c r="A4698" s="57"/>
    </row>
    <row r="4699">
      <c r="A4699" s="57"/>
    </row>
    <row r="4700">
      <c r="A4700" s="57"/>
    </row>
    <row r="4701">
      <c r="A4701" s="57"/>
    </row>
    <row r="4702">
      <c r="A4702" s="57"/>
    </row>
    <row r="4703">
      <c r="A4703" s="57"/>
    </row>
    <row r="4704">
      <c r="A4704" s="57"/>
    </row>
    <row r="4705">
      <c r="A4705" s="57"/>
    </row>
    <row r="4706">
      <c r="A4706" s="57"/>
    </row>
    <row r="4707">
      <c r="A4707" s="57"/>
    </row>
    <row r="4708">
      <c r="A4708" s="57"/>
    </row>
    <row r="4709">
      <c r="A4709" s="57"/>
    </row>
    <row r="4710">
      <c r="A4710" s="57"/>
    </row>
    <row r="4711">
      <c r="A4711" s="57"/>
    </row>
    <row r="4712">
      <c r="A4712" s="57"/>
    </row>
    <row r="4713">
      <c r="A4713" s="57"/>
    </row>
    <row r="4714">
      <c r="A4714" s="57"/>
    </row>
    <row r="4715">
      <c r="A4715" s="57"/>
    </row>
    <row r="4716">
      <c r="A4716" s="57"/>
    </row>
    <row r="4717">
      <c r="A4717" s="57"/>
    </row>
    <row r="4718">
      <c r="A4718" s="57"/>
    </row>
    <row r="4719">
      <c r="A4719" s="57"/>
    </row>
    <row r="4720">
      <c r="A4720" s="57"/>
    </row>
    <row r="4721">
      <c r="A4721" s="57"/>
    </row>
    <row r="4722">
      <c r="A4722" s="57"/>
    </row>
    <row r="4723">
      <c r="A4723" s="57"/>
    </row>
    <row r="4724">
      <c r="A4724" s="57"/>
    </row>
    <row r="4725">
      <c r="A4725" s="57"/>
    </row>
    <row r="4726">
      <c r="A4726" s="57"/>
    </row>
    <row r="4727">
      <c r="A4727" s="57"/>
    </row>
    <row r="4728">
      <c r="A4728" s="57"/>
    </row>
    <row r="4729">
      <c r="A4729" s="57"/>
    </row>
    <row r="4730">
      <c r="A4730" s="57"/>
    </row>
    <row r="4731">
      <c r="A4731" s="57"/>
    </row>
    <row r="4732">
      <c r="A4732" s="57"/>
    </row>
    <row r="4733">
      <c r="A4733" s="57"/>
    </row>
    <row r="4734">
      <c r="A4734" s="57"/>
    </row>
    <row r="4735">
      <c r="A4735" s="57"/>
    </row>
    <row r="4736">
      <c r="A4736" s="57"/>
    </row>
    <row r="4737">
      <c r="A4737" s="57"/>
    </row>
    <row r="4738">
      <c r="A4738" s="57"/>
    </row>
    <row r="4739">
      <c r="A4739" s="57"/>
    </row>
    <row r="4740">
      <c r="A4740" s="57"/>
    </row>
    <row r="4741">
      <c r="A4741" s="57"/>
    </row>
    <row r="4742">
      <c r="A4742" s="57"/>
    </row>
    <row r="4743">
      <c r="A4743" s="57"/>
    </row>
    <row r="4744">
      <c r="A4744" s="57"/>
    </row>
    <row r="4745">
      <c r="A4745" s="57"/>
    </row>
    <row r="4746">
      <c r="A4746" s="57"/>
    </row>
    <row r="4747">
      <c r="A4747" s="57"/>
    </row>
    <row r="4748">
      <c r="A4748" s="57"/>
    </row>
    <row r="4749">
      <c r="A4749" s="57"/>
    </row>
    <row r="4750">
      <c r="A4750" s="57"/>
    </row>
    <row r="4751">
      <c r="A4751" s="57"/>
    </row>
    <row r="4752">
      <c r="A4752" s="57"/>
    </row>
    <row r="4753">
      <c r="A4753" s="57"/>
    </row>
    <row r="4754">
      <c r="A4754" s="57"/>
    </row>
    <row r="4755">
      <c r="A4755" s="57"/>
    </row>
    <row r="4756">
      <c r="A4756" s="57"/>
    </row>
    <row r="4757">
      <c r="A4757" s="57"/>
    </row>
    <row r="4758">
      <c r="A4758" s="57"/>
    </row>
    <row r="4759">
      <c r="A4759" s="57"/>
    </row>
    <row r="4760">
      <c r="A4760" s="57"/>
    </row>
    <row r="4761">
      <c r="A4761" s="57"/>
    </row>
    <row r="4762">
      <c r="A4762" s="57"/>
    </row>
    <row r="4763">
      <c r="A4763" s="57"/>
    </row>
    <row r="4764">
      <c r="A4764" s="57"/>
    </row>
    <row r="4765">
      <c r="A4765" s="57"/>
    </row>
    <row r="4766">
      <c r="A4766" s="57"/>
    </row>
    <row r="4767">
      <c r="A4767" s="57"/>
    </row>
    <row r="4768">
      <c r="A4768" s="57"/>
    </row>
    <row r="4769">
      <c r="A4769" s="57"/>
    </row>
    <row r="4770">
      <c r="A4770" s="57"/>
    </row>
    <row r="4771">
      <c r="A4771" s="57"/>
    </row>
    <row r="4772">
      <c r="A4772" s="57"/>
    </row>
    <row r="4773">
      <c r="A4773" s="57"/>
    </row>
    <row r="4774">
      <c r="A4774" s="57"/>
    </row>
    <row r="4775">
      <c r="A4775" s="57"/>
    </row>
    <row r="4776">
      <c r="A4776" s="57"/>
    </row>
    <row r="4777">
      <c r="A4777" s="57"/>
    </row>
    <row r="4778">
      <c r="A4778" s="57"/>
    </row>
    <row r="4779">
      <c r="A4779" s="57"/>
    </row>
    <row r="4780">
      <c r="A4780" s="57"/>
    </row>
    <row r="4781">
      <c r="A4781" s="57"/>
    </row>
    <row r="4782">
      <c r="A4782" s="57"/>
    </row>
    <row r="4783">
      <c r="A4783" s="57"/>
    </row>
    <row r="4784">
      <c r="A4784" s="57"/>
    </row>
    <row r="4785">
      <c r="A4785" s="57"/>
    </row>
    <row r="4786">
      <c r="A4786" s="57"/>
    </row>
    <row r="4787">
      <c r="A4787" s="57"/>
    </row>
    <row r="4788">
      <c r="A4788" s="57"/>
    </row>
    <row r="4789">
      <c r="A4789" s="57"/>
    </row>
    <row r="4790">
      <c r="A4790" s="57"/>
    </row>
    <row r="4791">
      <c r="A4791" s="57"/>
    </row>
    <row r="4792">
      <c r="A4792" s="57"/>
    </row>
    <row r="4793">
      <c r="A4793" s="57"/>
    </row>
    <row r="4794">
      <c r="A4794" s="57"/>
    </row>
    <row r="4795">
      <c r="A4795" s="57"/>
    </row>
    <row r="4796">
      <c r="A4796" s="57"/>
    </row>
    <row r="4797">
      <c r="A4797" s="57"/>
    </row>
    <row r="4798">
      <c r="A4798" s="57"/>
    </row>
    <row r="4799">
      <c r="A4799" s="57"/>
    </row>
    <row r="4800">
      <c r="A4800" s="57"/>
    </row>
    <row r="4801">
      <c r="A4801" s="57"/>
    </row>
    <row r="4802">
      <c r="A4802" s="57"/>
    </row>
    <row r="4803">
      <c r="A4803" s="57"/>
    </row>
    <row r="4804">
      <c r="A4804" s="57"/>
    </row>
    <row r="4805">
      <c r="A4805" s="57"/>
    </row>
    <row r="4806">
      <c r="A4806" s="57"/>
    </row>
    <row r="4807">
      <c r="A4807" s="57"/>
    </row>
    <row r="4808">
      <c r="A4808" s="57"/>
    </row>
    <row r="4809">
      <c r="A4809" s="57"/>
    </row>
    <row r="4810">
      <c r="A4810" s="57"/>
    </row>
    <row r="4811">
      <c r="A4811" s="57"/>
    </row>
    <row r="4812">
      <c r="A4812" s="57"/>
    </row>
    <row r="4813">
      <c r="A4813" s="57"/>
    </row>
    <row r="4814">
      <c r="A4814" s="57"/>
    </row>
    <row r="4815">
      <c r="A4815" s="57"/>
    </row>
    <row r="4816">
      <c r="A4816" s="57"/>
    </row>
    <row r="4817">
      <c r="A4817" s="57"/>
    </row>
    <row r="4818">
      <c r="A4818" s="57"/>
    </row>
    <row r="4819">
      <c r="A4819" s="57"/>
    </row>
    <row r="4820">
      <c r="A4820" s="57"/>
    </row>
    <row r="4821">
      <c r="A4821" s="57"/>
    </row>
    <row r="4822">
      <c r="A4822" s="57"/>
    </row>
    <row r="4823">
      <c r="A4823" s="57"/>
    </row>
    <row r="4824">
      <c r="A4824" s="57"/>
    </row>
    <row r="4825">
      <c r="A4825" s="57"/>
    </row>
    <row r="4826">
      <c r="A4826" s="57"/>
    </row>
    <row r="4827">
      <c r="A4827" s="57"/>
    </row>
    <row r="4828">
      <c r="A4828" s="57"/>
    </row>
    <row r="4829">
      <c r="A4829" s="57"/>
    </row>
    <row r="4830">
      <c r="A4830" s="57"/>
    </row>
    <row r="4831">
      <c r="A4831" s="57"/>
    </row>
    <row r="4832">
      <c r="A4832" s="57"/>
    </row>
    <row r="4833">
      <c r="A4833" s="57"/>
    </row>
    <row r="4834">
      <c r="A4834" s="57"/>
    </row>
    <row r="4835">
      <c r="A4835" s="57"/>
    </row>
    <row r="4836">
      <c r="A4836" s="57"/>
    </row>
    <row r="4837">
      <c r="A4837" s="57"/>
    </row>
    <row r="4838">
      <c r="A4838" s="57"/>
    </row>
    <row r="4839">
      <c r="A4839" s="57"/>
    </row>
    <row r="4840">
      <c r="A4840" s="57"/>
    </row>
    <row r="4841">
      <c r="A4841" s="57"/>
    </row>
    <row r="4842">
      <c r="A4842" s="57"/>
    </row>
    <row r="4843">
      <c r="A4843" s="57"/>
    </row>
    <row r="4844">
      <c r="A4844" s="57"/>
    </row>
    <row r="4845">
      <c r="A4845" s="57"/>
    </row>
    <row r="4846">
      <c r="A4846" s="57"/>
    </row>
    <row r="4847">
      <c r="A4847" s="57"/>
    </row>
    <row r="4848">
      <c r="A4848" s="57"/>
    </row>
    <row r="4849">
      <c r="A4849" s="57"/>
    </row>
    <row r="4850">
      <c r="A4850" s="57"/>
    </row>
    <row r="4851">
      <c r="A4851" s="57"/>
    </row>
    <row r="4852">
      <c r="A4852" s="57"/>
    </row>
    <row r="4853">
      <c r="A4853" s="57"/>
    </row>
    <row r="4854">
      <c r="A4854" s="57"/>
    </row>
    <row r="4855">
      <c r="A4855" s="57"/>
    </row>
    <row r="4856">
      <c r="A4856" s="57"/>
    </row>
    <row r="4857">
      <c r="A4857" s="57"/>
    </row>
    <row r="4858">
      <c r="A4858" s="57"/>
    </row>
    <row r="4859">
      <c r="A4859" s="57"/>
    </row>
    <row r="4860">
      <c r="A4860" s="57"/>
    </row>
    <row r="4861">
      <c r="A4861" s="57"/>
    </row>
    <row r="4862">
      <c r="A4862" s="57"/>
    </row>
    <row r="4863">
      <c r="A4863" s="57"/>
    </row>
    <row r="4864">
      <c r="A4864" s="57"/>
    </row>
    <row r="4865">
      <c r="A4865" s="57"/>
    </row>
    <row r="4866">
      <c r="A4866" s="57"/>
    </row>
    <row r="4867">
      <c r="A4867" s="57"/>
    </row>
    <row r="4868">
      <c r="A4868" s="57"/>
    </row>
    <row r="4869">
      <c r="A4869" s="57"/>
    </row>
    <row r="4870">
      <c r="A4870" s="57"/>
    </row>
    <row r="4871">
      <c r="A4871" s="57"/>
    </row>
    <row r="4872">
      <c r="A4872" s="57"/>
    </row>
    <row r="4873">
      <c r="A4873" s="57"/>
    </row>
    <row r="4874">
      <c r="A4874" s="57"/>
    </row>
    <row r="4875">
      <c r="A4875" s="57"/>
    </row>
    <row r="4876">
      <c r="A4876" s="57"/>
    </row>
    <row r="4877">
      <c r="A4877" s="57"/>
    </row>
    <row r="4878">
      <c r="A4878" s="57"/>
    </row>
    <row r="4879">
      <c r="A4879" s="57"/>
    </row>
    <row r="4880">
      <c r="A4880" s="57"/>
    </row>
    <row r="4881">
      <c r="A4881" s="57"/>
    </row>
    <row r="4882">
      <c r="A4882" s="57"/>
    </row>
    <row r="4883">
      <c r="A4883" s="57"/>
    </row>
    <row r="4884">
      <c r="A4884" s="57"/>
    </row>
    <row r="4885">
      <c r="A4885" s="57"/>
    </row>
    <row r="4886">
      <c r="A4886" s="57"/>
    </row>
    <row r="4887">
      <c r="A4887" s="57"/>
    </row>
    <row r="4888">
      <c r="A4888" s="57"/>
    </row>
    <row r="4889">
      <c r="A4889" s="57"/>
    </row>
    <row r="4890">
      <c r="A4890" s="57"/>
    </row>
    <row r="4891">
      <c r="A4891" s="57"/>
    </row>
    <row r="4892">
      <c r="A4892" s="57"/>
    </row>
    <row r="4893">
      <c r="A4893" s="57"/>
    </row>
    <row r="4894">
      <c r="A4894" s="57"/>
    </row>
    <row r="4895">
      <c r="A4895" s="57"/>
    </row>
    <row r="4896">
      <c r="A4896" s="57"/>
    </row>
    <row r="4897">
      <c r="A4897" s="57"/>
    </row>
    <row r="4898">
      <c r="A4898" s="57"/>
    </row>
    <row r="4899">
      <c r="A4899" s="57"/>
    </row>
    <row r="4900">
      <c r="A4900" s="57"/>
    </row>
    <row r="4901">
      <c r="A4901" s="57"/>
    </row>
    <row r="4902">
      <c r="A4902" s="57"/>
    </row>
    <row r="4903">
      <c r="A4903" s="57"/>
    </row>
    <row r="4904">
      <c r="A4904" s="57"/>
    </row>
    <row r="4905">
      <c r="A4905" s="57"/>
    </row>
    <row r="4906">
      <c r="A4906" s="57"/>
    </row>
    <row r="4907">
      <c r="A4907" s="57"/>
    </row>
    <row r="4908">
      <c r="A4908" s="57"/>
    </row>
    <row r="4909">
      <c r="A4909" s="57"/>
    </row>
    <row r="4910">
      <c r="A4910" s="57"/>
    </row>
    <row r="4911">
      <c r="A4911" s="57"/>
    </row>
    <row r="4912">
      <c r="A4912" s="57"/>
    </row>
    <row r="4913">
      <c r="A4913" s="57"/>
    </row>
    <row r="4914">
      <c r="A4914" s="57"/>
    </row>
    <row r="4915">
      <c r="A4915" s="57"/>
    </row>
    <row r="4916">
      <c r="A4916" s="57"/>
    </row>
    <row r="4917">
      <c r="A4917" s="57"/>
    </row>
    <row r="4918">
      <c r="A4918" s="57"/>
    </row>
    <row r="4919">
      <c r="A4919" s="57"/>
    </row>
    <row r="4920">
      <c r="A4920" s="57"/>
    </row>
    <row r="4921">
      <c r="A4921" s="57"/>
    </row>
    <row r="4922">
      <c r="A4922" s="57"/>
    </row>
    <row r="4923">
      <c r="A4923" s="57"/>
    </row>
    <row r="4924">
      <c r="A4924" s="57"/>
    </row>
    <row r="4925">
      <c r="A4925" s="57"/>
    </row>
    <row r="4926">
      <c r="A4926" s="57"/>
    </row>
    <row r="4927">
      <c r="A4927" s="57"/>
    </row>
    <row r="4928">
      <c r="A4928" s="57"/>
    </row>
    <row r="4929">
      <c r="A4929" s="57"/>
    </row>
    <row r="4930">
      <c r="A4930" s="57"/>
    </row>
    <row r="4931">
      <c r="A4931" s="57"/>
    </row>
    <row r="4932">
      <c r="A4932" s="57"/>
    </row>
    <row r="4933">
      <c r="A4933" s="57"/>
    </row>
    <row r="4934">
      <c r="A4934" s="57"/>
    </row>
    <row r="4935">
      <c r="A4935" s="57"/>
    </row>
    <row r="4936">
      <c r="A4936" s="57"/>
    </row>
    <row r="4937">
      <c r="A4937" s="57"/>
    </row>
    <row r="4938">
      <c r="A4938" s="57"/>
    </row>
    <row r="4939">
      <c r="A4939" s="57"/>
    </row>
    <row r="4940">
      <c r="A4940" s="57"/>
    </row>
    <row r="4941">
      <c r="A4941" s="57"/>
    </row>
    <row r="4942">
      <c r="A4942" s="57"/>
    </row>
    <row r="4943">
      <c r="A4943" s="57"/>
    </row>
    <row r="4944">
      <c r="A4944" s="57"/>
    </row>
    <row r="4945">
      <c r="A4945" s="57"/>
    </row>
    <row r="4946">
      <c r="A4946" s="57"/>
    </row>
    <row r="4947">
      <c r="A4947" s="57"/>
    </row>
    <row r="4948">
      <c r="A4948" s="57"/>
    </row>
    <row r="4949">
      <c r="A4949" s="57"/>
    </row>
    <row r="4950">
      <c r="A4950" s="57"/>
    </row>
    <row r="4951">
      <c r="A4951" s="57"/>
    </row>
    <row r="4952">
      <c r="A4952" s="57"/>
    </row>
    <row r="4953">
      <c r="A4953" s="57"/>
    </row>
    <row r="4954">
      <c r="A4954" s="57"/>
    </row>
    <row r="4955">
      <c r="A4955" s="57"/>
    </row>
    <row r="4956">
      <c r="A4956" s="57"/>
    </row>
    <row r="4957">
      <c r="A4957" s="57"/>
    </row>
    <row r="4958">
      <c r="A4958" s="57"/>
    </row>
    <row r="4959">
      <c r="A4959" s="57"/>
    </row>
    <row r="4960">
      <c r="A4960" s="57"/>
    </row>
    <row r="4961">
      <c r="A4961" s="57"/>
    </row>
    <row r="4962">
      <c r="A4962" s="57"/>
    </row>
    <row r="4963">
      <c r="A4963" s="57"/>
    </row>
    <row r="4964">
      <c r="A4964" s="57"/>
    </row>
    <row r="4965">
      <c r="A4965" s="57"/>
    </row>
    <row r="4966">
      <c r="A4966" s="57"/>
    </row>
    <row r="4967">
      <c r="A4967" s="57"/>
    </row>
    <row r="4968">
      <c r="A4968" s="57"/>
    </row>
    <row r="4969">
      <c r="A4969" s="57"/>
    </row>
    <row r="4970">
      <c r="A4970" s="57"/>
    </row>
    <row r="4971">
      <c r="A4971" s="57"/>
    </row>
    <row r="4972">
      <c r="A4972" s="57"/>
    </row>
    <row r="4973">
      <c r="A4973" s="57"/>
    </row>
    <row r="4974">
      <c r="A4974" s="57"/>
    </row>
    <row r="4975">
      <c r="A4975" s="57"/>
    </row>
    <row r="4976">
      <c r="A4976" s="57"/>
    </row>
    <row r="4977">
      <c r="A4977" s="57"/>
    </row>
    <row r="4978">
      <c r="A4978" s="57"/>
    </row>
    <row r="4979">
      <c r="A4979" s="57"/>
    </row>
    <row r="4980">
      <c r="A4980" s="57"/>
    </row>
    <row r="4981">
      <c r="A4981" s="57"/>
    </row>
    <row r="4982">
      <c r="A4982" s="57"/>
    </row>
    <row r="4983">
      <c r="A4983" s="57"/>
    </row>
    <row r="4984">
      <c r="A4984" s="57"/>
    </row>
    <row r="4985">
      <c r="A4985" s="57"/>
    </row>
    <row r="4986">
      <c r="A4986" s="57"/>
    </row>
    <row r="4987">
      <c r="A4987" s="57"/>
    </row>
    <row r="4988">
      <c r="A4988" s="57"/>
    </row>
    <row r="4989">
      <c r="A4989" s="57"/>
    </row>
    <row r="4990">
      <c r="A4990" s="57"/>
    </row>
    <row r="4991">
      <c r="A4991" s="57"/>
    </row>
    <row r="4992">
      <c r="A4992" s="57"/>
    </row>
    <row r="4993">
      <c r="A4993" s="57"/>
    </row>
    <row r="4994">
      <c r="A4994" s="57"/>
    </row>
    <row r="4995">
      <c r="A4995" s="57"/>
    </row>
    <row r="4996">
      <c r="A4996" s="57"/>
    </row>
    <row r="4997">
      <c r="A4997" s="57"/>
    </row>
    <row r="4998">
      <c r="A4998" s="57"/>
    </row>
    <row r="4999">
      <c r="A4999" s="57"/>
    </row>
    <row r="5000">
      <c r="A5000" s="57"/>
    </row>
    <row r="5001">
      <c r="A5001" s="57"/>
    </row>
    <row r="5002">
      <c r="A5002" s="57"/>
    </row>
    <row r="5003">
      <c r="A5003" s="57"/>
    </row>
    <row r="5004">
      <c r="A5004" s="57"/>
    </row>
    <row r="5005">
      <c r="A5005" s="57"/>
    </row>
    <row r="5006">
      <c r="A5006" s="57"/>
    </row>
    <row r="5007">
      <c r="A5007" s="57"/>
    </row>
    <row r="5008">
      <c r="A5008" s="57"/>
    </row>
    <row r="5009">
      <c r="A5009" s="57"/>
    </row>
    <row r="5010">
      <c r="A5010" s="57"/>
    </row>
    <row r="5011">
      <c r="A5011" s="57"/>
    </row>
    <row r="5012">
      <c r="A5012" s="57"/>
    </row>
    <row r="5013">
      <c r="A5013" s="57"/>
    </row>
    <row r="5014">
      <c r="A5014" s="57"/>
    </row>
    <row r="5015">
      <c r="A5015" s="57"/>
    </row>
    <row r="5016">
      <c r="A5016" s="57"/>
    </row>
    <row r="5017">
      <c r="A5017" s="57"/>
    </row>
    <row r="5018">
      <c r="A5018" s="57"/>
    </row>
    <row r="5019">
      <c r="A5019" s="57"/>
    </row>
    <row r="5020">
      <c r="A5020" s="57"/>
    </row>
    <row r="5021">
      <c r="A5021" s="57"/>
    </row>
    <row r="5022">
      <c r="A5022" s="57"/>
    </row>
    <row r="5023">
      <c r="A5023" s="57"/>
    </row>
    <row r="5024">
      <c r="A5024" s="57"/>
    </row>
    <row r="5025">
      <c r="A5025" s="57"/>
    </row>
    <row r="5026">
      <c r="A5026" s="57"/>
    </row>
    <row r="5027">
      <c r="A5027" s="57"/>
    </row>
    <row r="5028">
      <c r="A5028" s="57"/>
    </row>
    <row r="5029">
      <c r="A5029" s="57"/>
    </row>
    <row r="5030">
      <c r="A5030" s="57"/>
    </row>
    <row r="5031">
      <c r="A5031" s="57"/>
    </row>
    <row r="5032">
      <c r="A5032" s="57"/>
    </row>
    <row r="5033">
      <c r="A5033" s="57"/>
    </row>
    <row r="5034">
      <c r="A5034" s="57"/>
    </row>
    <row r="5035">
      <c r="A5035" s="57"/>
    </row>
    <row r="5036">
      <c r="A5036" s="57"/>
    </row>
    <row r="5037">
      <c r="A5037" s="57"/>
    </row>
    <row r="5038">
      <c r="A5038" s="57"/>
    </row>
    <row r="5039">
      <c r="A5039" s="57"/>
    </row>
    <row r="5040">
      <c r="A5040" s="57"/>
    </row>
    <row r="5041">
      <c r="A5041" s="57"/>
    </row>
    <row r="5042">
      <c r="A5042" s="57"/>
    </row>
    <row r="5043">
      <c r="A5043" s="57"/>
    </row>
    <row r="5044">
      <c r="A5044" s="57"/>
    </row>
    <row r="5045">
      <c r="A5045" s="57"/>
    </row>
    <row r="5046">
      <c r="A5046" s="57"/>
    </row>
    <row r="5047">
      <c r="A5047" s="57"/>
    </row>
    <row r="5048">
      <c r="A5048" s="57"/>
    </row>
    <row r="5049">
      <c r="A5049" s="57"/>
    </row>
    <row r="5050">
      <c r="A5050" s="57"/>
    </row>
    <row r="5051">
      <c r="A5051" s="57"/>
    </row>
    <row r="5052">
      <c r="A5052" s="57"/>
    </row>
    <row r="5053">
      <c r="A5053" s="57"/>
    </row>
    <row r="5054">
      <c r="A5054" s="57"/>
    </row>
    <row r="5055">
      <c r="A5055" s="57"/>
    </row>
    <row r="5056">
      <c r="A5056" s="57"/>
    </row>
    <row r="5057">
      <c r="A5057" s="57"/>
    </row>
    <row r="5058">
      <c r="A5058" s="57"/>
    </row>
    <row r="5059">
      <c r="A5059" s="57"/>
    </row>
    <row r="5060">
      <c r="A5060" s="57"/>
    </row>
    <row r="5061">
      <c r="A5061" s="57"/>
    </row>
    <row r="5062">
      <c r="A5062" s="57"/>
    </row>
    <row r="5063">
      <c r="A5063" s="57"/>
    </row>
    <row r="5064">
      <c r="A5064" s="57"/>
    </row>
    <row r="5065">
      <c r="A5065" s="57"/>
    </row>
    <row r="5066">
      <c r="A5066" s="57"/>
    </row>
    <row r="5067">
      <c r="A5067" s="57"/>
    </row>
    <row r="5068">
      <c r="A5068" s="57"/>
    </row>
    <row r="5069">
      <c r="A5069" s="57"/>
    </row>
    <row r="5070">
      <c r="A5070" s="57"/>
    </row>
    <row r="5071">
      <c r="A5071" s="57"/>
    </row>
    <row r="5072">
      <c r="A5072" s="57"/>
    </row>
    <row r="5073">
      <c r="A5073" s="57"/>
    </row>
    <row r="5074">
      <c r="A5074" s="57"/>
    </row>
    <row r="5075">
      <c r="A5075" s="57"/>
    </row>
    <row r="5076">
      <c r="A5076" s="57"/>
    </row>
    <row r="5077">
      <c r="A5077" s="57"/>
    </row>
    <row r="5078">
      <c r="A5078" s="57"/>
    </row>
    <row r="5079">
      <c r="A5079" s="57"/>
    </row>
    <row r="5080">
      <c r="A5080" s="57"/>
    </row>
    <row r="5081">
      <c r="A5081" s="57"/>
    </row>
    <row r="5082">
      <c r="A5082" s="57"/>
    </row>
    <row r="5083">
      <c r="A5083" s="57"/>
    </row>
    <row r="5084">
      <c r="A5084" s="57"/>
    </row>
    <row r="5085">
      <c r="A5085" s="57"/>
    </row>
    <row r="5086">
      <c r="A5086" s="57"/>
    </row>
    <row r="5087">
      <c r="A5087" s="57"/>
    </row>
    <row r="5088">
      <c r="A5088" s="57"/>
    </row>
    <row r="5089">
      <c r="A5089" s="57"/>
    </row>
    <row r="5090">
      <c r="A5090" s="57"/>
    </row>
    <row r="5091">
      <c r="A5091" s="57"/>
    </row>
    <row r="5092">
      <c r="A5092" s="57"/>
    </row>
    <row r="5093">
      <c r="A5093" s="57"/>
    </row>
    <row r="5094">
      <c r="A5094" s="57"/>
    </row>
    <row r="5095">
      <c r="A5095" s="57"/>
    </row>
    <row r="5096">
      <c r="A5096" s="57"/>
    </row>
    <row r="5097">
      <c r="A5097" s="57"/>
    </row>
    <row r="5098">
      <c r="A5098" s="57"/>
    </row>
    <row r="5099">
      <c r="A5099" s="57"/>
    </row>
    <row r="5100">
      <c r="A5100" s="57"/>
    </row>
    <row r="5101">
      <c r="A5101" s="57"/>
    </row>
    <row r="5102">
      <c r="A5102" s="57"/>
    </row>
    <row r="5103">
      <c r="A5103" s="57"/>
    </row>
    <row r="5104">
      <c r="A5104" s="57"/>
    </row>
    <row r="5105">
      <c r="A5105" s="57"/>
    </row>
    <row r="5106">
      <c r="A5106" s="57"/>
    </row>
    <row r="5107">
      <c r="A5107" s="57"/>
    </row>
    <row r="5108">
      <c r="A5108" s="57"/>
    </row>
    <row r="5109">
      <c r="A5109" s="57"/>
    </row>
    <row r="5110">
      <c r="A5110" s="57"/>
    </row>
    <row r="5111">
      <c r="A5111" s="57"/>
    </row>
    <row r="5112">
      <c r="A5112" s="57"/>
    </row>
    <row r="5113">
      <c r="A5113" s="57"/>
    </row>
    <row r="5114">
      <c r="A5114" s="57"/>
    </row>
    <row r="5115">
      <c r="A5115" s="57"/>
    </row>
    <row r="5116">
      <c r="A5116" s="57"/>
    </row>
    <row r="5117">
      <c r="A5117" s="57"/>
    </row>
    <row r="5118">
      <c r="A5118" s="57"/>
    </row>
    <row r="5119">
      <c r="A5119" s="57"/>
    </row>
    <row r="5120">
      <c r="A5120" s="57"/>
    </row>
    <row r="5121">
      <c r="A5121" s="57"/>
    </row>
    <row r="5122">
      <c r="A5122" s="57"/>
    </row>
    <row r="5123">
      <c r="A5123" s="57"/>
    </row>
    <row r="5124">
      <c r="A5124" s="57"/>
    </row>
    <row r="5125">
      <c r="A5125" s="57"/>
    </row>
    <row r="5126">
      <c r="A5126" s="57"/>
    </row>
    <row r="5127">
      <c r="A5127" s="57"/>
    </row>
    <row r="5128">
      <c r="A5128" s="57"/>
    </row>
    <row r="5129">
      <c r="A5129" s="57"/>
    </row>
    <row r="5130">
      <c r="A5130" s="57"/>
    </row>
    <row r="5131">
      <c r="A5131" s="57"/>
    </row>
    <row r="5132">
      <c r="A5132" s="57"/>
    </row>
    <row r="5133">
      <c r="A5133" s="57"/>
    </row>
    <row r="5134">
      <c r="A5134" s="57"/>
    </row>
    <row r="5135">
      <c r="A5135" s="57"/>
    </row>
    <row r="5136">
      <c r="A5136" s="57"/>
    </row>
    <row r="5137">
      <c r="A5137" s="57"/>
    </row>
    <row r="5138">
      <c r="A5138" s="57"/>
    </row>
    <row r="5139">
      <c r="A5139" s="57"/>
    </row>
    <row r="5140">
      <c r="A5140" s="57"/>
    </row>
    <row r="5141">
      <c r="A5141" s="57"/>
    </row>
    <row r="5142">
      <c r="A5142" s="57"/>
    </row>
    <row r="5143">
      <c r="A5143" s="57"/>
    </row>
    <row r="5144">
      <c r="A5144" s="57"/>
    </row>
    <row r="5145">
      <c r="A5145" s="57"/>
    </row>
    <row r="5146">
      <c r="A5146" s="57"/>
    </row>
    <row r="5147">
      <c r="A5147" s="57"/>
    </row>
    <row r="5148">
      <c r="A5148" s="57"/>
    </row>
    <row r="5149">
      <c r="A5149" s="57"/>
    </row>
    <row r="5150">
      <c r="A5150" s="57"/>
    </row>
    <row r="5151">
      <c r="A5151" s="57"/>
    </row>
    <row r="5152">
      <c r="A5152" s="57"/>
    </row>
    <row r="5153">
      <c r="A5153" s="57"/>
    </row>
    <row r="5154">
      <c r="A5154" s="57"/>
    </row>
    <row r="5155">
      <c r="A5155" s="57"/>
    </row>
    <row r="5156">
      <c r="A5156" s="57"/>
    </row>
    <row r="5157">
      <c r="A5157" s="57"/>
    </row>
    <row r="5158">
      <c r="A5158" s="57"/>
    </row>
    <row r="5159">
      <c r="A5159" s="57"/>
    </row>
    <row r="5160">
      <c r="A5160" s="57"/>
    </row>
    <row r="5161">
      <c r="A5161" s="57"/>
    </row>
    <row r="5162">
      <c r="A5162" s="57"/>
    </row>
    <row r="5163">
      <c r="A5163" s="57"/>
    </row>
    <row r="5164">
      <c r="A5164" s="57"/>
    </row>
    <row r="5165">
      <c r="A5165" s="57"/>
    </row>
    <row r="5166">
      <c r="A5166" s="57"/>
    </row>
    <row r="5167">
      <c r="A5167" s="57"/>
    </row>
    <row r="5168">
      <c r="A5168" s="57"/>
    </row>
    <row r="5169">
      <c r="A5169" s="57"/>
    </row>
    <row r="5170">
      <c r="A5170" s="57"/>
    </row>
    <row r="5171">
      <c r="A5171" s="57"/>
    </row>
    <row r="5172">
      <c r="A5172" s="57"/>
    </row>
    <row r="5173">
      <c r="A5173" s="57"/>
    </row>
    <row r="5174">
      <c r="A5174" s="57"/>
    </row>
    <row r="5175">
      <c r="A5175" s="57"/>
    </row>
    <row r="5176">
      <c r="A5176" s="57"/>
    </row>
    <row r="5177">
      <c r="A5177" s="57"/>
    </row>
    <row r="5178">
      <c r="A5178" s="57"/>
    </row>
    <row r="5179">
      <c r="A5179" s="57"/>
    </row>
    <row r="5180">
      <c r="A5180" s="57"/>
    </row>
    <row r="5181">
      <c r="A5181" s="57"/>
    </row>
    <row r="5182">
      <c r="A5182" s="57"/>
    </row>
    <row r="5183">
      <c r="A5183" s="57"/>
    </row>
    <row r="5184">
      <c r="A5184" s="57"/>
    </row>
    <row r="5185">
      <c r="A5185" s="57"/>
    </row>
    <row r="5186">
      <c r="A5186" s="57"/>
    </row>
    <row r="5187">
      <c r="A5187" s="57"/>
    </row>
    <row r="5188">
      <c r="A5188" s="57"/>
    </row>
    <row r="5189">
      <c r="A5189" s="57"/>
    </row>
    <row r="5190">
      <c r="A5190" s="57"/>
    </row>
    <row r="5191">
      <c r="A5191" s="57"/>
    </row>
    <row r="5192">
      <c r="A5192" s="57"/>
    </row>
    <row r="5193">
      <c r="A5193" s="57"/>
    </row>
    <row r="5194">
      <c r="A5194" s="57"/>
    </row>
    <row r="5195">
      <c r="A5195" s="57"/>
    </row>
    <row r="5196">
      <c r="A5196" s="57"/>
    </row>
    <row r="5197">
      <c r="A5197" s="57"/>
    </row>
    <row r="5198">
      <c r="A5198" s="57"/>
    </row>
    <row r="5199">
      <c r="A5199" s="57"/>
    </row>
    <row r="5200">
      <c r="A5200" s="57"/>
    </row>
    <row r="5201">
      <c r="A5201" s="57"/>
    </row>
    <row r="5202">
      <c r="A5202" s="57"/>
    </row>
    <row r="5203">
      <c r="A5203" s="57"/>
    </row>
    <row r="5204">
      <c r="A5204" s="57"/>
    </row>
    <row r="5205">
      <c r="A5205" s="57"/>
    </row>
    <row r="5206">
      <c r="A5206" s="57"/>
    </row>
    <row r="5207">
      <c r="A5207" s="57"/>
    </row>
    <row r="5208">
      <c r="A5208" s="57"/>
    </row>
    <row r="5209">
      <c r="A5209" s="57"/>
    </row>
    <row r="5210">
      <c r="A5210" s="57"/>
    </row>
    <row r="5211">
      <c r="A5211" s="57"/>
    </row>
    <row r="5212">
      <c r="A5212" s="57"/>
    </row>
    <row r="5213">
      <c r="A5213" s="57"/>
    </row>
    <row r="5214">
      <c r="A5214" s="57"/>
    </row>
    <row r="5215">
      <c r="A5215" s="57"/>
    </row>
    <row r="5216">
      <c r="A5216" s="57"/>
    </row>
    <row r="5217">
      <c r="A5217" s="57"/>
    </row>
    <row r="5218">
      <c r="A5218" s="57"/>
    </row>
    <row r="5219">
      <c r="A5219" s="57"/>
    </row>
    <row r="5220">
      <c r="A5220" s="57"/>
    </row>
    <row r="5221">
      <c r="A5221" s="57"/>
    </row>
    <row r="5222">
      <c r="A5222" s="57"/>
    </row>
    <row r="5223">
      <c r="A5223" s="57"/>
    </row>
    <row r="5224">
      <c r="A5224" s="57"/>
    </row>
    <row r="5225">
      <c r="A5225" s="57"/>
    </row>
    <row r="5226">
      <c r="A5226" s="57"/>
    </row>
    <row r="5227">
      <c r="A5227" s="57"/>
    </row>
    <row r="5228">
      <c r="A5228" s="57"/>
    </row>
    <row r="5229">
      <c r="A5229" s="57"/>
    </row>
    <row r="5230">
      <c r="A5230" s="57"/>
    </row>
    <row r="5231">
      <c r="A5231" s="57"/>
    </row>
    <row r="5232">
      <c r="A5232" s="57"/>
    </row>
    <row r="5233">
      <c r="A5233" s="57"/>
    </row>
    <row r="5234">
      <c r="A5234" s="57"/>
    </row>
    <row r="5235">
      <c r="A5235" s="57"/>
    </row>
    <row r="5236">
      <c r="A5236" s="57"/>
    </row>
    <row r="5237">
      <c r="A5237" s="57"/>
    </row>
    <row r="5238">
      <c r="A5238" s="57"/>
    </row>
    <row r="5239">
      <c r="A5239" s="57"/>
    </row>
    <row r="5240">
      <c r="A5240" s="57"/>
    </row>
    <row r="5241">
      <c r="A5241" s="57"/>
    </row>
    <row r="5242">
      <c r="A5242" s="57"/>
    </row>
    <row r="5243">
      <c r="A5243" s="57"/>
    </row>
    <row r="5244">
      <c r="A5244" s="57"/>
    </row>
    <row r="5245">
      <c r="A5245" s="57"/>
    </row>
    <row r="5246">
      <c r="A5246" s="57"/>
    </row>
    <row r="5247">
      <c r="A5247" s="57"/>
    </row>
    <row r="5248">
      <c r="A5248" s="57"/>
    </row>
    <row r="5249">
      <c r="A5249" s="57"/>
    </row>
    <row r="5250">
      <c r="A5250" s="57"/>
    </row>
    <row r="5251">
      <c r="A5251" s="57"/>
    </row>
    <row r="5252">
      <c r="A5252" s="57"/>
    </row>
    <row r="5253">
      <c r="A5253" s="57"/>
    </row>
    <row r="5254">
      <c r="A5254" s="57"/>
    </row>
    <row r="5255">
      <c r="A5255" s="57"/>
    </row>
    <row r="5256">
      <c r="A5256" s="57"/>
    </row>
    <row r="5257">
      <c r="A5257" s="57"/>
    </row>
    <row r="5258">
      <c r="A5258" s="57"/>
    </row>
    <row r="5259">
      <c r="A5259" s="57"/>
    </row>
    <row r="5260">
      <c r="A5260" s="57"/>
    </row>
    <row r="5261">
      <c r="A5261" s="57"/>
    </row>
    <row r="5262">
      <c r="A5262" s="57"/>
    </row>
    <row r="5263">
      <c r="A5263" s="57"/>
    </row>
    <row r="5264">
      <c r="A5264" s="57"/>
    </row>
    <row r="5265">
      <c r="A5265" s="57"/>
    </row>
    <row r="5266">
      <c r="A5266" s="57"/>
    </row>
    <row r="5267">
      <c r="A5267" s="57"/>
    </row>
    <row r="5268">
      <c r="A5268" s="57"/>
    </row>
    <row r="5269">
      <c r="A5269" s="57"/>
    </row>
    <row r="5270">
      <c r="A5270" s="57"/>
    </row>
    <row r="5271">
      <c r="A5271" s="57"/>
    </row>
    <row r="5272">
      <c r="A5272" s="57"/>
    </row>
    <row r="5273">
      <c r="A5273" s="57"/>
    </row>
    <row r="5274">
      <c r="A5274" s="57"/>
    </row>
    <row r="5275">
      <c r="A5275" s="57"/>
    </row>
    <row r="5276">
      <c r="A5276" s="57"/>
    </row>
    <row r="5277">
      <c r="A5277" s="57"/>
    </row>
    <row r="5278">
      <c r="A5278" s="57"/>
    </row>
    <row r="5279">
      <c r="A5279" s="57"/>
    </row>
    <row r="5280">
      <c r="A5280" s="57"/>
    </row>
    <row r="5281">
      <c r="A5281" s="57"/>
    </row>
    <row r="5282">
      <c r="A5282" s="57"/>
    </row>
    <row r="5283">
      <c r="A5283" s="57"/>
    </row>
    <row r="5284">
      <c r="A5284" s="57"/>
    </row>
    <row r="5285">
      <c r="A5285" s="57"/>
    </row>
    <row r="5286">
      <c r="A5286" s="57"/>
    </row>
    <row r="5287">
      <c r="A5287" s="57"/>
    </row>
    <row r="5288">
      <c r="A5288" s="57"/>
    </row>
    <row r="5289">
      <c r="A5289" s="57"/>
    </row>
    <row r="5290">
      <c r="A5290" s="57"/>
    </row>
    <row r="5291">
      <c r="A5291" s="57"/>
    </row>
    <row r="5292">
      <c r="A5292" s="57"/>
    </row>
    <row r="5293">
      <c r="A5293" s="57"/>
    </row>
    <row r="5294">
      <c r="A5294" s="57"/>
    </row>
    <row r="5295">
      <c r="A5295" s="57"/>
    </row>
    <row r="5296">
      <c r="A5296" s="57"/>
    </row>
    <row r="5297">
      <c r="A5297" s="57"/>
    </row>
    <row r="5298">
      <c r="A5298" s="57"/>
    </row>
    <row r="5299">
      <c r="A5299" s="57"/>
    </row>
    <row r="5300">
      <c r="A5300" s="57"/>
    </row>
    <row r="5301">
      <c r="A5301" s="57"/>
    </row>
    <row r="5302">
      <c r="A5302" s="57"/>
    </row>
    <row r="5303">
      <c r="A5303" s="57"/>
    </row>
    <row r="5304">
      <c r="A5304" s="57"/>
    </row>
    <row r="5305">
      <c r="A5305" s="57"/>
    </row>
    <row r="5306">
      <c r="A5306" s="57"/>
    </row>
    <row r="5307">
      <c r="A5307" s="57"/>
    </row>
    <row r="5308">
      <c r="A5308" s="57"/>
    </row>
    <row r="5309">
      <c r="A5309" s="57"/>
    </row>
    <row r="5310">
      <c r="A5310" s="57"/>
    </row>
    <row r="5311">
      <c r="A5311" s="57"/>
    </row>
    <row r="5312">
      <c r="A5312" s="57"/>
    </row>
    <row r="5313">
      <c r="A5313" s="57"/>
    </row>
    <row r="5314">
      <c r="A5314" s="57"/>
    </row>
    <row r="5315">
      <c r="A5315" s="57"/>
    </row>
    <row r="5316">
      <c r="A5316" s="57"/>
    </row>
    <row r="5317">
      <c r="A5317" s="57"/>
    </row>
    <row r="5318">
      <c r="A5318" s="57"/>
    </row>
    <row r="5319">
      <c r="A5319" s="57"/>
    </row>
    <row r="5320">
      <c r="A5320" s="57"/>
    </row>
    <row r="5321">
      <c r="A5321" s="57"/>
    </row>
    <row r="5322">
      <c r="A5322" s="57"/>
    </row>
    <row r="5323">
      <c r="A5323" s="57"/>
    </row>
    <row r="5324">
      <c r="A5324" s="57"/>
    </row>
    <row r="5325">
      <c r="A5325" s="57"/>
    </row>
    <row r="5326">
      <c r="A5326" s="57"/>
    </row>
    <row r="5327">
      <c r="A5327" s="57"/>
    </row>
    <row r="5328">
      <c r="A5328" s="57"/>
    </row>
    <row r="5329">
      <c r="A5329" s="57"/>
    </row>
    <row r="5330">
      <c r="A5330" s="57"/>
    </row>
    <row r="5331">
      <c r="A5331" s="57"/>
    </row>
    <row r="5332">
      <c r="A5332" s="57"/>
    </row>
    <row r="5333">
      <c r="A5333" s="57"/>
    </row>
    <row r="5334">
      <c r="A5334" s="57"/>
    </row>
    <row r="5335">
      <c r="A5335" s="57"/>
    </row>
    <row r="5336">
      <c r="A5336" s="57"/>
    </row>
    <row r="5337">
      <c r="A5337" s="57"/>
    </row>
    <row r="5338">
      <c r="A5338" s="57"/>
    </row>
    <row r="5339">
      <c r="A5339" s="57"/>
    </row>
    <row r="5340">
      <c r="A5340" s="57"/>
    </row>
    <row r="5341">
      <c r="A5341" s="57"/>
    </row>
    <row r="5342">
      <c r="A5342" s="57"/>
    </row>
    <row r="5343">
      <c r="A5343" s="57"/>
    </row>
    <row r="5344">
      <c r="A5344" s="57"/>
    </row>
    <row r="5345">
      <c r="A5345" s="57"/>
    </row>
    <row r="5346">
      <c r="A5346" s="57"/>
    </row>
    <row r="5347">
      <c r="A5347" s="57"/>
    </row>
    <row r="5348">
      <c r="A5348" s="57"/>
    </row>
    <row r="5349">
      <c r="A5349" s="57"/>
    </row>
    <row r="5350">
      <c r="A5350" s="57"/>
    </row>
    <row r="5351">
      <c r="A5351" s="57"/>
    </row>
    <row r="5352">
      <c r="A5352" s="57"/>
    </row>
    <row r="5353">
      <c r="A5353" s="57"/>
    </row>
    <row r="5354">
      <c r="A5354" s="57"/>
    </row>
    <row r="5355">
      <c r="A5355" s="57"/>
    </row>
    <row r="5356">
      <c r="A5356" s="57"/>
    </row>
    <row r="5357">
      <c r="A5357" s="57"/>
    </row>
    <row r="5358">
      <c r="A5358" s="57"/>
    </row>
    <row r="5359">
      <c r="A5359" s="57"/>
    </row>
    <row r="5360">
      <c r="A5360" s="57"/>
    </row>
    <row r="5361">
      <c r="A5361" s="57"/>
    </row>
    <row r="5362">
      <c r="A5362" s="57"/>
    </row>
    <row r="5363">
      <c r="A5363" s="57"/>
    </row>
    <row r="5364">
      <c r="A5364" s="57"/>
    </row>
    <row r="5365">
      <c r="A5365" s="57"/>
    </row>
    <row r="5366">
      <c r="A5366" s="57"/>
    </row>
    <row r="5367">
      <c r="A5367" s="57"/>
    </row>
    <row r="5368">
      <c r="A5368" s="57"/>
    </row>
    <row r="5369">
      <c r="A5369" s="57"/>
    </row>
    <row r="5370">
      <c r="A5370" s="57"/>
    </row>
    <row r="5371">
      <c r="A5371" s="57"/>
    </row>
    <row r="5372">
      <c r="A5372" s="57"/>
    </row>
    <row r="5373">
      <c r="A5373" s="57"/>
    </row>
    <row r="5374">
      <c r="A5374" s="57"/>
    </row>
    <row r="5375">
      <c r="A5375" s="57"/>
    </row>
    <row r="5376">
      <c r="A5376" s="57"/>
    </row>
    <row r="5377">
      <c r="A5377" s="57"/>
    </row>
    <row r="5378">
      <c r="A5378" s="57"/>
    </row>
    <row r="5379">
      <c r="A5379" s="57"/>
    </row>
    <row r="5380">
      <c r="A5380" s="57"/>
    </row>
    <row r="5381">
      <c r="A5381" s="57"/>
    </row>
    <row r="5382">
      <c r="A5382" s="57"/>
    </row>
    <row r="5383">
      <c r="A5383" s="57"/>
    </row>
    <row r="5384">
      <c r="A5384" s="57"/>
    </row>
    <row r="5385">
      <c r="A5385" s="57"/>
    </row>
    <row r="5386">
      <c r="A5386" s="57"/>
    </row>
    <row r="5387">
      <c r="A5387" s="57"/>
    </row>
    <row r="5388">
      <c r="A5388" s="57"/>
    </row>
    <row r="5389">
      <c r="A5389" s="57"/>
    </row>
    <row r="5390">
      <c r="A5390" s="57"/>
    </row>
    <row r="5391">
      <c r="A5391" s="57"/>
    </row>
    <row r="5392">
      <c r="A5392" s="57"/>
    </row>
    <row r="5393">
      <c r="A5393" s="57"/>
    </row>
    <row r="5394">
      <c r="A5394" s="57"/>
    </row>
    <row r="5395">
      <c r="A5395" s="57"/>
    </row>
    <row r="5396">
      <c r="A5396" s="57"/>
    </row>
    <row r="5397">
      <c r="A5397" s="57"/>
    </row>
    <row r="5398">
      <c r="A5398" s="57"/>
    </row>
    <row r="5399">
      <c r="A5399" s="57"/>
    </row>
    <row r="5400">
      <c r="A5400" s="57"/>
    </row>
    <row r="5401">
      <c r="A5401" s="57"/>
    </row>
    <row r="5402">
      <c r="A5402" s="57"/>
    </row>
    <row r="5403">
      <c r="A5403" s="57"/>
    </row>
    <row r="5404">
      <c r="A5404" s="57"/>
    </row>
    <row r="5405">
      <c r="A5405" s="57"/>
    </row>
    <row r="5406">
      <c r="A5406" s="57"/>
    </row>
    <row r="5407">
      <c r="A5407" s="57"/>
    </row>
    <row r="5408">
      <c r="A5408" s="57"/>
    </row>
    <row r="5409">
      <c r="A5409" s="57"/>
    </row>
    <row r="5410">
      <c r="A5410" s="57"/>
    </row>
    <row r="5411">
      <c r="A5411" s="57"/>
    </row>
    <row r="5412">
      <c r="A5412" s="57"/>
    </row>
    <row r="5413">
      <c r="A5413" s="57"/>
    </row>
    <row r="5414">
      <c r="A5414" s="57"/>
    </row>
    <row r="5415">
      <c r="A5415" s="57"/>
    </row>
    <row r="5416">
      <c r="A5416" s="57"/>
    </row>
    <row r="5417">
      <c r="A5417" s="57"/>
    </row>
    <row r="5418">
      <c r="A5418" s="57"/>
    </row>
    <row r="5419">
      <c r="A5419" s="57"/>
    </row>
    <row r="5420">
      <c r="A5420" s="57"/>
    </row>
    <row r="5421">
      <c r="A5421" s="57"/>
    </row>
    <row r="5422">
      <c r="A5422" s="57"/>
    </row>
    <row r="5423">
      <c r="A5423" s="57"/>
    </row>
    <row r="5424">
      <c r="A5424" s="57"/>
    </row>
    <row r="5425">
      <c r="A5425" s="57"/>
    </row>
    <row r="5426">
      <c r="A5426" s="57"/>
    </row>
    <row r="5427">
      <c r="A5427" s="57"/>
    </row>
    <row r="5428">
      <c r="A5428" s="57"/>
    </row>
    <row r="5429">
      <c r="A5429" s="57"/>
    </row>
    <row r="5430">
      <c r="A5430" s="57"/>
    </row>
    <row r="5431">
      <c r="A5431" s="57"/>
    </row>
    <row r="5432">
      <c r="A5432" s="57"/>
    </row>
    <row r="5433">
      <c r="A5433" s="57"/>
    </row>
    <row r="5434">
      <c r="A5434" s="57"/>
    </row>
    <row r="5435">
      <c r="A5435" s="57"/>
    </row>
    <row r="5436">
      <c r="A5436" s="57"/>
    </row>
    <row r="5437">
      <c r="A5437" s="57"/>
    </row>
    <row r="5438">
      <c r="A5438" s="57"/>
    </row>
    <row r="5439">
      <c r="A5439" s="57"/>
    </row>
    <row r="5440">
      <c r="A5440" s="57"/>
    </row>
    <row r="5441">
      <c r="A5441" s="57"/>
    </row>
    <row r="5442">
      <c r="A5442" s="57"/>
    </row>
    <row r="5443">
      <c r="A5443" s="57"/>
    </row>
    <row r="5444">
      <c r="A5444" s="57"/>
    </row>
    <row r="5445">
      <c r="A5445" s="57"/>
    </row>
    <row r="5446">
      <c r="A5446" s="57"/>
    </row>
    <row r="5447">
      <c r="A5447" s="57"/>
    </row>
    <row r="5448">
      <c r="A5448" s="57"/>
    </row>
    <row r="5449">
      <c r="A5449" s="57"/>
    </row>
    <row r="5450">
      <c r="A5450" s="57"/>
    </row>
    <row r="5451">
      <c r="A5451" s="57"/>
    </row>
    <row r="5452">
      <c r="A5452" s="57"/>
    </row>
    <row r="5453">
      <c r="A5453" s="57"/>
    </row>
    <row r="5454">
      <c r="A5454" s="57"/>
    </row>
    <row r="5455">
      <c r="A5455" s="57"/>
    </row>
    <row r="5456">
      <c r="A5456" s="57"/>
    </row>
    <row r="5457">
      <c r="A5457" s="57"/>
    </row>
    <row r="5458">
      <c r="A5458" s="57"/>
    </row>
    <row r="5459">
      <c r="A5459" s="57"/>
    </row>
    <row r="5460">
      <c r="A5460" s="57"/>
    </row>
    <row r="5461">
      <c r="A5461" s="57"/>
    </row>
    <row r="5462">
      <c r="A5462" s="57"/>
    </row>
    <row r="5463">
      <c r="A5463" s="57"/>
    </row>
    <row r="5464">
      <c r="A5464" s="57"/>
    </row>
    <row r="5465">
      <c r="A5465" s="57"/>
    </row>
    <row r="5466">
      <c r="A5466" s="57"/>
    </row>
    <row r="5467">
      <c r="A5467" s="57"/>
    </row>
    <row r="5468">
      <c r="A5468" s="57"/>
    </row>
    <row r="5469">
      <c r="A5469" s="57"/>
    </row>
    <row r="5470">
      <c r="A5470" s="57"/>
    </row>
    <row r="5471">
      <c r="A5471" s="57"/>
    </row>
    <row r="5472">
      <c r="A5472" s="57"/>
    </row>
    <row r="5473">
      <c r="A5473" s="57"/>
    </row>
    <row r="5474">
      <c r="A5474" s="57"/>
    </row>
    <row r="5475">
      <c r="A5475" s="57"/>
    </row>
    <row r="5476">
      <c r="A5476" s="57"/>
    </row>
    <row r="5477">
      <c r="A5477" s="57"/>
    </row>
    <row r="5478">
      <c r="A5478" s="57"/>
    </row>
    <row r="5479">
      <c r="A5479" s="57"/>
    </row>
    <row r="5480">
      <c r="A5480" s="57"/>
    </row>
    <row r="5481">
      <c r="A5481" s="57"/>
    </row>
    <row r="5482">
      <c r="A5482" s="57"/>
    </row>
    <row r="5483">
      <c r="A5483" s="57"/>
    </row>
    <row r="5484">
      <c r="A5484" s="57"/>
    </row>
    <row r="5485">
      <c r="A5485" s="57"/>
    </row>
    <row r="5486">
      <c r="A5486" s="57"/>
    </row>
    <row r="5487">
      <c r="A5487" s="57"/>
    </row>
    <row r="5488">
      <c r="A5488" s="57"/>
    </row>
    <row r="5489">
      <c r="A5489" s="57"/>
    </row>
    <row r="5490">
      <c r="A5490" s="57"/>
    </row>
    <row r="5491">
      <c r="A5491" s="57"/>
    </row>
    <row r="5492">
      <c r="A5492" s="57"/>
    </row>
    <row r="5493">
      <c r="A5493" s="57"/>
    </row>
    <row r="5494">
      <c r="A5494" s="57"/>
    </row>
    <row r="5495">
      <c r="A5495" s="57"/>
    </row>
    <row r="5496">
      <c r="A5496" s="57"/>
    </row>
    <row r="5497">
      <c r="A5497" s="57"/>
    </row>
    <row r="5498">
      <c r="A5498" s="57"/>
    </row>
    <row r="5499">
      <c r="A5499" s="57"/>
    </row>
    <row r="5500">
      <c r="A5500" s="57"/>
    </row>
    <row r="5501">
      <c r="A5501" s="57"/>
    </row>
    <row r="5502">
      <c r="A5502" s="57"/>
    </row>
    <row r="5503">
      <c r="A5503" s="57"/>
    </row>
    <row r="5504">
      <c r="A5504" s="57"/>
    </row>
    <row r="5505">
      <c r="A5505" s="57"/>
    </row>
    <row r="5506">
      <c r="A5506" s="57"/>
    </row>
    <row r="5507">
      <c r="A5507" s="57"/>
    </row>
    <row r="5508">
      <c r="A5508" s="57"/>
    </row>
    <row r="5509">
      <c r="A5509" s="57"/>
    </row>
    <row r="5510">
      <c r="A5510" s="57"/>
    </row>
    <row r="5511">
      <c r="A5511" s="57"/>
    </row>
    <row r="5512">
      <c r="A5512" s="57"/>
    </row>
    <row r="5513">
      <c r="A5513" s="57"/>
    </row>
    <row r="5514">
      <c r="A5514" s="57"/>
    </row>
    <row r="5515">
      <c r="A5515" s="57"/>
    </row>
    <row r="5516">
      <c r="A5516" s="57"/>
    </row>
    <row r="5517">
      <c r="A5517" s="57"/>
    </row>
    <row r="5518">
      <c r="A5518" s="57"/>
    </row>
    <row r="5519">
      <c r="A5519" s="57"/>
    </row>
    <row r="5520">
      <c r="A5520" s="57"/>
    </row>
    <row r="5521">
      <c r="A5521" s="57"/>
    </row>
    <row r="5522">
      <c r="A5522" s="57"/>
    </row>
    <row r="5523">
      <c r="A5523" s="57"/>
    </row>
    <row r="5524">
      <c r="A5524" s="57"/>
    </row>
    <row r="5525">
      <c r="A5525" s="57"/>
    </row>
    <row r="5526">
      <c r="A5526" s="57"/>
    </row>
    <row r="5527">
      <c r="A5527" s="57"/>
    </row>
    <row r="5528">
      <c r="A5528" s="57"/>
    </row>
    <row r="5529">
      <c r="A5529" s="57"/>
    </row>
    <row r="5530">
      <c r="A5530" s="57"/>
    </row>
    <row r="5531">
      <c r="A5531" s="57"/>
    </row>
    <row r="5532">
      <c r="A5532" s="57"/>
    </row>
    <row r="5533">
      <c r="A5533" s="57"/>
    </row>
    <row r="5534">
      <c r="A5534" s="57"/>
    </row>
    <row r="5535">
      <c r="A5535" s="57"/>
    </row>
    <row r="5536">
      <c r="A5536" s="57"/>
    </row>
    <row r="5537">
      <c r="A5537" s="57"/>
    </row>
    <row r="5538">
      <c r="A5538" s="57"/>
    </row>
    <row r="5539">
      <c r="A5539" s="57"/>
    </row>
    <row r="5540">
      <c r="A5540" s="57"/>
    </row>
    <row r="5541">
      <c r="A5541" s="57"/>
    </row>
    <row r="5542">
      <c r="A5542" s="57"/>
    </row>
    <row r="5543">
      <c r="A5543" s="57"/>
    </row>
    <row r="5544">
      <c r="A5544" s="57"/>
    </row>
    <row r="5545">
      <c r="A5545" s="57"/>
    </row>
    <row r="5546">
      <c r="A5546" s="57"/>
    </row>
    <row r="5547">
      <c r="A5547" s="57"/>
    </row>
    <row r="5548">
      <c r="A5548" s="57"/>
    </row>
    <row r="5549">
      <c r="A5549" s="57"/>
    </row>
    <row r="5550">
      <c r="A5550" s="57"/>
    </row>
    <row r="5551">
      <c r="A5551" s="57"/>
    </row>
    <row r="5552">
      <c r="A5552" s="57"/>
    </row>
    <row r="5553">
      <c r="A5553" s="57"/>
    </row>
    <row r="5554">
      <c r="A5554" s="57"/>
    </row>
    <row r="5555">
      <c r="A5555" s="57"/>
    </row>
    <row r="5556">
      <c r="A5556" s="57"/>
    </row>
    <row r="5557">
      <c r="A5557" s="57"/>
    </row>
    <row r="5558">
      <c r="A5558" s="57"/>
    </row>
    <row r="5559">
      <c r="A5559" s="57"/>
    </row>
    <row r="5560">
      <c r="A5560" s="57"/>
    </row>
    <row r="5561">
      <c r="A5561" s="57"/>
    </row>
    <row r="5562">
      <c r="A5562" s="57"/>
    </row>
    <row r="5563">
      <c r="A5563" s="57"/>
    </row>
    <row r="5564">
      <c r="A5564" s="57"/>
    </row>
    <row r="5565">
      <c r="A5565" s="57"/>
    </row>
    <row r="5566">
      <c r="A5566" s="57"/>
    </row>
    <row r="5567">
      <c r="A5567" s="57"/>
    </row>
    <row r="5568">
      <c r="A5568" s="57"/>
    </row>
    <row r="5569">
      <c r="A5569" s="57"/>
    </row>
    <row r="5570">
      <c r="A5570" s="57"/>
    </row>
    <row r="5571">
      <c r="A5571" s="57"/>
    </row>
    <row r="5572">
      <c r="A5572" s="57"/>
    </row>
    <row r="5573">
      <c r="A5573" s="57"/>
    </row>
    <row r="5574">
      <c r="A5574" s="57"/>
    </row>
    <row r="5575">
      <c r="A5575" s="57"/>
    </row>
    <row r="5576">
      <c r="A5576" s="57"/>
    </row>
    <row r="5577">
      <c r="A5577" s="57"/>
    </row>
    <row r="5578">
      <c r="A5578" s="57"/>
    </row>
    <row r="5579">
      <c r="A5579" s="57"/>
    </row>
    <row r="5580">
      <c r="A5580" s="57"/>
    </row>
    <row r="5581">
      <c r="A5581" s="57"/>
    </row>
    <row r="5582">
      <c r="A5582" s="57"/>
    </row>
    <row r="5583">
      <c r="A5583" s="57"/>
    </row>
    <row r="5584">
      <c r="A5584" s="57"/>
    </row>
    <row r="5585">
      <c r="A5585" s="57"/>
    </row>
    <row r="5586">
      <c r="A5586" s="57"/>
    </row>
    <row r="5587">
      <c r="A5587" s="57"/>
    </row>
    <row r="5588">
      <c r="A5588" s="57"/>
    </row>
    <row r="5589">
      <c r="A5589" s="57"/>
    </row>
    <row r="5590">
      <c r="A5590" s="57"/>
    </row>
    <row r="5591">
      <c r="A5591" s="57"/>
    </row>
    <row r="5592">
      <c r="A5592" s="57"/>
    </row>
    <row r="5593">
      <c r="A5593" s="57"/>
    </row>
    <row r="5594">
      <c r="A5594" s="57"/>
    </row>
    <row r="5595">
      <c r="A5595" s="57"/>
    </row>
    <row r="5596">
      <c r="A5596" s="57"/>
    </row>
    <row r="5597">
      <c r="A5597" s="57"/>
    </row>
    <row r="5598">
      <c r="A5598" s="57"/>
    </row>
    <row r="5599">
      <c r="A5599" s="57"/>
    </row>
    <row r="5600">
      <c r="A5600" s="57"/>
    </row>
    <row r="5601">
      <c r="A5601" s="57"/>
    </row>
    <row r="5602">
      <c r="A5602" s="57"/>
    </row>
    <row r="5603">
      <c r="A5603" s="57"/>
    </row>
    <row r="5604">
      <c r="A5604" s="57"/>
    </row>
    <row r="5605">
      <c r="A5605" s="57"/>
    </row>
    <row r="5606">
      <c r="A5606" s="57"/>
    </row>
    <row r="5607">
      <c r="A5607" s="57"/>
    </row>
    <row r="5608">
      <c r="A5608" s="57"/>
    </row>
    <row r="5609">
      <c r="A5609" s="57"/>
    </row>
    <row r="5610">
      <c r="A5610" s="57"/>
    </row>
    <row r="5611">
      <c r="A5611" s="57"/>
    </row>
    <row r="5612">
      <c r="A5612" s="57"/>
    </row>
    <row r="5613">
      <c r="A5613" s="57"/>
    </row>
    <row r="5614">
      <c r="A5614" s="57"/>
    </row>
    <row r="5615">
      <c r="A5615" s="57"/>
    </row>
    <row r="5616">
      <c r="A5616" s="57"/>
    </row>
    <row r="5617">
      <c r="A5617" s="57"/>
    </row>
    <row r="5618">
      <c r="A5618" s="57"/>
    </row>
    <row r="5619">
      <c r="A5619" s="57"/>
    </row>
    <row r="5620">
      <c r="A5620" s="57"/>
    </row>
    <row r="5621">
      <c r="A5621" s="57"/>
    </row>
    <row r="5622">
      <c r="A5622" s="57"/>
    </row>
    <row r="5623">
      <c r="A5623" s="57"/>
    </row>
    <row r="5624">
      <c r="A5624" s="57"/>
    </row>
    <row r="5625">
      <c r="A5625" s="57"/>
    </row>
    <row r="5626">
      <c r="A5626" s="57"/>
    </row>
    <row r="5627">
      <c r="A5627" s="57"/>
    </row>
    <row r="5628">
      <c r="A5628" s="57"/>
    </row>
    <row r="5629">
      <c r="A5629" s="57"/>
    </row>
    <row r="5630">
      <c r="A5630" s="57"/>
    </row>
    <row r="5631">
      <c r="A5631" s="57"/>
    </row>
    <row r="5632">
      <c r="A5632" s="57"/>
    </row>
    <row r="5633">
      <c r="A5633" s="57"/>
    </row>
    <row r="5634">
      <c r="A5634" s="57"/>
    </row>
    <row r="5635">
      <c r="A5635" s="57"/>
    </row>
    <row r="5636">
      <c r="A5636" s="57"/>
    </row>
    <row r="5637">
      <c r="A5637" s="57"/>
    </row>
    <row r="5638">
      <c r="A5638" s="57"/>
    </row>
    <row r="5639">
      <c r="A5639" s="57"/>
    </row>
    <row r="5640">
      <c r="A5640" s="57"/>
    </row>
    <row r="5641">
      <c r="A5641" s="57"/>
    </row>
    <row r="5642">
      <c r="A5642" s="57"/>
    </row>
    <row r="5643">
      <c r="A5643" s="57"/>
    </row>
    <row r="5644">
      <c r="A5644" s="57"/>
    </row>
    <row r="5645">
      <c r="A5645" s="57"/>
    </row>
    <row r="5646">
      <c r="A5646" s="57"/>
    </row>
    <row r="5647">
      <c r="A5647" s="57"/>
    </row>
    <row r="5648">
      <c r="A5648" s="57"/>
    </row>
    <row r="5649">
      <c r="A5649" s="57"/>
    </row>
    <row r="5650">
      <c r="A5650" s="57"/>
    </row>
    <row r="5651">
      <c r="A5651" s="57"/>
    </row>
    <row r="5652">
      <c r="A5652" s="57"/>
    </row>
    <row r="5653">
      <c r="A5653" s="57"/>
    </row>
    <row r="5654">
      <c r="A5654" s="57"/>
    </row>
    <row r="5655">
      <c r="A5655" s="57"/>
    </row>
    <row r="5656">
      <c r="A5656" s="57"/>
    </row>
    <row r="5657">
      <c r="A5657" s="57"/>
    </row>
    <row r="5658">
      <c r="A5658" s="57"/>
    </row>
    <row r="5659">
      <c r="A5659" s="57"/>
    </row>
    <row r="5660">
      <c r="A5660" s="57"/>
    </row>
    <row r="5661">
      <c r="A5661" s="57"/>
    </row>
    <row r="5662">
      <c r="A5662" s="57"/>
    </row>
    <row r="5663">
      <c r="A5663" s="57"/>
    </row>
    <row r="5664">
      <c r="A5664" s="57"/>
    </row>
    <row r="5665">
      <c r="A5665" s="57"/>
    </row>
    <row r="5666">
      <c r="A5666" s="57"/>
    </row>
    <row r="5667">
      <c r="A5667" s="57"/>
    </row>
    <row r="5668">
      <c r="A5668" s="57"/>
    </row>
    <row r="5669">
      <c r="A5669" s="57"/>
    </row>
    <row r="5670">
      <c r="A5670" s="57"/>
    </row>
    <row r="5671">
      <c r="A5671" s="57"/>
    </row>
    <row r="5672">
      <c r="A5672" s="57"/>
    </row>
    <row r="5673">
      <c r="A5673" s="57"/>
    </row>
    <row r="5674">
      <c r="A5674" s="57"/>
    </row>
    <row r="5675">
      <c r="A5675" s="57"/>
    </row>
    <row r="5676">
      <c r="A5676" s="57"/>
    </row>
    <row r="5677">
      <c r="A5677" s="57"/>
    </row>
    <row r="5678">
      <c r="A5678" s="57"/>
    </row>
    <row r="5679">
      <c r="A5679" s="57"/>
    </row>
    <row r="5680">
      <c r="A5680" s="57"/>
    </row>
    <row r="5681">
      <c r="A5681" s="57"/>
    </row>
    <row r="5682">
      <c r="A5682" s="57"/>
    </row>
    <row r="5683">
      <c r="A5683" s="57"/>
    </row>
    <row r="5684">
      <c r="A5684" s="57"/>
    </row>
    <row r="5685">
      <c r="A5685" s="57"/>
    </row>
    <row r="5686">
      <c r="A5686" s="57"/>
    </row>
    <row r="5687">
      <c r="A5687" s="57"/>
    </row>
    <row r="5688">
      <c r="A5688" s="57"/>
    </row>
    <row r="5689">
      <c r="A5689" s="57"/>
    </row>
    <row r="5690">
      <c r="A5690" s="57"/>
    </row>
    <row r="5691">
      <c r="A5691" s="57"/>
    </row>
    <row r="5692">
      <c r="A5692" s="57"/>
    </row>
    <row r="5693">
      <c r="A5693" s="57"/>
    </row>
    <row r="5694">
      <c r="A5694" s="57"/>
    </row>
    <row r="5695">
      <c r="A5695" s="57"/>
    </row>
    <row r="5696">
      <c r="A5696" s="57"/>
    </row>
    <row r="5697">
      <c r="A5697" s="57"/>
    </row>
    <row r="5698">
      <c r="A5698" s="57"/>
    </row>
    <row r="5699">
      <c r="A5699" s="57"/>
    </row>
    <row r="5700">
      <c r="A5700" s="57"/>
    </row>
    <row r="5701">
      <c r="A5701" s="57"/>
    </row>
    <row r="5702">
      <c r="A5702" s="57"/>
    </row>
    <row r="5703">
      <c r="A5703" s="57"/>
    </row>
    <row r="5704">
      <c r="A5704" s="57"/>
    </row>
    <row r="5705">
      <c r="A5705" s="57"/>
    </row>
    <row r="5706">
      <c r="A5706" s="57"/>
    </row>
    <row r="5707">
      <c r="A5707" s="57"/>
    </row>
    <row r="5708">
      <c r="A5708" s="57"/>
    </row>
    <row r="5709">
      <c r="A5709" s="57"/>
    </row>
    <row r="5710">
      <c r="A5710" s="57"/>
    </row>
    <row r="5711">
      <c r="A5711" s="57"/>
    </row>
    <row r="5712">
      <c r="A5712" s="57"/>
    </row>
    <row r="5713">
      <c r="A5713" s="57"/>
    </row>
    <row r="5714">
      <c r="A5714" s="57"/>
    </row>
    <row r="5715">
      <c r="A5715" s="57"/>
    </row>
    <row r="5716">
      <c r="A5716" s="57"/>
    </row>
    <row r="5717">
      <c r="A5717" s="57"/>
    </row>
    <row r="5718">
      <c r="A5718" s="57"/>
    </row>
    <row r="5719">
      <c r="A5719" s="57"/>
    </row>
    <row r="5720">
      <c r="A5720" s="57"/>
    </row>
    <row r="5721">
      <c r="A5721" s="57"/>
    </row>
    <row r="5722">
      <c r="A5722" s="57"/>
    </row>
    <row r="5723">
      <c r="A5723" s="57"/>
    </row>
    <row r="5724">
      <c r="A5724" s="57"/>
    </row>
    <row r="5725">
      <c r="A5725" s="57"/>
    </row>
    <row r="5726">
      <c r="A5726" s="57"/>
    </row>
    <row r="5727">
      <c r="A5727" s="57"/>
    </row>
    <row r="5728">
      <c r="A5728" s="57"/>
    </row>
    <row r="5729">
      <c r="A5729" s="57"/>
    </row>
    <row r="5730">
      <c r="A5730" s="57"/>
    </row>
    <row r="5731">
      <c r="A5731" s="57"/>
    </row>
    <row r="5732">
      <c r="A5732" s="57"/>
    </row>
    <row r="5733">
      <c r="A5733" s="57"/>
    </row>
    <row r="5734">
      <c r="A5734" s="57"/>
    </row>
    <row r="5735">
      <c r="A5735" s="57"/>
    </row>
    <row r="5736">
      <c r="A5736" s="57"/>
    </row>
    <row r="5737">
      <c r="A5737" s="57"/>
    </row>
    <row r="5738">
      <c r="A5738" s="57"/>
    </row>
    <row r="5739">
      <c r="A5739" s="57"/>
    </row>
    <row r="5740">
      <c r="A5740" s="57"/>
    </row>
    <row r="5741">
      <c r="A5741" s="57"/>
    </row>
    <row r="5742">
      <c r="A5742" s="57"/>
    </row>
    <row r="5743">
      <c r="A5743" s="57"/>
    </row>
    <row r="5744">
      <c r="A5744" s="57"/>
    </row>
    <row r="5745">
      <c r="A5745" s="57"/>
    </row>
    <row r="5746">
      <c r="A5746" s="57"/>
    </row>
    <row r="5747">
      <c r="A5747" s="57"/>
    </row>
    <row r="5748">
      <c r="A5748" s="57"/>
    </row>
    <row r="5749">
      <c r="A5749" s="57"/>
    </row>
    <row r="5750">
      <c r="A5750" s="57"/>
    </row>
    <row r="5751">
      <c r="A5751" s="57"/>
    </row>
    <row r="5752">
      <c r="A5752" s="57"/>
    </row>
    <row r="5753">
      <c r="A5753" s="57"/>
    </row>
    <row r="5754">
      <c r="A5754" s="57"/>
    </row>
    <row r="5755">
      <c r="A5755" s="57"/>
    </row>
    <row r="5756">
      <c r="A5756" s="57"/>
    </row>
    <row r="5757">
      <c r="A5757" s="57"/>
    </row>
    <row r="5758">
      <c r="A5758" s="57"/>
    </row>
    <row r="5759">
      <c r="A5759" s="57"/>
    </row>
    <row r="5760">
      <c r="A5760" s="57"/>
    </row>
    <row r="5761">
      <c r="A5761" s="57"/>
    </row>
    <row r="5762">
      <c r="A5762" s="57"/>
    </row>
    <row r="5763">
      <c r="A5763" s="57"/>
    </row>
    <row r="5764">
      <c r="A5764" s="57"/>
    </row>
    <row r="5765">
      <c r="A5765" s="57"/>
    </row>
    <row r="5766">
      <c r="A5766" s="57"/>
    </row>
    <row r="5767">
      <c r="A5767" s="57"/>
    </row>
    <row r="5768">
      <c r="A5768" s="57"/>
    </row>
    <row r="5769">
      <c r="A5769" s="57"/>
    </row>
    <row r="5770">
      <c r="A5770" s="57"/>
    </row>
    <row r="5771">
      <c r="A5771" s="57"/>
    </row>
    <row r="5772">
      <c r="A5772" s="57"/>
    </row>
    <row r="5773">
      <c r="A5773" s="57"/>
    </row>
    <row r="5774">
      <c r="A5774" s="57"/>
    </row>
    <row r="5775">
      <c r="A5775" s="57"/>
    </row>
    <row r="5776">
      <c r="A5776" s="57"/>
    </row>
    <row r="5777">
      <c r="A5777" s="57"/>
    </row>
    <row r="5778">
      <c r="A5778" s="57"/>
    </row>
    <row r="5779">
      <c r="A5779" s="57"/>
    </row>
    <row r="5780">
      <c r="A5780" s="57"/>
    </row>
    <row r="5781">
      <c r="A5781" s="57"/>
    </row>
    <row r="5782">
      <c r="A5782" s="57"/>
    </row>
    <row r="5783">
      <c r="A5783" s="57"/>
    </row>
    <row r="5784">
      <c r="A5784" s="57"/>
    </row>
    <row r="5785">
      <c r="A5785" s="57"/>
    </row>
    <row r="5786">
      <c r="A5786" s="57"/>
    </row>
    <row r="5787">
      <c r="A5787" s="57"/>
    </row>
    <row r="5788">
      <c r="A5788" s="57"/>
    </row>
    <row r="5789">
      <c r="A5789" s="57"/>
    </row>
    <row r="5790">
      <c r="A5790" s="57"/>
    </row>
    <row r="5791">
      <c r="A5791" s="57"/>
    </row>
    <row r="5792">
      <c r="A5792" s="57"/>
    </row>
    <row r="5793">
      <c r="A5793" s="57"/>
    </row>
    <row r="5794">
      <c r="A5794" s="57"/>
    </row>
    <row r="5795">
      <c r="A5795" s="57"/>
    </row>
    <row r="5796">
      <c r="A5796" s="57"/>
    </row>
    <row r="5797">
      <c r="A5797" s="57"/>
    </row>
    <row r="5798">
      <c r="A5798" s="57"/>
    </row>
    <row r="5799">
      <c r="A5799" s="57"/>
    </row>
    <row r="5800">
      <c r="A5800" s="57"/>
    </row>
    <row r="5801">
      <c r="A5801" s="57"/>
    </row>
    <row r="5802">
      <c r="A5802" s="57"/>
    </row>
    <row r="5803">
      <c r="A5803" s="57"/>
    </row>
    <row r="5804">
      <c r="A5804" s="57"/>
    </row>
    <row r="5805">
      <c r="A5805" s="57"/>
    </row>
    <row r="5806">
      <c r="A5806" s="57"/>
    </row>
    <row r="5807">
      <c r="A5807" s="57"/>
    </row>
    <row r="5808">
      <c r="A5808" s="57"/>
    </row>
    <row r="5809">
      <c r="A5809" s="57"/>
    </row>
    <row r="5810">
      <c r="A5810" s="57"/>
    </row>
    <row r="5811">
      <c r="A5811" s="57"/>
    </row>
    <row r="5812">
      <c r="A5812" s="57"/>
    </row>
    <row r="5813">
      <c r="A5813" s="57"/>
    </row>
    <row r="5814">
      <c r="A5814" s="57"/>
    </row>
    <row r="5815">
      <c r="A5815" s="57"/>
    </row>
    <row r="5816">
      <c r="A5816" s="57"/>
    </row>
    <row r="5817">
      <c r="A5817" s="57"/>
    </row>
    <row r="5818">
      <c r="A5818" s="57"/>
    </row>
    <row r="5819">
      <c r="A5819" s="57"/>
    </row>
    <row r="5820">
      <c r="A5820" s="57"/>
    </row>
    <row r="5821">
      <c r="A5821" s="57"/>
    </row>
    <row r="5822">
      <c r="A5822" s="57"/>
    </row>
    <row r="5823">
      <c r="A5823" s="57"/>
    </row>
    <row r="5824">
      <c r="A5824" s="57"/>
    </row>
    <row r="5825">
      <c r="A5825" s="57"/>
    </row>
    <row r="5826">
      <c r="A5826" s="57"/>
    </row>
    <row r="5827">
      <c r="A5827" s="57"/>
    </row>
    <row r="5828">
      <c r="A5828" s="57"/>
    </row>
    <row r="5829">
      <c r="A5829" s="57"/>
    </row>
    <row r="5830">
      <c r="A5830" s="57"/>
    </row>
    <row r="5831">
      <c r="A5831" s="57"/>
    </row>
    <row r="5832">
      <c r="A5832" s="57"/>
    </row>
    <row r="5833">
      <c r="A5833" s="57"/>
    </row>
    <row r="5834">
      <c r="A5834" s="57"/>
    </row>
    <row r="5835">
      <c r="A5835" s="57"/>
    </row>
    <row r="5836">
      <c r="A5836" s="57"/>
    </row>
    <row r="5837">
      <c r="A5837" s="57"/>
    </row>
    <row r="5838">
      <c r="A5838" s="57"/>
    </row>
    <row r="5839">
      <c r="A5839" s="57"/>
    </row>
    <row r="5840">
      <c r="A5840" s="57"/>
    </row>
    <row r="5841">
      <c r="A5841" s="57"/>
    </row>
    <row r="5842">
      <c r="A5842" s="57"/>
    </row>
    <row r="5843">
      <c r="A5843" s="57"/>
    </row>
    <row r="5844">
      <c r="A5844" s="57"/>
    </row>
    <row r="5845">
      <c r="A5845" s="57"/>
    </row>
    <row r="5846">
      <c r="A5846" s="57"/>
    </row>
    <row r="5847">
      <c r="A5847" s="57"/>
    </row>
    <row r="5848">
      <c r="A5848" s="57"/>
    </row>
    <row r="5849">
      <c r="A5849" s="57"/>
    </row>
    <row r="5850">
      <c r="A5850" s="57"/>
    </row>
    <row r="5851">
      <c r="A5851" s="57"/>
    </row>
    <row r="5852">
      <c r="A5852" s="57"/>
    </row>
    <row r="5853">
      <c r="A5853" s="57"/>
    </row>
    <row r="5854">
      <c r="A5854" s="57"/>
    </row>
    <row r="5855">
      <c r="A5855" s="57"/>
    </row>
    <row r="5856">
      <c r="A5856" s="57"/>
    </row>
    <row r="5857">
      <c r="A5857" s="57"/>
    </row>
    <row r="5858">
      <c r="A5858" s="57"/>
    </row>
    <row r="5859">
      <c r="A5859" s="57"/>
    </row>
    <row r="5860">
      <c r="A5860" s="57"/>
    </row>
    <row r="5861">
      <c r="A5861" s="57"/>
    </row>
    <row r="5862">
      <c r="A5862" s="57"/>
    </row>
    <row r="5863">
      <c r="A5863" s="57"/>
    </row>
    <row r="5864">
      <c r="A5864" s="57"/>
    </row>
    <row r="5865">
      <c r="A5865" s="57"/>
    </row>
    <row r="5866">
      <c r="A5866" s="57"/>
    </row>
    <row r="5867">
      <c r="A5867" s="57"/>
    </row>
    <row r="5868">
      <c r="A5868" s="57"/>
    </row>
    <row r="5869">
      <c r="A5869" s="57"/>
    </row>
    <row r="5870">
      <c r="A5870" s="57"/>
    </row>
    <row r="5871">
      <c r="A5871" s="57"/>
    </row>
    <row r="5872">
      <c r="A5872" s="57"/>
    </row>
    <row r="5873">
      <c r="A5873" s="57"/>
    </row>
    <row r="5874">
      <c r="A5874" s="57"/>
    </row>
    <row r="5875">
      <c r="A5875" s="57"/>
    </row>
    <row r="5876">
      <c r="A5876" s="57"/>
    </row>
    <row r="5877">
      <c r="A5877" s="57"/>
    </row>
    <row r="5878">
      <c r="A5878" s="57"/>
    </row>
    <row r="5879">
      <c r="A5879" s="57"/>
    </row>
    <row r="5880">
      <c r="A5880" s="57"/>
    </row>
    <row r="5881">
      <c r="A5881" s="57"/>
    </row>
    <row r="5882">
      <c r="A5882" s="57"/>
    </row>
    <row r="5883">
      <c r="A5883" s="57"/>
    </row>
    <row r="5884">
      <c r="A5884" s="57"/>
    </row>
    <row r="5885">
      <c r="A5885" s="57"/>
    </row>
    <row r="5886">
      <c r="A5886" s="57"/>
    </row>
    <row r="5887">
      <c r="A5887" s="57"/>
    </row>
    <row r="5888">
      <c r="A5888" s="57"/>
    </row>
    <row r="5889">
      <c r="A5889" s="57"/>
    </row>
    <row r="5890">
      <c r="A5890" s="57"/>
    </row>
    <row r="5891">
      <c r="A5891" s="57"/>
    </row>
    <row r="5892">
      <c r="A5892" s="57"/>
    </row>
    <row r="5893">
      <c r="A5893" s="57"/>
    </row>
    <row r="5894">
      <c r="A5894" s="57"/>
    </row>
    <row r="5895">
      <c r="A5895" s="57"/>
    </row>
    <row r="5896">
      <c r="A5896" s="57"/>
    </row>
    <row r="5897">
      <c r="A5897" s="57"/>
    </row>
    <row r="5898">
      <c r="A5898" s="57"/>
    </row>
    <row r="5899">
      <c r="A5899" s="57"/>
    </row>
    <row r="5900">
      <c r="A5900" s="57"/>
    </row>
    <row r="5901">
      <c r="A5901" s="57"/>
    </row>
    <row r="5902">
      <c r="A5902" s="57"/>
    </row>
    <row r="5903">
      <c r="A5903" s="57"/>
    </row>
    <row r="5904">
      <c r="A5904" s="57"/>
    </row>
    <row r="5905">
      <c r="A5905" s="57"/>
    </row>
    <row r="5906">
      <c r="A5906" s="57"/>
    </row>
    <row r="5907">
      <c r="A5907" s="57"/>
    </row>
    <row r="5908">
      <c r="A5908" s="57"/>
    </row>
    <row r="5909">
      <c r="A5909" s="57"/>
    </row>
    <row r="5910">
      <c r="A5910" s="57"/>
    </row>
    <row r="5911">
      <c r="A5911" s="57"/>
    </row>
    <row r="5912">
      <c r="A5912" s="57"/>
    </row>
    <row r="5913">
      <c r="A5913" s="57"/>
    </row>
    <row r="5914">
      <c r="A5914" s="57"/>
    </row>
    <row r="5915">
      <c r="A5915" s="57"/>
    </row>
    <row r="5916">
      <c r="A5916" s="57"/>
    </row>
    <row r="5917">
      <c r="A5917" s="57"/>
    </row>
    <row r="5918">
      <c r="A5918" s="57"/>
    </row>
    <row r="5919">
      <c r="A5919" s="57"/>
    </row>
    <row r="5920">
      <c r="A5920" s="57"/>
    </row>
    <row r="5921">
      <c r="A5921" s="57"/>
    </row>
    <row r="5922">
      <c r="A5922" s="57"/>
    </row>
    <row r="5923">
      <c r="A5923" s="57"/>
    </row>
    <row r="5924">
      <c r="A5924" s="57"/>
    </row>
    <row r="5925">
      <c r="A5925" s="57"/>
    </row>
    <row r="5926">
      <c r="A5926" s="57"/>
    </row>
    <row r="5927">
      <c r="A5927" s="57"/>
    </row>
    <row r="5928">
      <c r="A5928" s="57"/>
    </row>
    <row r="5929">
      <c r="A5929" s="57"/>
    </row>
    <row r="5930">
      <c r="A5930" s="57"/>
    </row>
    <row r="5931">
      <c r="A5931" s="57"/>
    </row>
    <row r="5932">
      <c r="A5932" s="57"/>
    </row>
    <row r="5933">
      <c r="A5933" s="57"/>
    </row>
    <row r="5934">
      <c r="A5934" s="57"/>
    </row>
    <row r="5935">
      <c r="A5935" s="57"/>
    </row>
    <row r="5936">
      <c r="A5936" s="57"/>
    </row>
    <row r="5937">
      <c r="A5937" s="57"/>
    </row>
    <row r="5938">
      <c r="A5938" s="57"/>
    </row>
    <row r="5939">
      <c r="A5939" s="57"/>
    </row>
    <row r="5940">
      <c r="A5940" s="57"/>
    </row>
    <row r="5941">
      <c r="A5941" s="57"/>
    </row>
    <row r="5942">
      <c r="A5942" s="57"/>
    </row>
    <row r="5943">
      <c r="A5943" s="57"/>
    </row>
    <row r="5944">
      <c r="A5944" s="57"/>
    </row>
    <row r="5945">
      <c r="A5945" s="57"/>
    </row>
    <row r="5946">
      <c r="A5946" s="57"/>
    </row>
    <row r="5947">
      <c r="A5947" s="57"/>
    </row>
    <row r="5948">
      <c r="A5948" s="57"/>
    </row>
    <row r="5949">
      <c r="A5949" s="57"/>
    </row>
    <row r="5950">
      <c r="A5950" s="57"/>
    </row>
    <row r="5951">
      <c r="A5951" s="57"/>
    </row>
    <row r="5952">
      <c r="A5952" s="57"/>
    </row>
    <row r="5953">
      <c r="A5953" s="57"/>
    </row>
    <row r="5954">
      <c r="A5954" s="57"/>
    </row>
    <row r="5955">
      <c r="A5955" s="57"/>
    </row>
    <row r="5956">
      <c r="A5956" s="57"/>
    </row>
    <row r="5957">
      <c r="A5957" s="57"/>
    </row>
    <row r="5958">
      <c r="A5958" s="57"/>
    </row>
    <row r="5959">
      <c r="A5959" s="57"/>
    </row>
    <row r="5960">
      <c r="A5960" s="57"/>
    </row>
    <row r="5961">
      <c r="A5961" s="57"/>
    </row>
    <row r="5962">
      <c r="A5962" s="57"/>
    </row>
    <row r="5963">
      <c r="A5963" s="57"/>
    </row>
    <row r="5964">
      <c r="A5964" s="57"/>
    </row>
    <row r="5965">
      <c r="A5965" s="57"/>
    </row>
    <row r="5966">
      <c r="A5966" s="57"/>
    </row>
    <row r="5967">
      <c r="A5967" s="57"/>
    </row>
    <row r="5968">
      <c r="A5968" s="57"/>
    </row>
    <row r="5969">
      <c r="A5969" s="57"/>
    </row>
    <row r="5970">
      <c r="A5970" s="57"/>
    </row>
    <row r="5971">
      <c r="A5971" s="57"/>
    </row>
    <row r="5972">
      <c r="A5972" s="57"/>
    </row>
    <row r="5973">
      <c r="A5973" s="57"/>
    </row>
    <row r="5974">
      <c r="A5974" s="57"/>
    </row>
    <row r="5975">
      <c r="A5975" s="57"/>
    </row>
    <row r="5976">
      <c r="A5976" s="57"/>
    </row>
    <row r="5977">
      <c r="A5977" s="57"/>
    </row>
    <row r="5978">
      <c r="A5978" s="57"/>
    </row>
    <row r="5979">
      <c r="A5979" s="57"/>
    </row>
    <row r="5980">
      <c r="A5980" s="57"/>
    </row>
    <row r="5981">
      <c r="A5981" s="57"/>
    </row>
    <row r="5982">
      <c r="A5982" s="57"/>
    </row>
    <row r="5983">
      <c r="A5983" s="57"/>
    </row>
    <row r="5984">
      <c r="A5984" s="57"/>
    </row>
    <row r="5985">
      <c r="A5985" s="57"/>
    </row>
    <row r="5986">
      <c r="A5986" s="57"/>
    </row>
    <row r="5987">
      <c r="A5987" s="57"/>
    </row>
    <row r="5988">
      <c r="A5988" s="57"/>
    </row>
    <row r="5989">
      <c r="A5989" s="57"/>
    </row>
    <row r="5990">
      <c r="A5990" s="57"/>
    </row>
    <row r="5991">
      <c r="A5991" s="57"/>
    </row>
    <row r="5992">
      <c r="A5992" s="57"/>
    </row>
    <row r="5993">
      <c r="A5993" s="57"/>
    </row>
    <row r="5994">
      <c r="A5994" s="57"/>
    </row>
    <row r="5995">
      <c r="A5995" s="57"/>
    </row>
    <row r="5996">
      <c r="A5996" s="57"/>
    </row>
    <row r="5997">
      <c r="A5997" s="57"/>
    </row>
    <row r="5998">
      <c r="A5998" s="57"/>
    </row>
    <row r="5999">
      <c r="A5999" s="57"/>
    </row>
    <row r="6000">
      <c r="A6000" s="57"/>
    </row>
    <row r="6001">
      <c r="A6001" s="57"/>
    </row>
    <row r="6002">
      <c r="A6002" s="57"/>
    </row>
    <row r="6003">
      <c r="A6003" s="57"/>
    </row>
    <row r="6004">
      <c r="A6004" s="57"/>
    </row>
    <row r="6005">
      <c r="A6005" s="57"/>
    </row>
    <row r="6006">
      <c r="A6006" s="57"/>
    </row>
    <row r="6007">
      <c r="A6007" s="57"/>
    </row>
    <row r="6008">
      <c r="A6008" s="57"/>
    </row>
    <row r="6009">
      <c r="A6009" s="57"/>
    </row>
    <row r="6010">
      <c r="A6010" s="57"/>
    </row>
    <row r="6011">
      <c r="A6011" s="57"/>
    </row>
    <row r="6012">
      <c r="A6012" s="57"/>
    </row>
    <row r="6013">
      <c r="A6013" s="57"/>
    </row>
    <row r="6014">
      <c r="A6014" s="57"/>
    </row>
    <row r="6015">
      <c r="A6015" s="57"/>
    </row>
    <row r="6016">
      <c r="A6016" s="57"/>
    </row>
    <row r="6017">
      <c r="A6017" s="57"/>
    </row>
    <row r="6018">
      <c r="A6018" s="57"/>
    </row>
    <row r="6019">
      <c r="A6019" s="57"/>
    </row>
    <row r="6020">
      <c r="A6020" s="57"/>
    </row>
    <row r="6021">
      <c r="A6021" s="57"/>
    </row>
    <row r="6022">
      <c r="A6022" s="57"/>
    </row>
    <row r="6023">
      <c r="A6023" s="57"/>
    </row>
    <row r="6024">
      <c r="A6024" s="57"/>
    </row>
    <row r="6025">
      <c r="A6025" s="57"/>
    </row>
    <row r="6026">
      <c r="A6026" s="57"/>
    </row>
    <row r="6027">
      <c r="A6027" s="57"/>
    </row>
    <row r="6028">
      <c r="A6028" s="57"/>
    </row>
    <row r="6029">
      <c r="A6029" s="57"/>
    </row>
    <row r="6030">
      <c r="A6030" s="57"/>
    </row>
    <row r="6031">
      <c r="A6031" s="57"/>
    </row>
    <row r="6032">
      <c r="A6032" s="57"/>
    </row>
    <row r="6033">
      <c r="A6033" s="57"/>
    </row>
    <row r="6034">
      <c r="A6034" s="57"/>
    </row>
    <row r="6035">
      <c r="A6035" s="57"/>
    </row>
    <row r="6036">
      <c r="A6036" s="57"/>
    </row>
    <row r="6037">
      <c r="A6037" s="57"/>
    </row>
    <row r="6038">
      <c r="A6038" s="57"/>
    </row>
    <row r="6039">
      <c r="A6039" s="57"/>
    </row>
    <row r="6040">
      <c r="A6040" s="57"/>
    </row>
    <row r="6041">
      <c r="A6041" s="57"/>
    </row>
    <row r="6042">
      <c r="A6042" s="57"/>
    </row>
    <row r="6043">
      <c r="A6043" s="57"/>
    </row>
    <row r="6044">
      <c r="A6044" s="57"/>
    </row>
    <row r="6045">
      <c r="A6045" s="57"/>
    </row>
    <row r="6046">
      <c r="A6046" s="57"/>
    </row>
    <row r="6047">
      <c r="A6047" s="57"/>
    </row>
    <row r="6048">
      <c r="A6048" s="57"/>
    </row>
    <row r="6049">
      <c r="A6049" s="57"/>
    </row>
    <row r="6050">
      <c r="A6050" s="57"/>
    </row>
    <row r="6051">
      <c r="A6051" s="57"/>
    </row>
    <row r="6052">
      <c r="A6052" s="57"/>
    </row>
    <row r="6053">
      <c r="A6053" s="57"/>
    </row>
    <row r="6054">
      <c r="A6054" s="57"/>
    </row>
    <row r="6055">
      <c r="A6055" s="57"/>
    </row>
    <row r="6056">
      <c r="A6056" s="57"/>
    </row>
    <row r="6057">
      <c r="A6057" s="57"/>
    </row>
    <row r="6058">
      <c r="A6058" s="57"/>
    </row>
    <row r="6059">
      <c r="A6059" s="57"/>
    </row>
    <row r="6060">
      <c r="A6060" s="57"/>
    </row>
    <row r="6061">
      <c r="A6061" s="57"/>
    </row>
    <row r="6062">
      <c r="A6062" s="57"/>
    </row>
    <row r="6063">
      <c r="A6063" s="57"/>
    </row>
    <row r="6064">
      <c r="A6064" s="57"/>
    </row>
    <row r="6065">
      <c r="A6065" s="57"/>
    </row>
    <row r="6066">
      <c r="A6066" s="57"/>
    </row>
    <row r="6067">
      <c r="A6067" s="57"/>
    </row>
    <row r="6068">
      <c r="A6068" s="57"/>
    </row>
    <row r="6069">
      <c r="A6069" s="57"/>
    </row>
    <row r="6070">
      <c r="A6070" s="57"/>
    </row>
    <row r="6071">
      <c r="A6071" s="57"/>
    </row>
    <row r="6072">
      <c r="A6072" s="57"/>
    </row>
    <row r="6073">
      <c r="A6073" s="57"/>
    </row>
    <row r="6074">
      <c r="A6074" s="57"/>
    </row>
    <row r="6075">
      <c r="A6075" s="57"/>
    </row>
    <row r="6076">
      <c r="A6076" s="57"/>
    </row>
    <row r="6077">
      <c r="A6077" s="57"/>
    </row>
    <row r="6078">
      <c r="A6078" s="57"/>
    </row>
    <row r="6079">
      <c r="A6079" s="57"/>
    </row>
    <row r="6080">
      <c r="A6080" s="57"/>
    </row>
    <row r="6081">
      <c r="A6081" s="57"/>
    </row>
    <row r="6082">
      <c r="A6082" s="57"/>
    </row>
    <row r="6083">
      <c r="A6083" s="57"/>
    </row>
    <row r="6084">
      <c r="A6084" s="57"/>
    </row>
    <row r="6085">
      <c r="A6085" s="57"/>
    </row>
    <row r="6086">
      <c r="A6086" s="57"/>
    </row>
    <row r="6087">
      <c r="A6087" s="57"/>
    </row>
    <row r="6088">
      <c r="A6088" s="57"/>
    </row>
    <row r="6089">
      <c r="A6089" s="57"/>
    </row>
    <row r="6090">
      <c r="A6090" s="57"/>
    </row>
    <row r="6091">
      <c r="A6091" s="57"/>
    </row>
    <row r="6092">
      <c r="A6092" s="57"/>
    </row>
    <row r="6093">
      <c r="A6093" s="57"/>
    </row>
    <row r="6094">
      <c r="A6094" s="57"/>
    </row>
    <row r="6095">
      <c r="A6095" s="57"/>
    </row>
    <row r="6096">
      <c r="A6096" s="57"/>
    </row>
    <row r="6097">
      <c r="A6097" s="57"/>
    </row>
    <row r="6098">
      <c r="A6098" s="57"/>
    </row>
    <row r="6099">
      <c r="A6099" s="57"/>
    </row>
    <row r="6100">
      <c r="A6100" s="57"/>
    </row>
    <row r="6101">
      <c r="A6101" s="57"/>
    </row>
    <row r="6102">
      <c r="A6102" s="57"/>
    </row>
    <row r="6103">
      <c r="A6103" s="57"/>
    </row>
    <row r="6104">
      <c r="A6104" s="57"/>
    </row>
    <row r="6105">
      <c r="A6105" s="57"/>
    </row>
    <row r="6106">
      <c r="A6106" s="57"/>
    </row>
    <row r="6107">
      <c r="A6107" s="57"/>
    </row>
    <row r="6108">
      <c r="A6108" s="57"/>
    </row>
    <row r="6109">
      <c r="A6109" s="57"/>
    </row>
    <row r="6110">
      <c r="A6110" s="57"/>
    </row>
    <row r="6111">
      <c r="A6111" s="57"/>
    </row>
    <row r="6112">
      <c r="A6112" s="57"/>
    </row>
    <row r="6113">
      <c r="A6113" s="57"/>
    </row>
    <row r="6114">
      <c r="A6114" s="57"/>
    </row>
    <row r="6115">
      <c r="A6115" s="57"/>
    </row>
    <row r="6116">
      <c r="A6116" s="57"/>
    </row>
    <row r="6117">
      <c r="A6117" s="57"/>
    </row>
    <row r="6118">
      <c r="A6118" s="57"/>
    </row>
    <row r="6119">
      <c r="A6119" s="57"/>
    </row>
    <row r="6120">
      <c r="A6120" s="57"/>
    </row>
    <row r="6121">
      <c r="A6121" s="57"/>
    </row>
    <row r="6122">
      <c r="A6122" s="57"/>
    </row>
    <row r="6123">
      <c r="A6123" s="57"/>
    </row>
    <row r="6124">
      <c r="A6124" s="57"/>
    </row>
    <row r="6125">
      <c r="A6125" s="57"/>
    </row>
    <row r="6126">
      <c r="A6126" s="57"/>
    </row>
    <row r="6127">
      <c r="A6127" s="57"/>
    </row>
    <row r="6128">
      <c r="A6128" s="57"/>
    </row>
    <row r="6129">
      <c r="A6129" s="57"/>
    </row>
    <row r="6130">
      <c r="A6130" s="57"/>
    </row>
    <row r="6131">
      <c r="A6131" s="57"/>
    </row>
    <row r="6132">
      <c r="A6132" s="57"/>
    </row>
    <row r="6133">
      <c r="A6133" s="57"/>
    </row>
    <row r="6134">
      <c r="A6134" s="57"/>
    </row>
    <row r="6135">
      <c r="A6135" s="57"/>
    </row>
    <row r="6136">
      <c r="A6136" s="57"/>
    </row>
    <row r="6137">
      <c r="A6137" s="57"/>
    </row>
    <row r="6138">
      <c r="A6138" s="57"/>
    </row>
    <row r="6139">
      <c r="A6139" s="57"/>
    </row>
    <row r="6140">
      <c r="A6140" s="57"/>
    </row>
    <row r="6141">
      <c r="A6141" s="57"/>
    </row>
    <row r="6142">
      <c r="A6142" s="57"/>
    </row>
    <row r="6143">
      <c r="A6143" s="57"/>
    </row>
    <row r="6144">
      <c r="A6144" s="57"/>
    </row>
    <row r="6145">
      <c r="A6145" s="57"/>
    </row>
    <row r="6146">
      <c r="A6146" s="57"/>
    </row>
    <row r="6147">
      <c r="A6147" s="57"/>
    </row>
    <row r="6148">
      <c r="A6148" s="57"/>
    </row>
    <row r="6149">
      <c r="A6149" s="57"/>
    </row>
    <row r="6150">
      <c r="A6150" s="57"/>
    </row>
    <row r="6151">
      <c r="A6151" s="57"/>
    </row>
    <row r="6152">
      <c r="A6152" s="57"/>
    </row>
    <row r="6153">
      <c r="A6153" s="57"/>
    </row>
    <row r="6154">
      <c r="A6154" s="57"/>
    </row>
    <row r="6155">
      <c r="A6155" s="57"/>
    </row>
    <row r="6156">
      <c r="A6156" s="57"/>
    </row>
    <row r="6157">
      <c r="A6157" s="57"/>
    </row>
    <row r="6158">
      <c r="A6158" s="57"/>
    </row>
    <row r="6159">
      <c r="A6159" s="57"/>
    </row>
    <row r="6160">
      <c r="A6160" s="57"/>
    </row>
    <row r="6161">
      <c r="A6161" s="57"/>
    </row>
    <row r="6162">
      <c r="A6162" s="57"/>
    </row>
    <row r="6163">
      <c r="A6163" s="57"/>
    </row>
    <row r="6164">
      <c r="A6164" s="57"/>
    </row>
    <row r="6165">
      <c r="A6165" s="57"/>
    </row>
    <row r="6166">
      <c r="A6166" s="57"/>
    </row>
    <row r="6167">
      <c r="A6167" s="57"/>
    </row>
    <row r="6168">
      <c r="A6168" s="57"/>
    </row>
    <row r="6169">
      <c r="A6169" s="57"/>
    </row>
    <row r="6170">
      <c r="A6170" s="57"/>
    </row>
    <row r="6171">
      <c r="A6171" s="57"/>
    </row>
    <row r="6172">
      <c r="A6172" s="57"/>
    </row>
    <row r="6173">
      <c r="A6173" s="57"/>
    </row>
    <row r="6174">
      <c r="A6174" s="57"/>
    </row>
    <row r="6175">
      <c r="A6175" s="57"/>
    </row>
    <row r="6176">
      <c r="A6176" s="57"/>
    </row>
    <row r="6177">
      <c r="A6177" s="57"/>
    </row>
    <row r="6178">
      <c r="A6178" s="57"/>
    </row>
    <row r="6179">
      <c r="A6179" s="57"/>
    </row>
    <row r="6180">
      <c r="A6180" s="57"/>
    </row>
    <row r="6181">
      <c r="A6181" s="57"/>
    </row>
    <row r="6182">
      <c r="A6182" s="57"/>
    </row>
    <row r="6183">
      <c r="A6183" s="57"/>
    </row>
    <row r="6184">
      <c r="A6184" s="57"/>
    </row>
    <row r="6185">
      <c r="A6185" s="57"/>
    </row>
    <row r="6186">
      <c r="A6186" s="57"/>
    </row>
    <row r="6187">
      <c r="A6187" s="57"/>
    </row>
    <row r="6188">
      <c r="A6188" s="57"/>
    </row>
    <row r="6189">
      <c r="A6189" s="57"/>
    </row>
    <row r="6190">
      <c r="A6190" s="57"/>
    </row>
    <row r="6191">
      <c r="A6191" s="57"/>
    </row>
    <row r="6192">
      <c r="A6192" s="57"/>
    </row>
    <row r="6193">
      <c r="A6193" s="57"/>
    </row>
    <row r="6194">
      <c r="A6194" s="57"/>
    </row>
    <row r="6195">
      <c r="A6195" s="57"/>
    </row>
    <row r="6196">
      <c r="A6196" s="57"/>
    </row>
    <row r="6197">
      <c r="A6197" s="57"/>
    </row>
    <row r="6198">
      <c r="A6198" s="57"/>
    </row>
    <row r="6199">
      <c r="A6199" s="57"/>
    </row>
    <row r="6200">
      <c r="A6200" s="57"/>
    </row>
    <row r="6201">
      <c r="A6201" s="57"/>
    </row>
    <row r="6202">
      <c r="A6202" s="57"/>
    </row>
    <row r="6203">
      <c r="A6203" s="57"/>
    </row>
    <row r="6204">
      <c r="A6204" s="57"/>
    </row>
    <row r="6205">
      <c r="A6205" s="57"/>
    </row>
    <row r="6206">
      <c r="A6206" s="57"/>
    </row>
    <row r="6207">
      <c r="A6207" s="57"/>
    </row>
    <row r="6208">
      <c r="A6208" s="57"/>
    </row>
    <row r="6209">
      <c r="A6209" s="57"/>
    </row>
    <row r="6210">
      <c r="A6210" s="57"/>
    </row>
    <row r="6211">
      <c r="A6211" s="57"/>
    </row>
    <row r="6212">
      <c r="A6212" s="57"/>
    </row>
    <row r="6213">
      <c r="A6213" s="57"/>
    </row>
    <row r="6214">
      <c r="A6214" s="57"/>
    </row>
    <row r="6215">
      <c r="A6215" s="57"/>
    </row>
    <row r="6216">
      <c r="A6216" s="57"/>
    </row>
    <row r="6217">
      <c r="A6217" s="57"/>
    </row>
    <row r="6218">
      <c r="A6218" s="57"/>
    </row>
    <row r="6219">
      <c r="A6219" s="57"/>
    </row>
    <row r="6220">
      <c r="A6220" s="57"/>
    </row>
    <row r="6221">
      <c r="A6221" s="57"/>
    </row>
    <row r="6222">
      <c r="A6222" s="57"/>
    </row>
    <row r="6223">
      <c r="A6223" s="57"/>
    </row>
    <row r="6224">
      <c r="A6224" s="57"/>
    </row>
    <row r="6225">
      <c r="A6225" s="57"/>
    </row>
    <row r="6226">
      <c r="A6226" s="57"/>
    </row>
    <row r="6227">
      <c r="A6227" s="57"/>
    </row>
    <row r="6228">
      <c r="A6228" s="57"/>
    </row>
    <row r="6229">
      <c r="A6229" s="57"/>
    </row>
    <row r="6230">
      <c r="A6230" s="57"/>
    </row>
    <row r="6231">
      <c r="A6231" s="57"/>
    </row>
    <row r="6232">
      <c r="A6232" s="57"/>
    </row>
    <row r="6233">
      <c r="A6233" s="57"/>
    </row>
    <row r="6234">
      <c r="A6234" s="57"/>
    </row>
    <row r="6235">
      <c r="A6235" s="57"/>
    </row>
    <row r="6236">
      <c r="A6236" s="57"/>
    </row>
    <row r="6237">
      <c r="A6237" s="57"/>
    </row>
    <row r="6238">
      <c r="A6238" s="57"/>
    </row>
    <row r="6239">
      <c r="A6239" s="57"/>
    </row>
    <row r="6240">
      <c r="A6240" s="57"/>
    </row>
    <row r="6241">
      <c r="A6241" s="57"/>
    </row>
    <row r="6242">
      <c r="A6242" s="57"/>
    </row>
    <row r="6243">
      <c r="A6243" s="57"/>
    </row>
    <row r="6244">
      <c r="A6244" s="57"/>
    </row>
    <row r="6245">
      <c r="A6245" s="57"/>
    </row>
    <row r="6246">
      <c r="A6246" s="57"/>
    </row>
    <row r="6247">
      <c r="A6247" s="57"/>
    </row>
    <row r="6248">
      <c r="A6248" s="57"/>
    </row>
    <row r="6249">
      <c r="A6249" s="57"/>
    </row>
    <row r="6250">
      <c r="A6250" s="57"/>
    </row>
    <row r="6251">
      <c r="A6251" s="57"/>
    </row>
    <row r="6252">
      <c r="A6252" s="57"/>
    </row>
    <row r="6253">
      <c r="A6253" s="57"/>
    </row>
    <row r="6254">
      <c r="A6254" s="57"/>
    </row>
    <row r="6255">
      <c r="A6255" s="57"/>
    </row>
    <row r="6256">
      <c r="A6256" s="57"/>
    </row>
    <row r="6257">
      <c r="A6257" s="57"/>
    </row>
    <row r="6258">
      <c r="A6258" s="57"/>
    </row>
    <row r="6259">
      <c r="A6259" s="57"/>
    </row>
    <row r="6260">
      <c r="A6260" s="57"/>
    </row>
    <row r="6261">
      <c r="A6261" s="57"/>
    </row>
    <row r="6262">
      <c r="A6262" s="57"/>
    </row>
    <row r="6263">
      <c r="A6263" s="57"/>
    </row>
    <row r="6264">
      <c r="A6264" s="57"/>
    </row>
    <row r="6265">
      <c r="A6265" s="57"/>
    </row>
    <row r="6266">
      <c r="A6266" s="57"/>
    </row>
    <row r="6267">
      <c r="A6267" s="57"/>
    </row>
    <row r="6268">
      <c r="A6268" s="57"/>
    </row>
    <row r="6269">
      <c r="A6269" s="57"/>
    </row>
    <row r="6270">
      <c r="A6270" s="57"/>
    </row>
    <row r="6271">
      <c r="A6271" s="57"/>
    </row>
    <row r="6272">
      <c r="A6272" s="57"/>
    </row>
    <row r="6273">
      <c r="A6273" s="57"/>
    </row>
    <row r="6274">
      <c r="A6274" s="57"/>
    </row>
    <row r="6275">
      <c r="A6275" s="57"/>
    </row>
    <row r="6276">
      <c r="A6276" s="57"/>
    </row>
    <row r="6277">
      <c r="A6277" s="57"/>
    </row>
    <row r="6278">
      <c r="A6278" s="57"/>
    </row>
    <row r="6279">
      <c r="A6279" s="57"/>
    </row>
    <row r="6280">
      <c r="A6280" s="57"/>
    </row>
    <row r="6281">
      <c r="A6281" s="57"/>
    </row>
    <row r="6282">
      <c r="A6282" s="57"/>
    </row>
    <row r="6283">
      <c r="A6283" s="57"/>
    </row>
    <row r="6284">
      <c r="A6284" s="57"/>
    </row>
    <row r="6285">
      <c r="A6285" s="57"/>
    </row>
    <row r="6286">
      <c r="A6286" s="57"/>
    </row>
    <row r="6287">
      <c r="A6287" s="57"/>
    </row>
    <row r="6288">
      <c r="A6288" s="57"/>
    </row>
    <row r="6289">
      <c r="A6289" s="57"/>
    </row>
    <row r="6290">
      <c r="A6290" s="57"/>
    </row>
    <row r="6291">
      <c r="A6291" s="57"/>
    </row>
    <row r="6292">
      <c r="A6292" s="57"/>
    </row>
    <row r="6293">
      <c r="A6293" s="57"/>
    </row>
    <row r="6294">
      <c r="A6294" s="57"/>
    </row>
    <row r="6295">
      <c r="A6295" s="57"/>
    </row>
    <row r="6296">
      <c r="A6296" s="57"/>
    </row>
    <row r="6297">
      <c r="A6297" s="57"/>
    </row>
    <row r="6298">
      <c r="A6298" s="57"/>
    </row>
    <row r="6299">
      <c r="A6299" s="57"/>
    </row>
    <row r="6300">
      <c r="A6300" s="57"/>
    </row>
    <row r="6301">
      <c r="A6301" s="57"/>
    </row>
    <row r="6302">
      <c r="A6302" s="57"/>
    </row>
    <row r="6303">
      <c r="A6303" s="57"/>
    </row>
    <row r="6304">
      <c r="A6304" s="57"/>
    </row>
    <row r="6305">
      <c r="A6305" s="57"/>
    </row>
    <row r="6306">
      <c r="A6306" s="57"/>
    </row>
    <row r="6307">
      <c r="A6307" s="57"/>
    </row>
    <row r="6308">
      <c r="A6308" s="57"/>
    </row>
    <row r="6309">
      <c r="A6309" s="57"/>
    </row>
    <row r="6310">
      <c r="A6310" s="57"/>
    </row>
    <row r="6311">
      <c r="A6311" s="57"/>
    </row>
    <row r="6312">
      <c r="A6312" s="57"/>
    </row>
    <row r="6313">
      <c r="A6313" s="57"/>
    </row>
    <row r="6314">
      <c r="A6314" s="57"/>
    </row>
    <row r="6315">
      <c r="A6315" s="57"/>
    </row>
    <row r="6316">
      <c r="A6316" s="57"/>
    </row>
    <row r="6317">
      <c r="A6317" s="57"/>
    </row>
    <row r="6318">
      <c r="A6318" s="57"/>
    </row>
    <row r="6319">
      <c r="A6319" s="57"/>
    </row>
    <row r="6320">
      <c r="A6320" s="57"/>
    </row>
    <row r="6321">
      <c r="A6321" s="57"/>
    </row>
    <row r="6322">
      <c r="A6322" s="57"/>
    </row>
    <row r="6323">
      <c r="A6323" s="57"/>
    </row>
    <row r="6324">
      <c r="A6324" s="57"/>
    </row>
    <row r="6325">
      <c r="A6325" s="57"/>
    </row>
    <row r="6326">
      <c r="A6326" s="57"/>
    </row>
    <row r="6327">
      <c r="A6327" s="57"/>
    </row>
    <row r="6328">
      <c r="A6328" s="57"/>
    </row>
    <row r="6329">
      <c r="A6329" s="57"/>
    </row>
    <row r="6330">
      <c r="A6330" s="57"/>
    </row>
    <row r="6331">
      <c r="A6331" s="57"/>
    </row>
    <row r="6332">
      <c r="A6332" s="57"/>
    </row>
    <row r="6333">
      <c r="A6333" s="57"/>
    </row>
    <row r="6334">
      <c r="A6334" s="57"/>
    </row>
    <row r="6335">
      <c r="A6335" s="57"/>
    </row>
    <row r="6336">
      <c r="A6336" s="57"/>
    </row>
    <row r="6337">
      <c r="A6337" s="57"/>
    </row>
    <row r="6338">
      <c r="A6338" s="57"/>
    </row>
    <row r="6339">
      <c r="A6339" s="57"/>
    </row>
    <row r="6340">
      <c r="A6340" s="57"/>
    </row>
    <row r="6341">
      <c r="A6341" s="57"/>
    </row>
    <row r="6342">
      <c r="A6342" s="57"/>
    </row>
    <row r="6343">
      <c r="A6343" s="57"/>
    </row>
    <row r="6344">
      <c r="A6344" s="57"/>
    </row>
    <row r="6345">
      <c r="A6345" s="57"/>
    </row>
    <row r="6346">
      <c r="A6346" s="57"/>
    </row>
    <row r="6347">
      <c r="A6347" s="57"/>
    </row>
    <row r="6348">
      <c r="A6348" s="57"/>
    </row>
    <row r="6349">
      <c r="A6349" s="57"/>
    </row>
    <row r="6350">
      <c r="A6350" s="57"/>
    </row>
    <row r="6351">
      <c r="A6351" s="57"/>
    </row>
    <row r="6352">
      <c r="A6352" s="57"/>
    </row>
    <row r="6353">
      <c r="A6353" s="57"/>
    </row>
    <row r="6354">
      <c r="A6354" s="57"/>
    </row>
    <row r="6355">
      <c r="A6355" s="57"/>
    </row>
    <row r="6356">
      <c r="A6356" s="57"/>
    </row>
    <row r="6357">
      <c r="A6357" s="57"/>
    </row>
    <row r="6358">
      <c r="A6358" s="57"/>
    </row>
    <row r="6359">
      <c r="A6359" s="57"/>
    </row>
    <row r="6360">
      <c r="A6360" s="57"/>
    </row>
    <row r="6361">
      <c r="A6361" s="57"/>
    </row>
    <row r="6362">
      <c r="A6362" s="57"/>
    </row>
    <row r="6363">
      <c r="A6363" s="57"/>
    </row>
    <row r="6364">
      <c r="A6364" s="57"/>
    </row>
    <row r="6365">
      <c r="A6365" s="57"/>
    </row>
    <row r="6366">
      <c r="A6366" s="57"/>
    </row>
    <row r="6367">
      <c r="A6367" s="57"/>
    </row>
    <row r="6368">
      <c r="A6368" s="57"/>
    </row>
    <row r="6369">
      <c r="A6369" s="57"/>
    </row>
    <row r="6370">
      <c r="A6370" s="57"/>
    </row>
    <row r="6371">
      <c r="A6371" s="57"/>
    </row>
    <row r="6372">
      <c r="A6372" s="57"/>
    </row>
    <row r="6373">
      <c r="A6373" s="57"/>
    </row>
    <row r="6374">
      <c r="A6374" s="57"/>
    </row>
    <row r="6375">
      <c r="A6375" s="57"/>
    </row>
    <row r="6376">
      <c r="A6376" s="57"/>
    </row>
    <row r="6377">
      <c r="A6377" s="57"/>
    </row>
    <row r="6378">
      <c r="A6378" s="57"/>
    </row>
    <row r="6379">
      <c r="A6379" s="57"/>
    </row>
    <row r="6380">
      <c r="A6380" s="57"/>
    </row>
    <row r="6381">
      <c r="A6381" s="57"/>
    </row>
    <row r="6382">
      <c r="A6382" s="57"/>
    </row>
    <row r="6383">
      <c r="A6383" s="57"/>
    </row>
    <row r="6384">
      <c r="A6384" s="57"/>
    </row>
    <row r="6385">
      <c r="A6385" s="57"/>
    </row>
    <row r="6386">
      <c r="A6386" s="57"/>
    </row>
    <row r="6387">
      <c r="A6387" s="57"/>
    </row>
    <row r="6388">
      <c r="A6388" s="57"/>
    </row>
    <row r="6389">
      <c r="A6389" s="57"/>
    </row>
    <row r="6390">
      <c r="A6390" s="57"/>
    </row>
    <row r="6391">
      <c r="A6391" s="57"/>
    </row>
    <row r="6392">
      <c r="A6392" s="57"/>
    </row>
    <row r="6393">
      <c r="A6393" s="57"/>
    </row>
    <row r="6394">
      <c r="A6394" s="57"/>
    </row>
    <row r="6395">
      <c r="A6395" s="57"/>
    </row>
    <row r="6396">
      <c r="A6396" s="57"/>
    </row>
    <row r="6397">
      <c r="A6397" s="57"/>
    </row>
    <row r="6398">
      <c r="A6398" s="57"/>
    </row>
    <row r="6399">
      <c r="A6399" s="57"/>
    </row>
    <row r="6400">
      <c r="A6400" s="57"/>
    </row>
    <row r="6401">
      <c r="A6401" s="57"/>
    </row>
    <row r="6402">
      <c r="A6402" s="57"/>
    </row>
    <row r="6403">
      <c r="A6403" s="57"/>
    </row>
    <row r="6404">
      <c r="A6404" s="57"/>
    </row>
    <row r="6405">
      <c r="A6405" s="57"/>
    </row>
    <row r="6406">
      <c r="A6406" s="57"/>
    </row>
    <row r="6407">
      <c r="A6407" s="57"/>
    </row>
    <row r="6408">
      <c r="A6408" s="57"/>
    </row>
    <row r="6409">
      <c r="A6409" s="57"/>
    </row>
    <row r="6410">
      <c r="A6410" s="57"/>
    </row>
    <row r="6411">
      <c r="A6411" s="57"/>
    </row>
    <row r="6412">
      <c r="A6412" s="57"/>
    </row>
    <row r="6413">
      <c r="A6413" s="57"/>
    </row>
    <row r="6414">
      <c r="A6414" s="57"/>
    </row>
    <row r="6415">
      <c r="A6415" s="57"/>
    </row>
    <row r="6416">
      <c r="A6416" s="57"/>
    </row>
    <row r="6417">
      <c r="A6417" s="57"/>
    </row>
    <row r="6418">
      <c r="A6418" s="57"/>
    </row>
    <row r="6419">
      <c r="A6419" s="57"/>
    </row>
    <row r="6420">
      <c r="A6420" s="57"/>
    </row>
    <row r="6421">
      <c r="A6421" s="57"/>
    </row>
    <row r="6422">
      <c r="A6422" s="57"/>
    </row>
    <row r="6423">
      <c r="A6423" s="57"/>
    </row>
    <row r="6424">
      <c r="A6424" s="57"/>
    </row>
    <row r="6425">
      <c r="A6425" s="57"/>
    </row>
    <row r="6426">
      <c r="A6426" s="57"/>
    </row>
    <row r="6427">
      <c r="A6427" s="57"/>
    </row>
    <row r="6428">
      <c r="A6428" s="57"/>
    </row>
    <row r="6429">
      <c r="A6429" s="57"/>
    </row>
    <row r="6430">
      <c r="A6430" s="57"/>
    </row>
    <row r="6431">
      <c r="A6431" s="57"/>
    </row>
    <row r="6432">
      <c r="A6432" s="57"/>
    </row>
    <row r="6433">
      <c r="A6433" s="57"/>
    </row>
    <row r="6434">
      <c r="A6434" s="57"/>
    </row>
    <row r="6435">
      <c r="A6435" s="57"/>
    </row>
    <row r="6436">
      <c r="A6436" s="57"/>
    </row>
    <row r="6437">
      <c r="A6437" s="57"/>
    </row>
    <row r="6438">
      <c r="A6438" s="57"/>
    </row>
    <row r="6439">
      <c r="A6439" s="57"/>
    </row>
    <row r="6440">
      <c r="A6440" s="57"/>
    </row>
    <row r="6441">
      <c r="A6441" s="57"/>
    </row>
    <row r="6442">
      <c r="A6442" s="57"/>
    </row>
    <row r="6443">
      <c r="A6443" s="57"/>
    </row>
    <row r="6444">
      <c r="A6444" s="57"/>
    </row>
    <row r="6445">
      <c r="A6445" s="57"/>
    </row>
    <row r="6446">
      <c r="A6446" s="57"/>
    </row>
    <row r="6447">
      <c r="A6447" s="57"/>
    </row>
    <row r="6448">
      <c r="A6448" s="57"/>
    </row>
    <row r="6449">
      <c r="A6449" s="57"/>
    </row>
    <row r="6450">
      <c r="A6450" s="57"/>
    </row>
    <row r="6451">
      <c r="A6451" s="57"/>
    </row>
    <row r="6452">
      <c r="A6452" s="57"/>
    </row>
    <row r="6453">
      <c r="A6453" s="57"/>
    </row>
    <row r="6454">
      <c r="A6454" s="57"/>
    </row>
    <row r="6455">
      <c r="A6455" s="57"/>
    </row>
    <row r="6456">
      <c r="A6456" s="57"/>
    </row>
    <row r="6457">
      <c r="A6457" s="57"/>
    </row>
    <row r="6458">
      <c r="A6458" s="57"/>
    </row>
    <row r="6459">
      <c r="A6459" s="57"/>
    </row>
    <row r="6460">
      <c r="A6460" s="57"/>
    </row>
    <row r="6461">
      <c r="A6461" s="57"/>
    </row>
    <row r="6462">
      <c r="A6462" s="57"/>
    </row>
    <row r="6463">
      <c r="A6463" s="57"/>
    </row>
    <row r="6464">
      <c r="A6464" s="57"/>
    </row>
    <row r="6465">
      <c r="A6465" s="57"/>
    </row>
    <row r="6466">
      <c r="A6466" s="57"/>
    </row>
    <row r="6467">
      <c r="A6467" s="57"/>
    </row>
    <row r="6468">
      <c r="A6468" s="57"/>
    </row>
    <row r="6469">
      <c r="A6469" s="57"/>
    </row>
    <row r="6470">
      <c r="A6470" s="57"/>
    </row>
    <row r="6471">
      <c r="A6471" s="57"/>
    </row>
    <row r="6472">
      <c r="A6472" s="57"/>
    </row>
    <row r="6473">
      <c r="A6473" s="57"/>
    </row>
    <row r="6474">
      <c r="A6474" s="57"/>
    </row>
    <row r="6475">
      <c r="A6475" s="57"/>
    </row>
    <row r="6476">
      <c r="A6476" s="57"/>
    </row>
    <row r="6477">
      <c r="A6477" s="57"/>
    </row>
    <row r="6478">
      <c r="A6478" s="57"/>
    </row>
    <row r="6479">
      <c r="A6479" s="57"/>
    </row>
    <row r="6480">
      <c r="A6480" s="57"/>
    </row>
    <row r="6481">
      <c r="A6481" s="57"/>
    </row>
    <row r="6482">
      <c r="A6482" s="57"/>
    </row>
    <row r="6483">
      <c r="A6483" s="57"/>
    </row>
    <row r="6484">
      <c r="A6484" s="57"/>
    </row>
    <row r="6485">
      <c r="A6485" s="57"/>
    </row>
    <row r="6486">
      <c r="A6486" s="57"/>
    </row>
    <row r="6487">
      <c r="A6487" s="57"/>
    </row>
    <row r="6488">
      <c r="A6488" s="57"/>
    </row>
    <row r="6489">
      <c r="A6489" s="57"/>
    </row>
    <row r="6490">
      <c r="A6490" s="57"/>
    </row>
    <row r="6491">
      <c r="A6491" s="57"/>
    </row>
    <row r="6492">
      <c r="A6492" s="57"/>
    </row>
    <row r="6493">
      <c r="A6493" s="57"/>
    </row>
    <row r="6494">
      <c r="A6494" s="57"/>
    </row>
    <row r="6495">
      <c r="A6495" s="57"/>
    </row>
    <row r="6496">
      <c r="A6496" s="57"/>
    </row>
    <row r="6497">
      <c r="A6497" s="57"/>
    </row>
    <row r="6498">
      <c r="A6498" s="57"/>
    </row>
    <row r="6499">
      <c r="A6499" s="57"/>
    </row>
    <row r="6500">
      <c r="A6500" s="57"/>
    </row>
    <row r="6501">
      <c r="A6501" s="57"/>
    </row>
    <row r="6502">
      <c r="A6502" s="57"/>
    </row>
    <row r="6503">
      <c r="A6503" s="57"/>
    </row>
    <row r="6504">
      <c r="A6504" s="57"/>
    </row>
    <row r="6505">
      <c r="A6505" s="57"/>
    </row>
    <row r="6506">
      <c r="A6506" s="57"/>
    </row>
    <row r="6507">
      <c r="A6507" s="57"/>
    </row>
    <row r="6508">
      <c r="A6508" s="57"/>
    </row>
    <row r="6509">
      <c r="A6509" s="57"/>
    </row>
    <row r="6510">
      <c r="A6510" s="57"/>
    </row>
    <row r="6511">
      <c r="A6511" s="57"/>
    </row>
    <row r="6512">
      <c r="A6512" s="57"/>
    </row>
    <row r="6513">
      <c r="A6513" s="57"/>
    </row>
    <row r="6514">
      <c r="A6514" s="57"/>
    </row>
    <row r="6515">
      <c r="A6515" s="57"/>
    </row>
    <row r="6516">
      <c r="A6516" s="57"/>
    </row>
    <row r="6517">
      <c r="A6517" s="57"/>
    </row>
    <row r="6518">
      <c r="A6518" s="57"/>
    </row>
    <row r="6519">
      <c r="A6519" s="57"/>
    </row>
    <row r="6520">
      <c r="A6520" s="57"/>
    </row>
    <row r="6521">
      <c r="A6521" s="57"/>
    </row>
    <row r="6522">
      <c r="A6522" s="57"/>
    </row>
    <row r="6523">
      <c r="A6523" s="57"/>
    </row>
    <row r="6524">
      <c r="A6524" s="57"/>
    </row>
    <row r="6525">
      <c r="A6525" s="57"/>
    </row>
    <row r="6526">
      <c r="A6526" s="57"/>
    </row>
    <row r="6527">
      <c r="A6527" s="57"/>
    </row>
    <row r="6528">
      <c r="A6528" s="57"/>
    </row>
    <row r="6529">
      <c r="A6529" s="57"/>
    </row>
    <row r="6530">
      <c r="A6530" s="57"/>
    </row>
    <row r="6531">
      <c r="A6531" s="57"/>
    </row>
    <row r="6532">
      <c r="A6532" s="57"/>
    </row>
    <row r="6533">
      <c r="A6533" s="57"/>
    </row>
    <row r="6534">
      <c r="A6534" s="57"/>
    </row>
    <row r="6535">
      <c r="A6535" s="57"/>
    </row>
    <row r="6536">
      <c r="A6536" s="57"/>
    </row>
    <row r="6537">
      <c r="A6537" s="57"/>
    </row>
    <row r="6538">
      <c r="A6538" s="57"/>
    </row>
    <row r="6539">
      <c r="A6539" s="57"/>
    </row>
    <row r="6540">
      <c r="A6540" s="57"/>
    </row>
    <row r="6541">
      <c r="A6541" s="57"/>
    </row>
    <row r="6542">
      <c r="A6542" s="57"/>
    </row>
    <row r="6543">
      <c r="A6543" s="57"/>
    </row>
    <row r="6544">
      <c r="A6544" s="57"/>
    </row>
    <row r="6545">
      <c r="A6545" s="57"/>
    </row>
    <row r="6546">
      <c r="A6546" s="57"/>
    </row>
    <row r="6547">
      <c r="A6547" s="57"/>
    </row>
    <row r="6548">
      <c r="A6548" s="57"/>
    </row>
    <row r="6549">
      <c r="A6549" s="57"/>
    </row>
    <row r="6550">
      <c r="A6550" s="57"/>
    </row>
    <row r="6551">
      <c r="A6551" s="57"/>
    </row>
    <row r="6552">
      <c r="A6552" s="57"/>
    </row>
    <row r="6553">
      <c r="A6553" s="57"/>
    </row>
    <row r="6554">
      <c r="A6554" s="57"/>
    </row>
    <row r="6555">
      <c r="A6555" s="57"/>
    </row>
    <row r="6556">
      <c r="A6556" s="57"/>
    </row>
    <row r="6557">
      <c r="A6557" s="57"/>
    </row>
    <row r="6558">
      <c r="A6558" s="57"/>
    </row>
    <row r="6559">
      <c r="A6559" s="57"/>
    </row>
    <row r="6560">
      <c r="A6560" s="57"/>
    </row>
    <row r="6561">
      <c r="A6561" s="57"/>
    </row>
    <row r="6562">
      <c r="A6562" s="57"/>
    </row>
    <row r="6563">
      <c r="A6563" s="57"/>
    </row>
    <row r="6564">
      <c r="A6564" s="57"/>
    </row>
    <row r="6565">
      <c r="A6565" s="57"/>
    </row>
    <row r="6566">
      <c r="A6566" s="57"/>
    </row>
    <row r="6567">
      <c r="A6567" s="57"/>
    </row>
    <row r="6568">
      <c r="A6568" s="57"/>
    </row>
    <row r="6569">
      <c r="A6569" s="57"/>
    </row>
    <row r="6570">
      <c r="A6570" s="57"/>
    </row>
    <row r="6571">
      <c r="A6571" s="57"/>
    </row>
    <row r="6572">
      <c r="A6572" s="57"/>
    </row>
    <row r="6573">
      <c r="A6573" s="57"/>
    </row>
    <row r="6574">
      <c r="A6574" s="57"/>
    </row>
    <row r="6575">
      <c r="A6575" s="57"/>
    </row>
    <row r="6576">
      <c r="A6576" s="57"/>
    </row>
    <row r="6577">
      <c r="A6577" s="57"/>
    </row>
    <row r="6578">
      <c r="A6578" s="57"/>
    </row>
    <row r="6579">
      <c r="A6579" s="57"/>
    </row>
    <row r="6580">
      <c r="A6580" s="57"/>
    </row>
    <row r="6581">
      <c r="A6581" s="57"/>
    </row>
    <row r="6582">
      <c r="A6582" s="57"/>
    </row>
    <row r="6583">
      <c r="A6583" s="57"/>
    </row>
    <row r="6584">
      <c r="A6584" s="57"/>
    </row>
    <row r="6585">
      <c r="A6585" s="57"/>
    </row>
    <row r="6586">
      <c r="A6586" s="57"/>
    </row>
    <row r="6587">
      <c r="A6587" s="57"/>
    </row>
    <row r="6588">
      <c r="A6588" s="5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4" max="4" width="14.25"/>
    <col customWidth="1" min="6" max="6" width="21.13"/>
  </cols>
  <sheetData>
    <row r="1">
      <c r="A1" s="47" t="s">
        <v>5</v>
      </c>
      <c r="B1" s="47" t="s">
        <v>1578</v>
      </c>
      <c r="C1" s="47" t="s">
        <v>1579</v>
      </c>
      <c r="D1" s="47" t="s">
        <v>1580</v>
      </c>
      <c r="E1" s="47" t="s">
        <v>1581</v>
      </c>
      <c r="F1" s="47" t="s">
        <v>1582</v>
      </c>
      <c r="G1" s="47" t="s">
        <v>1584</v>
      </c>
      <c r="H1" s="47" t="s">
        <v>1585</v>
      </c>
      <c r="I1" s="47" t="s">
        <v>1588</v>
      </c>
    </row>
    <row r="2">
      <c r="A2" s="47" t="s">
        <v>1590</v>
      </c>
      <c r="B2" s="105">
        <v>46104.0</v>
      </c>
      <c r="C2" s="47" t="s">
        <v>1594</v>
      </c>
      <c r="D2" s="106">
        <v>0.75</v>
      </c>
      <c r="E2" s="106">
        <v>0.8541666666666666</v>
      </c>
      <c r="F2" s="108"/>
      <c r="G2" s="108"/>
      <c r="H2" s="108"/>
      <c r="I2" s="108"/>
    </row>
    <row r="3">
      <c r="A3" s="47" t="s">
        <v>1590</v>
      </c>
      <c r="B3" s="109">
        <f t="shared" ref="B3:B8" si="1">B2+1</f>
        <v>46105</v>
      </c>
      <c r="C3" s="47" t="s">
        <v>1605</v>
      </c>
      <c r="D3" s="106">
        <v>0.75</v>
      </c>
      <c r="E3" s="106">
        <v>0.8541666666666666</v>
      </c>
      <c r="F3" s="110" t="s">
        <v>1607</v>
      </c>
      <c r="G3" s="108"/>
      <c r="H3" s="108"/>
      <c r="I3" s="108"/>
    </row>
    <row r="4">
      <c r="A4" s="47" t="s">
        <v>1590</v>
      </c>
      <c r="B4" s="109">
        <f t="shared" si="1"/>
        <v>46106</v>
      </c>
      <c r="C4" s="47" t="s">
        <v>1609</v>
      </c>
      <c r="D4" s="106">
        <v>0.75</v>
      </c>
      <c r="E4" s="106">
        <v>0.8541666666666666</v>
      </c>
      <c r="F4" s="108"/>
      <c r="G4" s="108"/>
      <c r="H4" s="108"/>
      <c r="I4" s="108"/>
    </row>
    <row r="5">
      <c r="A5" s="47" t="s">
        <v>1590</v>
      </c>
      <c r="B5" s="109">
        <f t="shared" si="1"/>
        <v>46107</v>
      </c>
      <c r="C5" s="47" t="s">
        <v>1614</v>
      </c>
      <c r="D5" s="106">
        <v>0.75</v>
      </c>
      <c r="E5" s="106">
        <v>0.8541666666666666</v>
      </c>
      <c r="F5" s="108"/>
      <c r="G5" s="108"/>
      <c r="H5" s="108"/>
      <c r="I5" s="108"/>
    </row>
    <row r="6">
      <c r="A6" s="47" t="s">
        <v>1590</v>
      </c>
      <c r="B6" s="109">
        <f t="shared" si="1"/>
        <v>46108</v>
      </c>
      <c r="C6" s="47" t="s">
        <v>1617</v>
      </c>
      <c r="D6" s="110" t="s">
        <v>1618</v>
      </c>
      <c r="E6" s="108"/>
      <c r="F6" s="108"/>
      <c r="G6" s="108"/>
      <c r="H6" s="108"/>
      <c r="I6" s="108"/>
    </row>
    <row r="7">
      <c r="A7" s="47" t="s">
        <v>1590</v>
      </c>
      <c r="B7" s="109">
        <f t="shared" si="1"/>
        <v>46109</v>
      </c>
      <c r="C7" s="47" t="s">
        <v>1621</v>
      </c>
      <c r="D7" s="110" t="s">
        <v>1618</v>
      </c>
      <c r="E7" s="106"/>
      <c r="F7" s="108"/>
      <c r="G7" s="108"/>
      <c r="H7" s="108"/>
      <c r="I7" s="108"/>
    </row>
    <row r="8">
      <c r="A8" s="47" t="s">
        <v>1590</v>
      </c>
      <c r="B8" s="109">
        <f t="shared" si="1"/>
        <v>46110</v>
      </c>
      <c r="C8" s="47" t="s">
        <v>1622</v>
      </c>
      <c r="D8" s="110" t="s">
        <v>1618</v>
      </c>
      <c r="E8" s="110" t="s">
        <v>1618</v>
      </c>
      <c r="F8" s="108"/>
      <c r="G8" s="108"/>
      <c r="H8" s="108"/>
      <c r="I8" s="108"/>
    </row>
    <row r="9" ht="3.0" customHeight="1"/>
    <row r="10" ht="3.0" customHeight="1"/>
    <row r="11" ht="3.0" customHeight="1"/>
    <row r="12">
      <c r="A12" s="47" t="s">
        <v>5</v>
      </c>
      <c r="B12" s="47" t="s">
        <v>1578</v>
      </c>
      <c r="C12" s="47" t="s">
        <v>1579</v>
      </c>
      <c r="D12" s="47" t="s">
        <v>1580</v>
      </c>
      <c r="E12" s="47" t="s">
        <v>1581</v>
      </c>
      <c r="F12" s="47" t="s">
        <v>1582</v>
      </c>
      <c r="G12" s="47" t="s">
        <v>1584</v>
      </c>
      <c r="H12" s="47" t="s">
        <v>1585</v>
      </c>
      <c r="I12" s="47" t="s">
        <v>1588</v>
      </c>
    </row>
    <row r="13">
      <c r="A13" s="47" t="s">
        <v>169</v>
      </c>
      <c r="B13" s="111">
        <f>B2</f>
        <v>46104</v>
      </c>
      <c r="C13" s="47" t="s">
        <v>1594</v>
      </c>
      <c r="D13" s="106">
        <v>0.875</v>
      </c>
      <c r="E13" s="106">
        <v>0.9375</v>
      </c>
      <c r="F13" s="110" t="s">
        <v>1624</v>
      </c>
      <c r="G13" s="108"/>
      <c r="H13" s="108"/>
      <c r="I13" s="108"/>
    </row>
    <row r="14">
      <c r="A14" s="47" t="s">
        <v>169</v>
      </c>
      <c r="B14" s="109">
        <f t="shared" ref="B14:B19" si="2">B13+1</f>
        <v>46105</v>
      </c>
      <c r="C14" s="47" t="s">
        <v>1605</v>
      </c>
      <c r="D14" s="106">
        <v>0.4791666666666667</v>
      </c>
      <c r="E14" s="106">
        <v>0.5833333333333334</v>
      </c>
      <c r="F14" s="110" t="s">
        <v>1628</v>
      </c>
      <c r="G14" s="106">
        <v>0.75</v>
      </c>
      <c r="H14" s="106">
        <v>0.8541666666666666</v>
      </c>
      <c r="I14" s="108"/>
    </row>
    <row r="15">
      <c r="A15" s="47" t="s">
        <v>169</v>
      </c>
      <c r="B15" s="109">
        <f t="shared" si="2"/>
        <v>46106</v>
      </c>
      <c r="C15" s="47" t="s">
        <v>1609</v>
      </c>
      <c r="D15" s="110" t="s">
        <v>1618</v>
      </c>
      <c r="E15" s="108"/>
      <c r="F15" s="108"/>
      <c r="G15" s="108"/>
      <c r="H15" s="108"/>
      <c r="I15" s="108"/>
    </row>
    <row r="16">
      <c r="A16" s="47" t="s">
        <v>169</v>
      </c>
      <c r="B16" s="109">
        <f t="shared" si="2"/>
        <v>46107</v>
      </c>
      <c r="C16" s="47" t="s">
        <v>1614</v>
      </c>
      <c r="D16" s="106">
        <v>0.75</v>
      </c>
      <c r="E16" s="106">
        <v>0.8333333333333334</v>
      </c>
      <c r="F16" s="108"/>
      <c r="G16" s="108"/>
      <c r="H16" s="108"/>
      <c r="I16" s="108"/>
    </row>
    <row r="17">
      <c r="A17" s="47" t="s">
        <v>169</v>
      </c>
      <c r="B17" s="109">
        <f t="shared" si="2"/>
        <v>46108</v>
      </c>
      <c r="C17" s="47" t="s">
        <v>1617</v>
      </c>
      <c r="D17" s="110" t="s">
        <v>1618</v>
      </c>
      <c r="E17" s="108"/>
      <c r="F17" s="108"/>
      <c r="G17" s="108"/>
      <c r="H17" s="108"/>
      <c r="I17" s="108"/>
    </row>
    <row r="18">
      <c r="A18" s="47" t="s">
        <v>169</v>
      </c>
      <c r="B18" s="109">
        <f t="shared" si="2"/>
        <v>46109</v>
      </c>
      <c r="C18" s="47" t="s">
        <v>1621</v>
      </c>
      <c r="D18" s="106">
        <v>0.375</v>
      </c>
      <c r="E18" s="106">
        <v>0.4583333333333333</v>
      </c>
      <c r="F18" s="108"/>
      <c r="G18" s="108"/>
      <c r="H18" s="108"/>
      <c r="I18" s="108"/>
    </row>
    <row r="19">
      <c r="A19" s="47" t="s">
        <v>169</v>
      </c>
      <c r="B19" s="109">
        <f t="shared" si="2"/>
        <v>46110</v>
      </c>
      <c r="C19" s="47" t="s">
        <v>1622</v>
      </c>
      <c r="D19" s="110" t="s">
        <v>1638</v>
      </c>
      <c r="E19" s="106"/>
      <c r="F19" s="106"/>
      <c r="G19" s="108"/>
      <c r="H19" s="108"/>
      <c r="I19" s="108"/>
    </row>
    <row r="27">
      <c r="A27" s="113" t="s">
        <v>1640</v>
      </c>
    </row>
    <row r="28">
      <c r="A28" s="114" t="s">
        <v>1643</v>
      </c>
    </row>
  </sheetData>
  <mergeCells count="2">
    <mergeCell ref="A27:I27"/>
    <mergeCell ref="A28:I4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6.0"/>
    <col customWidth="1" min="3" max="3" width="25.63"/>
    <col customWidth="1" min="4" max="4" width="29.5"/>
    <col customWidth="1" min="5" max="5" width="16.5"/>
    <col customWidth="1" min="6" max="6" width="17.38"/>
    <col customWidth="1" min="7" max="7" width="32.38"/>
    <col customWidth="1" min="8" max="8" width="9.75"/>
    <col customWidth="1" min="9" max="9" width="9.13"/>
    <col customWidth="1" min="10" max="10" width="17.63"/>
    <col customWidth="1" min="11" max="11" width="13.5"/>
    <col customWidth="1" min="12" max="12" width="11.5"/>
    <col customWidth="1" min="13" max="13" width="11.0"/>
    <col customWidth="1" min="14" max="14" width="12.5"/>
    <col customWidth="1" min="15" max="15" width="12.25"/>
    <col customWidth="1" min="16" max="16" width="16.5"/>
    <col customWidth="1" min="17" max="17" width="19.75"/>
    <col customWidth="1" min="18" max="20" width="13.5"/>
  </cols>
  <sheetData>
    <row r="1" ht="51.75" customHeight="1">
      <c r="A1" s="16" t="s">
        <v>1845</v>
      </c>
      <c r="B1" s="17" t="s">
        <v>7</v>
      </c>
      <c r="C1" s="17" t="s">
        <v>11</v>
      </c>
      <c r="D1" s="17" t="s">
        <v>13</v>
      </c>
      <c r="E1" s="17" t="s">
        <v>15</v>
      </c>
      <c r="F1" s="17" t="s">
        <v>18</v>
      </c>
      <c r="G1" s="123" t="s">
        <v>20</v>
      </c>
      <c r="H1" s="19" t="s">
        <v>21</v>
      </c>
      <c r="I1" s="19" t="s">
        <v>22</v>
      </c>
      <c r="J1" s="22" t="s">
        <v>23</v>
      </c>
      <c r="K1" s="124" t="s">
        <v>24</v>
      </c>
      <c r="L1" s="22" t="s">
        <v>25</v>
      </c>
      <c r="M1" s="22" t="s">
        <v>26</v>
      </c>
      <c r="N1" s="22" t="s">
        <v>27</v>
      </c>
      <c r="O1" s="22" t="s">
        <v>28</v>
      </c>
      <c r="P1" s="23" t="s">
        <v>12</v>
      </c>
      <c r="Q1" s="23" t="s">
        <v>29</v>
      </c>
      <c r="R1" s="125" t="s">
        <v>30</v>
      </c>
      <c r="S1" s="125" t="s">
        <v>31</v>
      </c>
      <c r="T1" s="125" t="s">
        <v>32</v>
      </c>
      <c r="U1" s="126"/>
      <c r="V1" s="127"/>
      <c r="W1" s="127"/>
      <c r="X1" s="127"/>
      <c r="Y1" s="127"/>
      <c r="Z1" s="127"/>
      <c r="AA1" s="127"/>
      <c r="AB1" s="127"/>
      <c r="AC1" s="127"/>
      <c r="AD1" s="127"/>
    </row>
    <row r="2">
      <c r="A2" s="128" t="s">
        <v>382</v>
      </c>
      <c r="B2" s="128" t="s">
        <v>382</v>
      </c>
      <c r="C2" s="129" t="s">
        <v>1891</v>
      </c>
      <c r="D2" s="130" t="s">
        <v>1895</v>
      </c>
      <c r="E2" s="131" t="s">
        <v>35</v>
      </c>
      <c r="F2" s="130" t="s">
        <v>35</v>
      </c>
      <c r="G2" s="132" t="s">
        <v>1900</v>
      </c>
      <c r="H2" s="133"/>
      <c r="I2" s="134" t="s">
        <v>822</v>
      </c>
      <c r="J2" s="135">
        <v>46027.0</v>
      </c>
      <c r="K2" s="136"/>
      <c r="L2" s="132" t="s">
        <v>38</v>
      </c>
      <c r="M2" s="132">
        <v>512257.0</v>
      </c>
      <c r="N2" s="137">
        <v>34.87</v>
      </c>
      <c r="O2" s="132">
        <v>656633.0</v>
      </c>
      <c r="P2" s="130" t="s">
        <v>43</v>
      </c>
      <c r="Q2" s="138" t="s">
        <v>43</v>
      </c>
      <c r="R2" s="139"/>
      <c r="S2" s="139"/>
      <c r="T2" s="140"/>
      <c r="U2" s="141"/>
      <c r="V2" s="141"/>
      <c r="W2" s="141"/>
      <c r="X2" s="141"/>
      <c r="Y2" s="141"/>
      <c r="Z2" s="141"/>
      <c r="AA2" s="141"/>
      <c r="AB2" s="141"/>
      <c r="AC2" s="48"/>
      <c r="AD2" s="48"/>
    </row>
    <row r="3">
      <c r="A3" s="128" t="s">
        <v>382</v>
      </c>
      <c r="B3" s="128" t="s">
        <v>382</v>
      </c>
      <c r="C3" s="142" t="s">
        <v>53</v>
      </c>
      <c r="D3" s="143"/>
      <c r="E3" s="133"/>
      <c r="F3" s="143"/>
      <c r="G3" s="132" t="s">
        <v>1922</v>
      </c>
      <c r="H3" s="144"/>
      <c r="I3" s="145"/>
      <c r="J3" s="146">
        <v>46027.0</v>
      </c>
      <c r="K3" s="136"/>
      <c r="L3" s="130" t="s">
        <v>38</v>
      </c>
      <c r="M3" s="130">
        <v>512257.0</v>
      </c>
      <c r="N3" s="147">
        <v>1.14</v>
      </c>
      <c r="O3" s="130">
        <v>656633.0</v>
      </c>
      <c r="P3" s="131" t="s">
        <v>59</v>
      </c>
      <c r="Q3" s="138" t="s">
        <v>59</v>
      </c>
      <c r="R3" s="139"/>
      <c r="S3" s="139"/>
      <c r="T3" s="148"/>
      <c r="U3" s="141"/>
      <c r="V3" s="141"/>
      <c r="W3" s="141"/>
      <c r="X3" s="141"/>
      <c r="Y3" s="141"/>
      <c r="Z3" s="141"/>
      <c r="AA3" s="141"/>
      <c r="AB3" s="141"/>
      <c r="AC3" s="48"/>
      <c r="AD3" s="48"/>
    </row>
    <row r="4">
      <c r="A4" s="128" t="s">
        <v>382</v>
      </c>
      <c r="B4" s="149" t="s">
        <v>382</v>
      </c>
      <c r="C4" s="142" t="s">
        <v>1424</v>
      </c>
      <c r="D4" s="130" t="s">
        <v>1932</v>
      </c>
      <c r="E4" s="131" t="s">
        <v>41</v>
      </c>
      <c r="F4" s="131" t="s">
        <v>41</v>
      </c>
      <c r="G4" s="132" t="s">
        <v>1933</v>
      </c>
      <c r="H4" s="133"/>
      <c r="I4" s="133"/>
      <c r="J4" s="146">
        <v>46027.0</v>
      </c>
      <c r="K4" s="136"/>
      <c r="L4" s="130" t="s">
        <v>38</v>
      </c>
      <c r="M4" s="130">
        <v>512257.0</v>
      </c>
      <c r="N4" s="147">
        <v>60.8</v>
      </c>
      <c r="O4" s="130">
        <v>656633.0</v>
      </c>
      <c r="P4" s="131" t="s">
        <v>43</v>
      </c>
      <c r="Q4" s="138" t="s">
        <v>43</v>
      </c>
      <c r="R4" s="139"/>
      <c r="S4" s="150"/>
      <c r="T4" s="148"/>
      <c r="U4" s="141"/>
      <c r="V4" s="141"/>
      <c r="W4" s="141"/>
      <c r="X4" s="141"/>
      <c r="Y4" s="141"/>
      <c r="Z4" s="141"/>
      <c r="AA4" s="141"/>
      <c r="AB4" s="141"/>
      <c r="AC4" s="48"/>
      <c r="AD4" s="48"/>
    </row>
    <row r="5">
      <c r="A5" s="128" t="s">
        <v>382</v>
      </c>
      <c r="B5" s="128" t="s">
        <v>382</v>
      </c>
      <c r="C5" s="151" t="s">
        <v>53</v>
      </c>
      <c r="D5" s="143"/>
      <c r="E5" s="133"/>
      <c r="F5" s="143"/>
      <c r="G5" s="132" t="s">
        <v>1943</v>
      </c>
      <c r="H5" s="133"/>
      <c r="I5" s="133"/>
      <c r="J5" s="146">
        <v>46027.0</v>
      </c>
      <c r="K5" s="136"/>
      <c r="L5" s="130" t="s">
        <v>38</v>
      </c>
      <c r="M5" s="130">
        <v>512257.0</v>
      </c>
      <c r="N5" s="147">
        <v>1.14</v>
      </c>
      <c r="O5" s="130">
        <v>656633.0</v>
      </c>
      <c r="P5" s="131" t="s">
        <v>59</v>
      </c>
      <c r="Q5" s="138" t="s">
        <v>59</v>
      </c>
      <c r="R5" s="139"/>
      <c r="S5" s="150"/>
      <c r="T5" s="148"/>
      <c r="U5" s="141"/>
      <c r="V5" s="141"/>
      <c r="W5" s="141"/>
      <c r="X5" s="141"/>
      <c r="Y5" s="141"/>
      <c r="Z5" s="141"/>
      <c r="AA5" s="141"/>
      <c r="AB5" s="141"/>
      <c r="AC5" s="48"/>
      <c r="AD5" s="48"/>
    </row>
    <row r="6">
      <c r="A6" s="128" t="s">
        <v>382</v>
      </c>
      <c r="B6" s="128" t="s">
        <v>382</v>
      </c>
      <c r="C6" s="151" t="s">
        <v>53</v>
      </c>
      <c r="D6" s="143"/>
      <c r="E6" s="131" t="s">
        <v>35</v>
      </c>
      <c r="F6" s="130" t="s">
        <v>35</v>
      </c>
      <c r="G6" s="132" t="s">
        <v>1954</v>
      </c>
      <c r="H6" s="133"/>
      <c r="I6" s="133"/>
      <c r="J6" s="146">
        <v>46027.0</v>
      </c>
      <c r="K6" s="136"/>
      <c r="L6" s="130" t="s">
        <v>38</v>
      </c>
      <c r="M6" s="130">
        <v>512257.0</v>
      </c>
      <c r="N6" s="147">
        <v>114.0</v>
      </c>
      <c r="O6" s="130">
        <v>656633.0</v>
      </c>
      <c r="P6" s="131" t="s">
        <v>59</v>
      </c>
      <c r="Q6" s="138" t="s">
        <v>59</v>
      </c>
      <c r="R6" s="139"/>
      <c r="S6" s="150"/>
      <c r="T6" s="148"/>
      <c r="U6" s="141"/>
      <c r="V6" s="141"/>
      <c r="W6" s="141"/>
      <c r="X6" s="141"/>
      <c r="Y6" s="141"/>
      <c r="Z6" s="141"/>
      <c r="AA6" s="141"/>
      <c r="AB6" s="141"/>
      <c r="AC6" s="48"/>
      <c r="AD6" s="48"/>
    </row>
    <row r="7">
      <c r="A7" s="128" t="s">
        <v>382</v>
      </c>
      <c r="B7" s="128" t="s">
        <v>382</v>
      </c>
      <c r="C7" s="152" t="s">
        <v>1959</v>
      </c>
      <c r="D7" s="152" t="s">
        <v>1962</v>
      </c>
      <c r="E7" s="153" t="s">
        <v>41</v>
      </c>
      <c r="F7" s="152" t="s">
        <v>41</v>
      </c>
      <c r="G7" s="154" t="s">
        <v>1966</v>
      </c>
      <c r="H7" s="133"/>
      <c r="I7" s="133"/>
      <c r="J7" s="155">
        <v>46041.0</v>
      </c>
      <c r="K7" s="136"/>
      <c r="L7" s="152" t="s">
        <v>38</v>
      </c>
      <c r="M7" s="156">
        <v>515661.0</v>
      </c>
      <c r="N7" s="157">
        <v>99.28</v>
      </c>
      <c r="O7" s="156">
        <v>660652.0</v>
      </c>
      <c r="P7" s="158" t="s">
        <v>43</v>
      </c>
      <c r="Q7" s="158" t="s">
        <v>43</v>
      </c>
      <c r="R7" s="159"/>
      <c r="S7" s="160"/>
      <c r="T7" s="161"/>
      <c r="U7" s="141"/>
      <c r="V7" s="141"/>
      <c r="W7" s="141"/>
      <c r="X7" s="141"/>
      <c r="Y7" s="141"/>
      <c r="Z7" s="141"/>
      <c r="AA7" s="141"/>
      <c r="AB7" s="141"/>
      <c r="AC7" s="48"/>
      <c r="AD7" s="48"/>
    </row>
    <row r="8">
      <c r="A8" s="128" t="s">
        <v>382</v>
      </c>
      <c r="B8" s="128" t="s">
        <v>382</v>
      </c>
      <c r="C8" s="162" t="s">
        <v>763</v>
      </c>
      <c r="D8" s="130" t="s">
        <v>1981</v>
      </c>
      <c r="E8" s="131" t="s">
        <v>41</v>
      </c>
      <c r="F8" s="130" t="s">
        <v>41</v>
      </c>
      <c r="G8" s="132" t="s">
        <v>1983</v>
      </c>
      <c r="H8" s="133"/>
      <c r="I8" s="134" t="s">
        <v>1985</v>
      </c>
      <c r="J8" s="146">
        <v>46027.0</v>
      </c>
      <c r="K8" s="136"/>
      <c r="L8" s="130" t="s">
        <v>38</v>
      </c>
      <c r="M8" s="130">
        <v>512257.0</v>
      </c>
      <c r="N8" s="147">
        <v>34.68</v>
      </c>
      <c r="O8" s="130" t="s">
        <v>59</v>
      </c>
      <c r="P8" s="131" t="s">
        <v>59</v>
      </c>
      <c r="Q8" s="138" t="s">
        <v>59</v>
      </c>
      <c r="R8" s="139"/>
      <c r="S8" s="150"/>
      <c r="T8" s="148"/>
      <c r="U8" s="141"/>
      <c r="V8" s="141"/>
      <c r="W8" s="141"/>
      <c r="X8" s="141"/>
      <c r="Y8" s="141"/>
      <c r="Z8" s="141"/>
      <c r="AA8" s="141"/>
      <c r="AB8" s="141"/>
      <c r="AC8" s="48"/>
      <c r="AD8" s="48"/>
    </row>
    <row r="9">
      <c r="A9" s="128" t="s">
        <v>382</v>
      </c>
      <c r="B9" s="128" t="s">
        <v>382</v>
      </c>
      <c r="C9" s="162" t="s">
        <v>763</v>
      </c>
      <c r="D9" s="130" t="s">
        <v>1981</v>
      </c>
      <c r="E9" s="131" t="s">
        <v>41</v>
      </c>
      <c r="F9" s="130" t="s">
        <v>41</v>
      </c>
      <c r="G9" s="132" t="s">
        <v>1992</v>
      </c>
      <c r="H9" s="133"/>
      <c r="I9" s="133"/>
      <c r="J9" s="146">
        <v>46027.0</v>
      </c>
      <c r="K9" s="136"/>
      <c r="L9" s="130" t="s">
        <v>38</v>
      </c>
      <c r="M9" s="130">
        <v>512257.0</v>
      </c>
      <c r="N9" s="147">
        <v>37.43</v>
      </c>
      <c r="O9" s="130">
        <v>656633.0</v>
      </c>
      <c r="P9" s="130" t="s">
        <v>59</v>
      </c>
      <c r="Q9" s="138" t="s">
        <v>59</v>
      </c>
      <c r="R9" s="139"/>
      <c r="S9" s="150"/>
      <c r="T9" s="148"/>
      <c r="U9" s="141"/>
      <c r="V9" s="141"/>
      <c r="W9" s="141"/>
      <c r="X9" s="141"/>
      <c r="Y9" s="141"/>
      <c r="Z9" s="141"/>
      <c r="AA9" s="141"/>
      <c r="AB9" s="141"/>
      <c r="AC9" s="48"/>
      <c r="AD9" s="48"/>
    </row>
    <row r="10">
      <c r="A10" s="128" t="s">
        <v>382</v>
      </c>
      <c r="B10" s="128" t="s">
        <v>382</v>
      </c>
      <c r="C10" s="162" t="s">
        <v>763</v>
      </c>
      <c r="D10" s="130" t="s">
        <v>1981</v>
      </c>
      <c r="E10" s="131" t="s">
        <v>41</v>
      </c>
      <c r="F10" s="130" t="s">
        <v>41</v>
      </c>
      <c r="G10" s="132" t="s">
        <v>2000</v>
      </c>
      <c r="H10" s="133"/>
      <c r="I10" s="134" t="s">
        <v>2001</v>
      </c>
      <c r="J10" s="146">
        <v>46027.0</v>
      </c>
      <c r="K10" s="136"/>
      <c r="L10" s="130" t="s">
        <v>38</v>
      </c>
      <c r="M10" s="130">
        <v>512257.0</v>
      </c>
      <c r="N10" s="147">
        <v>32.65</v>
      </c>
      <c r="O10" s="130">
        <v>656633.0</v>
      </c>
      <c r="P10" s="131" t="s">
        <v>59</v>
      </c>
      <c r="Q10" s="138" t="s">
        <v>59</v>
      </c>
      <c r="R10" s="139"/>
      <c r="S10" s="150"/>
      <c r="T10" s="148"/>
      <c r="U10" s="141"/>
      <c r="V10" s="141"/>
      <c r="W10" s="141"/>
      <c r="X10" s="141"/>
      <c r="Y10" s="141"/>
      <c r="Z10" s="141"/>
      <c r="AA10" s="141"/>
      <c r="AB10" s="141"/>
      <c r="AC10" s="48"/>
      <c r="AD10" s="48"/>
    </row>
    <row r="11">
      <c r="A11" s="128" t="s">
        <v>382</v>
      </c>
      <c r="B11" s="128" t="s">
        <v>382</v>
      </c>
      <c r="C11" s="162" t="s">
        <v>334</v>
      </c>
      <c r="D11" s="130" t="s">
        <v>1072</v>
      </c>
      <c r="E11" s="131" t="s">
        <v>41</v>
      </c>
      <c r="F11" s="130" t="s">
        <v>41</v>
      </c>
      <c r="G11" s="132" t="s">
        <v>2005</v>
      </c>
      <c r="H11" s="133"/>
      <c r="I11" s="133"/>
      <c r="J11" s="146">
        <v>46027.0</v>
      </c>
      <c r="K11" s="136"/>
      <c r="L11" s="130" t="s">
        <v>38</v>
      </c>
      <c r="M11" s="130">
        <v>512257.0</v>
      </c>
      <c r="N11" s="147">
        <v>50.11</v>
      </c>
      <c r="O11" s="130">
        <v>656633.0</v>
      </c>
      <c r="P11" s="131" t="s">
        <v>43</v>
      </c>
      <c r="Q11" s="138" t="s">
        <v>43</v>
      </c>
      <c r="R11" s="139"/>
      <c r="S11" s="150"/>
      <c r="T11" s="148"/>
      <c r="U11" s="141"/>
      <c r="V11" s="141"/>
      <c r="W11" s="141"/>
      <c r="X11" s="141"/>
      <c r="Y11" s="141"/>
      <c r="Z11" s="141"/>
      <c r="AA11" s="141"/>
      <c r="AB11" s="141"/>
      <c r="AC11" s="48"/>
      <c r="AD11" s="48"/>
    </row>
    <row r="12">
      <c r="A12" s="128" t="s">
        <v>382</v>
      </c>
      <c r="B12" s="128" t="s">
        <v>382</v>
      </c>
      <c r="C12" s="162" t="s">
        <v>53</v>
      </c>
      <c r="D12" s="143"/>
      <c r="E12" s="131" t="s">
        <v>35</v>
      </c>
      <c r="F12" s="130" t="s">
        <v>35</v>
      </c>
      <c r="G12" s="132" t="s">
        <v>126</v>
      </c>
      <c r="H12" s="144"/>
      <c r="I12" s="145"/>
      <c r="J12" s="146">
        <v>46027.0</v>
      </c>
      <c r="K12" s="136"/>
      <c r="L12" s="130" t="s">
        <v>38</v>
      </c>
      <c r="M12" s="130">
        <v>512257.0</v>
      </c>
      <c r="N12" s="147">
        <v>99.28</v>
      </c>
      <c r="O12" s="130">
        <v>656633.0</v>
      </c>
      <c r="P12" s="131" t="s">
        <v>59</v>
      </c>
      <c r="Q12" s="138" t="s">
        <v>59</v>
      </c>
      <c r="R12" s="139"/>
      <c r="S12" s="150"/>
      <c r="T12" s="148"/>
      <c r="U12" s="141"/>
      <c r="V12" s="141"/>
      <c r="W12" s="141"/>
      <c r="X12" s="141"/>
      <c r="Y12" s="141"/>
      <c r="Z12" s="141"/>
      <c r="AA12" s="141"/>
      <c r="AB12" s="141"/>
      <c r="AC12" s="48"/>
      <c r="AD12" s="48"/>
    </row>
    <row r="13">
      <c r="A13" s="128" t="s">
        <v>2018</v>
      </c>
      <c r="B13" s="149" t="s">
        <v>382</v>
      </c>
      <c r="C13" s="153" t="s">
        <v>1352</v>
      </c>
      <c r="D13" s="156">
        <v>5.705783108E9</v>
      </c>
      <c r="E13" s="153" t="s">
        <v>41</v>
      </c>
      <c r="F13" s="152" t="s">
        <v>41</v>
      </c>
      <c r="G13" s="154" t="s">
        <v>2020</v>
      </c>
      <c r="H13" s="133"/>
      <c r="I13" s="133"/>
      <c r="J13" s="155">
        <v>46041.0</v>
      </c>
      <c r="K13" s="165"/>
      <c r="L13" s="152" t="s">
        <v>38</v>
      </c>
      <c r="M13" s="156">
        <v>515661.0</v>
      </c>
      <c r="N13" s="157">
        <v>95.62</v>
      </c>
      <c r="O13" s="166">
        <v>660652.0</v>
      </c>
      <c r="P13" s="158" t="s">
        <v>43</v>
      </c>
      <c r="Q13" s="158" t="s">
        <v>43</v>
      </c>
      <c r="R13" s="159"/>
      <c r="S13" s="160"/>
      <c r="T13" s="161"/>
      <c r="U13" s="141"/>
      <c r="V13" s="141"/>
      <c r="W13" s="141"/>
      <c r="X13" s="141"/>
      <c r="Y13" s="141"/>
      <c r="Z13" s="141"/>
      <c r="AA13" s="141"/>
      <c r="AB13" s="141"/>
      <c r="AC13" s="48"/>
      <c r="AD13" s="48"/>
    </row>
    <row r="14">
      <c r="A14" s="128" t="s">
        <v>382</v>
      </c>
      <c r="B14" s="128" t="s">
        <v>382</v>
      </c>
      <c r="C14" s="162" t="s">
        <v>40</v>
      </c>
      <c r="D14" s="130">
        <v>5.708928147E9</v>
      </c>
      <c r="E14" s="131" t="s">
        <v>41</v>
      </c>
      <c r="F14" s="130" t="s">
        <v>41</v>
      </c>
      <c r="G14" s="132" t="s">
        <v>2035</v>
      </c>
      <c r="H14" s="133"/>
      <c r="I14" s="133"/>
      <c r="J14" s="167">
        <v>46027.0</v>
      </c>
      <c r="K14" s="168"/>
      <c r="L14" s="130" t="s">
        <v>38</v>
      </c>
      <c r="M14" s="130">
        <v>512428.0</v>
      </c>
      <c r="N14" s="147">
        <v>159.46</v>
      </c>
      <c r="O14" s="130">
        <v>656611.0</v>
      </c>
      <c r="P14" s="131" t="s">
        <v>43</v>
      </c>
      <c r="Q14" s="138" t="s">
        <v>43</v>
      </c>
      <c r="R14" s="139"/>
      <c r="S14" s="150"/>
      <c r="T14" s="148"/>
      <c r="U14" s="141"/>
      <c r="V14" s="141"/>
      <c r="W14" s="141"/>
      <c r="X14" s="141"/>
      <c r="Y14" s="141"/>
      <c r="Z14" s="141"/>
      <c r="AA14" s="141"/>
      <c r="AB14" s="141"/>
      <c r="AC14" s="48"/>
      <c r="AD14" s="48"/>
    </row>
    <row r="15">
      <c r="A15" s="128" t="s">
        <v>382</v>
      </c>
      <c r="B15" s="128" t="s">
        <v>382</v>
      </c>
      <c r="C15" s="142" t="s">
        <v>1352</v>
      </c>
      <c r="D15" s="130">
        <v>5.705783108E9</v>
      </c>
      <c r="E15" s="131" t="s">
        <v>41</v>
      </c>
      <c r="F15" s="130" t="s">
        <v>41</v>
      </c>
      <c r="G15" s="132" t="s">
        <v>2042</v>
      </c>
      <c r="H15" s="133"/>
      <c r="I15" s="134" t="s">
        <v>1985</v>
      </c>
      <c r="J15" s="167">
        <v>46029.0</v>
      </c>
      <c r="K15" s="168"/>
      <c r="L15" s="130" t="s">
        <v>38</v>
      </c>
      <c r="M15" s="130">
        <v>512798.0</v>
      </c>
      <c r="N15" s="147">
        <v>80.75</v>
      </c>
      <c r="O15" s="130" t="s">
        <v>59</v>
      </c>
      <c r="P15" s="131" t="s">
        <v>59</v>
      </c>
      <c r="Q15" s="138" t="s">
        <v>59</v>
      </c>
      <c r="R15" s="139"/>
      <c r="S15" s="150"/>
      <c r="T15" s="148"/>
      <c r="U15" s="141"/>
      <c r="V15" s="141"/>
      <c r="W15" s="141"/>
      <c r="X15" s="141"/>
      <c r="Y15" s="141"/>
      <c r="Z15" s="141"/>
      <c r="AA15" s="141"/>
      <c r="AB15" s="141"/>
      <c r="AC15" s="48"/>
      <c r="AD15" s="48"/>
    </row>
    <row r="16">
      <c r="A16" s="128" t="s">
        <v>382</v>
      </c>
      <c r="B16" s="128" t="s">
        <v>382</v>
      </c>
      <c r="C16" s="151" t="s">
        <v>829</v>
      </c>
      <c r="D16" s="143"/>
      <c r="E16" s="131" t="s">
        <v>41</v>
      </c>
      <c r="F16" s="130" t="s">
        <v>41</v>
      </c>
      <c r="G16" s="132" t="s">
        <v>2045</v>
      </c>
      <c r="H16" s="133"/>
      <c r="I16" s="133"/>
      <c r="J16" s="167">
        <v>46029.0</v>
      </c>
      <c r="K16" s="168"/>
      <c r="L16" s="130" t="s">
        <v>38</v>
      </c>
      <c r="M16" s="130">
        <v>512798.0</v>
      </c>
      <c r="N16" s="147">
        <v>70.3</v>
      </c>
      <c r="O16" s="130">
        <v>657199.0</v>
      </c>
      <c r="P16" s="131" t="s">
        <v>43</v>
      </c>
      <c r="Q16" s="138" t="s">
        <v>43</v>
      </c>
      <c r="R16" s="139"/>
      <c r="S16" s="150"/>
      <c r="T16" s="148"/>
      <c r="U16" s="141"/>
      <c r="V16" s="141"/>
      <c r="W16" s="141"/>
      <c r="X16" s="141"/>
      <c r="Y16" s="141"/>
      <c r="Z16" s="141"/>
      <c r="AA16" s="141"/>
      <c r="AB16" s="141"/>
      <c r="AC16" s="48"/>
      <c r="AD16" s="48"/>
    </row>
    <row r="17">
      <c r="A17" s="128" t="s">
        <v>382</v>
      </c>
      <c r="B17" s="128" t="s">
        <v>382</v>
      </c>
      <c r="C17" s="151" t="s">
        <v>2051</v>
      </c>
      <c r="D17" s="143"/>
      <c r="E17" s="131" t="s">
        <v>41</v>
      </c>
      <c r="F17" s="130" t="s">
        <v>41</v>
      </c>
      <c r="G17" s="132" t="s">
        <v>2053</v>
      </c>
      <c r="H17" s="133"/>
      <c r="I17" s="133"/>
      <c r="J17" s="167">
        <v>46029.0</v>
      </c>
      <c r="K17" s="168"/>
      <c r="L17" s="130" t="s">
        <v>38</v>
      </c>
      <c r="M17" s="130">
        <v>512798.0</v>
      </c>
      <c r="N17" s="147">
        <v>159.46</v>
      </c>
      <c r="O17" s="130">
        <v>657199.0</v>
      </c>
      <c r="P17" s="131" t="s">
        <v>43</v>
      </c>
      <c r="Q17" s="138" t="s">
        <v>43</v>
      </c>
      <c r="R17" s="139"/>
      <c r="S17" s="150"/>
      <c r="T17" s="148"/>
      <c r="U17" s="141"/>
      <c r="V17" s="141"/>
      <c r="W17" s="141"/>
      <c r="X17" s="141"/>
      <c r="Y17" s="141"/>
      <c r="Z17" s="141"/>
      <c r="AA17" s="141"/>
      <c r="AB17" s="141"/>
      <c r="AC17" s="48"/>
      <c r="AD17" s="48"/>
    </row>
    <row r="18">
      <c r="A18" s="128" t="s">
        <v>382</v>
      </c>
      <c r="B18" s="128" t="s">
        <v>382</v>
      </c>
      <c r="C18" s="142" t="s">
        <v>2060</v>
      </c>
      <c r="D18" s="130">
        <v>5.70313772E9</v>
      </c>
      <c r="E18" s="131" t="s">
        <v>41</v>
      </c>
      <c r="F18" s="130" t="s">
        <v>41</v>
      </c>
      <c r="G18" s="132" t="s">
        <v>2061</v>
      </c>
      <c r="H18" s="133"/>
      <c r="I18" s="133"/>
      <c r="J18" s="167">
        <v>46029.0</v>
      </c>
      <c r="K18" s="168"/>
      <c r="L18" s="130" t="s">
        <v>38</v>
      </c>
      <c r="M18" s="130">
        <v>512798.0</v>
      </c>
      <c r="N18" s="147">
        <v>50.11</v>
      </c>
      <c r="O18" s="130">
        <v>657199.0</v>
      </c>
      <c r="P18" s="131" t="s">
        <v>43</v>
      </c>
      <c r="Q18" s="138" t="s">
        <v>43</v>
      </c>
      <c r="R18" s="139"/>
      <c r="S18" s="150"/>
      <c r="T18" s="148"/>
      <c r="U18" s="141"/>
      <c r="V18" s="141"/>
      <c r="W18" s="141"/>
      <c r="X18" s="141"/>
      <c r="Y18" s="141"/>
      <c r="Z18" s="141"/>
      <c r="AA18" s="141"/>
      <c r="AB18" s="141"/>
      <c r="AC18" s="48"/>
      <c r="AD18" s="48"/>
    </row>
    <row r="19">
      <c r="A19" s="128" t="s">
        <v>382</v>
      </c>
      <c r="B19" s="128" t="s">
        <v>382</v>
      </c>
      <c r="C19" s="142" t="s">
        <v>2068</v>
      </c>
      <c r="D19" s="143"/>
      <c r="E19" s="131" t="s">
        <v>41</v>
      </c>
      <c r="F19" s="130" t="s">
        <v>41</v>
      </c>
      <c r="G19" s="132" t="s">
        <v>51</v>
      </c>
      <c r="H19" s="133"/>
      <c r="I19" s="133"/>
      <c r="J19" s="167">
        <v>46029.0</v>
      </c>
      <c r="K19" s="168"/>
      <c r="L19" s="130" t="s">
        <v>38</v>
      </c>
      <c r="M19" s="130">
        <v>512798.0</v>
      </c>
      <c r="N19" s="147">
        <v>114.0</v>
      </c>
      <c r="O19" s="130">
        <v>657199.0</v>
      </c>
      <c r="P19" s="131" t="s">
        <v>43</v>
      </c>
      <c r="Q19" s="138" t="s">
        <v>43</v>
      </c>
      <c r="R19" s="139"/>
      <c r="S19" s="150"/>
      <c r="T19" s="148"/>
      <c r="U19" s="141"/>
      <c r="V19" s="141"/>
      <c r="W19" s="141"/>
      <c r="X19" s="141"/>
      <c r="Y19" s="141"/>
      <c r="Z19" s="141"/>
      <c r="AA19" s="141"/>
      <c r="AB19" s="141"/>
      <c r="AC19" s="48"/>
      <c r="AD19" s="48"/>
    </row>
    <row r="20">
      <c r="A20" s="128" t="s">
        <v>382</v>
      </c>
      <c r="B20" s="128" t="s">
        <v>382</v>
      </c>
      <c r="C20" s="142" t="s">
        <v>1278</v>
      </c>
      <c r="D20" s="143"/>
      <c r="E20" s="131" t="s">
        <v>41</v>
      </c>
      <c r="F20" s="130" t="s">
        <v>41</v>
      </c>
      <c r="G20" s="132" t="s">
        <v>126</v>
      </c>
      <c r="H20" s="133"/>
      <c r="I20" s="133"/>
      <c r="J20" s="167">
        <v>46029.0</v>
      </c>
      <c r="K20" s="168"/>
      <c r="L20" s="130" t="s">
        <v>38</v>
      </c>
      <c r="M20" s="130">
        <v>512798.0</v>
      </c>
      <c r="N20" s="147">
        <v>99.28</v>
      </c>
      <c r="O20" s="130">
        <v>657199.0</v>
      </c>
      <c r="P20" s="131" t="s">
        <v>43</v>
      </c>
      <c r="Q20" s="138" t="s">
        <v>43</v>
      </c>
      <c r="R20" s="139"/>
      <c r="S20" s="150"/>
      <c r="T20" s="148"/>
      <c r="U20" s="141"/>
      <c r="V20" s="141"/>
      <c r="W20" s="141"/>
      <c r="X20" s="141"/>
      <c r="Y20" s="141"/>
      <c r="Z20" s="141"/>
      <c r="AA20" s="141"/>
      <c r="AB20" s="141"/>
      <c r="AC20" s="48"/>
      <c r="AD20" s="48"/>
    </row>
    <row r="21">
      <c r="A21" s="128" t="s">
        <v>382</v>
      </c>
      <c r="B21" s="128" t="s">
        <v>382</v>
      </c>
      <c r="C21" s="142" t="s">
        <v>53</v>
      </c>
      <c r="D21" s="143"/>
      <c r="E21" s="131" t="s">
        <v>41</v>
      </c>
      <c r="F21" s="130" t="s">
        <v>41</v>
      </c>
      <c r="G21" s="132" t="s">
        <v>814</v>
      </c>
      <c r="H21" s="133"/>
      <c r="I21" s="133"/>
      <c r="J21" s="167">
        <v>46029.0</v>
      </c>
      <c r="K21" s="168"/>
      <c r="L21" s="130" t="s">
        <v>38</v>
      </c>
      <c r="M21" s="130">
        <v>512798.0</v>
      </c>
      <c r="N21" s="147">
        <v>101.7</v>
      </c>
      <c r="O21" s="130">
        <v>657199.0</v>
      </c>
      <c r="P21" s="131" t="s">
        <v>59</v>
      </c>
      <c r="Q21" s="138" t="s">
        <v>59</v>
      </c>
      <c r="R21" s="139"/>
      <c r="S21" s="150"/>
      <c r="T21" s="148"/>
      <c r="U21" s="141"/>
      <c r="V21" s="141"/>
      <c r="W21" s="141"/>
      <c r="X21" s="141"/>
      <c r="Y21" s="141"/>
      <c r="Z21" s="141"/>
      <c r="AA21" s="141"/>
      <c r="AB21" s="141"/>
      <c r="AC21" s="48"/>
      <c r="AD21" s="48"/>
    </row>
    <row r="22">
      <c r="A22" s="128" t="s">
        <v>382</v>
      </c>
      <c r="B22" s="128" t="s">
        <v>382</v>
      </c>
      <c r="C22" s="162" t="s">
        <v>53</v>
      </c>
      <c r="D22" s="143"/>
      <c r="E22" s="133"/>
      <c r="F22" s="143"/>
      <c r="G22" s="132" t="s">
        <v>2092</v>
      </c>
      <c r="H22" s="133"/>
      <c r="I22" s="133"/>
      <c r="J22" s="167">
        <v>46030.0</v>
      </c>
      <c r="K22" s="168"/>
      <c r="L22" s="130" t="s">
        <v>38</v>
      </c>
      <c r="M22" s="130">
        <v>513136.0</v>
      </c>
      <c r="N22" s="147">
        <v>7.65</v>
      </c>
      <c r="O22" s="130" t="s">
        <v>139</v>
      </c>
      <c r="P22" s="131" t="s">
        <v>59</v>
      </c>
      <c r="Q22" s="138" t="s">
        <v>59</v>
      </c>
      <c r="R22" s="139"/>
      <c r="S22" s="150"/>
      <c r="T22" s="148"/>
      <c r="U22" s="141"/>
      <c r="V22" s="141"/>
      <c r="W22" s="141"/>
      <c r="X22" s="141"/>
      <c r="Y22" s="141"/>
      <c r="Z22" s="141"/>
      <c r="AA22" s="141"/>
      <c r="AB22" s="141"/>
      <c r="AC22" s="48"/>
      <c r="AD22" s="48"/>
    </row>
    <row r="23">
      <c r="A23" s="128" t="s">
        <v>382</v>
      </c>
      <c r="B23" s="128" t="s">
        <v>382</v>
      </c>
      <c r="C23" s="162" t="s">
        <v>2097</v>
      </c>
      <c r="D23" s="130">
        <v>5.702413814E9</v>
      </c>
      <c r="E23" s="131" t="s">
        <v>35</v>
      </c>
      <c r="F23" s="130" t="s">
        <v>35</v>
      </c>
      <c r="G23" s="132" t="s">
        <v>2099</v>
      </c>
      <c r="H23" s="133"/>
      <c r="I23" s="133"/>
      <c r="J23" s="167">
        <v>46030.0</v>
      </c>
      <c r="K23" s="168"/>
      <c r="L23" s="130" t="s">
        <v>38</v>
      </c>
      <c r="M23" s="130">
        <v>513136.0</v>
      </c>
      <c r="N23" s="147">
        <v>154.33</v>
      </c>
      <c r="O23" s="130">
        <v>657619.0</v>
      </c>
      <c r="P23" s="131" t="s">
        <v>43</v>
      </c>
      <c r="Q23" s="138" t="s">
        <v>43</v>
      </c>
      <c r="R23" s="139"/>
      <c r="S23" s="150"/>
      <c r="T23" s="148"/>
      <c r="U23" s="141"/>
      <c r="V23" s="141"/>
      <c r="W23" s="141"/>
      <c r="X23" s="141"/>
      <c r="Y23" s="141"/>
      <c r="Z23" s="141"/>
      <c r="AA23" s="141"/>
      <c r="AB23" s="141"/>
      <c r="AC23" s="48"/>
      <c r="AD23" s="48"/>
    </row>
    <row r="24">
      <c r="A24" s="128" t="s">
        <v>382</v>
      </c>
      <c r="B24" s="128" t="s">
        <v>382</v>
      </c>
      <c r="C24" s="142" t="s">
        <v>428</v>
      </c>
      <c r="D24" s="130">
        <v>5.709035519E9</v>
      </c>
      <c r="E24" s="131" t="s">
        <v>35</v>
      </c>
      <c r="F24" s="130" t="s">
        <v>35</v>
      </c>
      <c r="G24" s="132" t="s">
        <v>2111</v>
      </c>
      <c r="H24" s="133"/>
      <c r="I24" s="133"/>
      <c r="J24" s="167">
        <v>46030.0</v>
      </c>
      <c r="K24" s="168"/>
      <c r="L24" s="130" t="s">
        <v>38</v>
      </c>
      <c r="M24" s="130">
        <v>513136.0</v>
      </c>
      <c r="N24" s="147">
        <v>132.15</v>
      </c>
      <c r="O24" s="130">
        <v>657619.0</v>
      </c>
      <c r="P24" s="131" t="s">
        <v>43</v>
      </c>
      <c r="Q24" s="138" t="s">
        <v>43</v>
      </c>
      <c r="R24" s="139"/>
      <c r="S24" s="150"/>
      <c r="T24" s="148"/>
      <c r="U24" s="141"/>
      <c r="V24" s="141"/>
      <c r="W24" s="141"/>
      <c r="X24" s="141"/>
      <c r="Y24" s="141"/>
      <c r="Z24" s="141"/>
      <c r="AA24" s="141"/>
      <c r="AB24" s="141"/>
      <c r="AC24" s="48"/>
      <c r="AD24" s="48"/>
    </row>
    <row r="25">
      <c r="A25" s="128" t="s">
        <v>382</v>
      </c>
      <c r="B25" s="128" t="s">
        <v>382</v>
      </c>
      <c r="C25" s="142" t="s">
        <v>2119</v>
      </c>
      <c r="D25" s="130">
        <v>5.704072125E9</v>
      </c>
      <c r="E25" s="131" t="s">
        <v>35</v>
      </c>
      <c r="F25" s="130" t="s">
        <v>35</v>
      </c>
      <c r="G25" s="132" t="s">
        <v>2122</v>
      </c>
      <c r="H25" s="133"/>
      <c r="I25" s="133"/>
      <c r="J25" s="167">
        <v>46030.0</v>
      </c>
      <c r="K25" s="168"/>
      <c r="L25" s="130" t="s">
        <v>38</v>
      </c>
      <c r="M25" s="130">
        <v>513136.0</v>
      </c>
      <c r="N25" s="147">
        <v>24.07</v>
      </c>
      <c r="O25" s="130">
        <v>657619.0</v>
      </c>
      <c r="P25" s="131" t="s">
        <v>43</v>
      </c>
      <c r="Q25" s="138" t="s">
        <v>43</v>
      </c>
      <c r="R25" s="139"/>
      <c r="S25" s="150"/>
      <c r="T25" s="148"/>
      <c r="U25" s="141"/>
      <c r="V25" s="141"/>
      <c r="W25" s="141"/>
      <c r="X25" s="141"/>
      <c r="Y25" s="141"/>
      <c r="Z25" s="141"/>
      <c r="AA25" s="141"/>
      <c r="AB25" s="141"/>
      <c r="AC25" s="48"/>
      <c r="AD25" s="48"/>
    </row>
    <row r="26">
      <c r="A26" s="128" t="s">
        <v>382</v>
      </c>
      <c r="B26" s="128" t="s">
        <v>382</v>
      </c>
      <c r="C26" s="162" t="s">
        <v>53</v>
      </c>
      <c r="D26" s="143"/>
      <c r="E26" s="133"/>
      <c r="F26" s="143"/>
      <c r="G26" s="132" t="s">
        <v>610</v>
      </c>
      <c r="H26" s="133"/>
      <c r="I26" s="133"/>
      <c r="J26" s="167">
        <v>46030.0</v>
      </c>
      <c r="K26" s="168"/>
      <c r="L26" s="130" t="s">
        <v>38</v>
      </c>
      <c r="M26" s="130">
        <v>513136.0</v>
      </c>
      <c r="N26" s="147">
        <v>10.4</v>
      </c>
      <c r="O26" s="130">
        <v>657619.0</v>
      </c>
      <c r="P26" s="131" t="s">
        <v>59</v>
      </c>
      <c r="Q26" s="138" t="s">
        <v>59</v>
      </c>
      <c r="R26" s="139"/>
      <c r="S26" s="150"/>
      <c r="T26" s="148"/>
      <c r="U26" s="141"/>
      <c r="V26" s="141"/>
      <c r="W26" s="141"/>
      <c r="X26" s="141"/>
      <c r="Y26" s="141"/>
      <c r="Z26" s="141"/>
      <c r="AA26" s="141"/>
      <c r="AB26" s="141"/>
      <c r="AC26" s="48"/>
      <c r="AD26" s="48"/>
    </row>
    <row r="27">
      <c r="A27" s="128" t="s">
        <v>382</v>
      </c>
      <c r="B27" s="128" t="s">
        <v>382</v>
      </c>
      <c r="C27" s="142" t="s">
        <v>2133</v>
      </c>
      <c r="D27" s="130">
        <v>5.708409552E9</v>
      </c>
      <c r="E27" s="131" t="s">
        <v>41</v>
      </c>
      <c r="F27" s="130" t="s">
        <v>41</v>
      </c>
      <c r="G27" s="132" t="s">
        <v>618</v>
      </c>
      <c r="H27" s="133"/>
      <c r="I27" s="133"/>
      <c r="J27" s="167">
        <v>46030.0</v>
      </c>
      <c r="K27" s="168"/>
      <c r="L27" s="130" t="s">
        <v>38</v>
      </c>
      <c r="M27" s="130">
        <v>513136.0</v>
      </c>
      <c r="N27" s="147">
        <v>105.36</v>
      </c>
      <c r="O27" s="130">
        <v>657619.0</v>
      </c>
      <c r="P27" s="131" t="s">
        <v>43</v>
      </c>
      <c r="Q27" s="138" t="s">
        <v>43</v>
      </c>
      <c r="R27" s="139"/>
      <c r="S27" s="150"/>
      <c r="T27" s="148"/>
      <c r="U27" s="141"/>
      <c r="V27" s="141"/>
      <c r="W27" s="141"/>
      <c r="X27" s="141"/>
      <c r="Y27" s="141"/>
      <c r="Z27" s="141"/>
      <c r="AA27" s="141"/>
      <c r="AB27" s="141"/>
      <c r="AC27" s="48"/>
      <c r="AD27" s="48"/>
    </row>
    <row r="28">
      <c r="A28" s="128" t="s">
        <v>382</v>
      </c>
      <c r="B28" s="128" t="s">
        <v>382</v>
      </c>
      <c r="C28" s="162" t="s">
        <v>1402</v>
      </c>
      <c r="D28" s="130" t="s">
        <v>1403</v>
      </c>
      <c r="E28" s="131" t="s">
        <v>35</v>
      </c>
      <c r="F28" s="130" t="s">
        <v>35</v>
      </c>
      <c r="G28" s="132" t="s">
        <v>748</v>
      </c>
      <c r="H28" s="133"/>
      <c r="I28" s="133"/>
      <c r="J28" s="167">
        <v>46030.0</v>
      </c>
      <c r="K28" s="168"/>
      <c r="L28" s="130" t="s">
        <v>38</v>
      </c>
      <c r="M28" s="130">
        <v>513136.0</v>
      </c>
      <c r="N28" s="147">
        <v>144.35</v>
      </c>
      <c r="O28" s="130">
        <v>657619.0</v>
      </c>
      <c r="P28" s="131" t="s">
        <v>43</v>
      </c>
      <c r="Q28" s="138" t="s">
        <v>43</v>
      </c>
      <c r="R28" s="139"/>
      <c r="S28" s="150"/>
      <c r="T28" s="148"/>
      <c r="U28" s="141"/>
      <c r="V28" s="141"/>
      <c r="W28" s="141"/>
      <c r="X28" s="141"/>
      <c r="Y28" s="141"/>
      <c r="Z28" s="141"/>
      <c r="AA28" s="141"/>
      <c r="AB28" s="141"/>
      <c r="AC28" s="48"/>
      <c r="AD28" s="48"/>
    </row>
    <row r="29">
      <c r="A29" s="128" t="s">
        <v>382</v>
      </c>
      <c r="B29" s="128" t="s">
        <v>382</v>
      </c>
      <c r="C29" s="162" t="s">
        <v>2142</v>
      </c>
      <c r="D29" s="130" t="s">
        <v>2144</v>
      </c>
      <c r="E29" s="131" t="s">
        <v>41</v>
      </c>
      <c r="F29" s="130" t="s">
        <v>41</v>
      </c>
      <c r="G29" s="132" t="s">
        <v>2147</v>
      </c>
      <c r="H29" s="133"/>
      <c r="I29" s="133"/>
      <c r="J29" s="167">
        <v>46030.0</v>
      </c>
      <c r="K29" s="168"/>
      <c r="L29" s="130" t="s">
        <v>38</v>
      </c>
      <c r="M29" s="130">
        <v>513136.0</v>
      </c>
      <c r="N29" s="147">
        <v>63.37</v>
      </c>
      <c r="O29" s="130">
        <v>657619.0</v>
      </c>
      <c r="P29" s="130" t="s">
        <v>43</v>
      </c>
      <c r="Q29" s="138" t="s">
        <v>43</v>
      </c>
      <c r="R29" s="139"/>
      <c r="S29" s="150"/>
      <c r="T29" s="148"/>
      <c r="U29" s="141"/>
      <c r="V29" s="141"/>
      <c r="W29" s="141"/>
      <c r="X29" s="141"/>
      <c r="Y29" s="141"/>
      <c r="Z29" s="141"/>
      <c r="AA29" s="141"/>
      <c r="AB29" s="141"/>
      <c r="AC29" s="48"/>
      <c r="AD29" s="48"/>
    </row>
    <row r="30">
      <c r="A30" s="128" t="s">
        <v>382</v>
      </c>
      <c r="B30" s="128" t="s">
        <v>382</v>
      </c>
      <c r="C30" s="142" t="s">
        <v>52</v>
      </c>
      <c r="D30" s="130" t="s">
        <v>2150</v>
      </c>
      <c r="E30" s="131" t="s">
        <v>35</v>
      </c>
      <c r="F30" s="130" t="s">
        <v>35</v>
      </c>
      <c r="G30" s="132" t="s">
        <v>377</v>
      </c>
      <c r="H30" s="133"/>
      <c r="I30" s="133"/>
      <c r="J30" s="167">
        <v>46034.0</v>
      </c>
      <c r="K30" s="168"/>
      <c r="L30" s="130" t="s">
        <v>38</v>
      </c>
      <c r="M30" s="130">
        <v>514030.0</v>
      </c>
      <c r="N30" s="147">
        <v>113.91</v>
      </c>
      <c r="O30" s="130">
        <v>658530.0</v>
      </c>
      <c r="P30" s="131" t="s">
        <v>43</v>
      </c>
      <c r="Q30" s="138" t="s">
        <v>43</v>
      </c>
      <c r="R30" s="139"/>
      <c r="S30" s="150"/>
      <c r="T30" s="148"/>
      <c r="U30" s="141"/>
      <c r="V30" s="141"/>
      <c r="W30" s="141"/>
      <c r="X30" s="141"/>
      <c r="Y30" s="141"/>
      <c r="Z30" s="141"/>
      <c r="AA30" s="141"/>
      <c r="AB30" s="141"/>
      <c r="AC30" s="48"/>
      <c r="AD30" s="48"/>
    </row>
    <row r="31">
      <c r="A31" s="128" t="s">
        <v>382</v>
      </c>
      <c r="B31" s="128" t="s">
        <v>382</v>
      </c>
      <c r="C31" s="162" t="s">
        <v>383</v>
      </c>
      <c r="D31" s="130" t="s">
        <v>2155</v>
      </c>
      <c r="E31" s="131" t="s">
        <v>35</v>
      </c>
      <c r="F31" s="130" t="s">
        <v>35</v>
      </c>
      <c r="G31" s="132" t="s">
        <v>2157</v>
      </c>
      <c r="H31" s="133"/>
      <c r="I31" s="133"/>
      <c r="J31" s="167">
        <v>46034.0</v>
      </c>
      <c r="K31" s="168"/>
      <c r="L31" s="130" t="s">
        <v>38</v>
      </c>
      <c r="M31" s="130">
        <v>514030.0</v>
      </c>
      <c r="N31" s="147">
        <v>132.15</v>
      </c>
      <c r="O31" s="130">
        <v>658530.0</v>
      </c>
      <c r="P31" s="131" t="s">
        <v>43</v>
      </c>
      <c r="Q31" s="138" t="s">
        <v>43</v>
      </c>
      <c r="R31" s="139"/>
      <c r="S31" s="139"/>
      <c r="T31" s="148"/>
      <c r="U31" s="141"/>
      <c r="V31" s="141"/>
      <c r="W31" s="141"/>
      <c r="X31" s="141"/>
      <c r="Y31" s="141"/>
      <c r="Z31" s="141"/>
      <c r="AA31" s="141"/>
      <c r="AB31" s="141"/>
      <c r="AC31" s="48"/>
      <c r="AD31" s="48"/>
    </row>
    <row r="32">
      <c r="A32" s="128" t="s">
        <v>382</v>
      </c>
      <c r="B32" s="128" t="s">
        <v>382</v>
      </c>
      <c r="C32" s="142" t="s">
        <v>420</v>
      </c>
      <c r="D32" s="143"/>
      <c r="E32" s="131" t="s">
        <v>35</v>
      </c>
      <c r="F32" s="130" t="s">
        <v>35</v>
      </c>
      <c r="G32" s="132" t="s">
        <v>2157</v>
      </c>
      <c r="H32" s="133"/>
      <c r="I32" s="133"/>
      <c r="J32" s="167">
        <v>46034.0</v>
      </c>
      <c r="K32" s="168"/>
      <c r="L32" s="130" t="s">
        <v>38</v>
      </c>
      <c r="M32" s="130">
        <v>514030.0</v>
      </c>
      <c r="N32" s="147">
        <v>132.15</v>
      </c>
      <c r="O32" s="130">
        <v>658530.0</v>
      </c>
      <c r="P32" s="131" t="s">
        <v>43</v>
      </c>
      <c r="Q32" s="138" t="s">
        <v>43</v>
      </c>
      <c r="R32" s="139"/>
      <c r="S32" s="150"/>
      <c r="T32" s="148"/>
      <c r="U32" s="141"/>
      <c r="V32" s="141"/>
      <c r="W32" s="141"/>
      <c r="X32" s="141"/>
      <c r="Y32" s="141"/>
      <c r="Z32" s="141"/>
      <c r="AA32" s="141"/>
      <c r="AB32" s="141"/>
      <c r="AC32" s="48"/>
      <c r="AD32" s="48"/>
    </row>
    <row r="33">
      <c r="A33" s="128" t="s">
        <v>382</v>
      </c>
      <c r="B33" s="128" t="s">
        <v>382</v>
      </c>
      <c r="C33" s="142" t="s">
        <v>53</v>
      </c>
      <c r="D33" s="143"/>
      <c r="E33" s="133"/>
      <c r="F33" s="143"/>
      <c r="G33" s="132" t="s">
        <v>1954</v>
      </c>
      <c r="H33" s="133"/>
      <c r="I33" s="133"/>
      <c r="J33" s="167">
        <v>46034.0</v>
      </c>
      <c r="K33" s="168"/>
      <c r="L33" s="130" t="s">
        <v>38</v>
      </c>
      <c r="M33" s="130">
        <v>514030.0</v>
      </c>
      <c r="N33" s="147">
        <v>114.0</v>
      </c>
      <c r="O33" s="130">
        <v>658530.0</v>
      </c>
      <c r="P33" s="131" t="s">
        <v>59</v>
      </c>
      <c r="Q33" s="138" t="s">
        <v>59</v>
      </c>
      <c r="R33" s="139"/>
      <c r="S33" s="150"/>
      <c r="T33" s="148"/>
      <c r="U33" s="141"/>
      <c r="V33" s="141"/>
      <c r="W33" s="141"/>
      <c r="X33" s="141"/>
      <c r="Y33" s="141"/>
      <c r="Z33" s="141"/>
      <c r="AA33" s="141"/>
      <c r="AB33" s="141"/>
      <c r="AC33" s="48"/>
      <c r="AD33" s="48"/>
    </row>
    <row r="34">
      <c r="A34" s="128" t="s">
        <v>382</v>
      </c>
      <c r="B34" s="128" t="s">
        <v>382</v>
      </c>
      <c r="C34" s="142" t="s">
        <v>2173</v>
      </c>
      <c r="D34" s="130" t="s">
        <v>2174</v>
      </c>
      <c r="E34" s="131" t="s">
        <v>41</v>
      </c>
      <c r="F34" s="130" t="s">
        <v>41</v>
      </c>
      <c r="G34" s="132" t="s">
        <v>2177</v>
      </c>
      <c r="H34" s="133"/>
      <c r="I34" s="133"/>
      <c r="J34" s="167">
        <v>46034.0</v>
      </c>
      <c r="K34" s="168"/>
      <c r="L34" s="130" t="s">
        <v>38</v>
      </c>
      <c r="M34" s="130">
        <v>514030.0</v>
      </c>
      <c r="N34" s="147">
        <v>160.17</v>
      </c>
      <c r="O34" s="130">
        <v>658530.0</v>
      </c>
      <c r="P34" s="131" t="s">
        <v>43</v>
      </c>
      <c r="Q34" s="138" t="s">
        <v>43</v>
      </c>
      <c r="R34" s="139"/>
      <c r="S34" s="150"/>
      <c r="T34" s="148"/>
      <c r="U34" s="141"/>
      <c r="V34" s="141"/>
      <c r="W34" s="141"/>
      <c r="X34" s="141"/>
      <c r="Y34" s="141"/>
      <c r="Z34" s="141"/>
      <c r="AA34" s="141"/>
      <c r="AB34" s="141"/>
      <c r="AC34" s="48"/>
      <c r="AD34" s="48"/>
    </row>
    <row r="35">
      <c r="A35" s="128" t="s">
        <v>382</v>
      </c>
      <c r="B35" s="128" t="s">
        <v>382</v>
      </c>
      <c r="C35" s="162" t="s">
        <v>747</v>
      </c>
      <c r="D35" s="130" t="s">
        <v>2182</v>
      </c>
      <c r="E35" s="131" t="s">
        <v>41</v>
      </c>
      <c r="F35" s="130" t="s">
        <v>41</v>
      </c>
      <c r="G35" s="132" t="s">
        <v>2183</v>
      </c>
      <c r="H35" s="133"/>
      <c r="I35" s="133"/>
      <c r="J35" s="167">
        <v>46034.0</v>
      </c>
      <c r="K35" s="168"/>
      <c r="L35" s="130" t="s">
        <v>38</v>
      </c>
      <c r="M35" s="130">
        <v>514030.0</v>
      </c>
      <c r="N35" s="147">
        <v>114.0</v>
      </c>
      <c r="O35" s="130">
        <v>658530.0</v>
      </c>
      <c r="P35" s="131" t="s">
        <v>43</v>
      </c>
      <c r="Q35" s="138" t="s">
        <v>43</v>
      </c>
      <c r="R35" s="139"/>
      <c r="S35" s="150"/>
      <c r="T35" s="148"/>
      <c r="U35" s="141"/>
      <c r="V35" s="141"/>
      <c r="W35" s="141"/>
      <c r="X35" s="141"/>
      <c r="Y35" s="141"/>
      <c r="Z35" s="141"/>
      <c r="AA35" s="141"/>
      <c r="AB35" s="141"/>
      <c r="AC35" s="48"/>
      <c r="AD35" s="48"/>
    </row>
    <row r="36">
      <c r="A36" s="128" t="s">
        <v>382</v>
      </c>
      <c r="B36" s="128" t="s">
        <v>382</v>
      </c>
      <c r="C36" s="142" t="s">
        <v>1422</v>
      </c>
      <c r="D36" s="130" t="s">
        <v>2186</v>
      </c>
      <c r="E36" s="131" t="s">
        <v>35</v>
      </c>
      <c r="F36" s="130" t="s">
        <v>35</v>
      </c>
      <c r="G36" s="132" t="s">
        <v>146</v>
      </c>
      <c r="H36" s="133"/>
      <c r="I36" s="133"/>
      <c r="J36" s="167">
        <v>46034.0</v>
      </c>
      <c r="K36" s="168"/>
      <c r="L36" s="130" t="s">
        <v>38</v>
      </c>
      <c r="M36" s="130">
        <v>514030.0</v>
      </c>
      <c r="N36" s="147">
        <v>156.51</v>
      </c>
      <c r="O36" s="130">
        <v>658530.0</v>
      </c>
      <c r="P36" s="131" t="s">
        <v>43</v>
      </c>
      <c r="Q36" s="138" t="s">
        <v>43</v>
      </c>
      <c r="R36" s="139"/>
      <c r="S36" s="150"/>
      <c r="T36" s="148"/>
      <c r="U36" s="141"/>
      <c r="V36" s="141"/>
      <c r="W36" s="141"/>
      <c r="X36" s="141"/>
      <c r="Y36" s="141"/>
      <c r="Z36" s="141"/>
      <c r="AA36" s="141"/>
      <c r="AB36" s="141"/>
      <c r="AC36" s="48"/>
      <c r="AD36" s="48"/>
    </row>
    <row r="37">
      <c r="A37" s="128" t="s">
        <v>382</v>
      </c>
      <c r="B37" s="128" t="s">
        <v>382</v>
      </c>
      <c r="C37" s="162" t="s">
        <v>53</v>
      </c>
      <c r="D37" s="143"/>
      <c r="E37" s="131" t="s">
        <v>35</v>
      </c>
      <c r="F37" s="130" t="s">
        <v>35</v>
      </c>
      <c r="G37" s="132" t="s">
        <v>2193</v>
      </c>
      <c r="H37" s="133"/>
      <c r="I37" s="133"/>
      <c r="J37" s="167">
        <v>46034.0</v>
      </c>
      <c r="K37" s="168"/>
      <c r="L37" s="130" t="s">
        <v>38</v>
      </c>
      <c r="M37" s="130">
        <v>514030.0</v>
      </c>
      <c r="N37" s="147">
        <v>3.33</v>
      </c>
      <c r="O37" s="130">
        <v>658530.0</v>
      </c>
      <c r="P37" s="131" t="s">
        <v>59</v>
      </c>
      <c r="Q37" s="138" t="s">
        <v>59</v>
      </c>
      <c r="R37" s="139"/>
      <c r="S37" s="150"/>
      <c r="T37" s="148"/>
      <c r="U37" s="141"/>
      <c r="V37" s="141"/>
      <c r="W37" s="141"/>
      <c r="X37" s="141"/>
      <c r="Y37" s="141"/>
      <c r="Z37" s="141"/>
      <c r="AA37" s="141"/>
      <c r="AB37" s="141"/>
      <c r="AC37" s="48"/>
      <c r="AD37" s="48"/>
    </row>
    <row r="38">
      <c r="A38" s="128" t="s">
        <v>382</v>
      </c>
      <c r="B38" s="128" t="s">
        <v>382</v>
      </c>
      <c r="C38" s="129" t="s">
        <v>2195</v>
      </c>
      <c r="D38" s="130">
        <v>5.702675198E9</v>
      </c>
      <c r="E38" s="131" t="s">
        <v>35</v>
      </c>
      <c r="F38" s="130" t="s">
        <v>35</v>
      </c>
      <c r="G38" s="132" t="s">
        <v>2197</v>
      </c>
      <c r="H38" s="133"/>
      <c r="I38" s="133"/>
      <c r="J38" s="167">
        <v>46034.0</v>
      </c>
      <c r="K38" s="168"/>
      <c r="L38" s="130" t="s">
        <v>38</v>
      </c>
      <c r="M38" s="130">
        <v>514030.0</v>
      </c>
      <c r="N38" s="147">
        <v>13.3</v>
      </c>
      <c r="O38" s="130">
        <v>658530.0</v>
      </c>
      <c r="P38" s="131" t="s">
        <v>43</v>
      </c>
      <c r="Q38" s="138" t="s">
        <v>43</v>
      </c>
      <c r="R38" s="139"/>
      <c r="S38" s="150"/>
      <c r="T38" s="148"/>
      <c r="U38" s="141"/>
      <c r="V38" s="141"/>
      <c r="W38" s="141"/>
      <c r="X38" s="141"/>
      <c r="Y38" s="141"/>
      <c r="Z38" s="141"/>
      <c r="AA38" s="141"/>
      <c r="AB38" s="141"/>
      <c r="AC38" s="48"/>
      <c r="AD38" s="48"/>
    </row>
    <row r="39">
      <c r="A39" s="128" t="s">
        <v>382</v>
      </c>
      <c r="B39" s="128" t="s">
        <v>382</v>
      </c>
      <c r="C39" s="162" t="s">
        <v>53</v>
      </c>
      <c r="D39" s="143"/>
      <c r="E39" s="143"/>
      <c r="F39" s="143"/>
      <c r="G39" s="132" t="s">
        <v>2199</v>
      </c>
      <c r="H39" s="144"/>
      <c r="I39" s="145"/>
      <c r="J39" s="167">
        <v>46034.0</v>
      </c>
      <c r="K39" s="168"/>
      <c r="L39" s="130" t="s">
        <v>38</v>
      </c>
      <c r="M39" s="130">
        <v>514030.0</v>
      </c>
      <c r="N39" s="147">
        <v>91.2</v>
      </c>
      <c r="O39" s="130">
        <v>658530.0</v>
      </c>
      <c r="P39" s="131" t="s">
        <v>59</v>
      </c>
      <c r="Q39" s="138" t="s">
        <v>59</v>
      </c>
      <c r="R39" s="139"/>
      <c r="S39" s="150"/>
      <c r="T39" s="148"/>
      <c r="U39" s="141"/>
      <c r="V39" s="141"/>
      <c r="W39" s="141"/>
      <c r="X39" s="141"/>
      <c r="Y39" s="141"/>
      <c r="Z39" s="141"/>
      <c r="AA39" s="141"/>
      <c r="AB39" s="141"/>
      <c r="AC39" s="48"/>
      <c r="AD39" s="48"/>
    </row>
    <row r="40">
      <c r="A40" s="128" t="s">
        <v>382</v>
      </c>
      <c r="B40" s="128" t="s">
        <v>382</v>
      </c>
      <c r="C40" s="151" t="s">
        <v>2207</v>
      </c>
      <c r="D40" s="130" t="s">
        <v>2209</v>
      </c>
      <c r="E40" s="130" t="s">
        <v>35</v>
      </c>
      <c r="F40" s="130" t="s">
        <v>35</v>
      </c>
      <c r="G40" s="132" t="s">
        <v>2210</v>
      </c>
      <c r="H40" s="133"/>
      <c r="I40" s="133"/>
      <c r="J40" s="167">
        <v>46037.0</v>
      </c>
      <c r="K40" s="168"/>
      <c r="L40" s="130" t="s">
        <v>38</v>
      </c>
      <c r="M40" s="130">
        <v>514758.0</v>
      </c>
      <c r="N40" s="147">
        <v>34.87</v>
      </c>
      <c r="O40" s="130">
        <v>659617.0</v>
      </c>
      <c r="P40" s="131" t="s">
        <v>43</v>
      </c>
      <c r="Q40" s="138" t="s">
        <v>43</v>
      </c>
      <c r="R40" s="139"/>
      <c r="S40" s="150"/>
      <c r="T40" s="148"/>
      <c r="U40" s="141"/>
      <c r="V40" s="141"/>
      <c r="W40" s="141"/>
      <c r="X40" s="141"/>
      <c r="Y40" s="141"/>
      <c r="Z40" s="141"/>
      <c r="AA40" s="141"/>
      <c r="AB40" s="141"/>
      <c r="AC40" s="48"/>
      <c r="AD40" s="48"/>
    </row>
    <row r="41">
      <c r="A41" s="128" t="s">
        <v>382</v>
      </c>
      <c r="B41" s="128" t="s">
        <v>382</v>
      </c>
      <c r="C41" s="142" t="s">
        <v>2219</v>
      </c>
      <c r="D41" s="130" t="s">
        <v>2220</v>
      </c>
      <c r="E41" s="131" t="s">
        <v>41</v>
      </c>
      <c r="F41" s="130" t="s">
        <v>41</v>
      </c>
      <c r="G41" s="132" t="s">
        <v>2224</v>
      </c>
      <c r="H41" s="133"/>
      <c r="I41" s="133"/>
      <c r="J41" s="167">
        <v>46037.0</v>
      </c>
      <c r="K41" s="168"/>
      <c r="L41" s="130" t="s">
        <v>38</v>
      </c>
      <c r="M41" s="130">
        <v>514758.0</v>
      </c>
      <c r="N41" s="147">
        <v>132.15</v>
      </c>
      <c r="O41" s="130">
        <v>659617.0</v>
      </c>
      <c r="P41" s="131" t="s">
        <v>43</v>
      </c>
      <c r="Q41" s="138" t="s">
        <v>43</v>
      </c>
      <c r="R41" s="139"/>
      <c r="S41" s="150"/>
      <c r="T41" s="148"/>
      <c r="U41" s="141"/>
      <c r="V41" s="141"/>
      <c r="W41" s="141"/>
      <c r="X41" s="141"/>
      <c r="Y41" s="141"/>
      <c r="Z41" s="141"/>
      <c r="AA41" s="141"/>
      <c r="AB41" s="141"/>
      <c r="AC41" s="48"/>
      <c r="AD41" s="48"/>
    </row>
    <row r="42">
      <c r="A42" s="128" t="s">
        <v>382</v>
      </c>
      <c r="B42" s="128" t="s">
        <v>382</v>
      </c>
      <c r="C42" s="142" t="s">
        <v>2232</v>
      </c>
      <c r="D42" s="130" t="s">
        <v>2233</v>
      </c>
      <c r="E42" s="131" t="s">
        <v>41</v>
      </c>
      <c r="F42" s="130" t="s">
        <v>41</v>
      </c>
      <c r="G42" s="132" t="s">
        <v>2224</v>
      </c>
      <c r="H42" s="133"/>
      <c r="I42" s="133"/>
      <c r="J42" s="167">
        <v>46037.0</v>
      </c>
      <c r="K42" s="168"/>
      <c r="L42" s="130" t="s">
        <v>38</v>
      </c>
      <c r="M42" s="130">
        <v>514758.0</v>
      </c>
      <c r="N42" s="147">
        <v>132.15</v>
      </c>
      <c r="O42" s="130">
        <v>659617.0</v>
      </c>
      <c r="P42" s="131" t="s">
        <v>43</v>
      </c>
      <c r="Q42" s="138" t="s">
        <v>43</v>
      </c>
      <c r="R42" s="139"/>
      <c r="S42" s="150"/>
      <c r="T42" s="148"/>
      <c r="U42" s="141"/>
      <c r="V42" s="141"/>
      <c r="W42" s="141"/>
      <c r="X42" s="141"/>
      <c r="Y42" s="141"/>
      <c r="Z42" s="141"/>
      <c r="AA42" s="141"/>
      <c r="AB42" s="141"/>
      <c r="AC42" s="48"/>
      <c r="AD42" s="48"/>
    </row>
    <row r="43">
      <c r="A43" s="128" t="s">
        <v>382</v>
      </c>
      <c r="B43" s="128" t="s">
        <v>382</v>
      </c>
      <c r="C43" s="142" t="s">
        <v>53</v>
      </c>
      <c r="D43" s="143"/>
      <c r="E43" s="131" t="s">
        <v>35</v>
      </c>
      <c r="F43" s="130" t="s">
        <v>35</v>
      </c>
      <c r="G43" s="134" t="s">
        <v>2239</v>
      </c>
      <c r="H43" s="133"/>
      <c r="I43" s="133"/>
      <c r="J43" s="167">
        <v>46037.0</v>
      </c>
      <c r="K43" s="168"/>
      <c r="L43" s="130" t="s">
        <v>38</v>
      </c>
      <c r="M43" s="130">
        <v>514758.0</v>
      </c>
      <c r="N43" s="147">
        <v>42.47</v>
      </c>
      <c r="O43" s="130">
        <v>659617.0</v>
      </c>
      <c r="P43" s="131" t="s">
        <v>59</v>
      </c>
      <c r="Q43" s="138" t="s">
        <v>59</v>
      </c>
      <c r="R43" s="139"/>
      <c r="S43" s="150"/>
      <c r="T43" s="148"/>
      <c r="U43" s="141"/>
      <c r="V43" s="141"/>
      <c r="W43" s="141"/>
      <c r="X43" s="141"/>
      <c r="Y43" s="141"/>
      <c r="Z43" s="141"/>
      <c r="AA43" s="141"/>
      <c r="AB43" s="141"/>
      <c r="AC43" s="48"/>
      <c r="AD43" s="48"/>
    </row>
    <row r="44">
      <c r="A44" s="128" t="s">
        <v>382</v>
      </c>
      <c r="B44" s="128" t="s">
        <v>382</v>
      </c>
      <c r="C44" s="142" t="s">
        <v>53</v>
      </c>
      <c r="D44" s="143"/>
      <c r="E44" s="131" t="s">
        <v>35</v>
      </c>
      <c r="F44" s="130" t="s">
        <v>35</v>
      </c>
      <c r="G44" s="134" t="s">
        <v>2015</v>
      </c>
      <c r="H44" s="133"/>
      <c r="I44" s="133"/>
      <c r="J44" s="167">
        <v>46037.0</v>
      </c>
      <c r="K44" s="168"/>
      <c r="L44" s="130" t="s">
        <v>38</v>
      </c>
      <c r="M44" s="130">
        <v>514758.0</v>
      </c>
      <c r="N44" s="147">
        <v>42.47</v>
      </c>
      <c r="O44" s="130">
        <v>659617.0</v>
      </c>
      <c r="P44" s="131" t="s">
        <v>59</v>
      </c>
      <c r="Q44" s="138" t="s">
        <v>59</v>
      </c>
      <c r="R44" s="139"/>
      <c r="S44" s="150"/>
      <c r="T44" s="148"/>
      <c r="U44" s="141"/>
      <c r="V44" s="141"/>
      <c r="W44" s="141"/>
      <c r="X44" s="141"/>
      <c r="Y44" s="141"/>
      <c r="Z44" s="141"/>
      <c r="AA44" s="141"/>
      <c r="AB44" s="141"/>
      <c r="AC44" s="48"/>
      <c r="AD44" s="48"/>
    </row>
    <row r="45">
      <c r="A45" s="128" t="s">
        <v>382</v>
      </c>
      <c r="B45" s="128" t="s">
        <v>382</v>
      </c>
      <c r="C45" s="162" t="s">
        <v>53</v>
      </c>
      <c r="D45" s="143"/>
      <c r="E45" s="133"/>
      <c r="F45" s="143"/>
      <c r="G45" s="134" t="s">
        <v>2249</v>
      </c>
      <c r="H45" s="133"/>
      <c r="I45" s="133"/>
      <c r="J45" s="167">
        <v>46037.0</v>
      </c>
      <c r="K45" s="168"/>
      <c r="L45" s="130" t="s">
        <v>38</v>
      </c>
      <c r="M45" s="130">
        <v>514758.0</v>
      </c>
      <c r="N45" s="147">
        <v>8.12</v>
      </c>
      <c r="O45" s="130">
        <v>659617.0</v>
      </c>
      <c r="P45" s="131" t="s">
        <v>59</v>
      </c>
      <c r="Q45" s="138" t="s">
        <v>59</v>
      </c>
      <c r="R45" s="139"/>
      <c r="S45" s="150"/>
      <c r="T45" s="148"/>
      <c r="U45" s="141"/>
      <c r="V45" s="141"/>
      <c r="W45" s="141"/>
      <c r="X45" s="141"/>
      <c r="Y45" s="141"/>
      <c r="Z45" s="141"/>
      <c r="AA45" s="141"/>
      <c r="AB45" s="141"/>
      <c r="AC45" s="48"/>
      <c r="AD45" s="48"/>
    </row>
    <row r="46">
      <c r="A46" s="128" t="s">
        <v>382</v>
      </c>
      <c r="B46" s="128" t="s">
        <v>382</v>
      </c>
      <c r="C46" s="162" t="s">
        <v>53</v>
      </c>
      <c r="D46" s="143"/>
      <c r="E46" s="133"/>
      <c r="F46" s="143"/>
      <c r="G46" s="134" t="s">
        <v>2166</v>
      </c>
      <c r="H46" s="133"/>
      <c r="I46" s="133"/>
      <c r="J46" s="167">
        <v>46037.0</v>
      </c>
      <c r="K46" s="168"/>
      <c r="L46" s="130" t="s">
        <v>38</v>
      </c>
      <c r="M46" s="130">
        <v>514758.0</v>
      </c>
      <c r="N46" s="147">
        <v>1.14</v>
      </c>
      <c r="O46" s="130">
        <v>659617.0</v>
      </c>
      <c r="P46" s="131" t="s">
        <v>59</v>
      </c>
      <c r="Q46" s="138" t="s">
        <v>59</v>
      </c>
      <c r="R46" s="139"/>
      <c r="S46" s="150"/>
      <c r="T46" s="148"/>
      <c r="U46" s="141"/>
      <c r="V46" s="141"/>
      <c r="W46" s="141"/>
      <c r="X46" s="141"/>
      <c r="Y46" s="141"/>
      <c r="Z46" s="141"/>
      <c r="AA46" s="141"/>
      <c r="AB46" s="141"/>
      <c r="AC46" s="48"/>
      <c r="AD46" s="48"/>
    </row>
    <row r="47">
      <c r="A47" s="128" t="s">
        <v>382</v>
      </c>
      <c r="B47" s="128" t="s">
        <v>382</v>
      </c>
      <c r="C47" s="162" t="s">
        <v>53</v>
      </c>
      <c r="D47" s="143"/>
      <c r="E47" s="133"/>
      <c r="F47" s="143"/>
      <c r="G47" s="134" t="s">
        <v>957</v>
      </c>
      <c r="H47" s="133"/>
      <c r="I47" s="133"/>
      <c r="J47" s="167">
        <v>46037.0</v>
      </c>
      <c r="K47" s="168"/>
      <c r="L47" s="130" t="s">
        <v>38</v>
      </c>
      <c r="M47" s="130">
        <v>514758.0</v>
      </c>
      <c r="N47" s="147">
        <v>1.14</v>
      </c>
      <c r="O47" s="130">
        <v>659617.0</v>
      </c>
      <c r="P47" s="131" t="s">
        <v>59</v>
      </c>
      <c r="Q47" s="138" t="s">
        <v>59</v>
      </c>
      <c r="R47" s="139"/>
      <c r="S47" s="150"/>
      <c r="T47" s="148"/>
      <c r="U47" s="141"/>
      <c r="V47" s="141"/>
      <c r="W47" s="141"/>
      <c r="X47" s="141"/>
      <c r="Y47" s="141"/>
      <c r="Z47" s="141"/>
      <c r="AA47" s="141"/>
      <c r="AB47" s="141"/>
      <c r="AC47" s="48"/>
      <c r="AD47" s="48"/>
    </row>
    <row r="48">
      <c r="A48" s="128" t="s">
        <v>382</v>
      </c>
      <c r="B48" s="128" t="s">
        <v>382</v>
      </c>
      <c r="C48" s="162" t="s">
        <v>53</v>
      </c>
      <c r="D48" s="143"/>
      <c r="E48" s="133"/>
      <c r="F48" s="143"/>
      <c r="G48" s="134" t="s">
        <v>1866</v>
      </c>
      <c r="H48" s="133"/>
      <c r="I48" s="133"/>
      <c r="J48" s="167">
        <v>46037.0</v>
      </c>
      <c r="K48" s="168"/>
      <c r="L48" s="130" t="s">
        <v>38</v>
      </c>
      <c r="M48" s="130">
        <v>514758.0</v>
      </c>
      <c r="N48" s="147">
        <v>1.14</v>
      </c>
      <c r="O48" s="130">
        <v>659617.0</v>
      </c>
      <c r="P48" s="131" t="s">
        <v>59</v>
      </c>
      <c r="Q48" s="138" t="s">
        <v>59</v>
      </c>
      <c r="R48" s="139"/>
      <c r="S48" s="150"/>
      <c r="T48" s="148"/>
      <c r="U48" s="141"/>
      <c r="V48" s="141"/>
      <c r="W48" s="141"/>
      <c r="X48" s="141"/>
      <c r="Y48" s="141"/>
      <c r="Z48" s="141"/>
      <c r="AA48" s="141"/>
      <c r="AB48" s="141"/>
      <c r="AC48" s="48"/>
      <c r="AD48" s="48"/>
    </row>
    <row r="49">
      <c r="A49" s="128" t="s">
        <v>382</v>
      </c>
      <c r="B49" s="128" t="s">
        <v>382</v>
      </c>
      <c r="C49" s="142" t="s">
        <v>53</v>
      </c>
      <c r="D49" s="143"/>
      <c r="E49" s="143"/>
      <c r="F49" s="143"/>
      <c r="G49" s="134" t="s">
        <v>2131</v>
      </c>
      <c r="H49" s="133"/>
      <c r="I49" s="133"/>
      <c r="J49" s="167">
        <v>46037.0</v>
      </c>
      <c r="K49" s="168"/>
      <c r="L49" s="130" t="s">
        <v>38</v>
      </c>
      <c r="M49" s="130">
        <v>514758.0</v>
      </c>
      <c r="N49" s="147">
        <v>1.14</v>
      </c>
      <c r="O49" s="130">
        <v>659617.0</v>
      </c>
      <c r="P49" s="131" t="s">
        <v>59</v>
      </c>
      <c r="Q49" s="138" t="s">
        <v>59</v>
      </c>
      <c r="R49" s="139"/>
      <c r="S49" s="150"/>
      <c r="T49" s="148"/>
      <c r="U49" s="141"/>
      <c r="V49" s="141"/>
      <c r="W49" s="141"/>
      <c r="X49" s="141"/>
      <c r="Y49" s="141"/>
      <c r="Z49" s="141"/>
      <c r="AA49" s="141"/>
      <c r="AB49" s="141"/>
      <c r="AC49" s="48"/>
      <c r="AD49" s="48"/>
    </row>
    <row r="50">
      <c r="A50" s="128" t="s">
        <v>382</v>
      </c>
      <c r="B50" s="128" t="s">
        <v>382</v>
      </c>
      <c r="C50" s="142" t="s">
        <v>53</v>
      </c>
      <c r="D50" s="143"/>
      <c r="E50" s="143"/>
      <c r="F50" s="143"/>
      <c r="G50" s="134" t="s">
        <v>2274</v>
      </c>
      <c r="H50" s="133"/>
      <c r="I50" s="133"/>
      <c r="J50" s="167">
        <v>46037.0</v>
      </c>
      <c r="K50" s="168"/>
      <c r="L50" s="130" t="s">
        <v>38</v>
      </c>
      <c r="M50" s="130">
        <v>514758.0</v>
      </c>
      <c r="N50" s="147">
        <v>1.14</v>
      </c>
      <c r="O50" s="130">
        <v>659617.0</v>
      </c>
      <c r="P50" s="131" t="s">
        <v>59</v>
      </c>
      <c r="Q50" s="138" t="s">
        <v>59</v>
      </c>
      <c r="R50" s="139"/>
      <c r="S50" s="150"/>
      <c r="T50" s="148"/>
      <c r="U50" s="141"/>
      <c r="V50" s="141"/>
      <c r="W50" s="141"/>
      <c r="X50" s="141"/>
      <c r="Y50" s="141"/>
      <c r="Z50" s="141"/>
      <c r="AA50" s="141"/>
      <c r="AB50" s="141"/>
      <c r="AC50" s="48"/>
      <c r="AD50" s="48"/>
    </row>
    <row r="51">
      <c r="A51" s="128" t="s">
        <v>382</v>
      </c>
      <c r="B51" s="128" t="s">
        <v>382</v>
      </c>
      <c r="C51" s="142" t="s">
        <v>53</v>
      </c>
      <c r="D51" s="143"/>
      <c r="E51" s="143"/>
      <c r="F51" s="143"/>
      <c r="G51" s="134" t="s">
        <v>2281</v>
      </c>
      <c r="H51" s="133"/>
      <c r="I51" s="133"/>
      <c r="J51" s="167">
        <v>46037.0</v>
      </c>
      <c r="K51" s="168"/>
      <c r="L51" s="130" t="s">
        <v>38</v>
      </c>
      <c r="M51" s="130">
        <v>514758.0</v>
      </c>
      <c r="N51" s="147">
        <v>1.14</v>
      </c>
      <c r="O51" s="130">
        <v>659617.0</v>
      </c>
      <c r="P51" s="131" t="s">
        <v>59</v>
      </c>
      <c r="Q51" s="138" t="s">
        <v>59</v>
      </c>
      <c r="R51" s="139"/>
      <c r="S51" s="150"/>
      <c r="T51" s="148"/>
      <c r="U51" s="141"/>
      <c r="V51" s="141"/>
      <c r="W51" s="141"/>
      <c r="X51" s="141"/>
      <c r="Y51" s="141"/>
      <c r="Z51" s="141"/>
      <c r="AA51" s="141"/>
      <c r="AB51" s="141"/>
      <c r="AC51" s="48"/>
      <c r="AD51" s="48"/>
    </row>
    <row r="52">
      <c r="A52" s="128" t="s">
        <v>382</v>
      </c>
      <c r="B52" s="128" t="s">
        <v>382</v>
      </c>
      <c r="C52" s="142" t="s">
        <v>53</v>
      </c>
      <c r="D52" s="143"/>
      <c r="E52" s="133"/>
      <c r="F52" s="143"/>
      <c r="G52" s="134" t="s">
        <v>1865</v>
      </c>
      <c r="H52" s="133"/>
      <c r="I52" s="133"/>
      <c r="J52" s="167">
        <v>46037.0</v>
      </c>
      <c r="K52" s="168"/>
      <c r="L52" s="130" t="s">
        <v>38</v>
      </c>
      <c r="M52" s="130">
        <v>514758.0</v>
      </c>
      <c r="N52" s="147">
        <v>1.14</v>
      </c>
      <c r="O52" s="130">
        <v>659617.0</v>
      </c>
      <c r="P52" s="131" t="s">
        <v>59</v>
      </c>
      <c r="Q52" s="138" t="s">
        <v>59</v>
      </c>
      <c r="R52" s="139"/>
      <c r="S52" s="150"/>
      <c r="T52" s="148"/>
      <c r="U52" s="141"/>
      <c r="V52" s="141"/>
      <c r="W52" s="141"/>
      <c r="X52" s="141"/>
      <c r="Y52" s="141"/>
      <c r="Z52" s="141"/>
      <c r="AA52" s="141"/>
      <c r="AB52" s="141"/>
      <c r="AC52" s="48"/>
      <c r="AD52" s="48"/>
    </row>
    <row r="53">
      <c r="A53" s="128" t="s">
        <v>382</v>
      </c>
      <c r="B53" s="128" t="s">
        <v>382</v>
      </c>
      <c r="C53" s="142" t="s">
        <v>53</v>
      </c>
      <c r="D53" s="143"/>
      <c r="E53" s="133"/>
      <c r="F53" s="143"/>
      <c r="G53" s="134" t="s">
        <v>2285</v>
      </c>
      <c r="H53" s="133"/>
      <c r="I53" s="133"/>
      <c r="J53" s="167">
        <v>46037.0</v>
      </c>
      <c r="K53" s="168"/>
      <c r="L53" s="130" t="s">
        <v>38</v>
      </c>
      <c r="M53" s="130">
        <v>514758.0</v>
      </c>
      <c r="N53" s="147">
        <v>1.14</v>
      </c>
      <c r="O53" s="130">
        <v>659617.0</v>
      </c>
      <c r="P53" s="131" t="s">
        <v>59</v>
      </c>
      <c r="Q53" s="138" t="s">
        <v>59</v>
      </c>
      <c r="R53" s="139"/>
      <c r="S53" s="150"/>
      <c r="T53" s="148"/>
      <c r="U53" s="141"/>
      <c r="V53" s="141"/>
      <c r="W53" s="141"/>
      <c r="X53" s="141"/>
      <c r="Y53" s="141"/>
      <c r="Z53" s="141"/>
      <c r="AA53" s="141"/>
      <c r="AB53" s="141"/>
      <c r="AC53" s="48"/>
      <c r="AD53" s="48"/>
    </row>
    <row r="54">
      <c r="A54" s="128" t="s">
        <v>382</v>
      </c>
      <c r="B54" s="128" t="s">
        <v>382</v>
      </c>
      <c r="C54" s="142" t="s">
        <v>53</v>
      </c>
      <c r="D54" s="143"/>
      <c r="E54" s="133"/>
      <c r="F54" s="143"/>
      <c r="G54" s="134" t="s">
        <v>2286</v>
      </c>
      <c r="H54" s="133"/>
      <c r="I54" s="133"/>
      <c r="J54" s="167">
        <v>46037.0</v>
      </c>
      <c r="K54" s="168"/>
      <c r="L54" s="130" t="s">
        <v>38</v>
      </c>
      <c r="M54" s="130">
        <v>514758.0</v>
      </c>
      <c r="N54" s="147">
        <v>1.14</v>
      </c>
      <c r="O54" s="130">
        <v>659617.0</v>
      </c>
      <c r="P54" s="131" t="s">
        <v>59</v>
      </c>
      <c r="Q54" s="138" t="s">
        <v>59</v>
      </c>
      <c r="R54" s="139"/>
      <c r="S54" s="150"/>
      <c r="T54" s="148"/>
      <c r="U54" s="141"/>
      <c r="V54" s="141"/>
      <c r="W54" s="141"/>
      <c r="X54" s="141"/>
      <c r="Y54" s="141"/>
      <c r="Z54" s="141"/>
      <c r="AA54" s="141"/>
      <c r="AB54" s="141"/>
      <c r="AC54" s="48"/>
      <c r="AD54" s="48"/>
    </row>
    <row r="55">
      <c r="A55" s="128" t="s">
        <v>382</v>
      </c>
      <c r="B55" s="128" t="s">
        <v>382</v>
      </c>
      <c r="C55" s="142" t="s">
        <v>53</v>
      </c>
      <c r="D55" s="143"/>
      <c r="E55" s="133"/>
      <c r="F55" s="143"/>
      <c r="G55" s="134" t="s">
        <v>2140</v>
      </c>
      <c r="H55" s="133"/>
      <c r="I55" s="133"/>
      <c r="J55" s="167">
        <v>46037.0</v>
      </c>
      <c r="K55" s="168"/>
      <c r="L55" s="130" t="s">
        <v>38</v>
      </c>
      <c r="M55" s="130">
        <v>514758.0</v>
      </c>
      <c r="N55" s="147">
        <v>1.14</v>
      </c>
      <c r="O55" s="130">
        <v>659617.0</v>
      </c>
      <c r="P55" s="131" t="s">
        <v>59</v>
      </c>
      <c r="Q55" s="138" t="s">
        <v>59</v>
      </c>
      <c r="R55" s="139"/>
      <c r="S55" s="150"/>
      <c r="T55" s="148"/>
      <c r="U55" s="141"/>
      <c r="V55" s="141"/>
      <c r="W55" s="141"/>
      <c r="X55" s="141"/>
      <c r="Y55" s="141"/>
      <c r="Z55" s="141"/>
      <c r="AA55" s="141"/>
      <c r="AB55" s="141"/>
      <c r="AC55" s="48"/>
      <c r="AD55" s="48"/>
    </row>
    <row r="56">
      <c r="A56" s="128" t="s">
        <v>382</v>
      </c>
      <c r="B56" s="128" t="s">
        <v>382</v>
      </c>
      <c r="C56" s="142" t="s">
        <v>53</v>
      </c>
      <c r="D56" s="143"/>
      <c r="E56" s="133"/>
      <c r="F56" s="143"/>
      <c r="G56" s="134" t="s">
        <v>1943</v>
      </c>
      <c r="H56" s="133"/>
      <c r="I56" s="133"/>
      <c r="J56" s="167">
        <v>46037.0</v>
      </c>
      <c r="K56" s="168"/>
      <c r="L56" s="130" t="s">
        <v>38</v>
      </c>
      <c r="M56" s="130">
        <v>514758.0</v>
      </c>
      <c r="N56" s="147">
        <v>1.14</v>
      </c>
      <c r="O56" s="130">
        <v>659617.0</v>
      </c>
      <c r="P56" s="131" t="s">
        <v>59</v>
      </c>
      <c r="Q56" s="138" t="s">
        <v>59</v>
      </c>
      <c r="R56" s="139"/>
      <c r="S56" s="150"/>
      <c r="T56" s="148"/>
      <c r="U56" s="141"/>
      <c r="V56" s="141"/>
      <c r="W56" s="141"/>
      <c r="X56" s="141"/>
      <c r="Y56" s="141"/>
      <c r="Z56" s="141"/>
      <c r="AA56" s="141"/>
      <c r="AB56" s="141"/>
      <c r="AC56" s="48"/>
      <c r="AD56" s="48"/>
    </row>
    <row r="57">
      <c r="A57" s="128" t="s">
        <v>382</v>
      </c>
      <c r="B57" s="128" t="s">
        <v>382</v>
      </c>
      <c r="C57" s="142" t="s">
        <v>53</v>
      </c>
      <c r="D57" s="143"/>
      <c r="E57" s="133"/>
      <c r="F57" s="143"/>
      <c r="G57" s="134" t="s">
        <v>2288</v>
      </c>
      <c r="H57" s="133"/>
      <c r="I57" s="133"/>
      <c r="J57" s="167">
        <v>46037.0</v>
      </c>
      <c r="K57" s="168"/>
      <c r="L57" s="130" t="s">
        <v>38</v>
      </c>
      <c r="M57" s="130">
        <v>514758.0</v>
      </c>
      <c r="N57" s="147">
        <v>1.14</v>
      </c>
      <c r="O57" s="130">
        <v>659617.0</v>
      </c>
      <c r="P57" s="131" t="s">
        <v>59</v>
      </c>
      <c r="Q57" s="138" t="s">
        <v>59</v>
      </c>
      <c r="R57" s="139"/>
      <c r="S57" s="150"/>
      <c r="T57" s="148"/>
      <c r="U57" s="141"/>
      <c r="V57" s="141"/>
      <c r="W57" s="141"/>
      <c r="X57" s="141"/>
      <c r="Y57" s="141"/>
      <c r="Z57" s="141"/>
      <c r="AA57" s="141"/>
      <c r="AB57" s="141"/>
      <c r="AC57" s="48"/>
      <c r="AD57" s="48"/>
    </row>
    <row r="58">
      <c r="A58" s="128" t="s">
        <v>382</v>
      </c>
      <c r="B58" s="128" t="s">
        <v>382</v>
      </c>
      <c r="C58" s="142" t="s">
        <v>53</v>
      </c>
      <c r="D58" s="143"/>
      <c r="E58" s="143"/>
      <c r="F58" s="143"/>
      <c r="G58" s="134" t="s">
        <v>2290</v>
      </c>
      <c r="H58" s="133"/>
      <c r="I58" s="133"/>
      <c r="J58" s="167">
        <v>46037.0</v>
      </c>
      <c r="K58" s="168"/>
      <c r="L58" s="130" t="s">
        <v>38</v>
      </c>
      <c r="M58" s="130">
        <v>514758.0</v>
      </c>
      <c r="N58" s="147">
        <v>1.14</v>
      </c>
      <c r="O58" s="130">
        <v>659617.0</v>
      </c>
      <c r="P58" s="131" t="s">
        <v>59</v>
      </c>
      <c r="Q58" s="138" t="s">
        <v>59</v>
      </c>
      <c r="R58" s="139"/>
      <c r="S58" s="150"/>
      <c r="T58" s="148"/>
      <c r="U58" s="141"/>
      <c r="V58" s="141"/>
      <c r="W58" s="141"/>
      <c r="X58" s="141"/>
      <c r="Y58" s="141"/>
      <c r="Z58" s="141"/>
      <c r="AA58" s="141"/>
      <c r="AB58" s="141"/>
      <c r="AC58" s="48"/>
      <c r="AD58" s="48"/>
    </row>
    <row r="59">
      <c r="A59" s="128" t="s">
        <v>382</v>
      </c>
      <c r="B59" s="128" t="s">
        <v>382</v>
      </c>
      <c r="C59" s="142" t="s">
        <v>53</v>
      </c>
      <c r="D59" s="143"/>
      <c r="E59" s="133"/>
      <c r="F59" s="143"/>
      <c r="G59" s="134" t="s">
        <v>854</v>
      </c>
      <c r="H59" s="133"/>
      <c r="I59" s="133"/>
      <c r="J59" s="167">
        <v>46037.0</v>
      </c>
      <c r="K59" s="168"/>
      <c r="L59" s="130" t="s">
        <v>38</v>
      </c>
      <c r="M59" s="130">
        <v>514758.0</v>
      </c>
      <c r="N59" s="147">
        <v>1.14</v>
      </c>
      <c r="O59" s="130">
        <v>659617.0</v>
      </c>
      <c r="P59" s="131" t="s">
        <v>59</v>
      </c>
      <c r="Q59" s="138" t="s">
        <v>59</v>
      </c>
      <c r="R59" s="139"/>
      <c r="S59" s="150"/>
      <c r="T59" s="148"/>
      <c r="U59" s="141"/>
      <c r="V59" s="141"/>
      <c r="W59" s="141"/>
      <c r="X59" s="141"/>
      <c r="Y59" s="141"/>
      <c r="Z59" s="141"/>
      <c r="AA59" s="141"/>
      <c r="AB59" s="141"/>
      <c r="AC59" s="48"/>
      <c r="AD59" s="48"/>
    </row>
    <row r="60">
      <c r="A60" s="128" t="s">
        <v>382</v>
      </c>
      <c r="B60" s="128" t="s">
        <v>382</v>
      </c>
      <c r="C60" s="162" t="s">
        <v>53</v>
      </c>
      <c r="D60" s="143"/>
      <c r="E60" s="143"/>
      <c r="F60" s="143"/>
      <c r="G60" s="134" t="s">
        <v>1106</v>
      </c>
      <c r="H60" s="133"/>
      <c r="I60" s="133"/>
      <c r="J60" s="167">
        <v>46037.0</v>
      </c>
      <c r="K60" s="168"/>
      <c r="L60" s="130" t="s">
        <v>38</v>
      </c>
      <c r="M60" s="130">
        <v>514758.0</v>
      </c>
      <c r="N60" s="147">
        <v>1.14</v>
      </c>
      <c r="O60" s="130">
        <v>659617.0</v>
      </c>
      <c r="P60" s="131" t="s">
        <v>59</v>
      </c>
      <c r="Q60" s="138" t="s">
        <v>59</v>
      </c>
      <c r="R60" s="139"/>
      <c r="S60" s="150"/>
      <c r="T60" s="148"/>
      <c r="U60" s="141"/>
      <c r="V60" s="141"/>
      <c r="W60" s="141"/>
      <c r="X60" s="141"/>
      <c r="Y60" s="141"/>
      <c r="Z60" s="141"/>
      <c r="AA60" s="141"/>
      <c r="AB60" s="141"/>
      <c r="AC60" s="48"/>
      <c r="AD60" s="48"/>
    </row>
    <row r="61">
      <c r="A61" s="128" t="s">
        <v>382</v>
      </c>
      <c r="B61" s="128" t="s">
        <v>382</v>
      </c>
      <c r="C61" s="162" t="s">
        <v>53</v>
      </c>
      <c r="D61" s="143"/>
      <c r="E61" s="133"/>
      <c r="F61" s="143"/>
      <c r="G61" s="134" t="s">
        <v>603</v>
      </c>
      <c r="H61" s="133"/>
      <c r="I61" s="133"/>
      <c r="J61" s="167">
        <v>46037.0</v>
      </c>
      <c r="K61" s="168"/>
      <c r="L61" s="130" t="s">
        <v>38</v>
      </c>
      <c r="M61" s="130">
        <v>514758.0</v>
      </c>
      <c r="N61" s="147">
        <v>1.14</v>
      </c>
      <c r="O61" s="130">
        <v>659617.0</v>
      </c>
      <c r="P61" s="131" t="s">
        <v>59</v>
      </c>
      <c r="Q61" s="138" t="s">
        <v>59</v>
      </c>
      <c r="R61" s="139"/>
      <c r="S61" s="150"/>
      <c r="T61" s="148"/>
      <c r="U61" s="141"/>
      <c r="V61" s="141"/>
      <c r="W61" s="141"/>
      <c r="X61" s="141"/>
      <c r="Y61" s="141"/>
      <c r="Z61" s="141"/>
      <c r="AA61" s="141"/>
      <c r="AB61" s="141"/>
      <c r="AC61" s="48"/>
      <c r="AD61" s="48"/>
    </row>
    <row r="62">
      <c r="A62" s="128" t="s">
        <v>382</v>
      </c>
      <c r="B62" s="128" t="s">
        <v>382</v>
      </c>
      <c r="C62" s="142" t="s">
        <v>53</v>
      </c>
      <c r="D62" s="143"/>
      <c r="E62" s="133"/>
      <c r="F62" s="143"/>
      <c r="G62" s="134" t="s">
        <v>2292</v>
      </c>
      <c r="H62" s="133"/>
      <c r="I62" s="133"/>
      <c r="J62" s="167">
        <v>46037.0</v>
      </c>
      <c r="K62" s="168"/>
      <c r="L62" s="130" t="s">
        <v>38</v>
      </c>
      <c r="M62" s="130">
        <v>514758.0</v>
      </c>
      <c r="N62" s="147">
        <v>1.14</v>
      </c>
      <c r="O62" s="130">
        <v>659617.0</v>
      </c>
      <c r="P62" s="131" t="s">
        <v>59</v>
      </c>
      <c r="Q62" s="138" t="s">
        <v>59</v>
      </c>
      <c r="R62" s="139"/>
      <c r="S62" s="150"/>
      <c r="T62" s="148"/>
      <c r="U62" s="141"/>
      <c r="V62" s="141"/>
      <c r="W62" s="141"/>
      <c r="X62" s="141"/>
      <c r="Y62" s="141"/>
      <c r="Z62" s="141"/>
      <c r="AA62" s="141"/>
      <c r="AB62" s="141"/>
      <c r="AC62" s="48"/>
      <c r="AD62" s="48"/>
    </row>
    <row r="63">
      <c r="A63" s="128" t="s">
        <v>382</v>
      </c>
      <c r="B63" s="128" t="s">
        <v>382</v>
      </c>
      <c r="C63" s="142" t="s">
        <v>53</v>
      </c>
      <c r="D63" s="143"/>
      <c r="E63" s="143"/>
      <c r="F63" s="143"/>
      <c r="G63" s="134" t="s">
        <v>2082</v>
      </c>
      <c r="H63" s="133"/>
      <c r="I63" s="133"/>
      <c r="J63" s="167">
        <v>46037.0</v>
      </c>
      <c r="K63" s="168"/>
      <c r="L63" s="130" t="s">
        <v>38</v>
      </c>
      <c r="M63" s="130">
        <v>514758.0</v>
      </c>
      <c r="N63" s="147">
        <v>1.14</v>
      </c>
      <c r="O63" s="130">
        <v>659617.0</v>
      </c>
      <c r="P63" s="131" t="s">
        <v>59</v>
      </c>
      <c r="Q63" s="138" t="s">
        <v>59</v>
      </c>
      <c r="R63" s="139"/>
      <c r="S63" s="150"/>
      <c r="T63" s="148"/>
      <c r="U63" s="141"/>
      <c r="V63" s="141"/>
      <c r="W63" s="141"/>
      <c r="X63" s="141"/>
      <c r="Y63" s="141"/>
      <c r="Z63" s="141"/>
      <c r="AA63" s="141"/>
      <c r="AB63" s="141"/>
      <c r="AC63" s="48"/>
      <c r="AD63" s="48"/>
    </row>
    <row r="64">
      <c r="A64" s="128" t="s">
        <v>382</v>
      </c>
      <c r="B64" s="128" t="s">
        <v>382</v>
      </c>
      <c r="C64" s="142" t="s">
        <v>53</v>
      </c>
      <c r="D64" s="143"/>
      <c r="E64" s="143"/>
      <c r="F64" s="143"/>
      <c r="G64" s="132" t="s">
        <v>658</v>
      </c>
      <c r="H64" s="133"/>
      <c r="I64" s="133"/>
      <c r="J64" s="167">
        <v>46037.0</v>
      </c>
      <c r="K64" s="168"/>
      <c r="L64" s="130" t="s">
        <v>38</v>
      </c>
      <c r="M64" s="130">
        <v>514758.0</v>
      </c>
      <c r="N64" s="147">
        <v>1.14</v>
      </c>
      <c r="O64" s="130">
        <v>659617.0</v>
      </c>
      <c r="P64" s="131" t="s">
        <v>59</v>
      </c>
      <c r="Q64" s="138" t="s">
        <v>59</v>
      </c>
      <c r="R64" s="139"/>
      <c r="S64" s="150"/>
      <c r="T64" s="148"/>
      <c r="U64" s="141"/>
      <c r="V64" s="141"/>
      <c r="W64" s="141"/>
      <c r="X64" s="141"/>
      <c r="Y64" s="141"/>
      <c r="Z64" s="141"/>
      <c r="AA64" s="141"/>
      <c r="AB64" s="141"/>
      <c r="AC64" s="48"/>
      <c r="AD64" s="48"/>
    </row>
    <row r="65">
      <c r="A65" s="128" t="s">
        <v>382</v>
      </c>
      <c r="B65" s="128" t="s">
        <v>382</v>
      </c>
      <c r="C65" s="142" t="s">
        <v>53</v>
      </c>
      <c r="D65" s="143"/>
      <c r="E65" s="143"/>
      <c r="F65" s="143"/>
      <c r="G65" s="134" t="s">
        <v>2295</v>
      </c>
      <c r="H65" s="133"/>
      <c r="I65" s="133"/>
      <c r="J65" s="167">
        <v>46037.0</v>
      </c>
      <c r="K65" s="168"/>
      <c r="L65" s="130" t="s">
        <v>38</v>
      </c>
      <c r="M65" s="130">
        <v>514758.0</v>
      </c>
      <c r="N65" s="147">
        <v>3.33</v>
      </c>
      <c r="O65" s="130">
        <v>659617.0</v>
      </c>
      <c r="P65" s="131" t="s">
        <v>59</v>
      </c>
      <c r="Q65" s="138" t="s">
        <v>59</v>
      </c>
      <c r="R65" s="139"/>
      <c r="S65" s="150"/>
      <c r="T65" s="148"/>
      <c r="U65" s="141"/>
      <c r="V65" s="141"/>
      <c r="W65" s="141"/>
      <c r="X65" s="141"/>
      <c r="Y65" s="141"/>
      <c r="Z65" s="141"/>
      <c r="AA65" s="141"/>
      <c r="AB65" s="141"/>
      <c r="AC65" s="48"/>
      <c r="AD65" s="48"/>
    </row>
    <row r="66">
      <c r="A66" s="128" t="s">
        <v>382</v>
      </c>
      <c r="B66" s="128" t="s">
        <v>382</v>
      </c>
      <c r="C66" s="142" t="s">
        <v>2309</v>
      </c>
      <c r="D66" s="130">
        <v>9.179397114E9</v>
      </c>
      <c r="E66" s="131" t="s">
        <v>41</v>
      </c>
      <c r="F66" s="130" t="s">
        <v>41</v>
      </c>
      <c r="G66" s="134" t="s">
        <v>2296</v>
      </c>
      <c r="H66" s="133"/>
      <c r="I66" s="133"/>
      <c r="J66" s="167">
        <v>46037.0</v>
      </c>
      <c r="K66" s="168"/>
      <c r="L66" s="130" t="s">
        <v>38</v>
      </c>
      <c r="M66" s="130">
        <v>514758.0</v>
      </c>
      <c r="N66" s="147">
        <v>132.15</v>
      </c>
      <c r="O66" s="130">
        <v>659617.0</v>
      </c>
      <c r="P66" s="131" t="s">
        <v>43</v>
      </c>
      <c r="Q66" s="138" t="s">
        <v>43</v>
      </c>
      <c r="R66" s="139"/>
      <c r="S66" s="150"/>
      <c r="T66" s="148"/>
      <c r="U66" s="141"/>
      <c r="V66" s="141"/>
      <c r="W66" s="141"/>
      <c r="X66" s="141"/>
      <c r="Y66" s="141"/>
      <c r="Z66" s="141"/>
      <c r="AA66" s="141"/>
      <c r="AB66" s="141"/>
      <c r="AC66" s="48"/>
      <c r="AD66" s="48"/>
    </row>
    <row r="67">
      <c r="A67" s="128" t="s">
        <v>382</v>
      </c>
      <c r="B67" s="128" t="s">
        <v>382</v>
      </c>
      <c r="C67" s="142" t="s">
        <v>53</v>
      </c>
      <c r="D67" s="143"/>
      <c r="E67" s="133"/>
      <c r="F67" s="143"/>
      <c r="G67" s="134" t="s">
        <v>2297</v>
      </c>
      <c r="H67" s="133"/>
      <c r="I67" s="133"/>
      <c r="J67" s="167">
        <v>46037.0</v>
      </c>
      <c r="K67" s="168"/>
      <c r="L67" s="130" t="s">
        <v>38</v>
      </c>
      <c r="M67" s="130">
        <v>514758.0</v>
      </c>
      <c r="N67" s="147">
        <v>1.9</v>
      </c>
      <c r="O67" s="130">
        <v>659617.0</v>
      </c>
      <c r="P67" s="131" t="s">
        <v>59</v>
      </c>
      <c r="Q67" s="138" t="s">
        <v>59</v>
      </c>
      <c r="R67" s="139"/>
      <c r="S67" s="150"/>
      <c r="T67" s="148"/>
      <c r="U67" s="141"/>
      <c r="V67" s="141"/>
      <c r="W67" s="141"/>
      <c r="X67" s="141"/>
      <c r="Y67" s="141"/>
      <c r="Z67" s="141"/>
      <c r="AA67" s="141"/>
      <c r="AB67" s="141"/>
      <c r="AC67" s="48"/>
      <c r="AD67" s="48"/>
    </row>
    <row r="68">
      <c r="A68" s="128" t="s">
        <v>382</v>
      </c>
      <c r="B68" s="128" t="s">
        <v>382</v>
      </c>
      <c r="C68" s="142" t="s">
        <v>53</v>
      </c>
      <c r="D68" s="143"/>
      <c r="E68" s="133"/>
      <c r="F68" s="143"/>
      <c r="G68" s="134" t="s">
        <v>2298</v>
      </c>
      <c r="H68" s="133"/>
      <c r="I68" s="133"/>
      <c r="J68" s="167">
        <v>46037.0</v>
      </c>
      <c r="K68" s="168"/>
      <c r="L68" s="130" t="s">
        <v>38</v>
      </c>
      <c r="M68" s="130">
        <v>514758.0</v>
      </c>
      <c r="N68" s="147">
        <v>8.17</v>
      </c>
      <c r="O68" s="130">
        <v>659617.0</v>
      </c>
      <c r="P68" s="131" t="s">
        <v>59</v>
      </c>
      <c r="Q68" s="138" t="s">
        <v>59</v>
      </c>
      <c r="R68" s="139"/>
      <c r="S68" s="150"/>
      <c r="T68" s="148"/>
      <c r="U68" s="141"/>
      <c r="V68" s="141"/>
      <c r="W68" s="141"/>
      <c r="X68" s="141"/>
      <c r="Y68" s="141"/>
      <c r="Z68" s="141"/>
      <c r="AA68" s="141"/>
      <c r="AB68" s="141"/>
      <c r="AC68" s="48"/>
      <c r="AD68" s="48"/>
    </row>
    <row r="69">
      <c r="A69" s="128" t="s">
        <v>382</v>
      </c>
      <c r="B69" s="128" t="s">
        <v>382</v>
      </c>
      <c r="C69" s="142" t="s">
        <v>53</v>
      </c>
      <c r="D69" s="143"/>
      <c r="E69" s="133"/>
      <c r="F69" s="143"/>
      <c r="G69" s="132" t="s">
        <v>2299</v>
      </c>
      <c r="H69" s="133"/>
      <c r="I69" s="133"/>
      <c r="J69" s="167">
        <v>46037.0</v>
      </c>
      <c r="K69" s="168"/>
      <c r="L69" s="130" t="s">
        <v>38</v>
      </c>
      <c r="M69" s="130">
        <v>514758.0</v>
      </c>
      <c r="N69" s="147">
        <v>9.12</v>
      </c>
      <c r="O69" s="130">
        <v>659617.0</v>
      </c>
      <c r="P69" s="131" t="s">
        <v>59</v>
      </c>
      <c r="Q69" s="138" t="s">
        <v>59</v>
      </c>
      <c r="R69" s="139"/>
      <c r="S69" s="150"/>
      <c r="T69" s="148"/>
      <c r="U69" s="141"/>
      <c r="V69" s="141"/>
      <c r="W69" s="141"/>
      <c r="X69" s="141"/>
      <c r="Y69" s="141"/>
      <c r="Z69" s="141"/>
      <c r="AA69" s="141"/>
      <c r="AB69" s="141"/>
      <c r="AC69" s="48"/>
      <c r="AD69" s="48"/>
    </row>
    <row r="70">
      <c r="A70" s="128" t="s">
        <v>382</v>
      </c>
      <c r="B70" s="128" t="s">
        <v>382</v>
      </c>
      <c r="C70" s="142" t="s">
        <v>53</v>
      </c>
      <c r="D70" s="143"/>
      <c r="E70" s="133"/>
      <c r="F70" s="143"/>
      <c r="G70" s="132" t="s">
        <v>1809</v>
      </c>
      <c r="H70" s="133"/>
      <c r="I70" s="133"/>
      <c r="J70" s="167">
        <v>46037.0</v>
      </c>
      <c r="K70" s="168"/>
      <c r="L70" s="130" t="s">
        <v>38</v>
      </c>
      <c r="M70" s="130">
        <v>514758.0</v>
      </c>
      <c r="N70" s="147">
        <v>131.43</v>
      </c>
      <c r="O70" s="130">
        <v>659617.0</v>
      </c>
      <c r="P70" s="131" t="s">
        <v>59</v>
      </c>
      <c r="Q70" s="138" t="s">
        <v>59</v>
      </c>
      <c r="R70" s="139"/>
      <c r="S70" s="150"/>
      <c r="T70" s="148"/>
      <c r="U70" s="141"/>
      <c r="V70" s="141"/>
      <c r="W70" s="141"/>
      <c r="X70" s="141"/>
      <c r="Y70" s="141"/>
      <c r="Z70" s="141"/>
      <c r="AA70" s="141"/>
      <c r="AB70" s="141"/>
      <c r="AC70" s="48"/>
      <c r="AD70" s="48"/>
    </row>
    <row r="71">
      <c r="A71" s="128" t="s">
        <v>382</v>
      </c>
      <c r="B71" s="128" t="s">
        <v>382</v>
      </c>
      <c r="C71" s="142" t="s">
        <v>1266</v>
      </c>
      <c r="D71" s="130" t="s">
        <v>2338</v>
      </c>
      <c r="E71" s="131" t="s">
        <v>41</v>
      </c>
      <c r="F71" s="130" t="s">
        <v>41</v>
      </c>
      <c r="G71" s="132" t="s">
        <v>2300</v>
      </c>
      <c r="H71" s="133"/>
      <c r="I71" s="133"/>
      <c r="J71" s="167">
        <v>46041.0</v>
      </c>
      <c r="K71" s="168"/>
      <c r="L71" s="130" t="s">
        <v>38</v>
      </c>
      <c r="M71" s="130">
        <v>515661.0</v>
      </c>
      <c r="N71" s="147">
        <v>132.15</v>
      </c>
      <c r="O71" s="130">
        <v>660652.0</v>
      </c>
      <c r="P71" s="131" t="s">
        <v>43</v>
      </c>
      <c r="Q71" s="138" t="s">
        <v>43</v>
      </c>
      <c r="R71" s="139"/>
      <c r="S71" s="150"/>
      <c r="T71" s="148"/>
      <c r="U71" s="141"/>
      <c r="V71" s="141"/>
      <c r="W71" s="141"/>
      <c r="X71" s="141"/>
      <c r="Y71" s="141"/>
      <c r="Z71" s="141"/>
      <c r="AA71" s="141"/>
      <c r="AB71" s="141"/>
      <c r="AC71" s="48"/>
      <c r="AD71" s="48"/>
    </row>
    <row r="72">
      <c r="A72" s="128" t="s">
        <v>382</v>
      </c>
      <c r="B72" s="128" t="s">
        <v>382</v>
      </c>
      <c r="C72" s="162" t="s">
        <v>73</v>
      </c>
      <c r="D72" s="130">
        <v>5.707024266E9</v>
      </c>
      <c r="E72" s="130" t="s">
        <v>35</v>
      </c>
      <c r="F72" s="130" t="s">
        <v>35</v>
      </c>
      <c r="G72" s="132" t="s">
        <v>2302</v>
      </c>
      <c r="H72" s="144"/>
      <c r="I72" s="145"/>
      <c r="J72" s="167">
        <v>46041.0</v>
      </c>
      <c r="K72" s="168"/>
      <c r="L72" s="130" t="s">
        <v>38</v>
      </c>
      <c r="M72" s="130">
        <v>515661.0</v>
      </c>
      <c r="N72" s="147">
        <v>144.35</v>
      </c>
      <c r="O72" s="130">
        <v>660652.0</v>
      </c>
      <c r="P72" s="131" t="s">
        <v>43</v>
      </c>
      <c r="Q72" s="138" t="s">
        <v>43</v>
      </c>
      <c r="R72" s="139"/>
      <c r="S72" s="150"/>
      <c r="T72" s="148"/>
      <c r="U72" s="141"/>
      <c r="V72" s="141"/>
      <c r="W72" s="141"/>
      <c r="X72" s="141"/>
      <c r="Y72" s="141"/>
      <c r="Z72" s="141"/>
      <c r="AA72" s="141"/>
      <c r="AB72" s="141"/>
      <c r="AC72" s="48"/>
      <c r="AD72" s="48"/>
    </row>
    <row r="73">
      <c r="A73" s="128" t="s">
        <v>382</v>
      </c>
      <c r="B73" s="128" t="s">
        <v>382</v>
      </c>
      <c r="C73" s="142" t="s">
        <v>53</v>
      </c>
      <c r="D73" s="143"/>
      <c r="E73" s="131" t="s">
        <v>41</v>
      </c>
      <c r="F73" s="130" t="s">
        <v>41</v>
      </c>
      <c r="G73" s="134" t="s">
        <v>2250</v>
      </c>
      <c r="H73" s="133"/>
      <c r="I73" s="133"/>
      <c r="J73" s="167">
        <v>46041.0</v>
      </c>
      <c r="K73" s="168"/>
      <c r="L73" s="130" t="s">
        <v>38</v>
      </c>
      <c r="M73" s="130">
        <v>515661.0</v>
      </c>
      <c r="N73" s="147">
        <v>99.28</v>
      </c>
      <c r="O73" s="130">
        <v>660652.0</v>
      </c>
      <c r="P73" s="130" t="s">
        <v>59</v>
      </c>
      <c r="Q73" s="138" t="s">
        <v>59</v>
      </c>
      <c r="R73" s="139"/>
      <c r="S73" s="150"/>
      <c r="T73" s="148"/>
      <c r="U73" s="141"/>
      <c r="V73" s="141"/>
      <c r="W73" s="141"/>
      <c r="X73" s="141"/>
      <c r="Y73" s="141"/>
      <c r="Z73" s="141"/>
      <c r="AA73" s="141"/>
      <c r="AB73" s="141"/>
      <c r="AC73" s="48"/>
      <c r="AD73" s="48"/>
    </row>
    <row r="74">
      <c r="A74" s="128" t="s">
        <v>382</v>
      </c>
      <c r="B74" s="128" t="s">
        <v>382</v>
      </c>
      <c r="C74" s="162" t="s">
        <v>2368</v>
      </c>
      <c r="D74" s="130">
        <v>5.705910825E9</v>
      </c>
      <c r="E74" s="130" t="s">
        <v>35</v>
      </c>
      <c r="F74" s="130" t="s">
        <v>35</v>
      </c>
      <c r="G74" s="132" t="s">
        <v>2304</v>
      </c>
      <c r="H74" s="136"/>
      <c r="I74" s="145"/>
      <c r="J74" s="217">
        <v>46041.0</v>
      </c>
      <c r="K74" s="168"/>
      <c r="L74" s="132" t="s">
        <v>38</v>
      </c>
      <c r="M74" s="132">
        <v>515661.0</v>
      </c>
      <c r="N74" s="137">
        <v>95.62</v>
      </c>
      <c r="O74" s="132">
        <v>660652.0</v>
      </c>
      <c r="P74" s="131" t="s">
        <v>43</v>
      </c>
      <c r="Q74" s="138" t="s">
        <v>43</v>
      </c>
      <c r="R74" s="139"/>
      <c r="S74" s="150"/>
      <c r="T74" s="148"/>
      <c r="U74" s="141"/>
      <c r="V74" s="141"/>
      <c r="W74" s="141"/>
      <c r="X74" s="141"/>
      <c r="Y74" s="141"/>
      <c r="Z74" s="141"/>
      <c r="AA74" s="141"/>
      <c r="AB74" s="141"/>
      <c r="AC74" s="48"/>
      <c r="AD74" s="48"/>
    </row>
    <row r="75">
      <c r="A75" s="128" t="s">
        <v>382</v>
      </c>
      <c r="B75" s="128" t="s">
        <v>382</v>
      </c>
      <c r="C75" s="162" t="s">
        <v>53</v>
      </c>
      <c r="D75" s="143"/>
      <c r="E75" s="143"/>
      <c r="F75" s="143"/>
      <c r="G75" s="132" t="s">
        <v>583</v>
      </c>
      <c r="H75" s="144"/>
      <c r="I75" s="145"/>
      <c r="J75" s="217">
        <v>46041.0</v>
      </c>
      <c r="K75" s="168"/>
      <c r="L75" s="132" t="s">
        <v>38</v>
      </c>
      <c r="M75" s="132">
        <v>515661.0</v>
      </c>
      <c r="N75" s="137">
        <v>85.45</v>
      </c>
      <c r="O75" s="132">
        <v>660652.0</v>
      </c>
      <c r="P75" s="130" t="s">
        <v>59</v>
      </c>
      <c r="Q75" s="138" t="s">
        <v>59</v>
      </c>
      <c r="R75" s="139"/>
      <c r="S75" s="150"/>
      <c r="T75" s="148"/>
      <c r="U75" s="141"/>
      <c r="V75" s="141"/>
      <c r="W75" s="141"/>
      <c r="X75" s="141"/>
      <c r="Y75" s="141"/>
      <c r="Z75" s="141"/>
      <c r="AA75" s="141"/>
      <c r="AB75" s="141"/>
      <c r="AC75" s="48"/>
      <c r="AD75" s="48"/>
    </row>
    <row r="76">
      <c r="A76" s="128" t="s">
        <v>382</v>
      </c>
      <c r="B76" s="128" t="s">
        <v>382</v>
      </c>
      <c r="C76" s="162" t="s">
        <v>2392</v>
      </c>
      <c r="D76" s="130" t="s">
        <v>2394</v>
      </c>
      <c r="E76" s="132" t="s">
        <v>41</v>
      </c>
      <c r="F76" s="132" t="s">
        <v>41</v>
      </c>
      <c r="G76" s="132" t="s">
        <v>2305</v>
      </c>
      <c r="H76" s="133"/>
      <c r="I76" s="133"/>
      <c r="J76" s="217">
        <v>46041.0</v>
      </c>
      <c r="K76" s="168"/>
      <c r="L76" s="132" t="s">
        <v>38</v>
      </c>
      <c r="M76" s="132">
        <v>515661.0</v>
      </c>
      <c r="N76" s="137">
        <v>60.9</v>
      </c>
      <c r="O76" s="132">
        <v>660652.0</v>
      </c>
      <c r="P76" s="130" t="s">
        <v>43</v>
      </c>
      <c r="Q76" s="138" t="s">
        <v>43</v>
      </c>
      <c r="R76" s="139"/>
      <c r="S76" s="150"/>
      <c r="T76" s="148"/>
      <c r="U76" s="141"/>
      <c r="V76" s="141"/>
      <c r="W76" s="141"/>
      <c r="X76" s="141"/>
      <c r="Y76" s="141"/>
      <c r="Z76" s="141"/>
      <c r="AA76" s="141"/>
      <c r="AB76" s="141"/>
      <c r="AC76" s="48"/>
      <c r="AD76" s="48"/>
    </row>
    <row r="77">
      <c r="A77" s="128" t="s">
        <v>382</v>
      </c>
      <c r="B77" s="128" t="s">
        <v>382</v>
      </c>
      <c r="C77" s="142" t="s">
        <v>279</v>
      </c>
      <c r="D77" s="130" t="s">
        <v>2401</v>
      </c>
      <c r="E77" s="132" t="s">
        <v>41</v>
      </c>
      <c r="F77" s="132" t="s">
        <v>41</v>
      </c>
      <c r="G77" s="132" t="s">
        <v>2304</v>
      </c>
      <c r="H77" s="133"/>
      <c r="I77" s="133"/>
      <c r="J77" s="217">
        <v>46041.0</v>
      </c>
      <c r="K77" s="168"/>
      <c r="L77" s="132" t="s">
        <v>38</v>
      </c>
      <c r="M77" s="132">
        <v>515661.0</v>
      </c>
      <c r="N77" s="137">
        <v>95.62</v>
      </c>
      <c r="O77" s="132">
        <v>660652.0</v>
      </c>
      <c r="P77" s="130" t="s">
        <v>43</v>
      </c>
      <c r="Q77" s="138" t="s">
        <v>43</v>
      </c>
      <c r="R77" s="139"/>
      <c r="S77" s="150"/>
      <c r="T77" s="148"/>
      <c r="U77" s="141"/>
      <c r="V77" s="141"/>
      <c r="W77" s="141"/>
      <c r="X77" s="141"/>
      <c r="Y77" s="141"/>
      <c r="Z77" s="141"/>
      <c r="AA77" s="141"/>
      <c r="AB77" s="141"/>
      <c r="AC77" s="48"/>
      <c r="AD77" s="48"/>
    </row>
    <row r="78">
      <c r="A78" s="128" t="s">
        <v>382</v>
      </c>
      <c r="B78" s="128" t="s">
        <v>382</v>
      </c>
      <c r="C78" s="142" t="s">
        <v>53</v>
      </c>
      <c r="D78" s="143"/>
      <c r="E78" s="132" t="s">
        <v>41</v>
      </c>
      <c r="F78" s="132" t="s">
        <v>41</v>
      </c>
      <c r="G78" s="132" t="s">
        <v>238</v>
      </c>
      <c r="H78" s="133"/>
      <c r="I78" s="133"/>
      <c r="J78" s="217">
        <v>46041.0</v>
      </c>
      <c r="K78" s="168"/>
      <c r="L78" s="132" t="s">
        <v>38</v>
      </c>
      <c r="M78" s="132">
        <v>515661.0</v>
      </c>
      <c r="N78" s="137">
        <v>95.62</v>
      </c>
      <c r="O78" s="132">
        <v>660652.0</v>
      </c>
      <c r="P78" s="130" t="s">
        <v>59</v>
      </c>
      <c r="Q78" s="138" t="s">
        <v>59</v>
      </c>
      <c r="R78" s="139"/>
      <c r="S78" s="150"/>
      <c r="T78" s="148"/>
      <c r="U78" s="141"/>
      <c r="V78" s="141"/>
      <c r="W78" s="141"/>
      <c r="X78" s="141"/>
      <c r="Y78" s="141"/>
      <c r="Z78" s="141"/>
      <c r="AA78" s="141"/>
      <c r="AB78" s="141"/>
      <c r="AC78" s="48"/>
      <c r="AD78" s="48"/>
    </row>
    <row r="79">
      <c r="A79" s="222"/>
      <c r="B79" s="222"/>
      <c r="C79" s="223" t="s">
        <v>53</v>
      </c>
      <c r="D79" s="224"/>
      <c r="E79" s="225" t="s">
        <v>35</v>
      </c>
      <c r="F79" s="225" t="s">
        <v>35</v>
      </c>
      <c r="G79" s="226" t="s">
        <v>2308</v>
      </c>
      <c r="H79" s="227"/>
      <c r="I79" s="227"/>
      <c r="J79" s="207">
        <v>46041.0</v>
      </c>
      <c r="K79" s="228"/>
      <c r="L79" s="225" t="s">
        <v>38</v>
      </c>
      <c r="M79" s="229">
        <v>515661.0</v>
      </c>
      <c r="N79" s="230">
        <v>42.47</v>
      </c>
      <c r="O79" s="229">
        <v>660652.0</v>
      </c>
      <c r="P79" s="232" t="s">
        <v>59</v>
      </c>
      <c r="Q79" s="234" t="s">
        <v>59</v>
      </c>
      <c r="R79" s="235"/>
      <c r="S79" s="236"/>
      <c r="T79" s="237"/>
      <c r="U79" s="57"/>
      <c r="V79" s="57"/>
      <c r="W79" s="57"/>
      <c r="X79" s="57"/>
      <c r="Y79" s="57"/>
      <c r="Z79" s="57"/>
      <c r="AA79" s="57"/>
      <c r="AB79" s="57"/>
    </row>
    <row r="80">
      <c r="A80" s="222"/>
      <c r="B80" s="222"/>
      <c r="C80" s="223" t="s">
        <v>1959</v>
      </c>
      <c r="D80" s="225" t="s">
        <v>1962</v>
      </c>
      <c r="E80" s="225" t="s">
        <v>41</v>
      </c>
      <c r="F80" s="225" t="s">
        <v>41</v>
      </c>
      <c r="G80" s="226" t="s">
        <v>2311</v>
      </c>
      <c r="H80" s="227"/>
      <c r="I80" s="227"/>
      <c r="J80" s="207">
        <v>46041.0</v>
      </c>
      <c r="K80" s="228"/>
      <c r="L80" s="225" t="s">
        <v>38</v>
      </c>
      <c r="M80" s="229">
        <v>515661.0</v>
      </c>
      <c r="N80" s="230">
        <v>99.28</v>
      </c>
      <c r="O80" s="229">
        <v>660652.0</v>
      </c>
      <c r="P80" s="232" t="s">
        <v>43</v>
      </c>
      <c r="Q80" s="234" t="s">
        <v>43</v>
      </c>
      <c r="R80" s="235"/>
      <c r="S80" s="236"/>
      <c r="T80" s="237"/>
      <c r="U80" s="57"/>
      <c r="V80" s="57"/>
      <c r="W80" s="57"/>
      <c r="X80" s="57"/>
      <c r="Y80" s="57"/>
      <c r="Z80" s="57"/>
      <c r="AA80" s="57"/>
      <c r="AB80" s="57"/>
    </row>
    <row r="81">
      <c r="A81" s="222"/>
      <c r="B81" s="222"/>
      <c r="C81" s="238" t="s">
        <v>53</v>
      </c>
      <c r="D81" s="235"/>
      <c r="E81" s="208" t="s">
        <v>35</v>
      </c>
      <c r="F81" s="239" t="s">
        <v>35</v>
      </c>
      <c r="G81" s="239" t="s">
        <v>171</v>
      </c>
      <c r="H81" s="227"/>
      <c r="I81" s="227"/>
      <c r="J81" s="209">
        <v>46041.0</v>
      </c>
      <c r="K81" s="240"/>
      <c r="L81" s="239" t="s">
        <v>38</v>
      </c>
      <c r="M81" s="239">
        <v>515661.0</v>
      </c>
      <c r="N81" s="241">
        <v>42.47</v>
      </c>
      <c r="O81" s="239">
        <v>660652.0</v>
      </c>
      <c r="P81" s="232" t="s">
        <v>59</v>
      </c>
      <c r="Q81" s="234" t="s">
        <v>59</v>
      </c>
      <c r="R81" s="235"/>
      <c r="S81" s="236"/>
      <c r="T81" s="237"/>
      <c r="U81" s="57"/>
      <c r="V81" s="57"/>
      <c r="W81" s="57"/>
      <c r="X81" s="57"/>
      <c r="Y81" s="57"/>
      <c r="Z81" s="57"/>
      <c r="AA81" s="57"/>
      <c r="AB81" s="57"/>
    </row>
    <row r="82">
      <c r="A82" s="243" t="s">
        <v>382</v>
      </c>
      <c r="B82" s="243" t="s">
        <v>382</v>
      </c>
      <c r="C82" s="238" t="s">
        <v>1104</v>
      </c>
      <c r="D82" s="224"/>
      <c r="E82" s="208" t="s">
        <v>35</v>
      </c>
      <c r="F82" s="239" t="s">
        <v>35</v>
      </c>
      <c r="G82" s="239" t="s">
        <v>377</v>
      </c>
      <c r="H82" s="227"/>
      <c r="I82" s="227"/>
      <c r="J82" s="245">
        <v>46041.0</v>
      </c>
      <c r="K82" s="246"/>
      <c r="L82" s="232" t="s">
        <v>38</v>
      </c>
      <c r="M82" s="232">
        <v>515661.0</v>
      </c>
      <c r="N82" s="247">
        <v>113.91</v>
      </c>
      <c r="O82" s="232">
        <v>660652.0</v>
      </c>
      <c r="P82" s="249" t="s">
        <v>43</v>
      </c>
      <c r="Q82" s="250" t="s">
        <v>43</v>
      </c>
      <c r="R82" s="235"/>
      <c r="S82" s="236"/>
      <c r="T82" s="237"/>
      <c r="U82" s="57"/>
      <c r="V82" s="57"/>
      <c r="W82" s="57"/>
      <c r="X82" s="57"/>
      <c r="Y82" s="57"/>
      <c r="Z82" s="57"/>
      <c r="AA82" s="57"/>
      <c r="AB82" s="57"/>
    </row>
    <row r="83">
      <c r="A83" s="243" t="s">
        <v>382</v>
      </c>
      <c r="B83" s="243" t="s">
        <v>382</v>
      </c>
      <c r="C83" s="238" t="s">
        <v>1104</v>
      </c>
      <c r="D83" s="224"/>
      <c r="E83" s="208" t="s">
        <v>35</v>
      </c>
      <c r="F83" s="239" t="s">
        <v>35</v>
      </c>
      <c r="G83" s="239" t="s">
        <v>2312</v>
      </c>
      <c r="H83" s="227"/>
      <c r="I83" s="227"/>
      <c r="J83" s="245">
        <v>46041.0</v>
      </c>
      <c r="K83" s="246"/>
      <c r="L83" s="232" t="s">
        <v>38</v>
      </c>
      <c r="M83" s="232">
        <v>515661.0</v>
      </c>
      <c r="N83" s="247">
        <v>62.75</v>
      </c>
      <c r="O83" s="232">
        <v>660652.0</v>
      </c>
      <c r="P83" s="249" t="s">
        <v>43</v>
      </c>
      <c r="Q83" s="250" t="s">
        <v>43</v>
      </c>
      <c r="R83" s="235"/>
      <c r="S83" s="236"/>
      <c r="T83" s="237"/>
      <c r="U83" s="57"/>
      <c r="V83" s="57"/>
      <c r="W83" s="57"/>
      <c r="X83" s="57"/>
      <c r="Y83" s="57"/>
      <c r="Z83" s="57"/>
      <c r="AA83" s="57"/>
      <c r="AB83" s="57"/>
    </row>
    <row r="84">
      <c r="A84" s="243" t="s">
        <v>382</v>
      </c>
      <c r="B84" s="243" t="s">
        <v>382</v>
      </c>
      <c r="C84" s="238" t="s">
        <v>53</v>
      </c>
      <c r="D84" s="224"/>
      <c r="E84" s="208" t="s">
        <v>35</v>
      </c>
      <c r="F84" s="239" t="s">
        <v>35</v>
      </c>
      <c r="G84" s="239" t="s">
        <v>699</v>
      </c>
      <c r="H84" s="227"/>
      <c r="I84" s="227"/>
      <c r="J84" s="245">
        <v>46041.0</v>
      </c>
      <c r="K84" s="246"/>
      <c r="L84" s="232" t="s">
        <v>38</v>
      </c>
      <c r="M84" s="232">
        <v>515661.0</v>
      </c>
      <c r="N84" s="247">
        <v>144.35</v>
      </c>
      <c r="O84" s="232">
        <v>660652.0</v>
      </c>
      <c r="P84" s="249" t="s">
        <v>59</v>
      </c>
      <c r="Q84" s="250" t="s">
        <v>59</v>
      </c>
      <c r="R84" s="235"/>
      <c r="S84" s="236"/>
      <c r="T84" s="237"/>
      <c r="U84" s="57"/>
      <c r="V84" s="57"/>
      <c r="W84" s="57"/>
      <c r="X84" s="57"/>
      <c r="Y84" s="57"/>
      <c r="Z84" s="57"/>
      <c r="AA84" s="57"/>
      <c r="AB84" s="57"/>
    </row>
    <row r="85">
      <c r="A85" s="243" t="s">
        <v>382</v>
      </c>
      <c r="B85" s="243" t="s">
        <v>382</v>
      </c>
      <c r="C85" s="251" t="s">
        <v>2207</v>
      </c>
      <c r="D85" s="232" t="s">
        <v>1895</v>
      </c>
      <c r="E85" s="232" t="s">
        <v>35</v>
      </c>
      <c r="F85" s="232" t="s">
        <v>35</v>
      </c>
      <c r="G85" s="239" t="s">
        <v>2313</v>
      </c>
      <c r="H85" s="227"/>
      <c r="I85" s="227"/>
      <c r="J85" s="245">
        <v>46043.0</v>
      </c>
      <c r="K85" s="246"/>
      <c r="L85" s="232" t="s">
        <v>38</v>
      </c>
      <c r="M85" s="232">
        <v>516244.0</v>
      </c>
      <c r="N85" s="247">
        <v>34.87</v>
      </c>
      <c r="O85" s="232">
        <v>661398.0</v>
      </c>
      <c r="P85" s="249" t="s">
        <v>59</v>
      </c>
      <c r="Q85" s="250" t="s">
        <v>59</v>
      </c>
      <c r="R85" s="235"/>
      <c r="S85" s="236"/>
      <c r="T85" s="237"/>
      <c r="U85" s="57"/>
      <c r="V85" s="57"/>
      <c r="W85" s="57"/>
      <c r="X85" s="57"/>
      <c r="Y85" s="57"/>
      <c r="Z85" s="57"/>
      <c r="AA85" s="57"/>
      <c r="AB85" s="57"/>
    </row>
    <row r="86">
      <c r="A86" s="243" t="s">
        <v>382</v>
      </c>
      <c r="B86" s="243" t="s">
        <v>382</v>
      </c>
      <c r="C86" s="252" t="s">
        <v>2458</v>
      </c>
      <c r="D86" s="232" t="s">
        <v>2460</v>
      </c>
      <c r="E86" s="232" t="s">
        <v>35</v>
      </c>
      <c r="F86" s="232" t="s">
        <v>35</v>
      </c>
      <c r="G86" s="239" t="s">
        <v>2315</v>
      </c>
      <c r="H86" s="228"/>
      <c r="I86" s="253"/>
      <c r="J86" s="254">
        <v>46043.0</v>
      </c>
      <c r="K86" s="246"/>
      <c r="L86" s="239" t="s">
        <v>38</v>
      </c>
      <c r="M86" s="239">
        <v>516244.0</v>
      </c>
      <c r="N86" s="241">
        <v>99.28</v>
      </c>
      <c r="O86" s="239">
        <v>661398.0</v>
      </c>
      <c r="P86" s="249" t="s">
        <v>43</v>
      </c>
      <c r="Q86" s="250" t="s">
        <v>43</v>
      </c>
      <c r="R86" s="235"/>
      <c r="S86" s="236"/>
      <c r="T86" s="237"/>
      <c r="U86" s="57"/>
      <c r="V86" s="57"/>
      <c r="W86" s="57"/>
      <c r="X86" s="57"/>
      <c r="Y86" s="57"/>
      <c r="Z86" s="57"/>
      <c r="AA86" s="57"/>
      <c r="AB86" s="57"/>
    </row>
    <row r="87">
      <c r="A87" s="243" t="s">
        <v>382</v>
      </c>
      <c r="B87" s="243" t="s">
        <v>382</v>
      </c>
      <c r="C87" s="238" t="s">
        <v>53</v>
      </c>
      <c r="D87" s="224"/>
      <c r="E87" s="255" t="s">
        <v>35</v>
      </c>
      <c r="F87" s="232" t="s">
        <v>35</v>
      </c>
      <c r="G87" s="239" t="s">
        <v>2250</v>
      </c>
      <c r="H87" s="227"/>
      <c r="I87" s="227"/>
      <c r="J87" s="245">
        <v>46043.0</v>
      </c>
      <c r="K87" s="246"/>
      <c r="L87" s="232" t="s">
        <v>38</v>
      </c>
      <c r="M87" s="232">
        <v>516244.0</v>
      </c>
      <c r="N87" s="247">
        <v>99.28</v>
      </c>
      <c r="O87" s="232">
        <v>661398.0</v>
      </c>
      <c r="P87" s="256" t="s">
        <v>59</v>
      </c>
      <c r="Q87" s="250" t="s">
        <v>59</v>
      </c>
      <c r="R87" s="235"/>
      <c r="S87" s="236"/>
      <c r="T87" s="237"/>
      <c r="U87" s="57"/>
      <c r="V87" s="57"/>
      <c r="W87" s="57"/>
      <c r="X87" s="57"/>
      <c r="Y87" s="57"/>
      <c r="Z87" s="57"/>
      <c r="AA87" s="57"/>
      <c r="AB87" s="57"/>
    </row>
    <row r="88">
      <c r="A88" s="243" t="s">
        <v>382</v>
      </c>
      <c r="B88" s="243" t="s">
        <v>382</v>
      </c>
      <c r="C88" s="238" t="s">
        <v>2468</v>
      </c>
      <c r="D88" s="224"/>
      <c r="E88" s="255" t="s">
        <v>35</v>
      </c>
      <c r="F88" s="232" t="s">
        <v>35</v>
      </c>
      <c r="G88" s="239" t="s">
        <v>2317</v>
      </c>
      <c r="H88" s="227"/>
      <c r="I88" s="227"/>
      <c r="J88" s="245">
        <v>46043.0</v>
      </c>
      <c r="K88" s="246"/>
      <c r="L88" s="232" t="s">
        <v>38</v>
      </c>
      <c r="M88" s="232">
        <v>516244.0</v>
      </c>
      <c r="N88" s="247">
        <v>113.91</v>
      </c>
      <c r="O88" s="232">
        <v>661398.0</v>
      </c>
      <c r="P88" s="256" t="s">
        <v>43</v>
      </c>
      <c r="Q88" s="250" t="s">
        <v>43</v>
      </c>
      <c r="R88" s="235"/>
      <c r="S88" s="236"/>
      <c r="T88" s="237"/>
      <c r="U88" s="57"/>
      <c r="V88" s="57"/>
      <c r="W88" s="57"/>
      <c r="X88" s="57"/>
      <c r="Y88" s="57"/>
      <c r="Z88" s="57"/>
      <c r="AA88" s="57"/>
      <c r="AB88" s="57"/>
    </row>
    <row r="89">
      <c r="A89" s="243" t="s">
        <v>382</v>
      </c>
      <c r="B89" s="243" t="s">
        <v>382</v>
      </c>
      <c r="C89" s="258" t="s">
        <v>2473</v>
      </c>
      <c r="D89" s="259">
        <v>5.704365033E9</v>
      </c>
      <c r="E89" s="232" t="s">
        <v>41</v>
      </c>
      <c r="F89" s="232" t="s">
        <v>41</v>
      </c>
      <c r="G89" s="260" t="s">
        <v>2318</v>
      </c>
      <c r="H89" s="227"/>
      <c r="I89" s="227"/>
      <c r="J89" s="233">
        <v>46043.0</v>
      </c>
      <c r="K89" s="246"/>
      <c r="L89" s="259" t="s">
        <v>38</v>
      </c>
      <c r="M89" s="259">
        <v>516244.0</v>
      </c>
      <c r="N89" s="261">
        <v>49.4</v>
      </c>
      <c r="O89" s="259">
        <v>661398.0</v>
      </c>
      <c r="P89" s="256" t="s">
        <v>43</v>
      </c>
      <c r="Q89" s="250" t="s">
        <v>43</v>
      </c>
      <c r="R89" s="235"/>
      <c r="S89" s="236"/>
      <c r="T89" s="237"/>
      <c r="U89" s="57"/>
      <c r="V89" s="57"/>
      <c r="W89" s="57"/>
      <c r="X89" s="57"/>
      <c r="Y89" s="57"/>
      <c r="Z89" s="57"/>
      <c r="AA89" s="57"/>
      <c r="AB89" s="57"/>
    </row>
    <row r="90">
      <c r="A90" s="243" t="s">
        <v>382</v>
      </c>
      <c r="B90" s="243" t="s">
        <v>382</v>
      </c>
      <c r="C90" s="262" t="s">
        <v>749</v>
      </c>
      <c r="D90" s="263" t="s">
        <v>2483</v>
      </c>
      <c r="E90" s="232" t="s">
        <v>41</v>
      </c>
      <c r="F90" s="232" t="s">
        <v>41</v>
      </c>
      <c r="G90" s="264" t="s">
        <v>478</v>
      </c>
      <c r="H90" s="227"/>
      <c r="I90" s="227"/>
      <c r="J90" s="265">
        <v>46043.0</v>
      </c>
      <c r="K90" s="246"/>
      <c r="L90" s="263" t="s">
        <v>38</v>
      </c>
      <c r="M90" s="263">
        <v>516244.0</v>
      </c>
      <c r="N90" s="266">
        <v>160.17</v>
      </c>
      <c r="O90" s="263">
        <v>661398.0</v>
      </c>
      <c r="P90" s="256" t="s">
        <v>43</v>
      </c>
      <c r="Q90" s="250" t="s">
        <v>43</v>
      </c>
      <c r="R90" s="235"/>
      <c r="S90" s="236"/>
      <c r="T90" s="237"/>
      <c r="U90" s="57"/>
      <c r="V90" s="57"/>
      <c r="W90" s="57"/>
      <c r="X90" s="57"/>
      <c r="Y90" s="57"/>
      <c r="Z90" s="57"/>
      <c r="AA90" s="57"/>
      <c r="AB90" s="57"/>
    </row>
    <row r="91">
      <c r="A91" s="243" t="s">
        <v>382</v>
      </c>
      <c r="B91" s="243" t="s">
        <v>382</v>
      </c>
      <c r="C91" s="268" t="s">
        <v>279</v>
      </c>
      <c r="D91" s="232" t="s">
        <v>2401</v>
      </c>
      <c r="E91" s="255" t="s">
        <v>41</v>
      </c>
      <c r="F91" s="232" t="s">
        <v>41</v>
      </c>
      <c r="G91" s="264" t="s">
        <v>2319</v>
      </c>
      <c r="H91" s="227"/>
      <c r="I91" s="227"/>
      <c r="J91" s="265">
        <v>46043.0</v>
      </c>
      <c r="K91" s="246"/>
      <c r="L91" s="263" t="s">
        <v>38</v>
      </c>
      <c r="M91" s="263">
        <v>516244.0</v>
      </c>
      <c r="N91" s="266">
        <v>95.62</v>
      </c>
      <c r="O91" s="263">
        <v>661398.0</v>
      </c>
      <c r="P91" s="256" t="s">
        <v>43</v>
      </c>
      <c r="Q91" s="250" t="s">
        <v>43</v>
      </c>
      <c r="R91" s="235"/>
      <c r="S91" s="236"/>
      <c r="T91" s="237"/>
      <c r="U91" s="57"/>
      <c r="V91" s="57"/>
      <c r="W91" s="57"/>
      <c r="X91" s="57"/>
      <c r="Y91" s="57"/>
      <c r="Z91" s="57"/>
      <c r="AA91" s="57"/>
      <c r="AB91" s="57"/>
    </row>
    <row r="92">
      <c r="A92" s="243" t="s">
        <v>382</v>
      </c>
      <c r="B92" s="243" t="s">
        <v>382</v>
      </c>
      <c r="C92" s="268" t="s">
        <v>2503</v>
      </c>
      <c r="D92" s="232" t="s">
        <v>2504</v>
      </c>
      <c r="E92" s="239" t="s">
        <v>41</v>
      </c>
      <c r="F92" s="239" t="s">
        <v>41</v>
      </c>
      <c r="G92" s="239" t="s">
        <v>689</v>
      </c>
      <c r="H92" s="227"/>
      <c r="I92" s="227"/>
      <c r="J92" s="254">
        <v>46043.0</v>
      </c>
      <c r="K92" s="246"/>
      <c r="L92" s="239" t="s">
        <v>38</v>
      </c>
      <c r="M92" s="239">
        <v>516244.0</v>
      </c>
      <c r="N92" s="241">
        <v>95.62</v>
      </c>
      <c r="O92" s="239">
        <v>661398.0</v>
      </c>
      <c r="P92" s="249" t="s">
        <v>43</v>
      </c>
      <c r="Q92" s="250" t="s">
        <v>43</v>
      </c>
      <c r="R92" s="235"/>
      <c r="S92" s="236"/>
      <c r="T92" s="237"/>
      <c r="U92" s="57"/>
      <c r="V92" s="57"/>
      <c r="W92" s="57"/>
      <c r="X92" s="57"/>
      <c r="Y92" s="57"/>
      <c r="Z92" s="57"/>
      <c r="AA92" s="57"/>
      <c r="AB92" s="57"/>
    </row>
    <row r="93">
      <c r="A93" s="243" t="s">
        <v>382</v>
      </c>
      <c r="B93" s="243" t="s">
        <v>382</v>
      </c>
      <c r="C93" s="238" t="s">
        <v>53</v>
      </c>
      <c r="D93" s="224"/>
      <c r="E93" s="208" t="s">
        <v>41</v>
      </c>
      <c r="F93" s="239" t="s">
        <v>41</v>
      </c>
      <c r="G93" s="239" t="s">
        <v>2320</v>
      </c>
      <c r="H93" s="227"/>
      <c r="I93" s="227"/>
      <c r="J93" s="254">
        <v>46043.0</v>
      </c>
      <c r="K93" s="246"/>
      <c r="L93" s="239" t="s">
        <v>38</v>
      </c>
      <c r="M93" s="239">
        <v>516244.0</v>
      </c>
      <c r="N93" s="241">
        <v>156.51</v>
      </c>
      <c r="O93" s="239">
        <v>661398.0</v>
      </c>
      <c r="P93" s="256" t="s">
        <v>59</v>
      </c>
      <c r="Q93" s="250" t="s">
        <v>59</v>
      </c>
      <c r="R93" s="235"/>
      <c r="S93" s="236"/>
      <c r="T93" s="237"/>
      <c r="U93" s="57"/>
      <c r="V93" s="57"/>
      <c r="W93" s="57"/>
      <c r="X93" s="57"/>
      <c r="Y93" s="57"/>
      <c r="Z93" s="57"/>
      <c r="AA93" s="57"/>
      <c r="AB93" s="57"/>
    </row>
    <row r="94">
      <c r="A94" s="243" t="s">
        <v>382</v>
      </c>
      <c r="B94" s="243" t="s">
        <v>382</v>
      </c>
      <c r="C94" s="268" t="s">
        <v>334</v>
      </c>
      <c r="D94" s="232" t="s">
        <v>1072</v>
      </c>
      <c r="E94" s="239" t="s">
        <v>41</v>
      </c>
      <c r="F94" s="239" t="s">
        <v>41</v>
      </c>
      <c r="G94" s="239" t="s">
        <v>2321</v>
      </c>
      <c r="H94" s="227"/>
      <c r="I94" s="227"/>
      <c r="J94" s="254">
        <v>46043.0</v>
      </c>
      <c r="K94" s="246"/>
      <c r="L94" s="239" t="s">
        <v>38</v>
      </c>
      <c r="M94" s="239">
        <v>516244.0</v>
      </c>
      <c r="N94" s="241">
        <v>113.91</v>
      </c>
      <c r="O94" s="239">
        <v>661398.0</v>
      </c>
      <c r="P94" s="256" t="s">
        <v>43</v>
      </c>
      <c r="Q94" s="250" t="s">
        <v>43</v>
      </c>
      <c r="R94" s="235"/>
      <c r="S94" s="236"/>
      <c r="T94" s="237"/>
      <c r="U94" s="57"/>
      <c r="V94" s="57"/>
      <c r="W94" s="57"/>
      <c r="X94" s="57"/>
      <c r="Y94" s="57"/>
      <c r="Z94" s="57"/>
      <c r="AA94" s="57"/>
      <c r="AB94" s="57"/>
    </row>
    <row r="95">
      <c r="A95" s="243" t="s">
        <v>382</v>
      </c>
      <c r="B95" s="243" t="s">
        <v>382</v>
      </c>
      <c r="C95" s="252" t="s">
        <v>53</v>
      </c>
      <c r="D95" s="224"/>
      <c r="E95" s="227"/>
      <c r="F95" s="224"/>
      <c r="G95" s="208" t="s">
        <v>725</v>
      </c>
      <c r="H95" s="227"/>
      <c r="I95" s="227"/>
      <c r="J95" s="245">
        <v>46043.0</v>
      </c>
      <c r="K95" s="246"/>
      <c r="L95" s="232" t="s">
        <v>38</v>
      </c>
      <c r="M95" s="232">
        <v>516244.0</v>
      </c>
      <c r="N95" s="247">
        <v>5.23</v>
      </c>
      <c r="O95" s="232">
        <v>661398.0</v>
      </c>
      <c r="P95" s="256" t="s">
        <v>59</v>
      </c>
      <c r="Q95" s="250" t="s">
        <v>59</v>
      </c>
      <c r="R95" s="235"/>
      <c r="S95" s="236"/>
      <c r="T95" s="237"/>
      <c r="U95" s="57"/>
      <c r="V95" s="57"/>
      <c r="W95" s="57"/>
      <c r="X95" s="57"/>
      <c r="Y95" s="57"/>
      <c r="Z95" s="57"/>
      <c r="AA95" s="57"/>
      <c r="AB95" s="57"/>
    </row>
    <row r="96">
      <c r="A96" s="243" t="s">
        <v>382</v>
      </c>
      <c r="B96" s="243" t="s">
        <v>382</v>
      </c>
      <c r="C96" s="252" t="s">
        <v>53</v>
      </c>
      <c r="D96" s="224"/>
      <c r="E96" s="227"/>
      <c r="F96" s="224"/>
      <c r="G96" s="208" t="s">
        <v>2324</v>
      </c>
      <c r="H96" s="227"/>
      <c r="I96" s="227"/>
      <c r="J96" s="245">
        <v>46043.0</v>
      </c>
      <c r="K96" s="246"/>
      <c r="L96" s="232" t="s">
        <v>38</v>
      </c>
      <c r="M96" s="232">
        <v>516244.0</v>
      </c>
      <c r="N96" s="247">
        <v>13.3</v>
      </c>
      <c r="O96" s="232">
        <v>661398.0</v>
      </c>
      <c r="P96" s="256" t="s">
        <v>59</v>
      </c>
      <c r="Q96" s="250" t="s">
        <v>59</v>
      </c>
      <c r="R96" s="235"/>
      <c r="S96" s="236"/>
      <c r="T96" s="237"/>
      <c r="U96" s="57"/>
      <c r="V96" s="57"/>
      <c r="W96" s="57"/>
      <c r="X96" s="57"/>
      <c r="Y96" s="57"/>
      <c r="Z96" s="57"/>
      <c r="AA96" s="57"/>
      <c r="AB96" s="57"/>
    </row>
    <row r="97">
      <c r="A97" s="243" t="s">
        <v>382</v>
      </c>
      <c r="B97" s="243" t="s">
        <v>382</v>
      </c>
      <c r="C97" s="252" t="s">
        <v>53</v>
      </c>
      <c r="D97" s="224"/>
      <c r="E97" s="227"/>
      <c r="F97" s="224"/>
      <c r="G97" s="208" t="s">
        <v>606</v>
      </c>
      <c r="H97" s="227"/>
      <c r="I97" s="227"/>
      <c r="J97" s="245">
        <v>46043.0</v>
      </c>
      <c r="K97" s="246"/>
      <c r="L97" s="232" t="s">
        <v>38</v>
      </c>
      <c r="M97" s="232">
        <v>516244.0</v>
      </c>
      <c r="N97" s="247">
        <v>6.03</v>
      </c>
      <c r="O97" s="232">
        <v>661398.0</v>
      </c>
      <c r="P97" s="256" t="s">
        <v>59</v>
      </c>
      <c r="Q97" s="250" t="s">
        <v>59</v>
      </c>
      <c r="R97" s="235"/>
      <c r="S97" s="236"/>
      <c r="T97" s="237"/>
      <c r="U97" s="57"/>
      <c r="V97" s="57"/>
      <c r="W97" s="57"/>
      <c r="X97" s="57"/>
      <c r="Y97" s="57"/>
      <c r="Z97" s="57"/>
      <c r="AA97" s="57"/>
      <c r="AB97" s="57"/>
    </row>
    <row r="98">
      <c r="A98" s="243" t="s">
        <v>382</v>
      </c>
      <c r="B98" s="243" t="s">
        <v>382</v>
      </c>
      <c r="C98" s="252" t="s">
        <v>420</v>
      </c>
      <c r="D98" s="224"/>
      <c r="E98" s="232" t="s">
        <v>35</v>
      </c>
      <c r="F98" s="232" t="s">
        <v>35</v>
      </c>
      <c r="G98" s="239" t="s">
        <v>240</v>
      </c>
      <c r="H98" s="227"/>
      <c r="I98" s="227"/>
      <c r="J98" s="245">
        <v>46043.0</v>
      </c>
      <c r="K98" s="246"/>
      <c r="L98" s="232" t="s">
        <v>38</v>
      </c>
      <c r="M98" s="232">
        <v>516244.0</v>
      </c>
      <c r="N98" s="247">
        <v>99.28</v>
      </c>
      <c r="O98" s="232">
        <v>661398.0</v>
      </c>
      <c r="P98" s="256" t="s">
        <v>43</v>
      </c>
      <c r="Q98" s="250" t="s">
        <v>43</v>
      </c>
      <c r="R98" s="235"/>
      <c r="S98" s="236"/>
      <c r="T98" s="237"/>
      <c r="U98" s="57"/>
      <c r="V98" s="57"/>
      <c r="W98" s="57"/>
      <c r="X98" s="57"/>
      <c r="Y98" s="57"/>
      <c r="Z98" s="57"/>
      <c r="AA98" s="57"/>
      <c r="AB98" s="57"/>
    </row>
    <row r="99">
      <c r="A99" s="243" t="s">
        <v>382</v>
      </c>
      <c r="B99" s="243" t="s">
        <v>382</v>
      </c>
      <c r="C99" s="252" t="s">
        <v>53</v>
      </c>
      <c r="D99" s="224"/>
      <c r="E99" s="255" t="s">
        <v>41</v>
      </c>
      <c r="F99" s="232" t="s">
        <v>41</v>
      </c>
      <c r="G99" s="239" t="s">
        <v>2325</v>
      </c>
      <c r="H99" s="227"/>
      <c r="I99" s="227"/>
      <c r="J99" s="245">
        <v>46043.0</v>
      </c>
      <c r="K99" s="246"/>
      <c r="L99" s="232" t="s">
        <v>38</v>
      </c>
      <c r="M99" s="232">
        <v>516244.0</v>
      </c>
      <c r="N99" s="247">
        <v>113.91</v>
      </c>
      <c r="O99" s="232">
        <v>661398.0</v>
      </c>
      <c r="P99" s="256" t="s">
        <v>59</v>
      </c>
      <c r="Q99" s="250" t="s">
        <v>59</v>
      </c>
      <c r="R99" s="235"/>
      <c r="S99" s="236"/>
      <c r="T99" s="237"/>
      <c r="U99" s="57"/>
      <c r="V99" s="57"/>
      <c r="W99" s="57"/>
      <c r="X99" s="57"/>
      <c r="Y99" s="57"/>
      <c r="Z99" s="57"/>
      <c r="AA99" s="57"/>
      <c r="AB99" s="57"/>
    </row>
    <row r="100">
      <c r="A100" s="243" t="s">
        <v>382</v>
      </c>
      <c r="B100" s="243" t="s">
        <v>382</v>
      </c>
      <c r="C100" s="252" t="s">
        <v>459</v>
      </c>
      <c r="D100" s="224"/>
      <c r="E100" s="227"/>
      <c r="F100" s="224"/>
      <c r="G100" s="208" t="s">
        <v>2326</v>
      </c>
      <c r="H100" s="227"/>
      <c r="I100" s="227"/>
      <c r="J100" s="245">
        <v>46043.0</v>
      </c>
      <c r="K100" s="246"/>
      <c r="L100" s="232" t="s">
        <v>38</v>
      </c>
      <c r="M100" s="232">
        <v>516244.0</v>
      </c>
      <c r="N100" s="247">
        <v>1.07</v>
      </c>
      <c r="O100" s="232">
        <v>661398.0</v>
      </c>
      <c r="P100" s="256" t="s">
        <v>43</v>
      </c>
      <c r="Q100" s="250" t="s">
        <v>43</v>
      </c>
      <c r="R100" s="235"/>
      <c r="S100" s="236"/>
      <c r="T100" s="237"/>
      <c r="U100" s="57"/>
      <c r="V100" s="57"/>
      <c r="W100" s="57"/>
      <c r="X100" s="57"/>
      <c r="Y100" s="57"/>
      <c r="Z100" s="57"/>
      <c r="AA100" s="57"/>
      <c r="AB100" s="57"/>
    </row>
    <row r="101">
      <c r="A101" s="243" t="s">
        <v>382</v>
      </c>
      <c r="B101" s="243" t="s">
        <v>382</v>
      </c>
      <c r="C101" s="252" t="s">
        <v>459</v>
      </c>
      <c r="D101" s="224"/>
      <c r="E101" s="227"/>
      <c r="F101" s="224"/>
      <c r="G101" s="208" t="s">
        <v>2327</v>
      </c>
      <c r="H101" s="227"/>
      <c r="I101" s="227"/>
      <c r="J101" s="245">
        <v>46043.0</v>
      </c>
      <c r="K101" s="246"/>
      <c r="L101" s="232" t="s">
        <v>38</v>
      </c>
      <c r="M101" s="232">
        <v>516244.0</v>
      </c>
      <c r="N101" s="247">
        <v>1.07</v>
      </c>
      <c r="O101" s="232">
        <v>661398.0</v>
      </c>
      <c r="P101" s="256" t="s">
        <v>43</v>
      </c>
      <c r="Q101" s="250" t="s">
        <v>43</v>
      </c>
      <c r="R101" s="235"/>
      <c r="S101" s="235"/>
      <c r="T101" s="272"/>
      <c r="U101" s="57"/>
      <c r="V101" s="57"/>
      <c r="W101" s="57"/>
      <c r="X101" s="57"/>
      <c r="Y101" s="57"/>
      <c r="Z101" s="57"/>
      <c r="AA101" s="57"/>
      <c r="AB101" s="57"/>
    </row>
    <row r="102">
      <c r="A102" s="243" t="s">
        <v>382</v>
      </c>
      <c r="B102" s="243" t="s">
        <v>382</v>
      </c>
      <c r="C102" s="262" t="s">
        <v>53</v>
      </c>
      <c r="D102" s="224"/>
      <c r="E102" s="273"/>
      <c r="F102" s="224"/>
      <c r="G102" s="208" t="s">
        <v>2328</v>
      </c>
      <c r="H102" s="227"/>
      <c r="I102" s="227"/>
      <c r="J102" s="245">
        <v>46046.0</v>
      </c>
      <c r="K102" s="246"/>
      <c r="L102" s="232" t="s">
        <v>69</v>
      </c>
      <c r="M102" s="232">
        <v>5.00300605E8</v>
      </c>
      <c r="N102" s="247">
        <v>7.6</v>
      </c>
      <c r="O102" s="232">
        <v>8.00051426E8</v>
      </c>
      <c r="P102" s="256" t="s">
        <v>59</v>
      </c>
      <c r="Q102" s="250" t="s">
        <v>59</v>
      </c>
      <c r="R102" s="235"/>
      <c r="S102" s="235"/>
      <c r="T102" s="237"/>
      <c r="U102" s="57"/>
      <c r="V102" s="57"/>
      <c r="W102" s="57"/>
      <c r="X102" s="57"/>
      <c r="Y102" s="57"/>
      <c r="Z102" s="57"/>
      <c r="AA102" s="57"/>
      <c r="AB102" s="57"/>
    </row>
    <row r="103">
      <c r="A103" s="243" t="s">
        <v>382</v>
      </c>
      <c r="B103" s="243" t="s">
        <v>382</v>
      </c>
      <c r="C103" s="262" t="s">
        <v>53</v>
      </c>
      <c r="D103" s="224"/>
      <c r="E103" s="227"/>
      <c r="F103" s="224"/>
      <c r="G103" s="208" t="s">
        <v>2329</v>
      </c>
      <c r="H103" s="227"/>
      <c r="I103" s="227"/>
      <c r="J103" s="245">
        <v>46046.0</v>
      </c>
      <c r="K103" s="246"/>
      <c r="L103" s="232" t="s">
        <v>69</v>
      </c>
      <c r="M103" s="232">
        <v>5.00300605E8</v>
      </c>
      <c r="N103" s="247">
        <v>9.06</v>
      </c>
      <c r="O103" s="232">
        <v>8.00051426E8</v>
      </c>
      <c r="P103" s="256" t="s">
        <v>59</v>
      </c>
      <c r="Q103" s="250" t="s">
        <v>59</v>
      </c>
      <c r="R103" s="235"/>
      <c r="S103" s="235"/>
      <c r="T103" s="237"/>
      <c r="U103" s="57"/>
      <c r="V103" s="57"/>
      <c r="W103" s="57"/>
      <c r="X103" s="57"/>
      <c r="Y103" s="57"/>
      <c r="Z103" s="57"/>
      <c r="AA103" s="57"/>
      <c r="AB103" s="57"/>
    </row>
    <row r="104">
      <c r="A104" s="243" t="s">
        <v>382</v>
      </c>
      <c r="B104" s="243" t="s">
        <v>382</v>
      </c>
      <c r="C104" s="262" t="s">
        <v>137</v>
      </c>
      <c r="D104" s="263" t="s">
        <v>2570</v>
      </c>
      <c r="E104" s="232" t="s">
        <v>41</v>
      </c>
      <c r="F104" s="232" t="s">
        <v>41</v>
      </c>
      <c r="G104" s="264" t="s">
        <v>2330</v>
      </c>
      <c r="H104" s="228"/>
      <c r="I104" s="253"/>
      <c r="J104" s="265">
        <v>46046.0</v>
      </c>
      <c r="K104" s="246"/>
      <c r="L104" s="263" t="s">
        <v>69</v>
      </c>
      <c r="M104" s="263">
        <v>5.00300605E8</v>
      </c>
      <c r="N104" s="266">
        <v>146.12</v>
      </c>
      <c r="O104" s="232">
        <v>8.00051426E8</v>
      </c>
      <c r="P104" s="256" t="s">
        <v>43</v>
      </c>
      <c r="Q104" s="250" t="s">
        <v>43</v>
      </c>
      <c r="R104" s="235"/>
      <c r="S104" s="236"/>
      <c r="T104" s="237"/>
      <c r="U104" s="57"/>
      <c r="V104" s="57"/>
      <c r="W104" s="57"/>
      <c r="X104" s="57"/>
      <c r="Y104" s="57"/>
      <c r="Z104" s="57"/>
      <c r="AA104" s="57"/>
      <c r="AB104" s="57"/>
    </row>
    <row r="105">
      <c r="A105" s="243" t="s">
        <v>382</v>
      </c>
      <c r="B105" s="243" t="s">
        <v>382</v>
      </c>
      <c r="C105" s="258" t="s">
        <v>1513</v>
      </c>
      <c r="D105" s="259" t="s">
        <v>2571</v>
      </c>
      <c r="E105" s="232" t="s">
        <v>41</v>
      </c>
      <c r="F105" s="232" t="s">
        <v>41</v>
      </c>
      <c r="G105" s="274" t="s">
        <v>2332</v>
      </c>
      <c r="H105" s="227"/>
      <c r="I105" s="227"/>
      <c r="J105" s="275">
        <v>46046.0</v>
      </c>
      <c r="K105" s="246"/>
      <c r="L105" s="276" t="s">
        <v>69</v>
      </c>
      <c r="M105" s="276">
        <v>5.00300605E8</v>
      </c>
      <c r="N105" s="230">
        <v>156.28</v>
      </c>
      <c r="O105" s="232">
        <v>8.00051426E8</v>
      </c>
      <c r="P105" s="256" t="s">
        <v>43</v>
      </c>
      <c r="Q105" s="250" t="s">
        <v>43</v>
      </c>
      <c r="R105" s="235"/>
      <c r="S105" s="236"/>
      <c r="T105" s="237"/>
      <c r="U105" s="57"/>
      <c r="V105" s="57"/>
      <c r="W105" s="57"/>
      <c r="X105" s="57"/>
      <c r="Y105" s="57"/>
      <c r="Z105" s="57"/>
      <c r="AA105" s="57"/>
      <c r="AB105" s="57"/>
    </row>
    <row r="106">
      <c r="A106" s="243" t="s">
        <v>382</v>
      </c>
      <c r="B106" s="243" t="s">
        <v>382</v>
      </c>
      <c r="C106" s="258" t="s">
        <v>1508</v>
      </c>
      <c r="D106" s="224"/>
      <c r="E106" s="232" t="s">
        <v>35</v>
      </c>
      <c r="F106" s="232" t="s">
        <v>35</v>
      </c>
      <c r="G106" s="264" t="s">
        <v>2334</v>
      </c>
      <c r="H106" s="227"/>
      <c r="I106" s="227"/>
      <c r="J106" s="269">
        <v>46046.0</v>
      </c>
      <c r="K106" s="240"/>
      <c r="L106" s="263" t="s">
        <v>38</v>
      </c>
      <c r="M106" s="263">
        <v>516847.0</v>
      </c>
      <c r="N106" s="266">
        <v>132.15</v>
      </c>
      <c r="O106" s="263">
        <v>662138.0</v>
      </c>
      <c r="P106" s="256" t="s">
        <v>43</v>
      </c>
      <c r="Q106" s="250" t="s">
        <v>43</v>
      </c>
      <c r="R106" s="235"/>
      <c r="S106" s="236"/>
      <c r="T106" s="237"/>
      <c r="U106" s="57"/>
      <c r="V106" s="57"/>
      <c r="W106" s="57"/>
      <c r="X106" s="57"/>
      <c r="Y106" s="57"/>
      <c r="Z106" s="57"/>
      <c r="AA106" s="57"/>
      <c r="AB106" s="57"/>
    </row>
    <row r="107">
      <c r="A107" s="243" t="s">
        <v>382</v>
      </c>
      <c r="B107" s="243" t="s">
        <v>382</v>
      </c>
      <c r="C107" s="258" t="s">
        <v>2575</v>
      </c>
      <c r="D107" s="259" t="s">
        <v>2577</v>
      </c>
      <c r="E107" s="255" t="s">
        <v>41</v>
      </c>
      <c r="F107" s="232" t="s">
        <v>41</v>
      </c>
      <c r="G107" s="260" t="s">
        <v>2335</v>
      </c>
      <c r="H107" s="227"/>
      <c r="I107" s="227"/>
      <c r="J107" s="233">
        <v>46046.0</v>
      </c>
      <c r="K107" s="246"/>
      <c r="L107" s="259" t="s">
        <v>38</v>
      </c>
      <c r="M107" s="259">
        <v>516847.0</v>
      </c>
      <c r="N107" s="261">
        <v>132.15</v>
      </c>
      <c r="O107" s="259">
        <v>662138.0</v>
      </c>
      <c r="P107" s="256" t="s">
        <v>43</v>
      </c>
      <c r="Q107" s="250" t="s">
        <v>43</v>
      </c>
      <c r="R107" s="235"/>
      <c r="S107" s="236"/>
      <c r="T107" s="237"/>
      <c r="U107" s="57"/>
      <c r="V107" s="57"/>
      <c r="W107" s="57"/>
      <c r="X107" s="57"/>
      <c r="Y107" s="57"/>
      <c r="Z107" s="57"/>
      <c r="AA107" s="57"/>
      <c r="AB107" s="57"/>
    </row>
    <row r="108">
      <c r="A108" s="243" t="s">
        <v>382</v>
      </c>
      <c r="B108" s="243" t="s">
        <v>382</v>
      </c>
      <c r="C108" s="258" t="s">
        <v>2575</v>
      </c>
      <c r="D108" s="259" t="s">
        <v>2577</v>
      </c>
      <c r="E108" s="255" t="s">
        <v>41</v>
      </c>
      <c r="F108" s="232" t="s">
        <v>41</v>
      </c>
      <c r="G108" s="260" t="s">
        <v>2336</v>
      </c>
      <c r="H108" s="227"/>
      <c r="I108" s="227"/>
      <c r="J108" s="233">
        <v>46046.0</v>
      </c>
      <c r="K108" s="246"/>
      <c r="L108" s="259" t="s">
        <v>38</v>
      </c>
      <c r="M108" s="259">
        <v>516847.0</v>
      </c>
      <c r="N108" s="261">
        <v>114.0</v>
      </c>
      <c r="O108" s="259">
        <v>662138.0</v>
      </c>
      <c r="P108" s="256" t="s">
        <v>43</v>
      </c>
      <c r="Q108" s="250" t="s">
        <v>43</v>
      </c>
      <c r="R108" s="235"/>
      <c r="S108" s="236"/>
      <c r="T108" s="237"/>
      <c r="U108" s="57"/>
      <c r="V108" s="57"/>
      <c r="W108" s="57"/>
      <c r="X108" s="57"/>
      <c r="Y108" s="57"/>
      <c r="Z108" s="57"/>
      <c r="AA108" s="57"/>
      <c r="AB108" s="57"/>
    </row>
    <row r="109">
      <c r="A109" s="243" t="s">
        <v>382</v>
      </c>
      <c r="B109" s="243" t="s">
        <v>382</v>
      </c>
      <c r="C109" s="258" t="s">
        <v>2293</v>
      </c>
      <c r="D109" s="224"/>
      <c r="E109" s="232" t="s">
        <v>35</v>
      </c>
      <c r="F109" s="232" t="s">
        <v>35</v>
      </c>
      <c r="G109" s="260" t="s">
        <v>2337</v>
      </c>
      <c r="H109" s="227"/>
      <c r="I109" s="227"/>
      <c r="J109" s="233">
        <v>46046.0</v>
      </c>
      <c r="K109" s="246"/>
      <c r="L109" s="259" t="s">
        <v>38</v>
      </c>
      <c r="M109" s="259">
        <v>516847.0</v>
      </c>
      <c r="N109" s="261">
        <v>99.28</v>
      </c>
      <c r="O109" s="259">
        <v>662138.0</v>
      </c>
      <c r="P109" s="256" t="s">
        <v>43</v>
      </c>
      <c r="Q109" s="250" t="s">
        <v>43</v>
      </c>
      <c r="R109" s="235"/>
      <c r="S109" s="236"/>
      <c r="T109" s="237"/>
      <c r="U109" s="57"/>
      <c r="V109" s="57"/>
      <c r="W109" s="57"/>
      <c r="X109" s="57"/>
      <c r="Y109" s="57"/>
      <c r="Z109" s="57"/>
      <c r="AA109" s="57"/>
      <c r="AB109" s="57"/>
    </row>
    <row r="110">
      <c r="A110" s="243" t="s">
        <v>382</v>
      </c>
      <c r="B110" s="243" t="s">
        <v>382</v>
      </c>
      <c r="C110" s="258" t="s">
        <v>420</v>
      </c>
      <c r="D110" s="224"/>
      <c r="E110" s="255" t="s">
        <v>35</v>
      </c>
      <c r="F110" s="232" t="s">
        <v>35</v>
      </c>
      <c r="G110" s="260" t="s">
        <v>2106</v>
      </c>
      <c r="H110" s="227"/>
      <c r="I110" s="227"/>
      <c r="J110" s="233">
        <v>46046.0</v>
      </c>
      <c r="K110" s="246"/>
      <c r="L110" s="259" t="s">
        <v>38</v>
      </c>
      <c r="M110" s="259">
        <v>516847.0</v>
      </c>
      <c r="N110" s="261">
        <v>150.58</v>
      </c>
      <c r="O110" s="259">
        <v>662138.0</v>
      </c>
      <c r="P110" s="256" t="s">
        <v>43</v>
      </c>
      <c r="Q110" s="250" t="s">
        <v>43</v>
      </c>
      <c r="R110" s="235"/>
      <c r="S110" s="236"/>
      <c r="T110" s="237"/>
      <c r="U110" s="57"/>
      <c r="V110" s="57"/>
      <c r="W110" s="57"/>
      <c r="X110" s="57"/>
      <c r="Y110" s="57"/>
      <c r="Z110" s="57"/>
      <c r="AA110" s="57"/>
      <c r="AB110" s="57"/>
    </row>
    <row r="111">
      <c r="A111" s="243" t="s">
        <v>382</v>
      </c>
      <c r="B111" s="243" t="s">
        <v>382</v>
      </c>
      <c r="C111" s="262" t="s">
        <v>2583</v>
      </c>
      <c r="D111" s="263" t="s">
        <v>2584</v>
      </c>
      <c r="E111" s="255" t="s">
        <v>35</v>
      </c>
      <c r="F111" s="232" t="s">
        <v>35</v>
      </c>
      <c r="G111" s="264" t="s">
        <v>2339</v>
      </c>
      <c r="H111" s="246"/>
      <c r="I111" s="227"/>
      <c r="J111" s="265">
        <v>46048.0</v>
      </c>
      <c r="K111" s="246"/>
      <c r="L111" s="263" t="s">
        <v>38</v>
      </c>
      <c r="M111" s="263">
        <v>517165.0</v>
      </c>
      <c r="N111" s="266">
        <v>70.16</v>
      </c>
      <c r="O111" s="263">
        <v>662350.0</v>
      </c>
      <c r="P111" s="256" t="s">
        <v>43</v>
      </c>
      <c r="Q111" s="250" t="s">
        <v>43</v>
      </c>
      <c r="R111" s="235"/>
      <c r="S111" s="236"/>
      <c r="T111" s="237"/>
      <c r="U111" s="57"/>
      <c r="V111" s="57"/>
      <c r="W111" s="57"/>
      <c r="X111" s="57"/>
      <c r="Y111" s="57"/>
      <c r="Z111" s="57"/>
      <c r="AA111" s="57"/>
      <c r="AB111" s="57"/>
    </row>
    <row r="112">
      <c r="A112" s="243" t="s">
        <v>382</v>
      </c>
      <c r="B112" s="243" t="s">
        <v>382</v>
      </c>
      <c r="C112" s="238" t="s">
        <v>53</v>
      </c>
      <c r="D112" s="224"/>
      <c r="E112" s="255" t="s">
        <v>41</v>
      </c>
      <c r="F112" s="232" t="s">
        <v>41</v>
      </c>
      <c r="G112" s="239" t="s">
        <v>2342</v>
      </c>
      <c r="H112" s="227"/>
      <c r="I112" s="227"/>
      <c r="J112" s="254">
        <v>46048.0</v>
      </c>
      <c r="K112" s="246"/>
      <c r="L112" s="239" t="s">
        <v>38</v>
      </c>
      <c r="M112" s="239">
        <v>517227.0</v>
      </c>
      <c r="N112" s="241">
        <v>132.15</v>
      </c>
      <c r="O112" s="239">
        <v>662481.0</v>
      </c>
      <c r="P112" s="256" t="s">
        <v>59</v>
      </c>
      <c r="Q112" s="250" t="s">
        <v>59</v>
      </c>
      <c r="R112" s="235"/>
      <c r="S112" s="236"/>
      <c r="T112" s="237"/>
      <c r="U112" s="57"/>
      <c r="V112" s="57"/>
      <c r="W112" s="57"/>
      <c r="X112" s="57"/>
      <c r="Y112" s="57"/>
      <c r="Z112" s="57"/>
      <c r="AA112" s="57"/>
      <c r="AB112" s="57"/>
    </row>
    <row r="113">
      <c r="A113" s="243" t="s">
        <v>382</v>
      </c>
      <c r="B113" s="243" t="s">
        <v>382</v>
      </c>
      <c r="C113" s="279" t="s">
        <v>2593</v>
      </c>
      <c r="D113" s="259">
        <v>5.704365033E9</v>
      </c>
      <c r="E113" s="232" t="s">
        <v>41</v>
      </c>
      <c r="F113" s="232" t="s">
        <v>41</v>
      </c>
      <c r="G113" s="260" t="s">
        <v>2344</v>
      </c>
      <c r="H113" s="227"/>
      <c r="I113" s="227"/>
      <c r="J113" s="233">
        <v>46048.0</v>
      </c>
      <c r="K113" s="246"/>
      <c r="L113" s="259" t="s">
        <v>69</v>
      </c>
      <c r="M113" s="259">
        <v>5.00300824E8</v>
      </c>
      <c r="N113" s="261">
        <v>84.35</v>
      </c>
      <c r="O113" s="259">
        <v>8.00051423E8</v>
      </c>
      <c r="P113" s="256" t="s">
        <v>43</v>
      </c>
      <c r="Q113" s="250" t="s">
        <v>43</v>
      </c>
      <c r="R113" s="235"/>
      <c r="S113" s="236"/>
      <c r="T113" s="237"/>
      <c r="U113" s="57"/>
      <c r="V113" s="57"/>
      <c r="W113" s="57"/>
      <c r="X113" s="57"/>
      <c r="Y113" s="57"/>
      <c r="Z113" s="57"/>
      <c r="AA113" s="57"/>
      <c r="AB113" s="57"/>
    </row>
    <row r="114">
      <c r="A114" s="243" t="s">
        <v>382</v>
      </c>
      <c r="B114" s="243" t="s">
        <v>382</v>
      </c>
      <c r="C114" s="258" t="s">
        <v>2597</v>
      </c>
      <c r="D114" s="259">
        <v>5.70589901E9</v>
      </c>
      <c r="E114" s="255" t="s">
        <v>41</v>
      </c>
      <c r="F114" s="232" t="s">
        <v>41</v>
      </c>
      <c r="G114" s="274" t="s">
        <v>2345</v>
      </c>
      <c r="H114" s="227"/>
      <c r="I114" s="227"/>
      <c r="J114" s="275">
        <v>46048.0</v>
      </c>
      <c r="K114" s="246"/>
      <c r="L114" s="276" t="s">
        <v>69</v>
      </c>
      <c r="M114" s="276">
        <v>5.00300824E8</v>
      </c>
      <c r="N114" s="230">
        <v>49.36</v>
      </c>
      <c r="O114" s="259">
        <v>8.00051423E8</v>
      </c>
      <c r="P114" s="256" t="s">
        <v>43</v>
      </c>
      <c r="Q114" s="250" t="s">
        <v>43</v>
      </c>
      <c r="R114" s="235"/>
      <c r="S114" s="236"/>
      <c r="T114" s="237"/>
      <c r="U114" s="57"/>
      <c r="V114" s="57"/>
      <c r="W114" s="57"/>
      <c r="X114" s="57"/>
      <c r="Y114" s="57"/>
      <c r="Z114" s="57"/>
      <c r="AA114" s="57"/>
      <c r="AB114" s="57"/>
    </row>
    <row r="115">
      <c r="A115" s="243" t="s">
        <v>382</v>
      </c>
      <c r="B115" s="243" t="s">
        <v>382</v>
      </c>
      <c r="C115" s="238" t="s">
        <v>1248</v>
      </c>
      <c r="D115" s="224"/>
      <c r="E115" s="255" t="s">
        <v>41</v>
      </c>
      <c r="F115" s="232" t="s">
        <v>41</v>
      </c>
      <c r="G115" s="239" t="s">
        <v>1870</v>
      </c>
      <c r="H115" s="227"/>
      <c r="I115" s="227"/>
      <c r="J115" s="254">
        <v>46048.0</v>
      </c>
      <c r="K115" s="246"/>
      <c r="L115" s="239" t="s">
        <v>69</v>
      </c>
      <c r="M115" s="239">
        <v>5.00300824E8</v>
      </c>
      <c r="N115" s="241">
        <v>133.41</v>
      </c>
      <c r="O115" s="259">
        <v>8.00051423E8</v>
      </c>
      <c r="P115" s="256" t="s">
        <v>43</v>
      </c>
      <c r="Q115" s="250" t="s">
        <v>43</v>
      </c>
      <c r="R115" s="235"/>
      <c r="S115" s="236"/>
      <c r="T115" s="237"/>
      <c r="U115" s="57"/>
      <c r="V115" s="57"/>
      <c r="W115" s="57"/>
      <c r="X115" s="57"/>
      <c r="Y115" s="57"/>
      <c r="Z115" s="57"/>
      <c r="AA115" s="57"/>
      <c r="AB115" s="57"/>
    </row>
    <row r="116">
      <c r="A116" s="243" t="s">
        <v>382</v>
      </c>
      <c r="B116" s="243" t="s">
        <v>382</v>
      </c>
      <c r="C116" s="281" t="s">
        <v>53</v>
      </c>
      <c r="D116" s="224"/>
      <c r="E116" s="227"/>
      <c r="F116" s="224"/>
      <c r="G116" s="239" t="s">
        <v>2346</v>
      </c>
      <c r="H116" s="227"/>
      <c r="I116" s="227"/>
      <c r="J116" s="245">
        <v>46048.0</v>
      </c>
      <c r="K116" s="246"/>
      <c r="L116" s="232" t="s">
        <v>69</v>
      </c>
      <c r="M116" s="232">
        <v>5.00300824E8</v>
      </c>
      <c r="N116" s="247">
        <v>89.95</v>
      </c>
      <c r="O116" s="259">
        <v>8.00051423E8</v>
      </c>
      <c r="P116" s="256" t="s">
        <v>59</v>
      </c>
      <c r="Q116" s="250" t="s">
        <v>59</v>
      </c>
      <c r="R116" s="235"/>
      <c r="S116" s="236"/>
      <c r="T116" s="237"/>
      <c r="U116" s="57"/>
      <c r="V116" s="57"/>
      <c r="W116" s="57"/>
      <c r="X116" s="57"/>
      <c r="Y116" s="57"/>
      <c r="Z116" s="57"/>
      <c r="AA116" s="57"/>
      <c r="AB116" s="57"/>
    </row>
    <row r="117">
      <c r="A117" s="243" t="s">
        <v>382</v>
      </c>
      <c r="B117" s="243" t="s">
        <v>382</v>
      </c>
      <c r="C117" s="238" t="s">
        <v>53</v>
      </c>
      <c r="D117" s="224"/>
      <c r="E117" s="255" t="s">
        <v>41</v>
      </c>
      <c r="F117" s="232" t="s">
        <v>41</v>
      </c>
      <c r="G117" s="239" t="s">
        <v>335</v>
      </c>
      <c r="H117" s="227"/>
      <c r="I117" s="227"/>
      <c r="J117" s="254">
        <v>46048.0</v>
      </c>
      <c r="K117" s="246"/>
      <c r="L117" s="239" t="s">
        <v>69</v>
      </c>
      <c r="M117" s="239">
        <v>5.00300824E8</v>
      </c>
      <c r="N117" s="241">
        <v>158.82</v>
      </c>
      <c r="O117" s="259">
        <v>8.00051423E8</v>
      </c>
      <c r="P117" s="249" t="s">
        <v>59</v>
      </c>
      <c r="Q117" s="250" t="s">
        <v>59</v>
      </c>
      <c r="R117" s="235"/>
      <c r="S117" s="236"/>
      <c r="T117" s="237"/>
      <c r="U117" s="57"/>
      <c r="V117" s="57"/>
      <c r="W117" s="57"/>
      <c r="X117" s="57"/>
      <c r="Y117" s="57"/>
      <c r="Z117" s="57"/>
      <c r="AA117" s="57"/>
      <c r="AB117" s="57"/>
    </row>
    <row r="118">
      <c r="A118" s="243" t="s">
        <v>382</v>
      </c>
      <c r="B118" s="243" t="s">
        <v>382</v>
      </c>
      <c r="C118" s="268" t="s">
        <v>1519</v>
      </c>
      <c r="D118" s="224"/>
      <c r="E118" s="232" t="s">
        <v>35</v>
      </c>
      <c r="F118" s="232" t="s">
        <v>35</v>
      </c>
      <c r="G118" s="239" t="s">
        <v>2347</v>
      </c>
      <c r="H118" s="228"/>
      <c r="I118" s="253"/>
      <c r="J118" s="254">
        <v>46048.0</v>
      </c>
      <c r="K118" s="246"/>
      <c r="L118" s="239" t="s">
        <v>69</v>
      </c>
      <c r="M118" s="239">
        <v>5.00300824E8</v>
      </c>
      <c r="N118" s="241">
        <v>158.82</v>
      </c>
      <c r="O118" s="259">
        <v>8.00051423E8</v>
      </c>
      <c r="P118" s="249" t="s">
        <v>43</v>
      </c>
      <c r="Q118" s="250" t="s">
        <v>43</v>
      </c>
      <c r="R118" s="235"/>
      <c r="S118" s="236"/>
      <c r="T118" s="237"/>
      <c r="U118" s="57"/>
      <c r="V118" s="57"/>
      <c r="W118" s="57"/>
      <c r="X118" s="57"/>
      <c r="Y118" s="57"/>
      <c r="Z118" s="57"/>
      <c r="AA118" s="57"/>
      <c r="AB118" s="57"/>
    </row>
    <row r="119">
      <c r="A119" s="243" t="s">
        <v>382</v>
      </c>
      <c r="B119" s="243" t="s">
        <v>382</v>
      </c>
      <c r="C119" s="268" t="s">
        <v>53</v>
      </c>
      <c r="D119" s="224"/>
      <c r="E119" s="232" t="s">
        <v>41</v>
      </c>
      <c r="F119" s="232" t="s">
        <v>41</v>
      </c>
      <c r="G119" s="239" t="s">
        <v>2348</v>
      </c>
      <c r="H119" s="228"/>
      <c r="I119" s="253"/>
      <c r="J119" s="254">
        <v>46052.0</v>
      </c>
      <c r="K119" s="246"/>
      <c r="L119" s="239" t="s">
        <v>38</v>
      </c>
      <c r="M119" s="239">
        <v>518174.0</v>
      </c>
      <c r="N119" s="241">
        <v>132.15</v>
      </c>
      <c r="O119" s="239">
        <v>664405.0</v>
      </c>
      <c r="P119" s="249" t="s">
        <v>59</v>
      </c>
      <c r="Q119" s="250" t="s">
        <v>59</v>
      </c>
      <c r="R119" s="235"/>
      <c r="S119" s="236"/>
      <c r="T119" s="237"/>
      <c r="U119" s="57"/>
      <c r="V119" s="57"/>
      <c r="W119" s="57"/>
      <c r="X119" s="57"/>
      <c r="Y119" s="57"/>
      <c r="Z119" s="57"/>
      <c r="AA119" s="57"/>
      <c r="AB119" s="57"/>
    </row>
    <row r="120">
      <c r="A120" s="243" t="s">
        <v>382</v>
      </c>
      <c r="B120" s="243" t="s">
        <v>382</v>
      </c>
      <c r="C120" s="268" t="s">
        <v>53</v>
      </c>
      <c r="D120" s="224"/>
      <c r="E120" s="232" t="s">
        <v>41</v>
      </c>
      <c r="F120" s="232" t="s">
        <v>41</v>
      </c>
      <c r="G120" s="239" t="s">
        <v>122</v>
      </c>
      <c r="H120" s="228"/>
      <c r="I120" s="253"/>
      <c r="J120" s="254">
        <v>46052.0</v>
      </c>
      <c r="K120" s="246"/>
      <c r="L120" s="239" t="s">
        <v>38</v>
      </c>
      <c r="M120" s="239">
        <v>518174.0</v>
      </c>
      <c r="N120" s="241">
        <v>132.15</v>
      </c>
      <c r="O120" s="239">
        <v>664405.0</v>
      </c>
      <c r="P120" s="249" t="s">
        <v>59</v>
      </c>
      <c r="Q120" s="250" t="s">
        <v>59</v>
      </c>
      <c r="R120" s="235"/>
      <c r="S120" s="236"/>
      <c r="T120" s="237"/>
      <c r="U120" s="57"/>
      <c r="V120" s="57"/>
      <c r="W120" s="57"/>
      <c r="X120" s="57"/>
      <c r="Y120" s="57"/>
      <c r="Z120" s="57"/>
      <c r="AA120" s="57"/>
      <c r="AB120" s="57"/>
    </row>
    <row r="121">
      <c r="A121" s="243" t="s">
        <v>382</v>
      </c>
      <c r="B121" s="243" t="s">
        <v>382</v>
      </c>
      <c r="C121" s="238" t="s">
        <v>53</v>
      </c>
      <c r="D121" s="224"/>
      <c r="E121" s="224"/>
      <c r="F121" s="224"/>
      <c r="G121" s="208" t="s">
        <v>2349</v>
      </c>
      <c r="H121" s="227"/>
      <c r="I121" s="227"/>
      <c r="J121" s="254">
        <v>46052.0</v>
      </c>
      <c r="K121" s="246"/>
      <c r="L121" s="239" t="s">
        <v>38</v>
      </c>
      <c r="M121" s="239">
        <v>518174.0</v>
      </c>
      <c r="N121" s="241">
        <v>0.0</v>
      </c>
      <c r="O121" s="239">
        <v>664405.0</v>
      </c>
      <c r="P121" s="249" t="s">
        <v>59</v>
      </c>
      <c r="Q121" s="250" t="s">
        <v>59</v>
      </c>
      <c r="R121" s="235"/>
      <c r="S121" s="236"/>
      <c r="T121" s="237"/>
      <c r="U121" s="57"/>
      <c r="V121" s="57"/>
      <c r="W121" s="57"/>
      <c r="X121" s="57"/>
      <c r="Y121" s="57"/>
      <c r="Z121" s="57"/>
      <c r="AA121" s="57"/>
      <c r="AB121" s="57"/>
    </row>
    <row r="122">
      <c r="A122" s="243" t="s">
        <v>382</v>
      </c>
      <c r="B122" s="243" t="s">
        <v>382</v>
      </c>
      <c r="C122" s="238" t="s">
        <v>53</v>
      </c>
      <c r="D122" s="224"/>
      <c r="E122" s="224"/>
      <c r="F122" s="224"/>
      <c r="G122" s="208" t="s">
        <v>2350</v>
      </c>
      <c r="H122" s="227"/>
      <c r="I122" s="227"/>
      <c r="J122" s="254">
        <v>46052.0</v>
      </c>
      <c r="K122" s="246"/>
      <c r="L122" s="239" t="s">
        <v>38</v>
      </c>
      <c r="M122" s="239">
        <v>518174.0</v>
      </c>
      <c r="N122" s="241">
        <v>0.0</v>
      </c>
      <c r="O122" s="239">
        <v>664405.0</v>
      </c>
      <c r="P122" s="249" t="s">
        <v>59</v>
      </c>
      <c r="Q122" s="250" t="s">
        <v>59</v>
      </c>
      <c r="R122" s="235"/>
      <c r="S122" s="236"/>
      <c r="T122" s="237"/>
      <c r="U122" s="57"/>
      <c r="V122" s="57"/>
      <c r="W122" s="57"/>
      <c r="X122" s="57"/>
      <c r="Y122" s="57"/>
      <c r="Z122" s="57"/>
      <c r="AA122" s="57"/>
      <c r="AB122" s="57"/>
    </row>
    <row r="123">
      <c r="A123" s="243" t="s">
        <v>382</v>
      </c>
      <c r="B123" s="243" t="s">
        <v>382</v>
      </c>
      <c r="C123" s="268" t="s">
        <v>53</v>
      </c>
      <c r="D123" s="224"/>
      <c r="E123" s="232" t="s">
        <v>35</v>
      </c>
      <c r="F123" s="232" t="s">
        <v>35</v>
      </c>
      <c r="G123" s="239" t="s">
        <v>2342</v>
      </c>
      <c r="H123" s="227"/>
      <c r="I123" s="227"/>
      <c r="J123" s="254">
        <v>46055.0</v>
      </c>
      <c r="K123" s="246"/>
      <c r="L123" s="239" t="s">
        <v>38</v>
      </c>
      <c r="M123" s="239">
        <v>518174.0</v>
      </c>
      <c r="N123" s="241">
        <v>132.15</v>
      </c>
      <c r="O123" s="239">
        <v>664405.0</v>
      </c>
      <c r="P123" s="249" t="s">
        <v>59</v>
      </c>
      <c r="Q123" s="250" t="s">
        <v>59</v>
      </c>
      <c r="R123" s="235"/>
      <c r="S123" s="236"/>
      <c r="T123" s="237"/>
      <c r="U123" s="57"/>
      <c r="V123" s="57"/>
      <c r="W123" s="57"/>
      <c r="X123" s="57"/>
      <c r="Y123" s="57"/>
      <c r="Z123" s="57"/>
      <c r="AA123" s="57"/>
      <c r="AB123" s="57"/>
    </row>
    <row r="124">
      <c r="A124" s="243" t="s">
        <v>382</v>
      </c>
      <c r="B124" s="243" t="s">
        <v>382</v>
      </c>
      <c r="C124" s="268" t="s">
        <v>53</v>
      </c>
      <c r="D124" s="224"/>
      <c r="E124" s="232" t="s">
        <v>35</v>
      </c>
      <c r="F124" s="232" t="s">
        <v>35</v>
      </c>
      <c r="G124" s="239" t="s">
        <v>1896</v>
      </c>
      <c r="H124" s="227"/>
      <c r="I124" s="227"/>
      <c r="J124" s="254">
        <v>46055.0</v>
      </c>
      <c r="K124" s="246"/>
      <c r="L124" s="239" t="s">
        <v>38</v>
      </c>
      <c r="M124" s="239">
        <v>518174.0</v>
      </c>
      <c r="N124" s="241">
        <v>132.15</v>
      </c>
      <c r="O124" s="239">
        <v>664405.0</v>
      </c>
      <c r="P124" s="249" t="s">
        <v>59</v>
      </c>
      <c r="Q124" s="250" t="s">
        <v>59</v>
      </c>
      <c r="R124" s="235"/>
      <c r="S124" s="236"/>
      <c r="T124" s="237"/>
      <c r="U124" s="57"/>
      <c r="V124" s="57"/>
      <c r="W124" s="57"/>
      <c r="X124" s="57"/>
      <c r="Y124" s="57"/>
      <c r="Z124" s="57"/>
      <c r="AA124" s="57"/>
      <c r="AB124" s="57"/>
    </row>
    <row r="125">
      <c r="A125" s="243" t="s">
        <v>382</v>
      </c>
      <c r="B125" s="243" t="s">
        <v>382</v>
      </c>
      <c r="C125" s="238" t="s">
        <v>53</v>
      </c>
      <c r="D125" s="224"/>
      <c r="E125" s="224"/>
      <c r="F125" s="224"/>
      <c r="G125" s="208" t="s">
        <v>2351</v>
      </c>
      <c r="H125" s="227"/>
      <c r="I125" s="227"/>
      <c r="J125" s="254">
        <v>46055.0</v>
      </c>
      <c r="K125" s="246"/>
      <c r="L125" s="239" t="s">
        <v>38</v>
      </c>
      <c r="M125" s="239">
        <v>518174.0</v>
      </c>
      <c r="N125" s="241">
        <v>0.0</v>
      </c>
      <c r="O125" s="239">
        <v>664405.0</v>
      </c>
      <c r="P125" s="249" t="s">
        <v>59</v>
      </c>
      <c r="Q125" s="250" t="s">
        <v>59</v>
      </c>
      <c r="R125" s="235"/>
      <c r="S125" s="236"/>
      <c r="T125" s="237"/>
      <c r="U125" s="57"/>
      <c r="V125" s="57"/>
      <c r="W125" s="57"/>
      <c r="X125" s="57"/>
      <c r="Y125" s="57"/>
      <c r="Z125" s="57"/>
      <c r="AA125" s="57"/>
      <c r="AB125" s="57"/>
    </row>
    <row r="126">
      <c r="A126" s="243" t="s">
        <v>382</v>
      </c>
      <c r="B126" s="243" t="s">
        <v>382</v>
      </c>
      <c r="C126" s="238" t="s">
        <v>53</v>
      </c>
      <c r="D126" s="224"/>
      <c r="E126" s="224"/>
      <c r="F126" s="224"/>
      <c r="G126" s="208" t="s">
        <v>2351</v>
      </c>
      <c r="H126" s="227"/>
      <c r="I126" s="227"/>
      <c r="J126" s="254">
        <v>46055.0</v>
      </c>
      <c r="K126" s="246"/>
      <c r="L126" s="239" t="s">
        <v>38</v>
      </c>
      <c r="M126" s="239">
        <v>518174.0</v>
      </c>
      <c r="N126" s="241">
        <v>0.0</v>
      </c>
      <c r="O126" s="239">
        <v>664405.0</v>
      </c>
      <c r="P126" s="249" t="s">
        <v>59</v>
      </c>
      <c r="Q126" s="250" t="s">
        <v>59</v>
      </c>
      <c r="R126" s="235"/>
      <c r="S126" s="236"/>
      <c r="T126" s="237"/>
      <c r="U126" s="57"/>
      <c r="V126" s="57"/>
      <c r="W126" s="57"/>
      <c r="X126" s="57"/>
      <c r="Y126" s="57"/>
      <c r="Z126" s="57"/>
      <c r="AA126" s="57"/>
      <c r="AB126" s="57"/>
    </row>
    <row r="127">
      <c r="A127" s="243" t="s">
        <v>382</v>
      </c>
      <c r="B127" s="243" t="s">
        <v>382</v>
      </c>
      <c r="C127" s="238" t="s">
        <v>53</v>
      </c>
      <c r="D127" s="224"/>
      <c r="E127" s="227"/>
      <c r="F127" s="224"/>
      <c r="G127" s="208" t="s">
        <v>2353</v>
      </c>
      <c r="H127" s="227"/>
      <c r="I127" s="227"/>
      <c r="J127" s="254">
        <v>46055.0</v>
      </c>
      <c r="K127" s="246"/>
      <c r="L127" s="239" t="s">
        <v>69</v>
      </c>
      <c r="M127" s="239">
        <v>5.00303439E8</v>
      </c>
      <c r="N127" s="241">
        <v>9.06</v>
      </c>
      <c r="O127" s="239">
        <v>8.0005177E8</v>
      </c>
      <c r="P127" s="249" t="s">
        <v>59</v>
      </c>
      <c r="Q127" s="250" t="s">
        <v>59</v>
      </c>
      <c r="R127" s="235"/>
      <c r="S127" s="236"/>
      <c r="T127" s="237"/>
      <c r="U127" s="57"/>
      <c r="V127" s="57"/>
      <c r="W127" s="57"/>
      <c r="X127" s="57"/>
      <c r="Y127" s="57"/>
      <c r="Z127" s="57"/>
      <c r="AA127" s="57"/>
      <c r="AB127" s="57"/>
    </row>
    <row r="128">
      <c r="A128" s="243" t="s">
        <v>382</v>
      </c>
      <c r="B128" s="243" t="s">
        <v>382</v>
      </c>
      <c r="C128" s="238" t="s">
        <v>53</v>
      </c>
      <c r="D128" s="224"/>
      <c r="E128" s="224"/>
      <c r="F128" s="224"/>
      <c r="G128" s="208" t="s">
        <v>2354</v>
      </c>
      <c r="H128" s="227"/>
      <c r="I128" s="227"/>
      <c r="J128" s="254">
        <v>46055.0</v>
      </c>
      <c r="K128" s="246"/>
      <c r="L128" s="239" t="s">
        <v>69</v>
      </c>
      <c r="M128" s="239">
        <v>5.00303439E8</v>
      </c>
      <c r="N128" s="241">
        <v>8.04</v>
      </c>
      <c r="O128" s="239">
        <v>8.0005177E8</v>
      </c>
      <c r="P128" s="249" t="s">
        <v>59</v>
      </c>
      <c r="Q128" s="250" t="s">
        <v>59</v>
      </c>
      <c r="R128" s="235"/>
      <c r="S128" s="236"/>
      <c r="T128" s="237"/>
      <c r="U128" s="57"/>
      <c r="V128" s="57"/>
      <c r="W128" s="57"/>
      <c r="X128" s="57"/>
      <c r="Y128" s="57"/>
      <c r="Z128" s="57"/>
      <c r="AA128" s="57"/>
      <c r="AB128" s="57"/>
    </row>
    <row r="129">
      <c r="A129" s="243" t="s">
        <v>382</v>
      </c>
      <c r="B129" s="243" t="s">
        <v>382</v>
      </c>
      <c r="C129" s="238" t="s">
        <v>53</v>
      </c>
      <c r="D129" s="224"/>
      <c r="E129" s="227"/>
      <c r="F129" s="224"/>
      <c r="G129" s="208" t="s">
        <v>2356</v>
      </c>
      <c r="H129" s="227"/>
      <c r="I129" s="227"/>
      <c r="J129" s="254">
        <v>46055.0</v>
      </c>
      <c r="K129" s="246"/>
      <c r="L129" s="239" t="s">
        <v>69</v>
      </c>
      <c r="M129" s="239">
        <v>5.00303439E8</v>
      </c>
      <c r="N129" s="241">
        <v>7.6</v>
      </c>
      <c r="O129" s="239">
        <v>8.0005177E8</v>
      </c>
      <c r="P129" s="249" t="s">
        <v>59</v>
      </c>
      <c r="Q129" s="250" t="s">
        <v>59</v>
      </c>
      <c r="R129" s="235"/>
      <c r="S129" s="236"/>
      <c r="T129" s="237"/>
      <c r="U129" s="57"/>
      <c r="V129" s="57"/>
      <c r="W129" s="57"/>
      <c r="X129" s="57"/>
      <c r="Y129" s="57"/>
      <c r="Z129" s="57"/>
      <c r="AA129" s="57"/>
      <c r="AB129" s="57"/>
    </row>
    <row r="130">
      <c r="A130" s="243" t="s">
        <v>382</v>
      </c>
      <c r="B130" s="243" t="s">
        <v>382</v>
      </c>
      <c r="C130" s="268" t="s">
        <v>53</v>
      </c>
      <c r="D130" s="224"/>
      <c r="E130" s="224"/>
      <c r="F130" s="224"/>
      <c r="G130" s="208" t="s">
        <v>2357</v>
      </c>
      <c r="H130" s="227"/>
      <c r="I130" s="227"/>
      <c r="J130" s="254">
        <v>46055.0</v>
      </c>
      <c r="K130" s="246"/>
      <c r="L130" s="239" t="s">
        <v>69</v>
      </c>
      <c r="M130" s="239">
        <v>5.00303439E8</v>
      </c>
      <c r="N130" s="241">
        <v>7.6</v>
      </c>
      <c r="O130" s="239">
        <v>8.0005177E8</v>
      </c>
      <c r="P130" s="249" t="s">
        <v>59</v>
      </c>
      <c r="Q130" s="250" t="s">
        <v>59</v>
      </c>
      <c r="R130" s="235"/>
      <c r="S130" s="236"/>
      <c r="T130" s="237"/>
      <c r="U130" s="57"/>
      <c r="V130" s="57"/>
      <c r="W130" s="57"/>
      <c r="X130" s="57"/>
      <c r="Y130" s="57"/>
      <c r="Z130" s="57"/>
      <c r="AA130" s="57"/>
      <c r="AB130" s="57"/>
    </row>
    <row r="131">
      <c r="A131" s="243" t="s">
        <v>382</v>
      </c>
      <c r="B131" s="243" t="s">
        <v>382</v>
      </c>
      <c r="C131" s="281" t="s">
        <v>53</v>
      </c>
      <c r="D131" s="224"/>
      <c r="E131" s="227"/>
      <c r="F131" s="224"/>
      <c r="G131" s="208" t="s">
        <v>2358</v>
      </c>
      <c r="H131" s="227"/>
      <c r="I131" s="227"/>
      <c r="J131" s="254">
        <v>46055.0</v>
      </c>
      <c r="K131" s="246"/>
      <c r="L131" s="239" t="s">
        <v>69</v>
      </c>
      <c r="M131" s="239">
        <v>5.00303439E8</v>
      </c>
      <c r="N131" s="241">
        <v>3.07</v>
      </c>
      <c r="O131" s="239">
        <v>8.0005177E8</v>
      </c>
      <c r="P131" s="249" t="s">
        <v>59</v>
      </c>
      <c r="Q131" s="250" t="s">
        <v>59</v>
      </c>
      <c r="R131" s="235"/>
      <c r="S131" s="236"/>
      <c r="T131" s="237"/>
      <c r="U131" s="57"/>
      <c r="V131" s="57"/>
      <c r="W131" s="57"/>
      <c r="X131" s="57"/>
      <c r="Y131" s="57"/>
      <c r="Z131" s="57"/>
      <c r="AA131" s="57"/>
      <c r="AB131" s="57"/>
    </row>
    <row r="132">
      <c r="A132" s="243" t="s">
        <v>382</v>
      </c>
      <c r="B132" s="243" t="s">
        <v>382</v>
      </c>
      <c r="C132" s="281" t="s">
        <v>53</v>
      </c>
      <c r="D132" s="224"/>
      <c r="E132" s="227"/>
      <c r="F132" s="224"/>
      <c r="G132" s="208" t="s">
        <v>2295</v>
      </c>
      <c r="H132" s="227"/>
      <c r="I132" s="227"/>
      <c r="J132" s="254">
        <v>46055.0</v>
      </c>
      <c r="K132" s="246"/>
      <c r="L132" s="239" t="s">
        <v>69</v>
      </c>
      <c r="M132" s="239">
        <v>5.00303439E8</v>
      </c>
      <c r="N132" s="241">
        <v>3.07</v>
      </c>
      <c r="O132" s="239">
        <v>8.0005177E8</v>
      </c>
      <c r="P132" s="249" t="s">
        <v>59</v>
      </c>
      <c r="Q132" s="250" t="s">
        <v>59</v>
      </c>
      <c r="R132" s="235"/>
      <c r="S132" s="236"/>
      <c r="T132" s="237"/>
      <c r="U132" s="57"/>
      <c r="V132" s="57"/>
      <c r="W132" s="57"/>
      <c r="X132" s="57"/>
      <c r="Y132" s="57"/>
      <c r="Z132" s="57"/>
      <c r="AA132" s="57"/>
      <c r="AB132" s="57"/>
    </row>
    <row r="133">
      <c r="A133" s="243" t="s">
        <v>382</v>
      </c>
      <c r="B133" s="243" t="s">
        <v>382</v>
      </c>
      <c r="C133" s="281" t="s">
        <v>53</v>
      </c>
      <c r="D133" s="224"/>
      <c r="E133" s="227"/>
      <c r="F133" s="224"/>
      <c r="G133" s="208" t="s">
        <v>68</v>
      </c>
      <c r="H133" s="227"/>
      <c r="I133" s="227"/>
      <c r="J133" s="245">
        <v>46055.0</v>
      </c>
      <c r="K133" s="246"/>
      <c r="L133" s="232" t="s">
        <v>69</v>
      </c>
      <c r="M133" s="232">
        <v>5.00303439E8</v>
      </c>
      <c r="N133" s="247">
        <v>0.99</v>
      </c>
      <c r="O133" s="239">
        <v>8.0005177E8</v>
      </c>
      <c r="P133" s="249" t="s">
        <v>59</v>
      </c>
      <c r="Q133" s="250" t="s">
        <v>59</v>
      </c>
      <c r="R133" s="235"/>
      <c r="S133" s="236"/>
      <c r="T133" s="237"/>
      <c r="U133" s="57"/>
      <c r="V133" s="57"/>
      <c r="W133" s="57"/>
      <c r="X133" s="57"/>
      <c r="Y133" s="57"/>
      <c r="Z133" s="57"/>
      <c r="AA133" s="57"/>
      <c r="AB133" s="57"/>
    </row>
    <row r="134">
      <c r="A134" s="243" t="s">
        <v>382</v>
      </c>
      <c r="B134" s="243" t="s">
        <v>382</v>
      </c>
      <c r="C134" s="281" t="s">
        <v>53</v>
      </c>
      <c r="D134" s="224"/>
      <c r="E134" s="227"/>
      <c r="F134" s="224"/>
      <c r="G134" s="208" t="s">
        <v>2359</v>
      </c>
      <c r="H134" s="227"/>
      <c r="I134" s="227"/>
      <c r="J134" s="245">
        <v>46055.0</v>
      </c>
      <c r="K134" s="246"/>
      <c r="L134" s="232" t="s">
        <v>69</v>
      </c>
      <c r="M134" s="232">
        <v>5.00303439E8</v>
      </c>
      <c r="N134" s="247">
        <v>0.99</v>
      </c>
      <c r="O134" s="239">
        <v>8.0005177E8</v>
      </c>
      <c r="P134" s="249" t="s">
        <v>59</v>
      </c>
      <c r="Q134" s="250" t="s">
        <v>59</v>
      </c>
      <c r="R134" s="235"/>
      <c r="S134" s="236"/>
      <c r="T134" s="237"/>
      <c r="U134" s="57"/>
      <c r="V134" s="57"/>
      <c r="W134" s="57"/>
      <c r="X134" s="57"/>
      <c r="Y134" s="57"/>
      <c r="Z134" s="57"/>
      <c r="AA134" s="57"/>
      <c r="AB134" s="57"/>
    </row>
    <row r="135">
      <c r="A135" s="243" t="s">
        <v>382</v>
      </c>
      <c r="B135" s="243" t="s">
        <v>382</v>
      </c>
      <c r="C135" s="281" t="s">
        <v>53</v>
      </c>
      <c r="D135" s="224"/>
      <c r="E135" s="227"/>
      <c r="F135" s="224"/>
      <c r="G135" s="208" t="s">
        <v>2134</v>
      </c>
      <c r="H135" s="227"/>
      <c r="I135" s="227"/>
      <c r="J135" s="245">
        <v>46055.0</v>
      </c>
      <c r="K135" s="246"/>
      <c r="L135" s="232" t="s">
        <v>69</v>
      </c>
      <c r="M135" s="232">
        <v>5.00303439E8</v>
      </c>
      <c r="N135" s="247">
        <v>0.99</v>
      </c>
      <c r="O135" s="239">
        <v>8.0005177E8</v>
      </c>
      <c r="P135" s="249" t="s">
        <v>59</v>
      </c>
      <c r="Q135" s="250" t="s">
        <v>59</v>
      </c>
      <c r="R135" s="235"/>
      <c r="S135" s="236"/>
      <c r="T135" s="237"/>
      <c r="U135" s="57"/>
      <c r="V135" s="57"/>
      <c r="W135" s="57"/>
      <c r="X135" s="57"/>
      <c r="Y135" s="57"/>
      <c r="Z135" s="57"/>
      <c r="AA135" s="57"/>
      <c r="AB135" s="57"/>
    </row>
    <row r="136">
      <c r="A136" s="243" t="s">
        <v>382</v>
      </c>
      <c r="B136" s="243" t="s">
        <v>382</v>
      </c>
      <c r="C136" s="281" t="s">
        <v>53</v>
      </c>
      <c r="D136" s="224"/>
      <c r="E136" s="227"/>
      <c r="F136" s="224"/>
      <c r="G136" s="208" t="s">
        <v>2360</v>
      </c>
      <c r="H136" s="227"/>
      <c r="I136" s="227"/>
      <c r="J136" s="245">
        <v>46055.0</v>
      </c>
      <c r="K136" s="246"/>
      <c r="L136" s="232" t="s">
        <v>69</v>
      </c>
      <c r="M136" s="232">
        <v>5.00303439E8</v>
      </c>
      <c r="N136" s="247">
        <v>0.99</v>
      </c>
      <c r="O136" s="239">
        <v>8.0005177E8</v>
      </c>
      <c r="P136" s="249" t="s">
        <v>59</v>
      </c>
      <c r="Q136" s="250" t="s">
        <v>59</v>
      </c>
      <c r="R136" s="235"/>
      <c r="S136" s="236"/>
      <c r="T136" s="237"/>
      <c r="U136" s="57"/>
      <c r="V136" s="57"/>
      <c r="W136" s="57"/>
      <c r="X136" s="57"/>
      <c r="Y136" s="57"/>
      <c r="Z136" s="57"/>
      <c r="AA136" s="57"/>
      <c r="AB136" s="57"/>
    </row>
    <row r="137">
      <c r="A137" s="243" t="s">
        <v>382</v>
      </c>
      <c r="B137" s="243" t="s">
        <v>382</v>
      </c>
      <c r="C137" s="281" t="s">
        <v>53</v>
      </c>
      <c r="D137" s="224"/>
      <c r="E137" s="227"/>
      <c r="F137" s="224"/>
      <c r="G137" s="208" t="s">
        <v>2361</v>
      </c>
      <c r="H137" s="227"/>
      <c r="I137" s="227"/>
      <c r="J137" s="245">
        <v>46055.0</v>
      </c>
      <c r="K137" s="246"/>
      <c r="L137" s="232" t="s">
        <v>69</v>
      </c>
      <c r="M137" s="232">
        <v>5.00303439E8</v>
      </c>
      <c r="N137" s="247">
        <v>0.99</v>
      </c>
      <c r="O137" s="239">
        <v>8.0005177E8</v>
      </c>
      <c r="P137" s="249" t="s">
        <v>59</v>
      </c>
      <c r="Q137" s="250" t="s">
        <v>59</v>
      </c>
      <c r="R137" s="235"/>
      <c r="S137" s="236"/>
      <c r="T137" s="237"/>
      <c r="U137" s="57"/>
      <c r="V137" s="57"/>
      <c r="W137" s="57"/>
      <c r="X137" s="57"/>
      <c r="Y137" s="57"/>
      <c r="Z137" s="57"/>
      <c r="AA137" s="57"/>
      <c r="AB137" s="57"/>
    </row>
    <row r="138">
      <c r="A138" s="243" t="s">
        <v>382</v>
      </c>
      <c r="B138" s="243" t="s">
        <v>382</v>
      </c>
      <c r="C138" s="281" t="s">
        <v>53</v>
      </c>
      <c r="D138" s="224"/>
      <c r="E138" s="227"/>
      <c r="F138" s="224"/>
      <c r="G138" s="208" t="s">
        <v>2362</v>
      </c>
      <c r="H138" s="227"/>
      <c r="I138" s="227"/>
      <c r="J138" s="245">
        <v>46055.0</v>
      </c>
      <c r="K138" s="246"/>
      <c r="L138" s="232" t="s">
        <v>69</v>
      </c>
      <c r="M138" s="232">
        <v>5.00303439E8</v>
      </c>
      <c r="N138" s="247">
        <v>0.99</v>
      </c>
      <c r="O138" s="239">
        <v>8.0005177E8</v>
      </c>
      <c r="P138" s="249" t="s">
        <v>59</v>
      </c>
      <c r="Q138" s="250" t="s">
        <v>59</v>
      </c>
      <c r="R138" s="235"/>
      <c r="S138" s="236"/>
      <c r="T138" s="237"/>
      <c r="U138" s="57"/>
      <c r="V138" s="57"/>
      <c r="W138" s="57"/>
      <c r="X138" s="57"/>
      <c r="Y138" s="57"/>
      <c r="Z138" s="57"/>
      <c r="AA138" s="57"/>
      <c r="AB138" s="57"/>
    </row>
    <row r="139">
      <c r="A139" s="243" t="s">
        <v>382</v>
      </c>
      <c r="B139" s="243" t="s">
        <v>382</v>
      </c>
      <c r="C139" s="258" t="s">
        <v>2612</v>
      </c>
      <c r="D139" s="259" t="s">
        <v>2613</v>
      </c>
      <c r="E139" s="255" t="s">
        <v>41</v>
      </c>
      <c r="F139" s="232" t="s">
        <v>41</v>
      </c>
      <c r="G139" s="260" t="s">
        <v>2363</v>
      </c>
      <c r="H139" s="227"/>
      <c r="I139" s="227"/>
      <c r="J139" s="233">
        <v>46055.0</v>
      </c>
      <c r="K139" s="246"/>
      <c r="L139" s="259" t="s">
        <v>38</v>
      </c>
      <c r="M139" s="259">
        <v>518563.0</v>
      </c>
      <c r="N139" s="261">
        <v>84.88</v>
      </c>
      <c r="O139" s="259">
        <v>664395.0</v>
      </c>
      <c r="P139" s="249" t="s">
        <v>43</v>
      </c>
      <c r="Q139" s="250" t="s">
        <v>43</v>
      </c>
      <c r="R139" s="235"/>
      <c r="S139" s="236"/>
      <c r="T139" s="237"/>
      <c r="U139" s="57"/>
      <c r="V139" s="57"/>
      <c r="W139" s="57"/>
      <c r="X139" s="57"/>
      <c r="Y139" s="57"/>
      <c r="Z139" s="57"/>
      <c r="AA139" s="57"/>
      <c r="AB139" s="57"/>
    </row>
    <row r="140">
      <c r="A140" s="243" t="s">
        <v>382</v>
      </c>
      <c r="B140" s="243" t="s">
        <v>382</v>
      </c>
      <c r="C140" s="281" t="s">
        <v>53</v>
      </c>
      <c r="D140" s="224"/>
      <c r="E140" s="255" t="s">
        <v>41</v>
      </c>
      <c r="F140" s="232" t="s">
        <v>41</v>
      </c>
      <c r="G140" s="264" t="s">
        <v>2365</v>
      </c>
      <c r="H140" s="227"/>
      <c r="I140" s="227"/>
      <c r="J140" s="265">
        <v>46055.0</v>
      </c>
      <c r="K140" s="246"/>
      <c r="L140" s="263" t="s">
        <v>38</v>
      </c>
      <c r="M140" s="263">
        <v>518563.0</v>
      </c>
      <c r="N140" s="266">
        <v>42.47</v>
      </c>
      <c r="O140" s="259">
        <v>664395.0</v>
      </c>
      <c r="P140" s="249" t="s">
        <v>59</v>
      </c>
      <c r="Q140" s="250" t="s">
        <v>59</v>
      </c>
      <c r="R140" s="235"/>
      <c r="S140" s="236"/>
      <c r="T140" s="237"/>
      <c r="U140" s="57"/>
      <c r="V140" s="57"/>
      <c r="W140" s="57"/>
      <c r="X140" s="57"/>
      <c r="Y140" s="57"/>
      <c r="Z140" s="57"/>
      <c r="AA140" s="57"/>
      <c r="AB140" s="57"/>
    </row>
    <row r="141">
      <c r="A141" s="243" t="s">
        <v>382</v>
      </c>
      <c r="B141" s="243" t="s">
        <v>382</v>
      </c>
      <c r="C141" s="258" t="s">
        <v>2615</v>
      </c>
      <c r="D141" s="259">
        <v>5.707808107E9</v>
      </c>
      <c r="E141" s="227"/>
      <c r="F141" s="224"/>
      <c r="G141" s="231" t="s">
        <v>2366</v>
      </c>
      <c r="H141" s="227"/>
      <c r="I141" s="227"/>
      <c r="J141" s="233">
        <v>46055.0</v>
      </c>
      <c r="K141" s="246"/>
      <c r="L141" s="259" t="s">
        <v>38</v>
      </c>
      <c r="M141" s="259">
        <v>518563.0</v>
      </c>
      <c r="N141" s="261">
        <v>63.37</v>
      </c>
      <c r="O141" s="259">
        <v>664395.0</v>
      </c>
      <c r="P141" s="249" t="s">
        <v>43</v>
      </c>
      <c r="Q141" s="250" t="s">
        <v>43</v>
      </c>
      <c r="R141" s="235"/>
      <c r="S141" s="236"/>
      <c r="T141" s="237"/>
      <c r="U141" s="57"/>
      <c r="V141" s="57"/>
      <c r="W141" s="57"/>
      <c r="X141" s="57"/>
      <c r="Y141" s="57"/>
      <c r="Z141" s="57"/>
      <c r="AA141" s="57"/>
      <c r="AB141" s="57"/>
    </row>
    <row r="142">
      <c r="A142" s="243" t="s">
        <v>382</v>
      </c>
      <c r="B142" s="243" t="s">
        <v>382</v>
      </c>
      <c r="C142" s="252" t="s">
        <v>53</v>
      </c>
      <c r="D142" s="224"/>
      <c r="E142" s="255" t="s">
        <v>41</v>
      </c>
      <c r="F142" s="232" t="s">
        <v>41</v>
      </c>
      <c r="G142" s="239" t="s">
        <v>2250</v>
      </c>
      <c r="H142" s="227"/>
      <c r="I142" s="227"/>
      <c r="J142" s="254">
        <v>46055.0</v>
      </c>
      <c r="K142" s="246"/>
      <c r="L142" s="239" t="s">
        <v>38</v>
      </c>
      <c r="M142" s="239">
        <v>518563.0</v>
      </c>
      <c r="N142" s="241">
        <v>99.28</v>
      </c>
      <c r="O142" s="259">
        <v>664395.0</v>
      </c>
      <c r="P142" s="249" t="s">
        <v>59</v>
      </c>
      <c r="Q142" s="250" t="s">
        <v>59</v>
      </c>
      <c r="R142" s="235"/>
      <c r="S142" s="236"/>
      <c r="T142" s="237"/>
      <c r="U142" s="57"/>
      <c r="V142" s="57"/>
      <c r="W142" s="57"/>
      <c r="X142" s="57"/>
      <c r="Y142" s="57"/>
      <c r="Z142" s="57"/>
      <c r="AA142" s="57"/>
      <c r="AB142" s="57"/>
    </row>
    <row r="143">
      <c r="A143" s="243" t="s">
        <v>382</v>
      </c>
      <c r="B143" s="243" t="s">
        <v>382</v>
      </c>
      <c r="C143" s="258" t="s">
        <v>2620</v>
      </c>
      <c r="D143" s="259">
        <v>5.709911204E9</v>
      </c>
      <c r="E143" s="255" t="s">
        <v>41</v>
      </c>
      <c r="F143" s="232" t="s">
        <v>41</v>
      </c>
      <c r="G143" s="274" t="s">
        <v>2367</v>
      </c>
      <c r="H143" s="227"/>
      <c r="I143" s="227"/>
      <c r="J143" s="275">
        <v>46055.0</v>
      </c>
      <c r="K143" s="246"/>
      <c r="L143" s="276" t="s">
        <v>38</v>
      </c>
      <c r="M143" s="276">
        <v>518563.0</v>
      </c>
      <c r="N143" s="230">
        <v>79.8</v>
      </c>
      <c r="O143" s="259">
        <v>664395.0</v>
      </c>
      <c r="P143" s="249" t="s">
        <v>43</v>
      </c>
      <c r="Q143" s="250" t="s">
        <v>43</v>
      </c>
      <c r="R143" s="235"/>
      <c r="S143" s="236"/>
      <c r="T143" s="237"/>
      <c r="U143" s="57"/>
      <c r="V143" s="57"/>
      <c r="W143" s="57"/>
      <c r="X143" s="57"/>
      <c r="Y143" s="57"/>
      <c r="Z143" s="57"/>
      <c r="AA143" s="57"/>
      <c r="AB143" s="57"/>
    </row>
    <row r="144">
      <c r="A144" s="243" t="s">
        <v>382</v>
      </c>
      <c r="B144" s="243" t="s">
        <v>382</v>
      </c>
      <c r="C144" s="258" t="s">
        <v>1721</v>
      </c>
      <c r="D144" s="259">
        <v>570280.0</v>
      </c>
      <c r="E144" s="255" t="s">
        <v>41</v>
      </c>
      <c r="F144" s="232" t="s">
        <v>41</v>
      </c>
      <c r="G144" s="260" t="s">
        <v>2369</v>
      </c>
      <c r="H144" s="227"/>
      <c r="I144" s="227"/>
      <c r="J144" s="233">
        <v>46055.0</v>
      </c>
      <c r="K144" s="246"/>
      <c r="L144" s="259" t="s">
        <v>38</v>
      </c>
      <c r="M144" s="259">
        <v>518563.0</v>
      </c>
      <c r="N144" s="261">
        <v>122.41</v>
      </c>
      <c r="O144" s="259">
        <v>664395.0</v>
      </c>
      <c r="P144" s="249" t="s">
        <v>43</v>
      </c>
      <c r="Q144" s="250" t="s">
        <v>43</v>
      </c>
      <c r="R144" s="235"/>
      <c r="S144" s="236"/>
      <c r="T144" s="237"/>
      <c r="U144" s="57"/>
      <c r="V144" s="57"/>
      <c r="W144" s="57"/>
      <c r="X144" s="57"/>
      <c r="Y144" s="57"/>
      <c r="Z144" s="57"/>
      <c r="AA144" s="57"/>
      <c r="AB144" s="57"/>
    </row>
    <row r="145">
      <c r="A145" s="243" t="s">
        <v>382</v>
      </c>
      <c r="B145" s="243" t="s">
        <v>382</v>
      </c>
      <c r="C145" s="258" t="s">
        <v>2621</v>
      </c>
      <c r="D145" s="259" t="s">
        <v>2622</v>
      </c>
      <c r="E145" s="232" t="s">
        <v>41</v>
      </c>
      <c r="F145" s="232" t="s">
        <v>41</v>
      </c>
      <c r="G145" s="260" t="s">
        <v>2370</v>
      </c>
      <c r="H145" s="227"/>
      <c r="I145" s="227"/>
      <c r="J145" s="233">
        <v>46055.0</v>
      </c>
      <c r="K145" s="246"/>
      <c r="L145" s="259" t="s">
        <v>38</v>
      </c>
      <c r="M145" s="259">
        <v>518563.0</v>
      </c>
      <c r="N145" s="261">
        <v>132.15</v>
      </c>
      <c r="O145" s="259">
        <v>664395.0</v>
      </c>
      <c r="P145" s="249" t="s">
        <v>43</v>
      </c>
      <c r="Q145" s="250" t="s">
        <v>43</v>
      </c>
      <c r="R145" s="235"/>
      <c r="S145" s="236"/>
      <c r="T145" s="237"/>
      <c r="U145" s="57"/>
      <c r="V145" s="57"/>
      <c r="W145" s="57"/>
      <c r="X145" s="57"/>
      <c r="Y145" s="57"/>
      <c r="Z145" s="57"/>
      <c r="AA145" s="57"/>
      <c r="AB145" s="57"/>
    </row>
    <row r="146">
      <c r="A146" s="243" t="s">
        <v>382</v>
      </c>
      <c r="B146" s="243" t="s">
        <v>382</v>
      </c>
      <c r="C146" s="238" t="s">
        <v>53</v>
      </c>
      <c r="D146" s="224"/>
      <c r="E146" s="255" t="s">
        <v>41</v>
      </c>
      <c r="F146" s="232" t="s">
        <v>41</v>
      </c>
      <c r="G146" s="260" t="s">
        <v>2370</v>
      </c>
      <c r="H146" s="227"/>
      <c r="I146" s="227"/>
      <c r="J146" s="233">
        <v>46055.0</v>
      </c>
      <c r="K146" s="246"/>
      <c r="L146" s="259" t="s">
        <v>38</v>
      </c>
      <c r="M146" s="259">
        <v>518563.0</v>
      </c>
      <c r="N146" s="261">
        <v>132.15</v>
      </c>
      <c r="O146" s="259">
        <v>664395.0</v>
      </c>
      <c r="P146" s="249" t="s">
        <v>59</v>
      </c>
      <c r="Q146" s="250" t="s">
        <v>59</v>
      </c>
      <c r="R146" s="235"/>
      <c r="S146" s="236"/>
      <c r="T146" s="237"/>
      <c r="U146" s="57"/>
      <c r="V146" s="57"/>
      <c r="W146" s="57"/>
      <c r="X146" s="57"/>
      <c r="Y146" s="57"/>
      <c r="Z146" s="57"/>
      <c r="AA146" s="57"/>
      <c r="AB146" s="57"/>
    </row>
    <row r="147">
      <c r="A147" s="243" t="s">
        <v>382</v>
      </c>
      <c r="B147" s="243" t="s">
        <v>382</v>
      </c>
      <c r="C147" s="238" t="s">
        <v>53</v>
      </c>
      <c r="D147" s="224"/>
      <c r="E147" s="227"/>
      <c r="F147" s="224"/>
      <c r="G147" s="208" t="s">
        <v>2199</v>
      </c>
      <c r="H147" s="227"/>
      <c r="I147" s="227"/>
      <c r="J147" s="254">
        <v>46055.0</v>
      </c>
      <c r="K147" s="246"/>
      <c r="L147" s="239" t="s">
        <v>38</v>
      </c>
      <c r="M147" s="239">
        <v>518563.0</v>
      </c>
      <c r="N147" s="241">
        <v>91.2</v>
      </c>
      <c r="O147" s="259">
        <v>664395.0</v>
      </c>
      <c r="P147" s="249" t="s">
        <v>59</v>
      </c>
      <c r="Q147" s="250" t="s">
        <v>59</v>
      </c>
      <c r="R147" s="235"/>
      <c r="S147" s="236"/>
      <c r="T147" s="237"/>
      <c r="U147" s="57"/>
      <c r="V147" s="57"/>
      <c r="W147" s="57"/>
      <c r="X147" s="57"/>
      <c r="Y147" s="57"/>
      <c r="Z147" s="57"/>
      <c r="AA147" s="57"/>
      <c r="AB147" s="57"/>
    </row>
    <row r="148">
      <c r="A148" s="243" t="s">
        <v>382</v>
      </c>
      <c r="B148" s="243" t="s">
        <v>382</v>
      </c>
      <c r="C148" s="238" t="s">
        <v>2630</v>
      </c>
      <c r="D148" s="224"/>
      <c r="E148" s="255" t="s">
        <v>35</v>
      </c>
      <c r="F148" s="232" t="s">
        <v>35</v>
      </c>
      <c r="G148" s="239" t="s">
        <v>2371</v>
      </c>
      <c r="H148" s="227"/>
      <c r="I148" s="227"/>
      <c r="J148" s="254">
        <v>46055.0</v>
      </c>
      <c r="K148" s="246"/>
      <c r="L148" s="239" t="s">
        <v>38</v>
      </c>
      <c r="M148" s="239">
        <v>518563.0</v>
      </c>
      <c r="N148" s="241">
        <v>141.88</v>
      </c>
      <c r="O148" s="259">
        <v>664395.0</v>
      </c>
      <c r="P148" s="249" t="s">
        <v>43</v>
      </c>
      <c r="Q148" s="250" t="s">
        <v>43</v>
      </c>
      <c r="R148" s="235"/>
      <c r="S148" s="236"/>
      <c r="T148" s="237"/>
      <c r="U148" s="57"/>
      <c r="V148" s="57"/>
      <c r="W148" s="57"/>
      <c r="X148" s="57"/>
      <c r="Y148" s="57"/>
      <c r="Z148" s="57"/>
      <c r="AA148" s="57"/>
      <c r="AB148" s="57"/>
    </row>
    <row r="149">
      <c r="A149" s="243" t="s">
        <v>382</v>
      </c>
      <c r="B149" s="243" t="s">
        <v>382</v>
      </c>
      <c r="C149" s="238" t="s">
        <v>53</v>
      </c>
      <c r="D149" s="224"/>
      <c r="E149" s="227"/>
      <c r="F149" s="224"/>
      <c r="G149" s="208" t="s">
        <v>2372</v>
      </c>
      <c r="H149" s="227"/>
      <c r="I149" s="227"/>
      <c r="J149" s="254">
        <v>46055.0</v>
      </c>
      <c r="K149" s="246"/>
      <c r="L149" s="239" t="s">
        <v>347</v>
      </c>
      <c r="M149" s="239" t="s">
        <v>2631</v>
      </c>
      <c r="N149" s="241">
        <v>95.4</v>
      </c>
      <c r="O149" s="239">
        <v>7421336.0</v>
      </c>
      <c r="P149" s="249" t="s">
        <v>59</v>
      </c>
      <c r="Q149" s="250" t="s">
        <v>59</v>
      </c>
      <c r="R149" s="235"/>
      <c r="S149" s="236"/>
      <c r="T149" s="237"/>
      <c r="U149" s="57"/>
      <c r="V149" s="57"/>
      <c r="W149" s="57"/>
      <c r="X149" s="57"/>
      <c r="Y149" s="57"/>
      <c r="Z149" s="57"/>
      <c r="AA149" s="57"/>
      <c r="AB149" s="57"/>
    </row>
    <row r="150">
      <c r="A150" s="243" t="s">
        <v>382</v>
      </c>
      <c r="B150" s="243" t="s">
        <v>382</v>
      </c>
      <c r="C150" s="238" t="s">
        <v>53</v>
      </c>
      <c r="D150" s="224"/>
      <c r="E150" s="227"/>
      <c r="F150" s="224"/>
      <c r="G150" s="208" t="s">
        <v>2373</v>
      </c>
      <c r="H150" s="227"/>
      <c r="I150" s="227"/>
      <c r="J150" s="254">
        <v>46055.0</v>
      </c>
      <c r="K150" s="246"/>
      <c r="L150" s="239" t="s">
        <v>347</v>
      </c>
      <c r="M150" s="239" t="s">
        <v>2631</v>
      </c>
      <c r="N150" s="241">
        <v>95.4</v>
      </c>
      <c r="O150" s="239">
        <v>7421336.0</v>
      </c>
      <c r="P150" s="249" t="s">
        <v>59</v>
      </c>
      <c r="Q150" s="250" t="s">
        <v>59</v>
      </c>
      <c r="R150" s="235"/>
      <c r="S150" s="236"/>
      <c r="T150" s="237"/>
      <c r="U150" s="57"/>
      <c r="V150" s="57"/>
      <c r="W150" s="57"/>
      <c r="X150" s="57"/>
      <c r="Y150" s="57"/>
      <c r="Z150" s="57"/>
      <c r="AA150" s="57"/>
      <c r="AB150" s="57"/>
    </row>
    <row r="151">
      <c r="A151" s="243" t="s">
        <v>382</v>
      </c>
      <c r="B151" s="243" t="s">
        <v>382</v>
      </c>
      <c r="C151" s="258" t="s">
        <v>53</v>
      </c>
      <c r="D151" s="224"/>
      <c r="E151" s="227"/>
      <c r="F151" s="224"/>
      <c r="G151" s="274" t="s">
        <v>745</v>
      </c>
      <c r="H151" s="227"/>
      <c r="I151" s="227"/>
      <c r="J151" s="275">
        <v>46062.0</v>
      </c>
      <c r="K151" s="246"/>
      <c r="L151" s="276" t="s">
        <v>69</v>
      </c>
      <c r="M151" s="276">
        <v>5.00306218E8</v>
      </c>
      <c r="N151" s="230">
        <v>8.77</v>
      </c>
      <c r="O151" s="276">
        <v>8.00052268E8</v>
      </c>
      <c r="P151" s="249" t="s">
        <v>59</v>
      </c>
      <c r="Q151" s="250" t="s">
        <v>59</v>
      </c>
      <c r="R151" s="235"/>
      <c r="S151" s="236"/>
      <c r="T151" s="237"/>
      <c r="U151" s="57"/>
      <c r="V151" s="57"/>
      <c r="W151" s="57"/>
      <c r="X151" s="57"/>
      <c r="Y151" s="57"/>
      <c r="Z151" s="57"/>
      <c r="AA151" s="57"/>
      <c r="AB151" s="57"/>
    </row>
    <row r="152">
      <c r="A152" s="243" t="s">
        <v>382</v>
      </c>
      <c r="B152" s="243" t="s">
        <v>382</v>
      </c>
      <c r="C152" s="262" t="s">
        <v>53</v>
      </c>
      <c r="D152" s="224"/>
      <c r="E152" s="291" t="s">
        <v>35</v>
      </c>
      <c r="F152" s="232" t="s">
        <v>35</v>
      </c>
      <c r="G152" s="264" t="s">
        <v>2374</v>
      </c>
      <c r="H152" s="227"/>
      <c r="I152" s="227"/>
      <c r="J152" s="265">
        <v>46062.0</v>
      </c>
      <c r="K152" s="246"/>
      <c r="L152" s="263" t="s">
        <v>69</v>
      </c>
      <c r="M152" s="263">
        <v>5.00306218E8</v>
      </c>
      <c r="N152" s="266">
        <v>9.49</v>
      </c>
      <c r="O152" s="276">
        <v>8.00052268E8</v>
      </c>
      <c r="P152" s="249" t="s">
        <v>59</v>
      </c>
      <c r="Q152" s="250" t="s">
        <v>59</v>
      </c>
      <c r="R152" s="235"/>
      <c r="S152" s="236"/>
      <c r="T152" s="237"/>
      <c r="U152" s="57"/>
      <c r="V152" s="57"/>
      <c r="W152" s="57"/>
      <c r="X152" s="57"/>
      <c r="Y152" s="57"/>
      <c r="Z152" s="57"/>
      <c r="AA152" s="57"/>
      <c r="AB152" s="57"/>
    </row>
    <row r="153">
      <c r="A153" s="243" t="s">
        <v>382</v>
      </c>
      <c r="B153" s="243" t="s">
        <v>382</v>
      </c>
      <c r="C153" s="262" t="s">
        <v>53</v>
      </c>
      <c r="D153" s="224"/>
      <c r="E153" s="291" t="s">
        <v>35</v>
      </c>
      <c r="F153" s="232" t="s">
        <v>35</v>
      </c>
      <c r="G153" s="264" t="s">
        <v>2375</v>
      </c>
      <c r="H153" s="227"/>
      <c r="I153" s="227"/>
      <c r="J153" s="265">
        <v>46062.0</v>
      </c>
      <c r="K153" s="246"/>
      <c r="L153" s="263" t="s">
        <v>69</v>
      </c>
      <c r="M153" s="263">
        <v>5.00306218E8</v>
      </c>
      <c r="N153" s="266">
        <v>9.49</v>
      </c>
      <c r="O153" s="276">
        <v>8.00052268E8</v>
      </c>
      <c r="P153" s="249" t="s">
        <v>59</v>
      </c>
      <c r="Q153" s="250" t="s">
        <v>59</v>
      </c>
      <c r="R153" s="235"/>
      <c r="S153" s="236"/>
      <c r="T153" s="237"/>
      <c r="U153" s="57"/>
      <c r="V153" s="57"/>
      <c r="W153" s="57"/>
      <c r="X153" s="57"/>
      <c r="Y153" s="57"/>
      <c r="Z153" s="57"/>
      <c r="AA153" s="57"/>
      <c r="AB153" s="57"/>
    </row>
    <row r="154">
      <c r="A154" s="243" t="s">
        <v>382</v>
      </c>
      <c r="B154" s="243" t="s">
        <v>382</v>
      </c>
      <c r="C154" s="262" t="s">
        <v>53</v>
      </c>
      <c r="D154" s="224"/>
      <c r="E154" s="291" t="s">
        <v>41</v>
      </c>
      <c r="F154" s="232" t="s">
        <v>41</v>
      </c>
      <c r="G154" s="264" t="s">
        <v>264</v>
      </c>
      <c r="H154" s="227"/>
      <c r="I154" s="227"/>
      <c r="J154" s="265">
        <v>46062.0</v>
      </c>
      <c r="K154" s="246"/>
      <c r="L154" s="263" t="s">
        <v>69</v>
      </c>
      <c r="M154" s="263">
        <v>5.00306218E8</v>
      </c>
      <c r="N154" s="266">
        <v>146.12</v>
      </c>
      <c r="O154" s="276">
        <v>8.00052268E8</v>
      </c>
      <c r="P154" s="249" t="s">
        <v>59</v>
      </c>
      <c r="Q154" s="250" t="s">
        <v>59</v>
      </c>
      <c r="R154" s="235"/>
      <c r="S154" s="236"/>
      <c r="T154" s="237"/>
      <c r="U154" s="57"/>
      <c r="V154" s="57"/>
      <c r="W154" s="57"/>
      <c r="X154" s="57"/>
      <c r="Y154" s="57"/>
      <c r="Z154" s="57"/>
      <c r="AA154" s="57"/>
      <c r="AB154" s="57"/>
    </row>
    <row r="155">
      <c r="A155" s="243" t="s">
        <v>382</v>
      </c>
      <c r="B155" s="243" t="s">
        <v>382</v>
      </c>
      <c r="C155" s="258" t="s">
        <v>2637</v>
      </c>
      <c r="D155" s="259">
        <v>6.462961187E9</v>
      </c>
      <c r="E155" s="255" t="s">
        <v>41</v>
      </c>
      <c r="F155" s="232" t="s">
        <v>41</v>
      </c>
      <c r="G155" s="260" t="s">
        <v>2378</v>
      </c>
      <c r="H155" s="227"/>
      <c r="I155" s="227"/>
      <c r="J155" s="233">
        <v>46062.0</v>
      </c>
      <c r="K155" s="246"/>
      <c r="L155" s="259" t="s">
        <v>69</v>
      </c>
      <c r="M155" s="259">
        <v>5.00306218E8</v>
      </c>
      <c r="N155" s="261">
        <v>133.41</v>
      </c>
      <c r="O155" s="276">
        <v>8.00052268E8</v>
      </c>
      <c r="P155" s="249" t="s">
        <v>43</v>
      </c>
      <c r="Q155" s="250" t="s">
        <v>43</v>
      </c>
      <c r="R155" s="235"/>
      <c r="S155" s="236"/>
      <c r="T155" s="237"/>
      <c r="U155" s="57"/>
      <c r="V155" s="57"/>
      <c r="W155" s="57"/>
      <c r="X155" s="57"/>
      <c r="Y155" s="57"/>
      <c r="Z155" s="57"/>
      <c r="AA155" s="57"/>
      <c r="AB155" s="57"/>
    </row>
    <row r="156">
      <c r="A156" s="243" t="s">
        <v>382</v>
      </c>
      <c r="B156" s="243" t="s">
        <v>382</v>
      </c>
      <c r="C156" s="252" t="s">
        <v>53</v>
      </c>
      <c r="D156" s="224"/>
      <c r="E156" s="232" t="s">
        <v>35</v>
      </c>
      <c r="F156" s="232" t="s">
        <v>35</v>
      </c>
      <c r="G156" s="239" t="s">
        <v>2380</v>
      </c>
      <c r="H156" s="227"/>
      <c r="I156" s="227"/>
      <c r="J156" s="245">
        <v>46062.0</v>
      </c>
      <c r="K156" s="246"/>
      <c r="L156" s="232" t="s">
        <v>69</v>
      </c>
      <c r="M156" s="232">
        <v>5.00306218E8</v>
      </c>
      <c r="N156" s="247">
        <v>8.04</v>
      </c>
      <c r="O156" s="276">
        <v>8.00052268E8</v>
      </c>
      <c r="P156" s="249" t="s">
        <v>59</v>
      </c>
      <c r="Q156" s="250" t="s">
        <v>59</v>
      </c>
      <c r="R156" s="235"/>
      <c r="S156" s="236"/>
      <c r="T156" s="237"/>
      <c r="U156" s="57"/>
      <c r="V156" s="57"/>
      <c r="W156" s="57"/>
      <c r="X156" s="57"/>
      <c r="Y156" s="57"/>
      <c r="Z156" s="57"/>
      <c r="AA156" s="57"/>
      <c r="AB156" s="57"/>
    </row>
    <row r="157">
      <c r="A157" s="243" t="s">
        <v>382</v>
      </c>
      <c r="B157" s="243" t="s">
        <v>382</v>
      </c>
      <c r="C157" s="252" t="s">
        <v>53</v>
      </c>
      <c r="D157" s="224"/>
      <c r="E157" s="232" t="s">
        <v>41</v>
      </c>
      <c r="F157" s="232" t="s">
        <v>41</v>
      </c>
      <c r="G157" s="239" t="s">
        <v>2381</v>
      </c>
      <c r="H157" s="227"/>
      <c r="I157" s="227"/>
      <c r="J157" s="245">
        <v>46062.0</v>
      </c>
      <c r="K157" s="246"/>
      <c r="L157" s="232" t="s">
        <v>69</v>
      </c>
      <c r="M157" s="232">
        <v>5.00306218E8</v>
      </c>
      <c r="N157" s="247">
        <v>8.04</v>
      </c>
      <c r="O157" s="276">
        <v>8.00052268E8</v>
      </c>
      <c r="P157" s="249" t="s">
        <v>59</v>
      </c>
      <c r="Q157" s="250" t="s">
        <v>59</v>
      </c>
      <c r="R157" s="235"/>
      <c r="S157" s="236"/>
      <c r="T157" s="237"/>
      <c r="U157" s="57"/>
      <c r="V157" s="57"/>
      <c r="W157" s="57"/>
      <c r="X157" s="57"/>
      <c r="Y157" s="57"/>
      <c r="Z157" s="57"/>
      <c r="AA157" s="57"/>
      <c r="AB157" s="57"/>
    </row>
    <row r="158">
      <c r="A158" s="243" t="s">
        <v>382</v>
      </c>
      <c r="B158" s="243" t="s">
        <v>382</v>
      </c>
      <c r="C158" s="252" t="s">
        <v>53</v>
      </c>
      <c r="D158" s="224"/>
      <c r="E158" s="232" t="s">
        <v>35</v>
      </c>
      <c r="F158" s="232" t="s">
        <v>35</v>
      </c>
      <c r="G158" s="239" t="s">
        <v>2382</v>
      </c>
      <c r="H158" s="227"/>
      <c r="I158" s="227"/>
      <c r="J158" s="245">
        <v>46062.0</v>
      </c>
      <c r="K158" s="246"/>
      <c r="L158" s="232" t="s">
        <v>69</v>
      </c>
      <c r="M158" s="232">
        <v>5.00306218E8</v>
      </c>
      <c r="N158" s="247">
        <v>8.04</v>
      </c>
      <c r="O158" s="276">
        <v>8.00052268E8</v>
      </c>
      <c r="P158" s="249" t="s">
        <v>59</v>
      </c>
      <c r="Q158" s="250" t="s">
        <v>59</v>
      </c>
      <c r="R158" s="235"/>
      <c r="S158" s="236"/>
      <c r="T158" s="237"/>
      <c r="U158" s="57"/>
      <c r="V158" s="57"/>
      <c r="W158" s="57"/>
      <c r="X158" s="57"/>
      <c r="Y158" s="57"/>
      <c r="Z158" s="57"/>
      <c r="AA158" s="57"/>
      <c r="AB158" s="57"/>
    </row>
    <row r="159">
      <c r="A159" s="243" t="s">
        <v>382</v>
      </c>
      <c r="B159" s="243" t="s">
        <v>382</v>
      </c>
      <c r="C159" s="238" t="s">
        <v>864</v>
      </c>
      <c r="D159" s="224"/>
      <c r="E159" s="255" t="s">
        <v>35</v>
      </c>
      <c r="F159" s="232" t="s">
        <v>35</v>
      </c>
      <c r="G159" s="239" t="s">
        <v>2383</v>
      </c>
      <c r="H159" s="227"/>
      <c r="I159" s="227"/>
      <c r="J159" s="254">
        <v>46062.0</v>
      </c>
      <c r="K159" s="246"/>
      <c r="L159" s="239" t="s">
        <v>69</v>
      </c>
      <c r="M159" s="239">
        <v>5.00306218E8</v>
      </c>
      <c r="N159" s="241">
        <v>167.68</v>
      </c>
      <c r="O159" s="276">
        <v>8.00052268E8</v>
      </c>
      <c r="P159" s="249" t="s">
        <v>43</v>
      </c>
      <c r="Q159" s="250" t="s">
        <v>43</v>
      </c>
      <c r="R159" s="235"/>
      <c r="S159" s="236"/>
      <c r="T159" s="237"/>
      <c r="U159" s="57"/>
      <c r="V159" s="57"/>
      <c r="W159" s="57"/>
      <c r="X159" s="57"/>
      <c r="Y159" s="57"/>
      <c r="Z159" s="57"/>
      <c r="AA159" s="57"/>
      <c r="AB159" s="57"/>
    </row>
    <row r="160">
      <c r="A160" s="243" t="s">
        <v>382</v>
      </c>
      <c r="B160" s="243" t="s">
        <v>382</v>
      </c>
      <c r="C160" s="281" t="s">
        <v>53</v>
      </c>
      <c r="D160" s="224"/>
      <c r="E160" s="227"/>
      <c r="F160" s="224"/>
      <c r="G160" s="208" t="s">
        <v>2384</v>
      </c>
      <c r="H160" s="227"/>
      <c r="I160" s="227"/>
      <c r="J160" s="245">
        <v>46062.0</v>
      </c>
      <c r="K160" s="246"/>
      <c r="L160" s="232" t="s">
        <v>69</v>
      </c>
      <c r="M160" s="232">
        <v>5.00306218E8</v>
      </c>
      <c r="N160" s="247">
        <v>3.07</v>
      </c>
      <c r="O160" s="276">
        <v>8.00052268E8</v>
      </c>
      <c r="P160" s="249" t="s">
        <v>59</v>
      </c>
      <c r="Q160" s="250" t="s">
        <v>59</v>
      </c>
      <c r="R160" s="235"/>
      <c r="S160" s="236"/>
      <c r="T160" s="237"/>
      <c r="U160" s="57"/>
      <c r="V160" s="57"/>
      <c r="W160" s="57"/>
      <c r="X160" s="57"/>
      <c r="Y160" s="57"/>
      <c r="Z160" s="57"/>
      <c r="AA160" s="57"/>
      <c r="AB160" s="57"/>
    </row>
    <row r="161">
      <c r="A161" s="243" t="s">
        <v>382</v>
      </c>
      <c r="B161" s="243" t="s">
        <v>382</v>
      </c>
      <c r="C161" s="281" t="s">
        <v>53</v>
      </c>
      <c r="D161" s="224"/>
      <c r="E161" s="227"/>
      <c r="F161" s="224"/>
      <c r="G161" s="208" t="s">
        <v>2385</v>
      </c>
      <c r="H161" s="227"/>
      <c r="I161" s="227"/>
      <c r="J161" s="245">
        <v>46062.0</v>
      </c>
      <c r="K161" s="246"/>
      <c r="L161" s="232" t="s">
        <v>69</v>
      </c>
      <c r="M161" s="232">
        <v>5.00306218E8</v>
      </c>
      <c r="N161" s="247">
        <v>3.07</v>
      </c>
      <c r="O161" s="276">
        <v>8.00052268E8</v>
      </c>
      <c r="P161" s="249" t="s">
        <v>59</v>
      </c>
      <c r="Q161" s="250" t="s">
        <v>59</v>
      </c>
      <c r="R161" s="235"/>
      <c r="S161" s="236"/>
      <c r="T161" s="237"/>
      <c r="U161" s="57"/>
      <c r="V161" s="57"/>
      <c r="W161" s="57"/>
      <c r="X161" s="57"/>
      <c r="Y161" s="57"/>
      <c r="Z161" s="57"/>
      <c r="AA161" s="57"/>
      <c r="AB161" s="57"/>
    </row>
    <row r="162">
      <c r="A162" s="243" t="s">
        <v>382</v>
      </c>
      <c r="B162" s="243" t="s">
        <v>382</v>
      </c>
      <c r="C162" s="281" t="s">
        <v>53</v>
      </c>
      <c r="D162" s="224"/>
      <c r="E162" s="227"/>
      <c r="F162" s="224"/>
      <c r="G162" s="208" t="s">
        <v>2386</v>
      </c>
      <c r="H162" s="227"/>
      <c r="I162" s="227"/>
      <c r="J162" s="245">
        <v>46062.0</v>
      </c>
      <c r="K162" s="246"/>
      <c r="L162" s="232" t="s">
        <v>69</v>
      </c>
      <c r="M162" s="232">
        <v>5.00306218E8</v>
      </c>
      <c r="N162" s="247">
        <v>0.99</v>
      </c>
      <c r="O162" s="276">
        <v>8.00052268E8</v>
      </c>
      <c r="P162" s="249" t="s">
        <v>59</v>
      </c>
      <c r="Q162" s="250" t="s">
        <v>59</v>
      </c>
      <c r="R162" s="235"/>
      <c r="S162" s="236"/>
      <c r="T162" s="237"/>
      <c r="U162" s="57"/>
      <c r="V162" s="57"/>
      <c r="W162" s="57"/>
      <c r="X162" s="57"/>
      <c r="Y162" s="57"/>
      <c r="Z162" s="57"/>
      <c r="AA162" s="57"/>
      <c r="AB162" s="57"/>
    </row>
    <row r="163">
      <c r="A163" s="243" t="s">
        <v>382</v>
      </c>
      <c r="B163" s="243" t="s">
        <v>382</v>
      </c>
      <c r="C163" s="281" t="s">
        <v>53</v>
      </c>
      <c r="D163" s="224"/>
      <c r="E163" s="227"/>
      <c r="F163" s="224"/>
      <c r="G163" s="208" t="s">
        <v>2055</v>
      </c>
      <c r="H163" s="227"/>
      <c r="I163" s="227"/>
      <c r="J163" s="245">
        <v>46062.0</v>
      </c>
      <c r="K163" s="246"/>
      <c r="L163" s="232" t="s">
        <v>69</v>
      </c>
      <c r="M163" s="232">
        <v>5.00306218E8</v>
      </c>
      <c r="N163" s="247">
        <v>0.99</v>
      </c>
      <c r="O163" s="276">
        <v>8.00052268E8</v>
      </c>
      <c r="P163" s="249" t="s">
        <v>59</v>
      </c>
      <c r="Q163" s="250" t="s">
        <v>59</v>
      </c>
      <c r="R163" s="235"/>
      <c r="S163" s="236"/>
      <c r="T163" s="237"/>
      <c r="U163" s="57"/>
      <c r="V163" s="57"/>
      <c r="W163" s="57"/>
      <c r="X163" s="57"/>
      <c r="Y163" s="57"/>
      <c r="Z163" s="57"/>
      <c r="AA163" s="57"/>
      <c r="AB163" s="57"/>
    </row>
    <row r="164">
      <c r="A164" s="243" t="s">
        <v>382</v>
      </c>
      <c r="B164" s="243" t="s">
        <v>382</v>
      </c>
      <c r="C164" s="281" t="s">
        <v>53</v>
      </c>
      <c r="D164" s="224"/>
      <c r="E164" s="227"/>
      <c r="F164" s="224"/>
      <c r="G164" s="208" t="s">
        <v>1858</v>
      </c>
      <c r="H164" s="227"/>
      <c r="I164" s="227"/>
      <c r="J164" s="245">
        <v>46062.0</v>
      </c>
      <c r="K164" s="246"/>
      <c r="L164" s="232" t="s">
        <v>69</v>
      </c>
      <c r="M164" s="232">
        <v>5.00306218E8</v>
      </c>
      <c r="N164" s="247">
        <v>0.99</v>
      </c>
      <c r="O164" s="276">
        <v>8.00052268E8</v>
      </c>
      <c r="P164" s="249" t="s">
        <v>59</v>
      </c>
      <c r="Q164" s="250" t="s">
        <v>59</v>
      </c>
      <c r="R164" s="235"/>
      <c r="S164" s="236"/>
      <c r="T164" s="237"/>
      <c r="U164" s="57"/>
      <c r="V164" s="57"/>
      <c r="W164" s="57"/>
      <c r="X164" s="57"/>
      <c r="Y164" s="57"/>
      <c r="Z164" s="57"/>
      <c r="AA164" s="57"/>
      <c r="AB164" s="57"/>
    </row>
    <row r="165">
      <c r="A165" s="243" t="s">
        <v>382</v>
      </c>
      <c r="B165" s="243" t="s">
        <v>382</v>
      </c>
      <c r="C165" s="238" t="s">
        <v>53</v>
      </c>
      <c r="D165" s="224"/>
      <c r="E165" s="227"/>
      <c r="F165" s="224"/>
      <c r="G165" s="208" t="s">
        <v>658</v>
      </c>
      <c r="H165" s="227"/>
      <c r="I165" s="227"/>
      <c r="J165" s="254">
        <v>46062.0</v>
      </c>
      <c r="K165" s="246"/>
      <c r="L165" s="239" t="s">
        <v>69</v>
      </c>
      <c r="M165" s="239">
        <v>5.00306218E8</v>
      </c>
      <c r="N165" s="241">
        <v>0.99</v>
      </c>
      <c r="O165" s="276">
        <v>8.00052268E8</v>
      </c>
      <c r="P165" s="249" t="s">
        <v>59</v>
      </c>
      <c r="Q165" s="250" t="s">
        <v>59</v>
      </c>
      <c r="R165" s="235"/>
      <c r="S165" s="236"/>
      <c r="T165" s="237"/>
      <c r="U165" s="57"/>
      <c r="V165" s="57"/>
      <c r="W165" s="57"/>
      <c r="X165" s="57"/>
      <c r="Y165" s="57"/>
      <c r="Z165" s="57"/>
      <c r="AA165" s="57"/>
      <c r="AB165" s="57"/>
    </row>
    <row r="166">
      <c r="A166" s="243" t="s">
        <v>382</v>
      </c>
      <c r="B166" s="243" t="s">
        <v>382</v>
      </c>
      <c r="C166" s="281" t="s">
        <v>53</v>
      </c>
      <c r="D166" s="224"/>
      <c r="E166" s="227"/>
      <c r="F166" s="224"/>
      <c r="G166" s="208" t="s">
        <v>601</v>
      </c>
      <c r="H166" s="227"/>
      <c r="I166" s="227"/>
      <c r="J166" s="245">
        <v>46062.0</v>
      </c>
      <c r="K166" s="246"/>
      <c r="L166" s="232" t="s">
        <v>69</v>
      </c>
      <c r="M166" s="232">
        <v>5.00306218E8</v>
      </c>
      <c r="N166" s="247">
        <v>0.99</v>
      </c>
      <c r="O166" s="276">
        <v>8.00052268E8</v>
      </c>
      <c r="P166" s="249" t="s">
        <v>59</v>
      </c>
      <c r="Q166" s="250" t="s">
        <v>59</v>
      </c>
      <c r="R166" s="235"/>
      <c r="S166" s="236"/>
      <c r="T166" s="237"/>
      <c r="U166" s="57"/>
      <c r="V166" s="57"/>
      <c r="W166" s="57"/>
      <c r="X166" s="57"/>
      <c r="Y166" s="57"/>
      <c r="Z166" s="57"/>
      <c r="AA166" s="57"/>
      <c r="AB166" s="57"/>
    </row>
    <row r="167">
      <c r="A167" s="243" t="s">
        <v>382</v>
      </c>
      <c r="B167" s="243" t="s">
        <v>382</v>
      </c>
      <c r="C167" s="281" t="s">
        <v>53</v>
      </c>
      <c r="D167" s="224"/>
      <c r="E167" s="227"/>
      <c r="F167" s="224"/>
      <c r="G167" s="208" t="s">
        <v>2388</v>
      </c>
      <c r="H167" s="227"/>
      <c r="I167" s="227"/>
      <c r="J167" s="245">
        <v>46062.0</v>
      </c>
      <c r="K167" s="246"/>
      <c r="L167" s="232" t="s">
        <v>69</v>
      </c>
      <c r="M167" s="232">
        <v>5.00306218E8</v>
      </c>
      <c r="N167" s="247">
        <v>0.99</v>
      </c>
      <c r="O167" s="276">
        <v>8.00052268E8</v>
      </c>
      <c r="P167" s="249" t="s">
        <v>59</v>
      </c>
      <c r="Q167" s="250" t="s">
        <v>59</v>
      </c>
      <c r="R167" s="235"/>
      <c r="S167" s="236"/>
      <c r="T167" s="237"/>
      <c r="U167" s="57"/>
      <c r="V167" s="57"/>
      <c r="W167" s="57"/>
      <c r="X167" s="57"/>
      <c r="Y167" s="57"/>
      <c r="Z167" s="57"/>
      <c r="AA167" s="57"/>
      <c r="AB167" s="57"/>
    </row>
    <row r="168">
      <c r="A168" s="243" t="s">
        <v>382</v>
      </c>
      <c r="B168" s="243" t="s">
        <v>382</v>
      </c>
      <c r="C168" s="281" t="s">
        <v>53</v>
      </c>
      <c r="D168" s="224"/>
      <c r="E168" s="227"/>
      <c r="F168" s="224"/>
      <c r="G168" s="208" t="s">
        <v>2359</v>
      </c>
      <c r="H168" s="227"/>
      <c r="I168" s="227"/>
      <c r="J168" s="245">
        <v>46062.0</v>
      </c>
      <c r="K168" s="246"/>
      <c r="L168" s="232" t="s">
        <v>69</v>
      </c>
      <c r="M168" s="232">
        <v>5.00306218E8</v>
      </c>
      <c r="N168" s="247">
        <v>0.99</v>
      </c>
      <c r="O168" s="276">
        <v>8.00052268E8</v>
      </c>
      <c r="P168" s="249" t="s">
        <v>59</v>
      </c>
      <c r="Q168" s="250" t="s">
        <v>59</v>
      </c>
      <c r="R168" s="235"/>
      <c r="S168" s="236"/>
      <c r="T168" s="237"/>
      <c r="U168" s="57"/>
      <c r="V168" s="57"/>
      <c r="W168" s="57"/>
      <c r="X168" s="57"/>
      <c r="Y168" s="57"/>
      <c r="Z168" s="57"/>
      <c r="AA168" s="57"/>
      <c r="AB168" s="57"/>
    </row>
    <row r="169">
      <c r="A169" s="243" t="s">
        <v>382</v>
      </c>
      <c r="B169" s="243" t="s">
        <v>382</v>
      </c>
      <c r="C169" s="281" t="s">
        <v>53</v>
      </c>
      <c r="D169" s="224"/>
      <c r="E169" s="227"/>
      <c r="F169" s="224"/>
      <c r="G169" s="208" t="s">
        <v>2169</v>
      </c>
      <c r="H169" s="227"/>
      <c r="I169" s="227"/>
      <c r="J169" s="245">
        <v>46062.0</v>
      </c>
      <c r="K169" s="246"/>
      <c r="L169" s="232" t="s">
        <v>69</v>
      </c>
      <c r="M169" s="232">
        <v>5.00306218E8</v>
      </c>
      <c r="N169" s="247">
        <v>0.99</v>
      </c>
      <c r="O169" s="276">
        <v>8.00052268E8</v>
      </c>
      <c r="P169" s="256" t="s">
        <v>59</v>
      </c>
      <c r="Q169" s="250" t="s">
        <v>59</v>
      </c>
      <c r="R169" s="235"/>
      <c r="S169" s="236"/>
      <c r="T169" s="237"/>
      <c r="U169" s="57"/>
      <c r="V169" s="57"/>
      <c r="W169" s="57"/>
      <c r="X169" s="57"/>
      <c r="Y169" s="57"/>
      <c r="Z169" s="57"/>
      <c r="AA169" s="57"/>
      <c r="AB169" s="57"/>
    </row>
    <row r="170">
      <c r="A170" s="243" t="s">
        <v>382</v>
      </c>
      <c r="B170" s="243" t="s">
        <v>382</v>
      </c>
      <c r="C170" s="268" t="s">
        <v>53</v>
      </c>
      <c r="D170" s="224"/>
      <c r="E170" s="227"/>
      <c r="F170" s="224"/>
      <c r="G170" s="274" t="s">
        <v>2390</v>
      </c>
      <c r="H170" s="227"/>
      <c r="I170" s="227"/>
      <c r="J170" s="275">
        <v>46062.0</v>
      </c>
      <c r="K170" s="246"/>
      <c r="L170" s="276" t="s">
        <v>69</v>
      </c>
      <c r="M170" s="276">
        <v>5.00306218E8</v>
      </c>
      <c r="N170" s="230">
        <v>8.04</v>
      </c>
      <c r="O170" s="276">
        <v>8.00052268E8</v>
      </c>
      <c r="P170" s="256" t="s">
        <v>59</v>
      </c>
      <c r="Q170" s="250" t="s">
        <v>59</v>
      </c>
      <c r="R170" s="235"/>
      <c r="S170" s="236"/>
      <c r="T170" s="237"/>
      <c r="U170" s="57"/>
      <c r="V170" s="57"/>
      <c r="W170" s="57"/>
      <c r="X170" s="57"/>
      <c r="Y170" s="57"/>
      <c r="Z170" s="57"/>
      <c r="AA170" s="57"/>
      <c r="AB170" s="57"/>
    </row>
    <row r="171">
      <c r="A171" s="243" t="s">
        <v>382</v>
      </c>
      <c r="B171" s="243" t="s">
        <v>382</v>
      </c>
      <c r="C171" s="268" t="s">
        <v>1518</v>
      </c>
      <c r="D171" s="224"/>
      <c r="E171" s="255" t="s">
        <v>35</v>
      </c>
      <c r="F171" s="232" t="s">
        <v>35</v>
      </c>
      <c r="G171" s="274" t="s">
        <v>2391</v>
      </c>
      <c r="H171" s="227"/>
      <c r="I171" s="227"/>
      <c r="J171" s="275">
        <v>46062.0</v>
      </c>
      <c r="K171" s="246"/>
      <c r="L171" s="276" t="s">
        <v>38</v>
      </c>
      <c r="M171" s="276">
        <v>520204.0</v>
      </c>
      <c r="N171" s="230">
        <v>157.7</v>
      </c>
      <c r="O171" s="276">
        <v>666561.0</v>
      </c>
      <c r="P171" s="256" t="s">
        <v>43</v>
      </c>
      <c r="Q171" s="250" t="s">
        <v>43</v>
      </c>
      <c r="R171" s="235"/>
      <c r="S171" s="236"/>
      <c r="T171" s="237"/>
      <c r="U171" s="57"/>
      <c r="V171" s="57"/>
      <c r="W171" s="57"/>
      <c r="X171" s="57"/>
      <c r="Y171" s="57"/>
      <c r="Z171" s="57"/>
      <c r="AA171" s="57"/>
      <c r="AB171" s="57"/>
    </row>
    <row r="172">
      <c r="A172" s="243" t="s">
        <v>382</v>
      </c>
      <c r="B172" s="243" t="s">
        <v>382</v>
      </c>
      <c r="C172" s="258" t="s">
        <v>53</v>
      </c>
      <c r="D172" s="224"/>
      <c r="E172" s="255" t="s">
        <v>35</v>
      </c>
      <c r="F172" s="232" t="s">
        <v>35</v>
      </c>
      <c r="G172" s="274" t="s">
        <v>2393</v>
      </c>
      <c r="H172" s="227"/>
      <c r="I172" s="227"/>
      <c r="J172" s="275">
        <v>46062.0</v>
      </c>
      <c r="K172" s="246"/>
      <c r="L172" s="276" t="s">
        <v>38</v>
      </c>
      <c r="M172" s="276">
        <v>520204.0</v>
      </c>
      <c r="N172" s="230">
        <v>157.7</v>
      </c>
      <c r="O172" s="276">
        <v>666561.0</v>
      </c>
      <c r="P172" s="256" t="s">
        <v>59</v>
      </c>
      <c r="Q172" s="250" t="s">
        <v>59</v>
      </c>
      <c r="R172" s="235"/>
      <c r="S172" s="236"/>
      <c r="T172" s="237"/>
      <c r="U172" s="57"/>
      <c r="V172" s="57"/>
      <c r="W172" s="57"/>
      <c r="X172" s="57"/>
      <c r="Y172" s="57"/>
      <c r="Z172" s="57"/>
      <c r="AA172" s="57"/>
      <c r="AB172" s="57"/>
    </row>
    <row r="173">
      <c r="A173" s="243" t="s">
        <v>382</v>
      </c>
      <c r="B173" s="243" t="s">
        <v>382</v>
      </c>
      <c r="C173" s="258" t="s">
        <v>1484</v>
      </c>
      <c r="D173" s="259" t="s">
        <v>1485</v>
      </c>
      <c r="E173" s="255" t="s">
        <v>35</v>
      </c>
      <c r="F173" s="232" t="s">
        <v>35</v>
      </c>
      <c r="G173" s="274" t="s">
        <v>2393</v>
      </c>
      <c r="H173" s="227"/>
      <c r="I173" s="227"/>
      <c r="J173" s="275">
        <v>46062.0</v>
      </c>
      <c r="K173" s="246"/>
      <c r="L173" s="276" t="s">
        <v>38</v>
      </c>
      <c r="M173" s="276">
        <v>520204.0</v>
      </c>
      <c r="N173" s="230">
        <v>157.7</v>
      </c>
      <c r="O173" s="276">
        <v>666561.0</v>
      </c>
      <c r="P173" s="256" t="s">
        <v>43</v>
      </c>
      <c r="Q173" s="250" t="s">
        <v>43</v>
      </c>
      <c r="R173" s="235"/>
      <c r="S173" s="236"/>
      <c r="T173" s="237"/>
      <c r="U173" s="57"/>
      <c r="V173" s="57"/>
      <c r="W173" s="57"/>
      <c r="X173" s="57"/>
      <c r="Y173" s="57"/>
      <c r="Z173" s="57"/>
      <c r="AA173" s="57"/>
      <c r="AB173" s="57"/>
    </row>
    <row r="174">
      <c r="A174" s="243" t="s">
        <v>382</v>
      </c>
      <c r="B174" s="243" t="s">
        <v>382</v>
      </c>
      <c r="C174" s="251" t="s">
        <v>1470</v>
      </c>
      <c r="D174" s="232">
        <v>5.70862619E9</v>
      </c>
      <c r="E174" s="232" t="s">
        <v>35</v>
      </c>
      <c r="F174" s="232" t="s">
        <v>35</v>
      </c>
      <c r="G174" s="239" t="s">
        <v>2395</v>
      </c>
      <c r="H174" s="228"/>
      <c r="I174" s="253"/>
      <c r="J174" s="245">
        <v>46062.0</v>
      </c>
      <c r="K174" s="246"/>
      <c r="L174" s="232" t="s">
        <v>38</v>
      </c>
      <c r="M174" s="232">
        <v>520204.0</v>
      </c>
      <c r="N174" s="247">
        <v>70.16</v>
      </c>
      <c r="O174" s="276">
        <v>666561.0</v>
      </c>
      <c r="P174" s="256" t="s">
        <v>43</v>
      </c>
      <c r="Q174" s="250" t="s">
        <v>43</v>
      </c>
      <c r="R174" s="235"/>
      <c r="S174" s="236"/>
      <c r="T174" s="237"/>
      <c r="U174" s="57"/>
      <c r="V174" s="57"/>
      <c r="W174" s="57"/>
      <c r="X174" s="57"/>
      <c r="Y174" s="57"/>
      <c r="Z174" s="57"/>
      <c r="AA174" s="57"/>
      <c r="AB174" s="57"/>
    </row>
    <row r="175">
      <c r="A175" s="243" t="s">
        <v>382</v>
      </c>
      <c r="B175" s="243" t="s">
        <v>382</v>
      </c>
      <c r="C175" s="252" t="s">
        <v>53</v>
      </c>
      <c r="D175" s="224"/>
      <c r="E175" s="224"/>
      <c r="F175" s="224"/>
      <c r="G175" s="239" t="s">
        <v>2396</v>
      </c>
      <c r="H175" s="227"/>
      <c r="I175" s="227"/>
      <c r="J175" s="245">
        <v>46062.0</v>
      </c>
      <c r="K175" s="246"/>
      <c r="L175" s="232" t="s">
        <v>38</v>
      </c>
      <c r="M175" s="232">
        <v>520204.0</v>
      </c>
      <c r="N175" s="247">
        <v>13.35</v>
      </c>
      <c r="O175" s="276">
        <v>666561.0</v>
      </c>
      <c r="P175" s="256" t="s">
        <v>59</v>
      </c>
      <c r="Q175" s="250" t="s">
        <v>59</v>
      </c>
      <c r="R175" s="235"/>
      <c r="S175" s="236"/>
      <c r="T175" s="237"/>
      <c r="U175" s="57"/>
      <c r="V175" s="57"/>
      <c r="W175" s="57"/>
      <c r="X175" s="57"/>
      <c r="Y175" s="57"/>
      <c r="Z175" s="57"/>
      <c r="AA175" s="57"/>
      <c r="AB175" s="57"/>
    </row>
    <row r="176">
      <c r="A176" s="243" t="s">
        <v>382</v>
      </c>
      <c r="B176" s="243" t="s">
        <v>382</v>
      </c>
      <c r="C176" s="252" t="s">
        <v>53</v>
      </c>
      <c r="D176" s="224"/>
      <c r="E176" s="227"/>
      <c r="F176" s="224"/>
      <c r="G176" s="208" t="s">
        <v>766</v>
      </c>
      <c r="H176" s="227"/>
      <c r="I176" s="227"/>
      <c r="J176" s="245">
        <v>46062.0</v>
      </c>
      <c r="K176" s="246"/>
      <c r="L176" s="232" t="s">
        <v>38</v>
      </c>
      <c r="M176" s="232">
        <v>520204.0</v>
      </c>
      <c r="N176" s="247">
        <v>13.3</v>
      </c>
      <c r="O176" s="276">
        <v>666561.0</v>
      </c>
      <c r="P176" s="256" t="s">
        <v>59</v>
      </c>
      <c r="Q176" s="250" t="s">
        <v>59</v>
      </c>
      <c r="R176" s="235"/>
      <c r="S176" s="236"/>
      <c r="T176" s="237"/>
      <c r="U176" s="57"/>
      <c r="V176" s="57"/>
      <c r="W176" s="57"/>
      <c r="X176" s="57"/>
      <c r="Y176" s="57"/>
      <c r="Z176" s="57"/>
      <c r="AA176" s="57"/>
      <c r="AB176" s="57"/>
    </row>
    <row r="177">
      <c r="A177" s="243" t="s">
        <v>382</v>
      </c>
      <c r="B177" s="243" t="s">
        <v>382</v>
      </c>
      <c r="C177" s="251" t="s">
        <v>53</v>
      </c>
      <c r="D177" s="224"/>
      <c r="E177" s="224"/>
      <c r="F177" s="224"/>
      <c r="G177" s="208" t="s">
        <v>2397</v>
      </c>
      <c r="H177" s="227"/>
      <c r="I177" s="227"/>
      <c r="J177" s="245">
        <v>46062.0</v>
      </c>
      <c r="K177" s="246"/>
      <c r="L177" s="232" t="s">
        <v>38</v>
      </c>
      <c r="M177" s="232">
        <v>520204.0</v>
      </c>
      <c r="N177" s="247">
        <v>14.25</v>
      </c>
      <c r="O177" s="276">
        <v>666561.0</v>
      </c>
      <c r="P177" s="256" t="s">
        <v>59</v>
      </c>
      <c r="Q177" s="250" t="s">
        <v>59</v>
      </c>
      <c r="R177" s="235"/>
      <c r="S177" s="236"/>
      <c r="T177" s="237"/>
      <c r="U177" s="57"/>
      <c r="V177" s="57"/>
      <c r="W177" s="57"/>
      <c r="X177" s="57"/>
      <c r="Y177" s="57"/>
      <c r="Z177" s="57"/>
      <c r="AA177" s="57"/>
      <c r="AB177" s="57"/>
    </row>
    <row r="178">
      <c r="A178" s="243" t="s">
        <v>382</v>
      </c>
      <c r="B178" s="243" t="s">
        <v>382</v>
      </c>
      <c r="C178" s="251" t="s">
        <v>2641</v>
      </c>
      <c r="D178" s="232">
        <v>5.705912726E9</v>
      </c>
      <c r="E178" s="232" t="s">
        <v>35</v>
      </c>
      <c r="F178" s="232" t="s">
        <v>35</v>
      </c>
      <c r="G178" s="239" t="s">
        <v>2398</v>
      </c>
      <c r="H178" s="228"/>
      <c r="I178" s="293" t="s">
        <v>2642</v>
      </c>
      <c r="J178" s="245">
        <v>46062.0</v>
      </c>
      <c r="K178" s="246"/>
      <c r="L178" s="232" t="s">
        <v>38</v>
      </c>
      <c r="M178" s="232">
        <v>520204.0</v>
      </c>
      <c r="N178" s="247">
        <v>99.28</v>
      </c>
      <c r="O178" s="276">
        <v>666561.0</v>
      </c>
      <c r="P178" s="256" t="s">
        <v>59</v>
      </c>
      <c r="Q178" s="250" t="s">
        <v>59</v>
      </c>
      <c r="R178" s="235"/>
      <c r="S178" s="236"/>
      <c r="T178" s="237"/>
      <c r="U178" s="57"/>
      <c r="V178" s="57"/>
      <c r="W178" s="57"/>
      <c r="X178" s="57"/>
      <c r="Y178" s="57"/>
      <c r="Z178" s="57"/>
      <c r="AA178" s="57"/>
      <c r="AB178" s="57"/>
    </row>
    <row r="179">
      <c r="A179" s="243" t="s">
        <v>382</v>
      </c>
      <c r="B179" s="243" t="s">
        <v>382</v>
      </c>
      <c r="C179" s="252" t="s">
        <v>53</v>
      </c>
      <c r="D179" s="224"/>
      <c r="E179" s="232" t="s">
        <v>35</v>
      </c>
      <c r="F179" s="232" t="s">
        <v>35</v>
      </c>
      <c r="G179" s="239" t="s">
        <v>2399</v>
      </c>
      <c r="H179" s="228"/>
      <c r="I179" s="253"/>
      <c r="J179" s="245">
        <v>46062.0</v>
      </c>
      <c r="K179" s="246"/>
      <c r="L179" s="232" t="s">
        <v>38</v>
      </c>
      <c r="M179" s="232">
        <v>520204.0</v>
      </c>
      <c r="N179" s="247">
        <v>8.17</v>
      </c>
      <c r="O179" s="276">
        <v>666561.0</v>
      </c>
      <c r="P179" s="256" t="s">
        <v>59</v>
      </c>
      <c r="Q179" s="250" t="s">
        <v>59</v>
      </c>
      <c r="R179" s="235"/>
      <c r="S179" s="236"/>
      <c r="T179" s="237"/>
      <c r="U179" s="57"/>
      <c r="V179" s="57"/>
      <c r="W179" s="57"/>
      <c r="X179" s="57"/>
      <c r="Y179" s="57"/>
      <c r="Z179" s="57"/>
      <c r="AA179" s="57"/>
      <c r="AB179" s="57"/>
    </row>
    <row r="180">
      <c r="A180" s="243" t="s">
        <v>382</v>
      </c>
      <c r="B180" s="243" t="s">
        <v>382</v>
      </c>
      <c r="C180" s="252" t="s">
        <v>53</v>
      </c>
      <c r="D180" s="224"/>
      <c r="E180" s="255" t="s">
        <v>35</v>
      </c>
      <c r="F180" s="232" t="s">
        <v>35</v>
      </c>
      <c r="G180" s="239" t="s">
        <v>2400</v>
      </c>
      <c r="H180" s="227"/>
      <c r="I180" s="227"/>
      <c r="J180" s="245">
        <v>46062.0</v>
      </c>
      <c r="K180" s="246"/>
      <c r="L180" s="232" t="s">
        <v>38</v>
      </c>
      <c r="M180" s="232">
        <v>520204.0</v>
      </c>
      <c r="N180" s="247">
        <v>5.51</v>
      </c>
      <c r="O180" s="276">
        <v>666561.0</v>
      </c>
      <c r="P180" s="256" t="s">
        <v>59</v>
      </c>
      <c r="Q180" s="250" t="s">
        <v>59</v>
      </c>
      <c r="R180" s="235"/>
      <c r="S180" s="236"/>
      <c r="T180" s="237"/>
      <c r="U180" s="57"/>
      <c r="V180" s="57"/>
      <c r="W180" s="57"/>
      <c r="X180" s="57"/>
      <c r="Y180" s="57"/>
      <c r="Z180" s="57"/>
      <c r="AA180" s="57"/>
      <c r="AB180" s="57"/>
    </row>
    <row r="181">
      <c r="A181" s="243" t="s">
        <v>382</v>
      </c>
      <c r="B181" s="243" t="s">
        <v>382</v>
      </c>
      <c r="C181" s="279" t="s">
        <v>2647</v>
      </c>
      <c r="D181" s="259" t="s">
        <v>2648</v>
      </c>
      <c r="E181" s="255" t="s">
        <v>41</v>
      </c>
      <c r="F181" s="232" t="s">
        <v>41</v>
      </c>
      <c r="G181" s="260" t="s">
        <v>2402</v>
      </c>
      <c r="H181" s="227"/>
      <c r="I181" s="227"/>
      <c r="J181" s="233">
        <v>46062.0</v>
      </c>
      <c r="K181" s="246"/>
      <c r="L181" s="259" t="s">
        <v>38</v>
      </c>
      <c r="M181" s="259">
        <v>520204.0</v>
      </c>
      <c r="N181" s="261">
        <v>132.15</v>
      </c>
      <c r="O181" s="276">
        <v>666561.0</v>
      </c>
      <c r="P181" s="256" t="s">
        <v>43</v>
      </c>
      <c r="Q181" s="250" t="s">
        <v>43</v>
      </c>
      <c r="R181" s="235"/>
      <c r="S181" s="236"/>
      <c r="T181" s="237"/>
      <c r="U181" s="57"/>
      <c r="V181" s="57"/>
      <c r="W181" s="57"/>
      <c r="X181" s="57"/>
      <c r="Y181" s="57"/>
      <c r="Z181" s="57"/>
      <c r="AA181" s="57"/>
      <c r="AB181" s="57"/>
    </row>
    <row r="182">
      <c r="A182" s="243" t="s">
        <v>382</v>
      </c>
      <c r="B182" s="243" t="s">
        <v>382</v>
      </c>
      <c r="C182" s="258" t="s">
        <v>2650</v>
      </c>
      <c r="D182" s="259" t="s">
        <v>2651</v>
      </c>
      <c r="E182" s="255" t="s">
        <v>41</v>
      </c>
      <c r="F182" s="232" t="s">
        <v>41</v>
      </c>
      <c r="G182" s="260" t="s">
        <v>2403</v>
      </c>
      <c r="H182" s="227"/>
      <c r="I182" s="227"/>
      <c r="J182" s="233">
        <v>46062.0</v>
      </c>
      <c r="K182" s="246"/>
      <c r="L182" s="259" t="s">
        <v>38</v>
      </c>
      <c r="M182" s="259">
        <v>520204.0</v>
      </c>
      <c r="N182" s="261">
        <v>154.09</v>
      </c>
      <c r="O182" s="276">
        <v>666561.0</v>
      </c>
      <c r="P182" s="256" t="s">
        <v>43</v>
      </c>
      <c r="Q182" s="250" t="s">
        <v>43</v>
      </c>
      <c r="R182" s="235"/>
      <c r="S182" s="236"/>
      <c r="T182" s="237"/>
      <c r="U182" s="57"/>
      <c r="V182" s="57"/>
      <c r="W182" s="57"/>
      <c r="X182" s="57"/>
      <c r="Y182" s="57"/>
      <c r="Z182" s="57"/>
      <c r="AA182" s="57"/>
      <c r="AB182" s="57"/>
    </row>
    <row r="183">
      <c r="A183" s="243" t="s">
        <v>382</v>
      </c>
      <c r="B183" s="243" t="s">
        <v>382</v>
      </c>
      <c r="C183" s="279" t="s">
        <v>2652</v>
      </c>
      <c r="D183" s="259">
        <v>5.70877982E9</v>
      </c>
      <c r="E183" s="232" t="s">
        <v>41</v>
      </c>
      <c r="F183" s="232" t="s">
        <v>41</v>
      </c>
      <c r="G183" s="260" t="s">
        <v>2404</v>
      </c>
      <c r="H183" s="228"/>
      <c r="I183" s="253"/>
      <c r="J183" s="233">
        <v>46062.0</v>
      </c>
      <c r="K183" s="246"/>
      <c r="L183" s="259" t="s">
        <v>38</v>
      </c>
      <c r="M183" s="259">
        <v>520204.0</v>
      </c>
      <c r="N183" s="261">
        <v>150.58</v>
      </c>
      <c r="O183" s="276">
        <v>666561.0</v>
      </c>
      <c r="P183" s="256" t="s">
        <v>43</v>
      </c>
      <c r="Q183" s="250" t="s">
        <v>43</v>
      </c>
      <c r="R183" s="235"/>
      <c r="S183" s="236"/>
      <c r="T183" s="237"/>
      <c r="U183" s="57"/>
      <c r="V183" s="57"/>
      <c r="W183" s="57"/>
      <c r="X183" s="57"/>
      <c r="Y183" s="57"/>
      <c r="Z183" s="57"/>
      <c r="AA183" s="57"/>
      <c r="AB183" s="57"/>
    </row>
    <row r="184">
      <c r="A184" s="243" t="s">
        <v>382</v>
      </c>
      <c r="B184" s="243" t="s">
        <v>382</v>
      </c>
      <c r="C184" s="279" t="s">
        <v>2652</v>
      </c>
      <c r="D184" s="259">
        <v>5.70877982E9</v>
      </c>
      <c r="E184" s="232" t="s">
        <v>41</v>
      </c>
      <c r="F184" s="232" t="s">
        <v>41</v>
      </c>
      <c r="G184" s="260" t="s">
        <v>2405</v>
      </c>
      <c r="H184" s="240"/>
      <c r="I184" s="227"/>
      <c r="J184" s="233">
        <v>46062.0</v>
      </c>
      <c r="K184" s="246"/>
      <c r="L184" s="259" t="s">
        <v>38</v>
      </c>
      <c r="M184" s="259">
        <v>520204.0</v>
      </c>
      <c r="N184" s="261">
        <v>50.11</v>
      </c>
      <c r="O184" s="276">
        <v>666561.0</v>
      </c>
      <c r="P184" s="256" t="s">
        <v>43</v>
      </c>
      <c r="Q184" s="250" t="s">
        <v>43</v>
      </c>
      <c r="R184" s="235"/>
      <c r="S184" s="236"/>
      <c r="T184" s="237"/>
      <c r="U184" s="57"/>
      <c r="V184" s="57"/>
      <c r="W184" s="57"/>
      <c r="X184" s="57"/>
      <c r="Y184" s="57"/>
      <c r="Z184" s="57"/>
      <c r="AA184" s="57"/>
      <c r="AB184" s="57"/>
    </row>
    <row r="185">
      <c r="A185" s="243" t="s">
        <v>382</v>
      </c>
      <c r="B185" s="243" t="s">
        <v>382</v>
      </c>
      <c r="C185" s="279" t="s">
        <v>53</v>
      </c>
      <c r="D185" s="224"/>
      <c r="E185" s="232" t="s">
        <v>41</v>
      </c>
      <c r="F185" s="232" t="s">
        <v>41</v>
      </c>
      <c r="G185" s="260" t="s">
        <v>2406</v>
      </c>
      <c r="H185" s="240"/>
      <c r="I185" s="227"/>
      <c r="J185" s="233">
        <v>46062.0</v>
      </c>
      <c r="K185" s="246"/>
      <c r="L185" s="259" t="s">
        <v>38</v>
      </c>
      <c r="M185" s="259">
        <v>520204.0</v>
      </c>
      <c r="N185" s="261">
        <v>132.15</v>
      </c>
      <c r="O185" s="276">
        <v>666561.0</v>
      </c>
      <c r="P185" s="256" t="s">
        <v>59</v>
      </c>
      <c r="Q185" s="250" t="s">
        <v>59</v>
      </c>
      <c r="R185" s="235"/>
      <c r="S185" s="236"/>
      <c r="T185" s="237"/>
      <c r="U185" s="57"/>
      <c r="V185" s="57"/>
      <c r="W185" s="57"/>
      <c r="X185" s="57"/>
      <c r="Y185" s="57"/>
      <c r="Z185" s="57"/>
      <c r="AA185" s="57"/>
      <c r="AB185" s="57"/>
    </row>
    <row r="186">
      <c r="A186" s="243" t="s">
        <v>382</v>
      </c>
      <c r="B186" s="243" t="s">
        <v>382</v>
      </c>
      <c r="C186" s="262" t="s">
        <v>2654</v>
      </c>
      <c r="D186" s="263" t="s">
        <v>1482</v>
      </c>
      <c r="E186" s="232" t="s">
        <v>35</v>
      </c>
      <c r="F186" s="232" t="s">
        <v>35</v>
      </c>
      <c r="G186" s="239" t="s">
        <v>2407</v>
      </c>
      <c r="H186" s="228"/>
      <c r="I186" s="253"/>
      <c r="J186" s="245">
        <v>46062.0</v>
      </c>
      <c r="K186" s="246"/>
      <c r="L186" s="232" t="s">
        <v>38</v>
      </c>
      <c r="M186" s="232">
        <v>520204.0</v>
      </c>
      <c r="N186" s="247">
        <v>114.0</v>
      </c>
      <c r="O186" s="276">
        <v>666561.0</v>
      </c>
      <c r="P186" s="256" t="s">
        <v>43</v>
      </c>
      <c r="Q186" s="250" t="s">
        <v>43</v>
      </c>
      <c r="R186" s="235"/>
      <c r="S186" s="236"/>
      <c r="T186" s="237"/>
      <c r="U186" s="57"/>
      <c r="V186" s="57"/>
      <c r="W186" s="57"/>
      <c r="X186" s="57"/>
      <c r="Y186" s="57"/>
      <c r="Z186" s="57"/>
      <c r="AA186" s="57"/>
      <c r="AB186" s="57"/>
    </row>
    <row r="187">
      <c r="A187" s="243" t="s">
        <v>382</v>
      </c>
      <c r="B187" s="243" t="s">
        <v>382</v>
      </c>
      <c r="C187" s="262" t="s">
        <v>73</v>
      </c>
      <c r="D187" s="224"/>
      <c r="E187" s="294" t="s">
        <v>35</v>
      </c>
      <c r="F187" s="232" t="s">
        <v>35</v>
      </c>
      <c r="G187" s="264" t="s">
        <v>481</v>
      </c>
      <c r="H187" s="227"/>
      <c r="I187" s="227"/>
      <c r="J187" s="265">
        <v>46062.0</v>
      </c>
      <c r="K187" s="246"/>
      <c r="L187" s="263" t="s">
        <v>38</v>
      </c>
      <c r="M187" s="263">
        <v>520204.0</v>
      </c>
      <c r="N187" s="266">
        <v>141.88</v>
      </c>
      <c r="O187" s="276">
        <v>666561.0</v>
      </c>
      <c r="P187" s="256" t="s">
        <v>43</v>
      </c>
      <c r="Q187" s="250" t="s">
        <v>43</v>
      </c>
      <c r="R187" s="235"/>
      <c r="S187" s="236"/>
      <c r="T187" s="237"/>
      <c r="U187" s="57"/>
      <c r="V187" s="57"/>
      <c r="W187" s="57"/>
      <c r="X187" s="57"/>
      <c r="Y187" s="57"/>
      <c r="Z187" s="57"/>
      <c r="AA187" s="57"/>
      <c r="AB187" s="57"/>
    </row>
    <row r="188">
      <c r="A188" s="243" t="s">
        <v>382</v>
      </c>
      <c r="B188" s="243" t="s">
        <v>382</v>
      </c>
      <c r="C188" s="262" t="s">
        <v>53</v>
      </c>
      <c r="D188" s="224"/>
      <c r="E188" s="291" t="s">
        <v>41</v>
      </c>
      <c r="F188" s="232" t="s">
        <v>41</v>
      </c>
      <c r="G188" s="264" t="s">
        <v>481</v>
      </c>
      <c r="H188" s="227"/>
      <c r="I188" s="227"/>
      <c r="J188" s="265">
        <v>46062.0</v>
      </c>
      <c r="K188" s="246"/>
      <c r="L188" s="263" t="s">
        <v>38</v>
      </c>
      <c r="M188" s="263">
        <v>520204.0</v>
      </c>
      <c r="N188" s="266">
        <v>141.88</v>
      </c>
      <c r="O188" s="276">
        <v>666561.0</v>
      </c>
      <c r="P188" s="256" t="s">
        <v>59</v>
      </c>
      <c r="Q188" s="250" t="s">
        <v>59</v>
      </c>
      <c r="R188" s="235"/>
      <c r="S188" s="236"/>
      <c r="T188" s="237"/>
      <c r="U188" s="57"/>
      <c r="V188" s="57"/>
      <c r="W188" s="57"/>
      <c r="X188" s="57"/>
      <c r="Y188" s="57"/>
      <c r="Z188" s="57"/>
      <c r="AA188" s="57"/>
      <c r="AB188" s="57"/>
    </row>
    <row r="189">
      <c r="A189" s="243" t="s">
        <v>382</v>
      </c>
      <c r="B189" s="243" t="s">
        <v>382</v>
      </c>
      <c r="C189" s="262" t="s">
        <v>53</v>
      </c>
      <c r="D189" s="224"/>
      <c r="E189" s="291" t="s">
        <v>41</v>
      </c>
      <c r="F189" s="232" t="s">
        <v>41</v>
      </c>
      <c r="G189" s="264" t="s">
        <v>2411</v>
      </c>
      <c r="H189" s="227"/>
      <c r="I189" s="227"/>
      <c r="J189" s="265">
        <v>46062.0</v>
      </c>
      <c r="K189" s="246"/>
      <c r="L189" s="263" t="s">
        <v>38</v>
      </c>
      <c r="M189" s="263">
        <v>520204.0</v>
      </c>
      <c r="N189" s="266">
        <v>158.94</v>
      </c>
      <c r="O189" s="276">
        <v>666561.0</v>
      </c>
      <c r="P189" s="256" t="s">
        <v>59</v>
      </c>
      <c r="Q189" s="250" t="s">
        <v>59</v>
      </c>
      <c r="R189" s="235"/>
      <c r="S189" s="236"/>
      <c r="T189" s="237"/>
      <c r="U189" s="57"/>
      <c r="V189" s="57"/>
      <c r="W189" s="57"/>
      <c r="X189" s="57"/>
      <c r="Y189" s="57"/>
      <c r="Z189" s="57"/>
      <c r="AA189" s="57"/>
      <c r="AB189" s="57"/>
    </row>
    <row r="190">
      <c r="A190" s="243" t="s">
        <v>382</v>
      </c>
      <c r="B190" s="243" t="s">
        <v>382</v>
      </c>
      <c r="C190" s="238" t="s">
        <v>53</v>
      </c>
      <c r="D190" s="224"/>
      <c r="E190" s="227"/>
      <c r="F190" s="224"/>
      <c r="G190" s="208" t="s">
        <v>2412</v>
      </c>
      <c r="H190" s="227"/>
      <c r="I190" s="227"/>
      <c r="J190" s="245">
        <v>46065.0</v>
      </c>
      <c r="K190" s="246"/>
      <c r="L190" s="232" t="s">
        <v>38</v>
      </c>
      <c r="M190" s="232">
        <v>520942.0</v>
      </c>
      <c r="N190" s="247">
        <v>3.14</v>
      </c>
      <c r="O190" s="232">
        <v>667549.0</v>
      </c>
      <c r="P190" s="256" t="s">
        <v>59</v>
      </c>
      <c r="Q190" s="250" t="s">
        <v>59</v>
      </c>
      <c r="R190" s="235"/>
      <c r="S190" s="236"/>
      <c r="T190" s="237"/>
      <c r="U190" s="57"/>
      <c r="V190" s="57"/>
      <c r="W190" s="57"/>
      <c r="X190" s="57"/>
      <c r="Y190" s="57"/>
      <c r="Z190" s="57"/>
      <c r="AA190" s="57"/>
      <c r="AB190" s="57"/>
    </row>
    <row r="191">
      <c r="A191" s="243" t="s">
        <v>382</v>
      </c>
      <c r="B191" s="243" t="s">
        <v>382</v>
      </c>
      <c r="C191" s="281" t="s">
        <v>53</v>
      </c>
      <c r="D191" s="224"/>
      <c r="E191" s="227"/>
      <c r="F191" s="224"/>
      <c r="G191" s="208" t="s">
        <v>2413</v>
      </c>
      <c r="H191" s="227"/>
      <c r="I191" s="227"/>
      <c r="J191" s="245">
        <v>46065.0</v>
      </c>
      <c r="K191" s="246"/>
      <c r="L191" s="232" t="s">
        <v>38</v>
      </c>
      <c r="M191" s="232">
        <v>520942.0</v>
      </c>
      <c r="N191" s="247">
        <v>3.33</v>
      </c>
      <c r="O191" s="232">
        <v>667549.0</v>
      </c>
      <c r="P191" s="256" t="s">
        <v>59</v>
      </c>
      <c r="Q191" s="250" t="s">
        <v>59</v>
      </c>
      <c r="R191" s="235"/>
      <c r="S191" s="236"/>
      <c r="T191" s="237"/>
      <c r="U191" s="57"/>
      <c r="V191" s="57"/>
      <c r="W191" s="57"/>
      <c r="X191" s="57"/>
      <c r="Y191" s="57"/>
      <c r="Z191" s="57"/>
      <c r="AA191" s="57"/>
      <c r="AB191" s="57"/>
    </row>
    <row r="192">
      <c r="A192" s="243" t="s">
        <v>382</v>
      </c>
      <c r="B192" s="243" t="s">
        <v>382</v>
      </c>
      <c r="C192" s="281" t="s">
        <v>53</v>
      </c>
      <c r="D192" s="224"/>
      <c r="E192" s="227"/>
      <c r="F192" s="224"/>
      <c r="G192" s="208" t="s">
        <v>2414</v>
      </c>
      <c r="H192" s="227"/>
      <c r="I192" s="227"/>
      <c r="J192" s="254">
        <v>46065.0</v>
      </c>
      <c r="K192" s="246"/>
      <c r="L192" s="239" t="s">
        <v>38</v>
      </c>
      <c r="M192" s="239">
        <v>520942.0</v>
      </c>
      <c r="N192" s="241">
        <v>3.33</v>
      </c>
      <c r="O192" s="239">
        <v>667549.0</v>
      </c>
      <c r="P192" s="256" t="s">
        <v>59</v>
      </c>
      <c r="Q192" s="250" t="s">
        <v>59</v>
      </c>
      <c r="R192" s="235"/>
      <c r="S192" s="236"/>
      <c r="T192" s="237"/>
      <c r="U192" s="57"/>
      <c r="V192" s="57"/>
      <c r="W192" s="57"/>
      <c r="X192" s="57"/>
      <c r="Y192" s="57"/>
      <c r="Z192" s="57"/>
      <c r="AA192" s="57"/>
      <c r="AB192" s="57"/>
    </row>
    <row r="193">
      <c r="A193" s="243" t="s">
        <v>382</v>
      </c>
      <c r="B193" s="243" t="s">
        <v>382</v>
      </c>
      <c r="C193" s="262" t="s">
        <v>53</v>
      </c>
      <c r="D193" s="224"/>
      <c r="E193" s="291" t="s">
        <v>41</v>
      </c>
      <c r="F193" s="232" t="s">
        <v>41</v>
      </c>
      <c r="G193" s="264" t="s">
        <v>2415</v>
      </c>
      <c r="H193" s="227"/>
      <c r="I193" s="227"/>
      <c r="J193" s="265">
        <v>46065.0</v>
      </c>
      <c r="K193" s="246"/>
      <c r="L193" s="263" t="s">
        <v>38</v>
      </c>
      <c r="M193" s="263">
        <v>520942.0</v>
      </c>
      <c r="N193" s="266">
        <v>156.51</v>
      </c>
      <c r="O193" s="263">
        <v>667549.0</v>
      </c>
      <c r="P193" s="256" t="s">
        <v>59</v>
      </c>
      <c r="Q193" s="250" t="s">
        <v>59</v>
      </c>
      <c r="R193" s="235"/>
      <c r="S193" s="236"/>
      <c r="T193" s="237"/>
      <c r="U193" s="57"/>
      <c r="V193" s="57"/>
      <c r="W193" s="57"/>
      <c r="X193" s="57"/>
      <c r="Y193" s="57"/>
      <c r="Z193" s="57"/>
      <c r="AA193" s="57"/>
      <c r="AB193" s="57"/>
    </row>
    <row r="194">
      <c r="A194" s="243" t="s">
        <v>382</v>
      </c>
      <c r="B194" s="243" t="s">
        <v>382</v>
      </c>
      <c r="C194" s="268" t="s">
        <v>2656</v>
      </c>
      <c r="D194" s="224"/>
      <c r="E194" s="255" t="s">
        <v>41</v>
      </c>
      <c r="F194" s="232" t="s">
        <v>41</v>
      </c>
      <c r="G194" s="239" t="s">
        <v>677</v>
      </c>
      <c r="H194" s="227"/>
      <c r="I194" s="227"/>
      <c r="J194" s="254">
        <v>46065.0</v>
      </c>
      <c r="K194" s="246"/>
      <c r="L194" s="239" t="s">
        <v>38</v>
      </c>
      <c r="M194" s="239">
        <v>520942.0</v>
      </c>
      <c r="N194" s="241">
        <v>95.62</v>
      </c>
      <c r="O194" s="239">
        <v>667549.0</v>
      </c>
      <c r="P194" s="256" t="s">
        <v>43</v>
      </c>
      <c r="Q194" s="250" t="s">
        <v>43</v>
      </c>
      <c r="R194" s="235"/>
      <c r="S194" s="236"/>
      <c r="T194" s="237"/>
      <c r="U194" s="57"/>
      <c r="V194" s="57"/>
      <c r="W194" s="57"/>
      <c r="X194" s="57"/>
      <c r="Y194" s="57"/>
      <c r="Z194" s="57"/>
      <c r="AA194" s="57"/>
      <c r="AB194" s="57"/>
    </row>
    <row r="195">
      <c r="A195" s="243" t="s">
        <v>382</v>
      </c>
      <c r="B195" s="243" t="s">
        <v>382</v>
      </c>
      <c r="C195" s="268" t="s">
        <v>2659</v>
      </c>
      <c r="D195" s="232" t="s">
        <v>2660</v>
      </c>
      <c r="E195" s="232" t="s">
        <v>35</v>
      </c>
      <c r="F195" s="232" t="s">
        <v>35</v>
      </c>
      <c r="G195" s="239" t="s">
        <v>2416</v>
      </c>
      <c r="H195" s="228"/>
      <c r="I195" s="253"/>
      <c r="J195" s="245">
        <v>46065.0</v>
      </c>
      <c r="K195" s="246"/>
      <c r="L195" s="232" t="s">
        <v>38</v>
      </c>
      <c r="M195" s="232">
        <v>520942.0</v>
      </c>
      <c r="N195" s="247">
        <v>50.11</v>
      </c>
      <c r="O195" s="232">
        <v>667549.0</v>
      </c>
      <c r="P195" s="256" t="s">
        <v>43</v>
      </c>
      <c r="Q195" s="250" t="s">
        <v>43</v>
      </c>
      <c r="R195" s="235"/>
      <c r="S195" s="236"/>
      <c r="T195" s="237"/>
      <c r="U195" s="57"/>
      <c r="V195" s="57"/>
      <c r="W195" s="57"/>
      <c r="X195" s="57"/>
      <c r="Y195" s="57"/>
      <c r="Z195" s="57"/>
      <c r="AA195" s="57"/>
      <c r="AB195" s="57"/>
    </row>
    <row r="196">
      <c r="A196" s="243" t="s">
        <v>382</v>
      </c>
      <c r="B196" s="243" t="s">
        <v>382</v>
      </c>
      <c r="C196" s="268" t="s">
        <v>2659</v>
      </c>
      <c r="D196" s="232" t="s">
        <v>2660</v>
      </c>
      <c r="E196" s="232" t="s">
        <v>35</v>
      </c>
      <c r="F196" s="232" t="s">
        <v>35</v>
      </c>
      <c r="G196" s="239" t="s">
        <v>2417</v>
      </c>
      <c r="H196" s="228"/>
      <c r="I196" s="253"/>
      <c r="J196" s="245">
        <v>46065.0</v>
      </c>
      <c r="K196" s="246"/>
      <c r="L196" s="232" t="s">
        <v>38</v>
      </c>
      <c r="M196" s="232">
        <v>520942.0</v>
      </c>
      <c r="N196" s="247">
        <v>42.47</v>
      </c>
      <c r="O196" s="232">
        <v>667549.0</v>
      </c>
      <c r="P196" s="256" t="s">
        <v>43</v>
      </c>
      <c r="Q196" s="250" t="s">
        <v>43</v>
      </c>
      <c r="R196" s="235"/>
      <c r="S196" s="235"/>
      <c r="T196" s="237"/>
      <c r="U196" s="57"/>
      <c r="V196" s="57"/>
      <c r="W196" s="57"/>
      <c r="X196" s="57"/>
      <c r="Y196" s="57"/>
      <c r="Z196" s="57"/>
      <c r="AA196" s="57"/>
      <c r="AB196" s="57"/>
    </row>
    <row r="197">
      <c r="A197" s="243" t="s">
        <v>382</v>
      </c>
      <c r="B197" s="243" t="s">
        <v>382</v>
      </c>
      <c r="C197" s="268" t="s">
        <v>2663</v>
      </c>
      <c r="D197" s="232" t="s">
        <v>2664</v>
      </c>
      <c r="E197" s="232" t="s">
        <v>35</v>
      </c>
      <c r="F197" s="232" t="s">
        <v>35</v>
      </c>
      <c r="G197" s="239" t="s">
        <v>2418</v>
      </c>
      <c r="H197" s="228"/>
      <c r="I197" s="228"/>
      <c r="J197" s="254">
        <v>46065.0</v>
      </c>
      <c r="K197" s="246"/>
      <c r="L197" s="239" t="s">
        <v>38</v>
      </c>
      <c r="M197" s="239">
        <v>520942.0</v>
      </c>
      <c r="N197" s="241">
        <v>50.11</v>
      </c>
      <c r="O197" s="239">
        <v>667549.0</v>
      </c>
      <c r="P197" s="256" t="s">
        <v>43</v>
      </c>
      <c r="Q197" s="250" t="s">
        <v>43</v>
      </c>
      <c r="R197" s="235"/>
      <c r="S197" s="236"/>
      <c r="T197" s="237"/>
      <c r="U197" s="57"/>
      <c r="V197" s="57"/>
      <c r="W197" s="57"/>
      <c r="X197" s="57"/>
      <c r="Y197" s="57"/>
      <c r="Z197" s="57"/>
      <c r="AA197" s="57"/>
      <c r="AB197" s="57"/>
    </row>
    <row r="198">
      <c r="A198" s="243" t="s">
        <v>382</v>
      </c>
      <c r="B198" s="243" t="s">
        <v>382</v>
      </c>
      <c r="C198" s="268" t="s">
        <v>2663</v>
      </c>
      <c r="D198" s="232" t="s">
        <v>2664</v>
      </c>
      <c r="E198" s="232" t="s">
        <v>35</v>
      </c>
      <c r="F198" s="232" t="s">
        <v>35</v>
      </c>
      <c r="G198" s="239" t="s">
        <v>2419</v>
      </c>
      <c r="H198" s="228"/>
      <c r="I198" s="228"/>
      <c r="J198" s="245">
        <v>46065.0</v>
      </c>
      <c r="K198" s="246"/>
      <c r="L198" s="232" t="s">
        <v>38</v>
      </c>
      <c r="M198" s="232">
        <v>520942.0</v>
      </c>
      <c r="N198" s="247">
        <v>42.47</v>
      </c>
      <c r="O198" s="232">
        <v>667549.0</v>
      </c>
      <c r="P198" s="256" t="s">
        <v>43</v>
      </c>
      <c r="Q198" s="250" t="s">
        <v>43</v>
      </c>
      <c r="R198" s="235"/>
      <c r="S198" s="236"/>
      <c r="T198" s="237"/>
      <c r="U198" s="57"/>
      <c r="V198" s="57"/>
      <c r="W198" s="57"/>
      <c r="X198" s="57"/>
      <c r="Y198" s="57"/>
      <c r="Z198" s="57"/>
      <c r="AA198" s="57"/>
      <c r="AB198" s="57"/>
    </row>
    <row r="199">
      <c r="A199" s="243" t="s">
        <v>382</v>
      </c>
      <c r="B199" s="243" t="s">
        <v>382</v>
      </c>
      <c r="C199" s="258" t="s">
        <v>2666</v>
      </c>
      <c r="D199" s="259" t="s">
        <v>2667</v>
      </c>
      <c r="E199" s="255" t="s">
        <v>41</v>
      </c>
      <c r="F199" s="232" t="s">
        <v>41</v>
      </c>
      <c r="G199" s="274" t="s">
        <v>110</v>
      </c>
      <c r="H199" s="228"/>
      <c r="I199" s="228"/>
      <c r="J199" s="275">
        <v>46065.0</v>
      </c>
      <c r="K199" s="246"/>
      <c r="L199" s="276" t="s">
        <v>38</v>
      </c>
      <c r="M199" s="276">
        <v>520942.0</v>
      </c>
      <c r="N199" s="230">
        <v>156.51</v>
      </c>
      <c r="O199" s="276">
        <v>667549.0</v>
      </c>
      <c r="P199" s="256" t="s">
        <v>43</v>
      </c>
      <c r="Q199" s="250" t="s">
        <v>43</v>
      </c>
      <c r="R199" s="235"/>
      <c r="S199" s="236"/>
      <c r="T199" s="237"/>
      <c r="U199" s="57"/>
      <c r="V199" s="57"/>
      <c r="W199" s="57"/>
      <c r="X199" s="57"/>
      <c r="Y199" s="57"/>
      <c r="Z199" s="57"/>
      <c r="AA199" s="57"/>
      <c r="AB199" s="57"/>
    </row>
    <row r="200">
      <c r="A200" s="243" t="s">
        <v>382</v>
      </c>
      <c r="B200" s="243" t="s">
        <v>382</v>
      </c>
      <c r="C200" s="251" t="s">
        <v>2669</v>
      </c>
      <c r="D200" s="224"/>
      <c r="E200" s="227"/>
      <c r="F200" s="224"/>
      <c r="G200" s="239" t="s">
        <v>876</v>
      </c>
      <c r="H200" s="227"/>
      <c r="I200" s="227"/>
      <c r="J200" s="245">
        <v>46069.0</v>
      </c>
      <c r="K200" s="246"/>
      <c r="L200" s="232" t="s">
        <v>38</v>
      </c>
      <c r="M200" s="232">
        <v>521743.0</v>
      </c>
      <c r="N200" s="247">
        <v>95.0</v>
      </c>
      <c r="O200" s="232">
        <v>668639.0</v>
      </c>
      <c r="P200" s="297"/>
      <c r="Q200" s="236"/>
      <c r="R200" s="236"/>
      <c r="S200" s="236"/>
      <c r="T200" s="237"/>
      <c r="U200" s="57"/>
      <c r="V200" s="57"/>
      <c r="W200" s="57"/>
      <c r="X200" s="57"/>
      <c r="Y200" s="57"/>
      <c r="Z200" s="57"/>
      <c r="AA200" s="57"/>
      <c r="AB200" s="57"/>
    </row>
    <row r="201">
      <c r="A201" s="243" t="s">
        <v>382</v>
      </c>
      <c r="B201" s="243" t="s">
        <v>382</v>
      </c>
      <c r="C201" s="225" t="s">
        <v>2672</v>
      </c>
      <c r="D201" s="224"/>
      <c r="E201" s="232" t="s">
        <v>41</v>
      </c>
      <c r="F201" s="232" t="s">
        <v>41</v>
      </c>
      <c r="G201" s="239" t="s">
        <v>2422</v>
      </c>
      <c r="H201" s="240"/>
      <c r="I201" s="227"/>
      <c r="J201" s="254">
        <v>46069.0</v>
      </c>
      <c r="K201" s="246"/>
      <c r="L201" s="239" t="s">
        <v>38</v>
      </c>
      <c r="M201" s="239">
        <v>521743.0</v>
      </c>
      <c r="N201" s="241">
        <v>50.11</v>
      </c>
      <c r="O201" s="239">
        <v>668639.0</v>
      </c>
      <c r="P201" s="256" t="s">
        <v>43</v>
      </c>
      <c r="Q201" s="250" t="s">
        <v>43</v>
      </c>
      <c r="R201" s="235"/>
      <c r="S201" s="236"/>
      <c r="T201" s="237"/>
      <c r="U201" s="57"/>
      <c r="V201" s="57"/>
      <c r="W201" s="57"/>
      <c r="X201" s="57"/>
      <c r="Y201" s="57"/>
      <c r="Z201" s="57"/>
      <c r="AA201" s="57"/>
      <c r="AB201" s="57"/>
    </row>
    <row r="202">
      <c r="A202" s="243" t="s">
        <v>382</v>
      </c>
      <c r="B202" s="243" t="s">
        <v>382</v>
      </c>
      <c r="C202" s="223" t="s">
        <v>2675</v>
      </c>
      <c r="D202" s="259">
        <v>5.709779123E9</v>
      </c>
      <c r="E202" s="232" t="s">
        <v>35</v>
      </c>
      <c r="F202" s="232" t="s">
        <v>35</v>
      </c>
      <c r="G202" s="239" t="s">
        <v>2423</v>
      </c>
      <c r="H202" s="227"/>
      <c r="I202" s="227"/>
      <c r="J202" s="245">
        <v>46069.0</v>
      </c>
      <c r="K202" s="246"/>
      <c r="L202" s="232" t="s">
        <v>38</v>
      </c>
      <c r="M202" s="232">
        <v>521743.0</v>
      </c>
      <c r="N202" s="247">
        <v>124.88</v>
      </c>
      <c r="O202" s="232">
        <v>668639.0</v>
      </c>
      <c r="P202" s="256" t="s">
        <v>43</v>
      </c>
      <c r="Q202" s="250" t="s">
        <v>43</v>
      </c>
      <c r="R202" s="236"/>
      <c r="S202" s="236"/>
      <c r="T202" s="237"/>
      <c r="U202" s="57"/>
      <c r="V202" s="57"/>
      <c r="W202" s="57"/>
      <c r="X202" s="57"/>
      <c r="Y202" s="57"/>
      <c r="Z202" s="57"/>
      <c r="AA202" s="57"/>
      <c r="AB202" s="57"/>
    </row>
    <row r="203">
      <c r="A203" s="243" t="s">
        <v>382</v>
      </c>
      <c r="B203" s="243" t="s">
        <v>382</v>
      </c>
      <c r="C203" s="223" t="s">
        <v>53</v>
      </c>
      <c r="D203" s="224"/>
      <c r="E203" s="255" t="s">
        <v>64</v>
      </c>
      <c r="F203" s="232" t="s">
        <v>64</v>
      </c>
      <c r="G203" s="239" t="s">
        <v>2423</v>
      </c>
      <c r="H203" s="227"/>
      <c r="I203" s="227"/>
      <c r="J203" s="245">
        <v>46069.0</v>
      </c>
      <c r="K203" s="246"/>
      <c r="L203" s="232" t="s">
        <v>38</v>
      </c>
      <c r="M203" s="232">
        <v>521743.0</v>
      </c>
      <c r="N203" s="247">
        <v>124.88</v>
      </c>
      <c r="O203" s="232">
        <v>668639.0</v>
      </c>
      <c r="P203" s="256" t="s">
        <v>59</v>
      </c>
      <c r="Q203" s="250" t="s">
        <v>59</v>
      </c>
      <c r="R203" s="235"/>
      <c r="S203" s="236"/>
      <c r="T203" s="237"/>
      <c r="U203" s="57"/>
      <c r="V203" s="57"/>
      <c r="W203" s="57"/>
      <c r="X203" s="57"/>
      <c r="Y203" s="57"/>
      <c r="Z203" s="57"/>
      <c r="AA203" s="57"/>
      <c r="AB203" s="57"/>
    </row>
    <row r="204">
      <c r="A204" s="243" t="s">
        <v>382</v>
      </c>
      <c r="B204" s="243" t="s">
        <v>382</v>
      </c>
      <c r="C204" s="223" t="s">
        <v>53</v>
      </c>
      <c r="D204" s="224"/>
      <c r="E204" s="255" t="s">
        <v>41</v>
      </c>
      <c r="F204" s="232" t="s">
        <v>41</v>
      </c>
      <c r="G204" s="239" t="s">
        <v>2424</v>
      </c>
      <c r="H204" s="227"/>
      <c r="I204" s="227"/>
      <c r="J204" s="245">
        <v>46069.0</v>
      </c>
      <c r="K204" s="246"/>
      <c r="L204" s="232" t="s">
        <v>38</v>
      </c>
      <c r="M204" s="232">
        <v>521743.0</v>
      </c>
      <c r="N204" s="247">
        <v>124.88</v>
      </c>
      <c r="O204" s="232">
        <v>668639.0</v>
      </c>
      <c r="P204" s="256" t="s">
        <v>59</v>
      </c>
      <c r="Q204" s="250" t="s">
        <v>59</v>
      </c>
      <c r="R204" s="235"/>
      <c r="S204" s="236"/>
      <c r="T204" s="237"/>
      <c r="U204" s="57"/>
      <c r="V204" s="57"/>
      <c r="W204" s="57"/>
      <c r="X204" s="57"/>
      <c r="Y204" s="57"/>
      <c r="Z204" s="57"/>
      <c r="AA204" s="57"/>
      <c r="AB204" s="57"/>
    </row>
    <row r="205">
      <c r="A205" s="243" t="s">
        <v>382</v>
      </c>
      <c r="B205" s="243" t="s">
        <v>382</v>
      </c>
      <c r="C205" s="223" t="s">
        <v>2679</v>
      </c>
      <c r="D205" s="224"/>
      <c r="E205" s="255" t="s">
        <v>41</v>
      </c>
      <c r="F205" s="232" t="s">
        <v>41</v>
      </c>
      <c r="G205" s="239" t="s">
        <v>335</v>
      </c>
      <c r="H205" s="227"/>
      <c r="I205" s="227"/>
      <c r="J205" s="245">
        <v>46069.0</v>
      </c>
      <c r="K205" s="246"/>
      <c r="L205" s="232" t="s">
        <v>38</v>
      </c>
      <c r="M205" s="232">
        <v>521743.0</v>
      </c>
      <c r="N205" s="247">
        <v>156.51</v>
      </c>
      <c r="O205" s="232">
        <v>668639.0</v>
      </c>
      <c r="P205" s="256" t="s">
        <v>43</v>
      </c>
      <c r="Q205" s="250" t="s">
        <v>43</v>
      </c>
      <c r="R205" s="235"/>
      <c r="S205" s="236"/>
      <c r="T205" s="237"/>
      <c r="U205" s="57"/>
      <c r="V205" s="57"/>
      <c r="W205" s="57"/>
      <c r="X205" s="57"/>
      <c r="Y205" s="57"/>
      <c r="Z205" s="57"/>
      <c r="AA205" s="57"/>
      <c r="AB205" s="57"/>
    </row>
    <row r="206">
      <c r="A206" s="243" t="s">
        <v>382</v>
      </c>
      <c r="B206" s="243" t="s">
        <v>382</v>
      </c>
      <c r="C206" s="225" t="s">
        <v>2133</v>
      </c>
      <c r="D206" s="224"/>
      <c r="E206" s="255" t="s">
        <v>41</v>
      </c>
      <c r="F206" s="232" t="s">
        <v>41</v>
      </c>
      <c r="G206" s="239" t="s">
        <v>2425</v>
      </c>
      <c r="H206" s="240"/>
      <c r="I206" s="227"/>
      <c r="J206" s="245">
        <v>46069.0</v>
      </c>
      <c r="K206" s="246"/>
      <c r="L206" s="232" t="s">
        <v>38</v>
      </c>
      <c r="M206" s="232">
        <v>521743.0</v>
      </c>
      <c r="N206" s="247">
        <v>10.45</v>
      </c>
      <c r="O206" s="232">
        <v>668639.0</v>
      </c>
      <c r="P206" s="256" t="s">
        <v>43</v>
      </c>
      <c r="Q206" s="250" t="s">
        <v>43</v>
      </c>
      <c r="R206" s="235"/>
      <c r="S206" s="236"/>
      <c r="T206" s="237"/>
      <c r="U206" s="57"/>
      <c r="V206" s="57"/>
      <c r="W206" s="57"/>
      <c r="X206" s="57"/>
      <c r="Y206" s="57"/>
      <c r="Z206" s="57"/>
      <c r="AA206" s="57"/>
      <c r="AB206" s="57"/>
    </row>
    <row r="207">
      <c r="A207" s="243" t="s">
        <v>382</v>
      </c>
      <c r="B207" s="243" t="s">
        <v>382</v>
      </c>
      <c r="C207" s="225" t="s">
        <v>53</v>
      </c>
      <c r="D207" s="224"/>
      <c r="E207" s="232" t="s">
        <v>64</v>
      </c>
      <c r="F207" s="232" t="s">
        <v>64</v>
      </c>
      <c r="G207" s="260" t="s">
        <v>2342</v>
      </c>
      <c r="H207" s="240"/>
      <c r="I207" s="227"/>
      <c r="J207" s="233">
        <v>46069.0</v>
      </c>
      <c r="K207" s="246"/>
      <c r="L207" s="259" t="s">
        <v>38</v>
      </c>
      <c r="M207" s="259">
        <v>521743.0</v>
      </c>
      <c r="N207" s="261">
        <v>132.15</v>
      </c>
      <c r="O207" s="259">
        <v>668639.0</v>
      </c>
      <c r="P207" s="256" t="s">
        <v>59</v>
      </c>
      <c r="Q207" s="250" t="s">
        <v>59</v>
      </c>
      <c r="R207" s="235"/>
      <c r="S207" s="236"/>
      <c r="T207" s="237"/>
      <c r="U207" s="57"/>
      <c r="V207" s="57"/>
      <c r="W207" s="57"/>
      <c r="X207" s="57"/>
      <c r="Y207" s="57"/>
      <c r="Z207" s="57"/>
      <c r="AA207" s="57"/>
      <c r="AB207" s="57"/>
    </row>
    <row r="208">
      <c r="A208" s="243" t="s">
        <v>382</v>
      </c>
      <c r="B208" s="243" t="s">
        <v>382</v>
      </c>
      <c r="C208" s="225" t="s">
        <v>53</v>
      </c>
      <c r="D208" s="224"/>
      <c r="E208" s="232" t="s">
        <v>64</v>
      </c>
      <c r="F208" s="232" t="s">
        <v>64</v>
      </c>
      <c r="G208" s="260" t="s">
        <v>2427</v>
      </c>
      <c r="H208" s="240"/>
      <c r="I208" s="227"/>
      <c r="J208" s="233">
        <v>46069.0</v>
      </c>
      <c r="K208" s="246"/>
      <c r="L208" s="259" t="s">
        <v>38</v>
      </c>
      <c r="M208" s="259">
        <v>521743.0</v>
      </c>
      <c r="N208" s="261">
        <v>8.17</v>
      </c>
      <c r="O208" s="259">
        <v>668639.0</v>
      </c>
      <c r="P208" s="256" t="s">
        <v>59</v>
      </c>
      <c r="Q208" s="250" t="s">
        <v>59</v>
      </c>
      <c r="R208" s="235"/>
      <c r="S208" s="236"/>
      <c r="T208" s="237"/>
      <c r="U208" s="57"/>
      <c r="V208" s="57"/>
      <c r="W208" s="57"/>
      <c r="X208" s="57"/>
      <c r="Y208" s="57"/>
      <c r="Z208" s="57"/>
      <c r="AA208" s="57"/>
      <c r="AB208" s="57"/>
    </row>
    <row r="209">
      <c r="A209" s="243" t="s">
        <v>382</v>
      </c>
      <c r="B209" s="243" t="s">
        <v>382</v>
      </c>
      <c r="C209" s="225" t="s">
        <v>53</v>
      </c>
      <c r="D209" s="224"/>
      <c r="E209" s="232" t="s">
        <v>35</v>
      </c>
      <c r="F209" s="232" t="s">
        <v>35</v>
      </c>
      <c r="G209" s="260" t="s">
        <v>2428</v>
      </c>
      <c r="H209" s="240"/>
      <c r="I209" s="227"/>
      <c r="J209" s="233">
        <v>46069.0</v>
      </c>
      <c r="K209" s="246"/>
      <c r="L209" s="259" t="s">
        <v>38</v>
      </c>
      <c r="M209" s="259">
        <v>521743.0</v>
      </c>
      <c r="N209" s="261">
        <v>9.12</v>
      </c>
      <c r="O209" s="259">
        <v>668639.0</v>
      </c>
      <c r="P209" s="256" t="s">
        <v>59</v>
      </c>
      <c r="Q209" s="250" t="s">
        <v>59</v>
      </c>
      <c r="R209" s="235"/>
      <c r="S209" s="236"/>
      <c r="T209" s="237"/>
      <c r="U209" s="57"/>
      <c r="V209" s="57"/>
      <c r="W209" s="57"/>
      <c r="X209" s="57"/>
      <c r="Y209" s="57"/>
      <c r="Z209" s="57"/>
      <c r="AA209" s="57"/>
      <c r="AB209" s="57"/>
    </row>
    <row r="210">
      <c r="A210" s="222"/>
      <c r="B210" s="222"/>
      <c r="C210" s="225" t="s">
        <v>53</v>
      </c>
      <c r="D210" s="224"/>
      <c r="E210" s="232" t="s">
        <v>41</v>
      </c>
      <c r="F210" s="224"/>
      <c r="G210" s="260" t="s">
        <v>2429</v>
      </c>
      <c r="H210" s="240"/>
      <c r="I210" s="227"/>
      <c r="J210" s="233">
        <v>46070.0</v>
      </c>
      <c r="K210" s="246"/>
      <c r="L210" s="259" t="s">
        <v>38</v>
      </c>
      <c r="M210" s="259" t="s">
        <v>2682</v>
      </c>
      <c r="N210" s="261">
        <v>85.5</v>
      </c>
      <c r="O210" s="259">
        <v>668762.0</v>
      </c>
      <c r="P210" s="256" t="s">
        <v>59</v>
      </c>
      <c r="Q210" s="250" t="s">
        <v>59</v>
      </c>
      <c r="R210" s="235"/>
      <c r="S210" s="236"/>
      <c r="T210" s="237"/>
      <c r="U210" s="57"/>
      <c r="V210" s="57"/>
      <c r="W210" s="57"/>
      <c r="X210" s="57"/>
      <c r="Y210" s="57"/>
      <c r="Z210" s="57"/>
      <c r="AA210" s="57"/>
      <c r="AB210" s="57"/>
    </row>
    <row r="211">
      <c r="A211" s="222"/>
      <c r="B211" s="222"/>
      <c r="C211" s="223" t="s">
        <v>53</v>
      </c>
      <c r="D211" s="224"/>
      <c r="E211" s="227"/>
      <c r="F211" s="224"/>
      <c r="G211" s="260" t="s">
        <v>2430</v>
      </c>
      <c r="H211" s="227"/>
      <c r="I211" s="227"/>
      <c r="J211" s="233">
        <v>46070.0</v>
      </c>
      <c r="K211" s="246"/>
      <c r="L211" s="259" t="s">
        <v>38</v>
      </c>
      <c r="M211" s="259" t="s">
        <v>2682</v>
      </c>
      <c r="N211" s="261">
        <v>14.87</v>
      </c>
      <c r="O211" s="259">
        <v>668762.0</v>
      </c>
      <c r="P211" s="256" t="s">
        <v>59</v>
      </c>
      <c r="Q211" s="250" t="s">
        <v>59</v>
      </c>
      <c r="R211" s="235"/>
      <c r="S211" s="236"/>
      <c r="T211" s="237"/>
      <c r="U211" s="57"/>
      <c r="V211" s="57"/>
      <c r="W211" s="57"/>
      <c r="X211" s="57"/>
      <c r="Y211" s="57"/>
      <c r="Z211" s="57"/>
      <c r="AA211" s="57"/>
      <c r="AB211" s="57"/>
    </row>
    <row r="212">
      <c r="A212" s="243" t="s">
        <v>382</v>
      </c>
      <c r="B212" s="243" t="s">
        <v>382</v>
      </c>
      <c r="C212" s="223" t="s">
        <v>410</v>
      </c>
      <c r="D212" s="259">
        <v>5.708995409E9</v>
      </c>
      <c r="E212" s="255" t="s">
        <v>41</v>
      </c>
      <c r="F212" s="232" t="s">
        <v>41</v>
      </c>
      <c r="G212" s="260" t="s">
        <v>2432</v>
      </c>
      <c r="H212" s="240"/>
      <c r="I212" s="227"/>
      <c r="J212" s="233">
        <v>46073.0</v>
      </c>
      <c r="K212" s="246"/>
      <c r="L212" s="259" t="s">
        <v>69</v>
      </c>
      <c r="M212" s="259">
        <v>5.0031099E8</v>
      </c>
      <c r="N212" s="261">
        <v>156.52</v>
      </c>
      <c r="O212" s="259">
        <v>8.00053125E8</v>
      </c>
      <c r="P212" s="256" t="s">
        <v>59</v>
      </c>
      <c r="Q212" s="250" t="s">
        <v>59</v>
      </c>
      <c r="R212" s="235"/>
      <c r="S212" s="236"/>
      <c r="T212" s="237"/>
      <c r="U212" s="57"/>
      <c r="V212" s="57"/>
      <c r="W212" s="57"/>
      <c r="X212" s="57"/>
      <c r="Y212" s="57"/>
      <c r="Z212" s="57"/>
      <c r="AA212" s="57"/>
      <c r="AB212" s="57"/>
    </row>
    <row r="213">
      <c r="A213" s="243" t="s">
        <v>382</v>
      </c>
      <c r="B213" s="243" t="s">
        <v>382</v>
      </c>
      <c r="C213" s="223" t="s">
        <v>53</v>
      </c>
      <c r="D213" s="224"/>
      <c r="E213" s="227"/>
      <c r="F213" s="224"/>
      <c r="G213" s="239" t="s">
        <v>2433</v>
      </c>
      <c r="H213" s="227"/>
      <c r="I213" s="227"/>
      <c r="J213" s="245">
        <v>46073.0</v>
      </c>
      <c r="K213" s="246"/>
      <c r="L213" s="232" t="s">
        <v>69</v>
      </c>
      <c r="M213" s="232">
        <v>5.0031099E8</v>
      </c>
      <c r="N213" s="247">
        <v>3.07</v>
      </c>
      <c r="O213" s="259">
        <v>8.00053125E8</v>
      </c>
      <c r="P213" s="256" t="s">
        <v>59</v>
      </c>
      <c r="Q213" s="250" t="s">
        <v>59</v>
      </c>
      <c r="R213" s="235"/>
      <c r="S213" s="236"/>
      <c r="T213" s="237"/>
      <c r="U213" s="57"/>
      <c r="V213" s="57"/>
      <c r="W213" s="57"/>
      <c r="X213" s="57"/>
      <c r="Y213" s="57"/>
      <c r="Z213" s="57"/>
      <c r="AA213" s="57"/>
      <c r="AB213" s="57"/>
    </row>
    <row r="214">
      <c r="A214" s="243" t="s">
        <v>382</v>
      </c>
      <c r="B214" s="243" t="s">
        <v>382</v>
      </c>
      <c r="C214" s="225" t="s">
        <v>53</v>
      </c>
      <c r="D214" s="224"/>
      <c r="E214" s="232" t="s">
        <v>35</v>
      </c>
      <c r="F214" s="232" t="s">
        <v>35</v>
      </c>
      <c r="G214" s="208" t="s">
        <v>2435</v>
      </c>
      <c r="H214" s="227"/>
      <c r="I214" s="227"/>
      <c r="J214" s="245">
        <v>46073.0</v>
      </c>
      <c r="K214" s="246"/>
      <c r="L214" s="232" t="s">
        <v>69</v>
      </c>
      <c r="M214" s="232">
        <v>5.0031099E8</v>
      </c>
      <c r="N214" s="247">
        <v>14.61</v>
      </c>
      <c r="O214" s="259">
        <v>8.00053125E8</v>
      </c>
      <c r="P214" s="256" t="s">
        <v>59</v>
      </c>
      <c r="Q214" s="250" t="s">
        <v>59</v>
      </c>
      <c r="R214" s="235"/>
      <c r="S214" s="236"/>
      <c r="T214" s="237"/>
      <c r="U214" s="57"/>
      <c r="V214" s="57"/>
      <c r="W214" s="57"/>
      <c r="X214" s="57"/>
      <c r="Y214" s="57"/>
      <c r="Z214" s="57"/>
      <c r="AA214" s="57"/>
      <c r="AB214" s="57"/>
    </row>
    <row r="215">
      <c r="A215" s="243" t="s">
        <v>382</v>
      </c>
      <c r="B215" s="243" t="s">
        <v>382</v>
      </c>
      <c r="C215" s="225" t="s">
        <v>53</v>
      </c>
      <c r="D215" s="224"/>
      <c r="E215" s="224"/>
      <c r="F215" s="224"/>
      <c r="G215" s="299" t="s">
        <v>2436</v>
      </c>
      <c r="H215" s="227"/>
      <c r="I215" s="227"/>
      <c r="J215" s="265">
        <v>46073.0</v>
      </c>
      <c r="K215" s="246"/>
      <c r="L215" s="263" t="s">
        <v>69</v>
      </c>
      <c r="M215" s="263">
        <v>5.0031099E8</v>
      </c>
      <c r="N215" s="266">
        <v>8.04</v>
      </c>
      <c r="O215" s="259">
        <v>8.00053125E8</v>
      </c>
      <c r="P215" s="256" t="s">
        <v>59</v>
      </c>
      <c r="Q215" s="250" t="s">
        <v>59</v>
      </c>
      <c r="R215" s="235"/>
      <c r="S215" s="236"/>
      <c r="T215" s="237"/>
      <c r="U215" s="57"/>
      <c r="V215" s="57"/>
      <c r="W215" s="57"/>
      <c r="X215" s="57"/>
      <c r="Y215" s="57"/>
      <c r="Z215" s="57"/>
      <c r="AA215" s="57"/>
      <c r="AB215" s="57"/>
    </row>
    <row r="216">
      <c r="A216" s="243" t="s">
        <v>382</v>
      </c>
      <c r="B216" s="243" t="s">
        <v>382</v>
      </c>
      <c r="C216" s="225" t="s">
        <v>53</v>
      </c>
      <c r="D216" s="224"/>
      <c r="E216" s="224"/>
      <c r="F216" s="224"/>
      <c r="G216" s="299" t="s">
        <v>2437</v>
      </c>
      <c r="H216" s="240"/>
      <c r="I216" s="253"/>
      <c r="J216" s="265">
        <v>46073.0</v>
      </c>
      <c r="K216" s="246"/>
      <c r="L216" s="263" t="s">
        <v>69</v>
      </c>
      <c r="M216" s="263">
        <v>5.0031099E8</v>
      </c>
      <c r="N216" s="266">
        <v>0.99</v>
      </c>
      <c r="O216" s="259">
        <v>8.00053125E8</v>
      </c>
      <c r="P216" s="256" t="s">
        <v>59</v>
      </c>
      <c r="Q216" s="250" t="s">
        <v>59</v>
      </c>
      <c r="R216" s="235"/>
      <c r="S216" s="236"/>
      <c r="T216" s="237"/>
      <c r="U216" s="57"/>
      <c r="V216" s="57"/>
      <c r="W216" s="57"/>
      <c r="X216" s="57"/>
      <c r="Y216" s="57"/>
      <c r="Z216" s="57"/>
      <c r="AA216" s="57"/>
      <c r="AB216" s="57"/>
    </row>
    <row r="217">
      <c r="A217" s="243" t="s">
        <v>382</v>
      </c>
      <c r="B217" s="243" t="s">
        <v>382</v>
      </c>
      <c r="C217" s="225" t="s">
        <v>53</v>
      </c>
      <c r="D217" s="224"/>
      <c r="E217" s="224"/>
      <c r="F217" s="224"/>
      <c r="G217" s="299" t="s">
        <v>447</v>
      </c>
      <c r="H217" s="240"/>
      <c r="I217" s="253"/>
      <c r="J217" s="265">
        <v>46073.0</v>
      </c>
      <c r="K217" s="246"/>
      <c r="L217" s="263" t="s">
        <v>69</v>
      </c>
      <c r="M217" s="263">
        <v>5.0031099E8</v>
      </c>
      <c r="N217" s="266">
        <v>0.99</v>
      </c>
      <c r="O217" s="259">
        <v>8.00053125E8</v>
      </c>
      <c r="P217" s="256" t="s">
        <v>59</v>
      </c>
      <c r="Q217" s="250" t="s">
        <v>59</v>
      </c>
      <c r="R217" s="235"/>
      <c r="S217" s="236"/>
      <c r="T217" s="237"/>
      <c r="U217" s="57"/>
      <c r="V217" s="57"/>
      <c r="W217" s="57"/>
      <c r="X217" s="57"/>
      <c r="Y217" s="57"/>
      <c r="Z217" s="57"/>
      <c r="AA217" s="57"/>
      <c r="AB217" s="57"/>
    </row>
    <row r="218">
      <c r="A218" s="243" t="s">
        <v>382</v>
      </c>
      <c r="B218" s="243" t="s">
        <v>382</v>
      </c>
      <c r="C218" s="225" t="s">
        <v>53</v>
      </c>
      <c r="D218" s="224"/>
      <c r="E218" s="227"/>
      <c r="F218" s="224"/>
      <c r="G218" s="264" t="s">
        <v>2439</v>
      </c>
      <c r="H218" s="240"/>
      <c r="I218" s="227"/>
      <c r="J218" s="265">
        <v>46073.0</v>
      </c>
      <c r="K218" s="246"/>
      <c r="L218" s="263" t="s">
        <v>69</v>
      </c>
      <c r="M218" s="263">
        <v>5.0031099E8</v>
      </c>
      <c r="N218" s="266">
        <v>0.99</v>
      </c>
      <c r="O218" s="259">
        <v>8.00053125E8</v>
      </c>
      <c r="P218" s="256" t="s">
        <v>59</v>
      </c>
      <c r="Q218" s="250" t="s">
        <v>59</v>
      </c>
      <c r="R218" s="235"/>
      <c r="S218" s="236"/>
      <c r="T218" s="237"/>
      <c r="U218" s="57"/>
      <c r="V218" s="57"/>
      <c r="W218" s="57"/>
      <c r="X218" s="57"/>
      <c r="Y218" s="57"/>
      <c r="Z218" s="57"/>
      <c r="AA218" s="57"/>
      <c r="AB218" s="57"/>
    </row>
    <row r="219">
      <c r="A219" s="243" t="s">
        <v>382</v>
      </c>
      <c r="B219" s="243" t="s">
        <v>382</v>
      </c>
      <c r="C219" s="225" t="s">
        <v>53</v>
      </c>
      <c r="D219" s="224"/>
      <c r="E219" s="227"/>
      <c r="F219" s="224"/>
      <c r="G219" s="264" t="s">
        <v>2131</v>
      </c>
      <c r="H219" s="240"/>
      <c r="I219" s="227"/>
      <c r="J219" s="265">
        <v>46073.0</v>
      </c>
      <c r="K219" s="246"/>
      <c r="L219" s="263" t="s">
        <v>69</v>
      </c>
      <c r="M219" s="263">
        <v>5.0031099E8</v>
      </c>
      <c r="N219" s="266">
        <v>0.99</v>
      </c>
      <c r="O219" s="259">
        <v>8.00053125E8</v>
      </c>
      <c r="P219" s="256" t="s">
        <v>59</v>
      </c>
      <c r="Q219" s="250" t="s">
        <v>59</v>
      </c>
      <c r="R219" s="235"/>
      <c r="S219" s="236"/>
      <c r="T219" s="237"/>
      <c r="U219" s="57"/>
      <c r="V219" s="57"/>
      <c r="W219" s="57"/>
      <c r="X219" s="57"/>
      <c r="Y219" s="57"/>
      <c r="Z219" s="57"/>
      <c r="AA219" s="57"/>
      <c r="AB219" s="57"/>
    </row>
    <row r="220">
      <c r="A220" s="243" t="s">
        <v>382</v>
      </c>
      <c r="B220" s="243" t="s">
        <v>382</v>
      </c>
      <c r="C220" s="223" t="s">
        <v>53</v>
      </c>
      <c r="D220" s="224"/>
      <c r="E220" s="232" t="s">
        <v>41</v>
      </c>
      <c r="F220" s="232" t="s">
        <v>41</v>
      </c>
      <c r="G220" s="239" t="s">
        <v>309</v>
      </c>
      <c r="H220" s="227"/>
      <c r="I220" s="227"/>
      <c r="J220" s="245">
        <v>46073.0</v>
      </c>
      <c r="K220" s="246"/>
      <c r="L220" s="232" t="s">
        <v>69</v>
      </c>
      <c r="M220" s="232">
        <v>5.0031099E8</v>
      </c>
      <c r="N220" s="247">
        <v>16.92</v>
      </c>
      <c r="O220" s="259">
        <v>8.00053125E8</v>
      </c>
      <c r="P220" s="256" t="s">
        <v>59</v>
      </c>
      <c r="Q220" s="250" t="s">
        <v>59</v>
      </c>
      <c r="R220" s="235"/>
      <c r="S220" s="236"/>
      <c r="T220" s="237"/>
      <c r="U220" s="57"/>
      <c r="V220" s="57"/>
      <c r="W220" s="57"/>
      <c r="X220" s="57"/>
      <c r="Y220" s="57"/>
      <c r="Z220" s="57"/>
      <c r="AA220" s="57"/>
      <c r="AB220" s="57"/>
    </row>
    <row r="221">
      <c r="A221" s="243" t="s">
        <v>382</v>
      </c>
      <c r="B221" s="243" t="s">
        <v>382</v>
      </c>
      <c r="C221" s="225" t="s">
        <v>53</v>
      </c>
      <c r="D221" s="224"/>
      <c r="E221" s="232" t="s">
        <v>41</v>
      </c>
      <c r="F221" s="232" t="s">
        <v>41</v>
      </c>
      <c r="G221" s="239" t="s">
        <v>322</v>
      </c>
      <c r="H221" s="227"/>
      <c r="I221" s="227"/>
      <c r="J221" s="245">
        <v>46073.0</v>
      </c>
      <c r="K221" s="246"/>
      <c r="L221" s="232" t="s">
        <v>69</v>
      </c>
      <c r="M221" s="232">
        <v>5.0031099E8</v>
      </c>
      <c r="N221" s="247">
        <v>16.92</v>
      </c>
      <c r="O221" s="259">
        <v>8.00053125E8</v>
      </c>
      <c r="P221" s="256" t="s">
        <v>59</v>
      </c>
      <c r="Q221" s="250" t="s">
        <v>59</v>
      </c>
      <c r="R221" s="235"/>
      <c r="S221" s="236"/>
      <c r="T221" s="237"/>
      <c r="U221" s="57"/>
      <c r="V221" s="57"/>
      <c r="W221" s="57"/>
      <c r="X221" s="57"/>
      <c r="Y221" s="57"/>
      <c r="Z221" s="57"/>
      <c r="AA221" s="57"/>
      <c r="AB221" s="57"/>
    </row>
    <row r="222">
      <c r="A222" s="243" t="s">
        <v>382</v>
      </c>
      <c r="B222" s="243" t="s">
        <v>382</v>
      </c>
      <c r="C222" s="225" t="s">
        <v>53</v>
      </c>
      <c r="D222" s="224"/>
      <c r="E222" s="232" t="s">
        <v>35</v>
      </c>
      <c r="F222" s="232" t="s">
        <v>35</v>
      </c>
      <c r="G222" s="239" t="s">
        <v>1242</v>
      </c>
      <c r="H222" s="240"/>
      <c r="I222" s="253"/>
      <c r="J222" s="254">
        <v>46073.0</v>
      </c>
      <c r="K222" s="246"/>
      <c r="L222" s="239" t="s">
        <v>69</v>
      </c>
      <c r="M222" s="239">
        <v>5.0031099E8</v>
      </c>
      <c r="N222" s="241">
        <v>16.92</v>
      </c>
      <c r="O222" s="259">
        <v>8.00053125E8</v>
      </c>
      <c r="P222" s="256" t="s">
        <v>59</v>
      </c>
      <c r="Q222" s="250" t="s">
        <v>59</v>
      </c>
      <c r="R222" s="235"/>
      <c r="S222" s="236"/>
      <c r="T222" s="237"/>
      <c r="U222" s="57"/>
      <c r="V222" s="57"/>
      <c r="W222" s="57"/>
      <c r="X222" s="57"/>
      <c r="Y222" s="57"/>
      <c r="Z222" s="57"/>
      <c r="AA222" s="57"/>
      <c r="AB222" s="57"/>
    </row>
    <row r="223">
      <c r="A223" s="243" t="s">
        <v>382</v>
      </c>
      <c r="B223" s="243" t="s">
        <v>382</v>
      </c>
      <c r="C223" s="225" t="s">
        <v>53</v>
      </c>
      <c r="D223" s="224"/>
      <c r="E223" s="224"/>
      <c r="F223" s="224"/>
      <c r="G223" s="239" t="s">
        <v>725</v>
      </c>
      <c r="H223" s="240"/>
      <c r="I223" s="253"/>
      <c r="J223" s="245">
        <v>46073.0</v>
      </c>
      <c r="K223" s="246"/>
      <c r="L223" s="232" t="s">
        <v>69</v>
      </c>
      <c r="M223" s="232">
        <v>5.0031099E8</v>
      </c>
      <c r="N223" s="247">
        <v>5.11</v>
      </c>
      <c r="O223" s="259">
        <v>8.00053125E8</v>
      </c>
      <c r="P223" s="256" t="s">
        <v>59</v>
      </c>
      <c r="Q223" s="302" t="s">
        <v>59</v>
      </c>
      <c r="R223" s="236"/>
      <c r="S223" s="236"/>
      <c r="T223" s="237"/>
      <c r="U223" s="57"/>
      <c r="V223" s="57"/>
      <c r="W223" s="57"/>
      <c r="X223" s="57"/>
      <c r="Y223" s="57"/>
      <c r="Z223" s="57"/>
      <c r="AA223" s="57"/>
      <c r="AB223" s="57"/>
    </row>
    <row r="224">
      <c r="A224" s="243" t="s">
        <v>382</v>
      </c>
      <c r="B224" s="243" t="s">
        <v>382</v>
      </c>
      <c r="C224" s="223" t="s">
        <v>53</v>
      </c>
      <c r="D224" s="224"/>
      <c r="E224" s="224"/>
      <c r="F224" s="224"/>
      <c r="G224" s="239" t="s">
        <v>725</v>
      </c>
      <c r="H224" s="240"/>
      <c r="I224" s="227"/>
      <c r="J224" s="245">
        <v>46073.0</v>
      </c>
      <c r="K224" s="246"/>
      <c r="L224" s="232" t="s">
        <v>38</v>
      </c>
      <c r="M224" s="232">
        <v>522926.0</v>
      </c>
      <c r="N224" s="247">
        <v>5.23</v>
      </c>
      <c r="O224" s="232">
        <v>669749.0</v>
      </c>
      <c r="P224" s="256" t="s">
        <v>59</v>
      </c>
      <c r="Q224" s="250" t="s">
        <v>59</v>
      </c>
      <c r="R224" s="235"/>
      <c r="S224" s="236"/>
      <c r="T224" s="237"/>
      <c r="U224" s="57"/>
      <c r="V224" s="57"/>
      <c r="W224" s="57"/>
      <c r="X224" s="57"/>
      <c r="Y224" s="57"/>
      <c r="Z224" s="57"/>
      <c r="AA224" s="57"/>
      <c r="AB224" s="57"/>
    </row>
    <row r="225">
      <c r="A225" s="243" t="s">
        <v>382</v>
      </c>
      <c r="B225" s="243" t="s">
        <v>382</v>
      </c>
      <c r="C225" s="225" t="s">
        <v>2686</v>
      </c>
      <c r="D225" s="232">
        <v>5.704700519E9</v>
      </c>
      <c r="E225" s="232" t="s">
        <v>35</v>
      </c>
      <c r="F225" s="232" t="s">
        <v>35</v>
      </c>
      <c r="G225" s="239" t="s">
        <v>2440</v>
      </c>
      <c r="H225" s="240"/>
      <c r="I225" s="227"/>
      <c r="J225" s="245">
        <v>46073.0</v>
      </c>
      <c r="K225" s="246"/>
      <c r="L225" s="232" t="s">
        <v>38</v>
      </c>
      <c r="M225" s="232">
        <v>522926.0</v>
      </c>
      <c r="N225" s="247">
        <v>42.47</v>
      </c>
      <c r="O225" s="232">
        <v>669749.0</v>
      </c>
      <c r="P225" s="256" t="s">
        <v>43</v>
      </c>
      <c r="Q225" s="302" t="s">
        <v>43</v>
      </c>
      <c r="R225" s="236"/>
      <c r="S225" s="236"/>
      <c r="T225" s="237"/>
      <c r="U225" s="57"/>
      <c r="V225" s="57"/>
      <c r="W225" s="57"/>
      <c r="X225" s="57"/>
      <c r="Y225" s="57"/>
      <c r="Z225" s="57"/>
      <c r="AA225" s="57"/>
      <c r="AB225" s="57"/>
    </row>
    <row r="226">
      <c r="A226" s="243" t="s">
        <v>382</v>
      </c>
      <c r="B226" s="243" t="s">
        <v>382</v>
      </c>
      <c r="C226" s="223" t="s">
        <v>2687</v>
      </c>
      <c r="D226" s="224"/>
      <c r="E226" s="232" t="s">
        <v>41</v>
      </c>
      <c r="F226" s="232" t="s">
        <v>41</v>
      </c>
      <c r="G226" s="239" t="s">
        <v>2441</v>
      </c>
      <c r="H226" s="240"/>
      <c r="I226" s="227"/>
      <c r="J226" s="245">
        <v>46073.0</v>
      </c>
      <c r="K226" s="246"/>
      <c r="L226" s="232" t="s">
        <v>38</v>
      </c>
      <c r="M226" s="232">
        <v>522926.0</v>
      </c>
      <c r="N226" s="247">
        <v>42.47</v>
      </c>
      <c r="O226" s="232">
        <v>669749.0</v>
      </c>
      <c r="P226" s="256" t="s">
        <v>59</v>
      </c>
      <c r="Q226" s="250" t="s">
        <v>59</v>
      </c>
      <c r="R226" s="235"/>
      <c r="S226" s="236"/>
      <c r="T226" s="237"/>
      <c r="U226" s="57"/>
      <c r="V226" s="57"/>
      <c r="W226" s="57"/>
      <c r="X226" s="57"/>
      <c r="Y226" s="57"/>
      <c r="Z226" s="57"/>
      <c r="AA226" s="57"/>
      <c r="AB226" s="57"/>
    </row>
    <row r="227">
      <c r="A227" s="243" t="s">
        <v>382</v>
      </c>
      <c r="B227" s="243" t="s">
        <v>382</v>
      </c>
      <c r="C227" s="225" t="s">
        <v>2641</v>
      </c>
      <c r="D227" s="232">
        <v>5.705912726E9</v>
      </c>
      <c r="E227" s="232" t="s">
        <v>35</v>
      </c>
      <c r="F227" s="232" t="s">
        <v>35</v>
      </c>
      <c r="G227" s="239" t="s">
        <v>2442</v>
      </c>
      <c r="H227" s="240"/>
      <c r="I227" s="240"/>
      <c r="J227" s="245">
        <v>46073.0</v>
      </c>
      <c r="K227" s="246"/>
      <c r="L227" s="232" t="s">
        <v>38</v>
      </c>
      <c r="M227" s="232">
        <v>522926.0</v>
      </c>
      <c r="N227" s="247">
        <v>99.28</v>
      </c>
      <c r="O227" s="232">
        <v>669749.0</v>
      </c>
      <c r="P227" s="256" t="s">
        <v>43</v>
      </c>
      <c r="Q227" s="250" t="s">
        <v>43</v>
      </c>
      <c r="R227" s="235"/>
      <c r="S227" s="236"/>
      <c r="T227" s="237"/>
      <c r="U227" s="57"/>
      <c r="V227" s="57"/>
      <c r="W227" s="57"/>
      <c r="X227" s="57"/>
      <c r="Y227" s="57"/>
      <c r="Z227" s="57"/>
      <c r="AA227" s="57"/>
      <c r="AB227" s="57"/>
    </row>
    <row r="228">
      <c r="A228" s="243" t="s">
        <v>382</v>
      </c>
      <c r="B228" s="243" t="s">
        <v>382</v>
      </c>
      <c r="C228" s="225" t="s">
        <v>53</v>
      </c>
      <c r="D228" s="224"/>
      <c r="E228" s="232" t="s">
        <v>35</v>
      </c>
      <c r="F228" s="232" t="s">
        <v>35</v>
      </c>
      <c r="G228" s="260" t="s">
        <v>2444</v>
      </c>
      <c r="H228" s="227"/>
      <c r="I228" s="227"/>
      <c r="J228" s="233">
        <v>46073.0</v>
      </c>
      <c r="K228" s="246"/>
      <c r="L228" s="259" t="s">
        <v>38</v>
      </c>
      <c r="M228" s="259">
        <v>522926.0</v>
      </c>
      <c r="N228" s="261">
        <v>9.12</v>
      </c>
      <c r="O228" s="259">
        <v>669749.0</v>
      </c>
      <c r="P228" s="256" t="s">
        <v>59</v>
      </c>
      <c r="Q228" s="250" t="s">
        <v>59</v>
      </c>
      <c r="R228" s="235"/>
      <c r="S228" s="236"/>
      <c r="T228" s="237"/>
      <c r="U228" s="57"/>
      <c r="V228" s="57"/>
      <c r="W228" s="57"/>
      <c r="X228" s="57"/>
      <c r="Y228" s="57"/>
      <c r="Z228" s="57"/>
      <c r="AA228" s="57"/>
      <c r="AB228" s="57"/>
    </row>
    <row r="229">
      <c r="A229" s="243" t="s">
        <v>382</v>
      </c>
      <c r="B229" s="243" t="s">
        <v>382</v>
      </c>
      <c r="C229" s="225" t="s">
        <v>53</v>
      </c>
      <c r="D229" s="224"/>
      <c r="E229" s="232" t="s">
        <v>41</v>
      </c>
      <c r="F229" s="232" t="s">
        <v>41</v>
      </c>
      <c r="G229" s="264" t="s">
        <v>2445</v>
      </c>
      <c r="H229" s="227"/>
      <c r="I229" s="227"/>
      <c r="J229" s="265">
        <v>46073.0</v>
      </c>
      <c r="K229" s="246"/>
      <c r="L229" s="263" t="s">
        <v>38</v>
      </c>
      <c r="M229" s="263">
        <v>522926.0</v>
      </c>
      <c r="N229" s="266">
        <v>5.51</v>
      </c>
      <c r="O229" s="263">
        <v>669749.0</v>
      </c>
      <c r="P229" s="256" t="s">
        <v>59</v>
      </c>
      <c r="Q229" s="250" t="s">
        <v>59</v>
      </c>
      <c r="R229" s="235"/>
      <c r="S229" s="236"/>
      <c r="T229" s="237"/>
      <c r="U229" s="57"/>
      <c r="V229" s="57"/>
      <c r="W229" s="57"/>
      <c r="X229" s="57"/>
      <c r="Y229" s="57"/>
      <c r="Z229" s="57"/>
      <c r="AA229" s="57"/>
      <c r="AB229" s="57"/>
    </row>
    <row r="230">
      <c r="A230" s="243" t="s">
        <v>382</v>
      </c>
      <c r="B230" s="304" t="s">
        <v>382</v>
      </c>
      <c r="C230" s="225" t="s">
        <v>53</v>
      </c>
      <c r="D230" s="224"/>
      <c r="E230" s="232" t="s">
        <v>41</v>
      </c>
      <c r="F230" s="232" t="s">
        <v>41</v>
      </c>
      <c r="G230" s="264" t="s">
        <v>2446</v>
      </c>
      <c r="H230" s="227"/>
      <c r="I230" s="227"/>
      <c r="J230" s="265">
        <v>46073.0</v>
      </c>
      <c r="K230" s="246"/>
      <c r="L230" s="263" t="s">
        <v>38</v>
      </c>
      <c r="M230" s="263">
        <v>522926.0</v>
      </c>
      <c r="N230" s="266">
        <v>13.3</v>
      </c>
      <c r="O230" s="263">
        <v>669749.0</v>
      </c>
      <c r="P230" s="256" t="s">
        <v>59</v>
      </c>
      <c r="Q230" s="250" t="s">
        <v>59</v>
      </c>
      <c r="R230" s="236"/>
      <c r="S230" s="236"/>
      <c r="T230" s="237"/>
      <c r="U230" s="57"/>
      <c r="V230" s="57"/>
      <c r="W230" s="57"/>
      <c r="X230" s="57"/>
      <c r="Y230" s="57"/>
      <c r="Z230" s="57"/>
      <c r="AA230" s="57"/>
      <c r="AB230" s="57"/>
    </row>
    <row r="231">
      <c r="A231" s="243" t="s">
        <v>382</v>
      </c>
      <c r="B231" s="243" t="s">
        <v>382</v>
      </c>
      <c r="C231" s="225" t="s">
        <v>53</v>
      </c>
      <c r="D231" s="224"/>
      <c r="E231" s="232" t="s">
        <v>41</v>
      </c>
      <c r="F231" s="232" t="s">
        <v>41</v>
      </c>
      <c r="G231" s="264" t="s">
        <v>264</v>
      </c>
      <c r="H231" s="227"/>
      <c r="I231" s="227"/>
      <c r="J231" s="265">
        <v>46073.0</v>
      </c>
      <c r="K231" s="246"/>
      <c r="L231" s="263" t="s">
        <v>38</v>
      </c>
      <c r="M231" s="263">
        <v>522926.0</v>
      </c>
      <c r="N231" s="266">
        <v>144.35</v>
      </c>
      <c r="O231" s="263">
        <v>669749.0</v>
      </c>
      <c r="P231" s="256" t="s">
        <v>59</v>
      </c>
      <c r="Q231" s="250" t="s">
        <v>59</v>
      </c>
      <c r="R231" s="236"/>
      <c r="S231" s="236"/>
      <c r="T231" s="237"/>
      <c r="U231" s="57"/>
      <c r="V231" s="57"/>
      <c r="W231" s="57"/>
      <c r="X231" s="57"/>
      <c r="Y231" s="57"/>
      <c r="Z231" s="57"/>
      <c r="AA231" s="57"/>
      <c r="AB231" s="57"/>
    </row>
    <row r="232">
      <c r="A232" s="243" t="s">
        <v>382</v>
      </c>
      <c r="B232" s="243" t="s">
        <v>382</v>
      </c>
      <c r="C232" s="225" t="s">
        <v>2688</v>
      </c>
      <c r="D232" s="259" t="s">
        <v>1599</v>
      </c>
      <c r="E232" s="232" t="s">
        <v>35</v>
      </c>
      <c r="F232" s="232" t="s">
        <v>35</v>
      </c>
      <c r="G232" s="260" t="s">
        <v>2448</v>
      </c>
      <c r="H232" s="228"/>
      <c r="I232" s="253"/>
      <c r="J232" s="233">
        <v>46073.0</v>
      </c>
      <c r="K232" s="246"/>
      <c r="L232" s="259" t="s">
        <v>38</v>
      </c>
      <c r="M232" s="259">
        <v>522926.0</v>
      </c>
      <c r="N232" s="261">
        <v>42.47</v>
      </c>
      <c r="O232" s="259">
        <v>669749.0</v>
      </c>
      <c r="P232" s="256" t="s">
        <v>43</v>
      </c>
      <c r="Q232" s="250" t="s">
        <v>43</v>
      </c>
      <c r="R232" s="235"/>
      <c r="S232" s="236"/>
      <c r="T232" s="237"/>
      <c r="U232" s="57"/>
      <c r="V232" s="57"/>
      <c r="W232" s="57"/>
      <c r="X232" s="57"/>
      <c r="Y232" s="57"/>
      <c r="Z232" s="57"/>
      <c r="AA232" s="57"/>
      <c r="AB232" s="57"/>
    </row>
    <row r="233">
      <c r="A233" s="243" t="s">
        <v>382</v>
      </c>
      <c r="B233" s="243" t="s">
        <v>382</v>
      </c>
      <c r="C233" s="225" t="s">
        <v>2688</v>
      </c>
      <c r="D233" s="259" t="s">
        <v>1599</v>
      </c>
      <c r="E233" s="232" t="s">
        <v>35</v>
      </c>
      <c r="F233" s="232" t="s">
        <v>35</v>
      </c>
      <c r="G233" s="260" t="s">
        <v>2449</v>
      </c>
      <c r="H233" s="227"/>
      <c r="I233" s="231" t="s">
        <v>2689</v>
      </c>
      <c r="J233" s="233">
        <v>46073.0</v>
      </c>
      <c r="K233" s="246"/>
      <c r="L233" s="259" t="s">
        <v>38</v>
      </c>
      <c r="M233" s="259">
        <v>522926.0</v>
      </c>
      <c r="N233" s="261">
        <v>70.16</v>
      </c>
      <c r="O233" s="259">
        <v>669749.0</v>
      </c>
      <c r="P233" s="256" t="s">
        <v>59</v>
      </c>
      <c r="Q233" s="250" t="s">
        <v>59</v>
      </c>
      <c r="R233" s="235"/>
      <c r="S233" s="236"/>
      <c r="T233" s="237"/>
      <c r="U233" s="57"/>
      <c r="V233" s="57"/>
      <c r="W233" s="57"/>
      <c r="X233" s="57"/>
      <c r="Y233" s="57"/>
      <c r="Z233" s="57"/>
      <c r="AA233" s="57"/>
      <c r="AB233" s="57"/>
    </row>
    <row r="234">
      <c r="A234" s="243" t="s">
        <v>382</v>
      </c>
      <c r="B234" s="243" t="s">
        <v>382</v>
      </c>
      <c r="C234" s="225" t="s">
        <v>2614</v>
      </c>
      <c r="D234" s="263" t="s">
        <v>0</v>
      </c>
      <c r="E234" s="255" t="s">
        <v>35</v>
      </c>
      <c r="F234" s="232" t="s">
        <v>35</v>
      </c>
      <c r="G234" s="239" t="s">
        <v>2450</v>
      </c>
      <c r="H234" s="227"/>
      <c r="I234" s="227"/>
      <c r="J234" s="245">
        <v>46073.0</v>
      </c>
      <c r="K234" s="246"/>
      <c r="L234" s="232" t="s">
        <v>38</v>
      </c>
      <c r="M234" s="232">
        <v>522926.0</v>
      </c>
      <c r="N234" s="247">
        <v>150.43</v>
      </c>
      <c r="O234" s="305">
        <v>669749.0</v>
      </c>
      <c r="P234" s="256" t="s">
        <v>43</v>
      </c>
      <c r="Q234" s="250" t="s">
        <v>43</v>
      </c>
      <c r="R234" s="235"/>
      <c r="S234" s="236"/>
      <c r="T234" s="237"/>
      <c r="U234" s="57"/>
      <c r="V234" s="57"/>
      <c r="W234" s="57"/>
      <c r="X234" s="57"/>
      <c r="Y234" s="57"/>
      <c r="Z234" s="57"/>
      <c r="AA234" s="57"/>
      <c r="AB234" s="57"/>
    </row>
    <row r="235">
      <c r="A235" s="243" t="s">
        <v>382</v>
      </c>
      <c r="B235" s="243" t="s">
        <v>382</v>
      </c>
      <c r="C235" s="225" t="s">
        <v>1498</v>
      </c>
      <c r="D235" s="259" t="s">
        <v>1499</v>
      </c>
      <c r="E235" s="232" t="s">
        <v>41</v>
      </c>
      <c r="F235" s="232" t="s">
        <v>41</v>
      </c>
      <c r="G235" s="264" t="s">
        <v>2330</v>
      </c>
      <c r="H235" s="240"/>
      <c r="I235" s="253"/>
      <c r="J235" s="265">
        <v>46073.0</v>
      </c>
      <c r="K235" s="246"/>
      <c r="L235" s="263" t="s">
        <v>38</v>
      </c>
      <c r="M235" s="263">
        <v>522926.0</v>
      </c>
      <c r="N235" s="266">
        <v>144.35</v>
      </c>
      <c r="O235" s="306">
        <v>669749.0</v>
      </c>
      <c r="P235" s="256" t="s">
        <v>43</v>
      </c>
      <c r="Q235" s="250" t="s">
        <v>43</v>
      </c>
      <c r="R235" s="235"/>
      <c r="S235" s="236"/>
      <c r="T235" s="237"/>
      <c r="U235" s="57"/>
      <c r="V235" s="57"/>
      <c r="W235" s="57"/>
      <c r="X235" s="57"/>
      <c r="Y235" s="57"/>
      <c r="Z235" s="57"/>
      <c r="AA235" s="57"/>
      <c r="AB235" s="57"/>
    </row>
    <row r="236">
      <c r="A236" s="243" t="s">
        <v>382</v>
      </c>
      <c r="B236" s="243" t="s">
        <v>382</v>
      </c>
      <c r="C236" s="225" t="s">
        <v>2575</v>
      </c>
      <c r="D236" s="259" t="s">
        <v>2577</v>
      </c>
      <c r="E236" s="232" t="s">
        <v>41</v>
      </c>
      <c r="F236" s="232" t="s">
        <v>41</v>
      </c>
      <c r="G236" s="260" t="s">
        <v>2451</v>
      </c>
      <c r="H236" s="240"/>
      <c r="I236" s="253"/>
      <c r="J236" s="307">
        <v>46076.0</v>
      </c>
      <c r="K236" s="240"/>
      <c r="L236" s="259" t="s">
        <v>38</v>
      </c>
      <c r="M236" s="259">
        <v>523659.0</v>
      </c>
      <c r="N236" s="261">
        <v>84.65</v>
      </c>
      <c r="O236" s="308">
        <v>670537.0</v>
      </c>
      <c r="P236" s="256" t="s">
        <v>43</v>
      </c>
      <c r="Q236" s="250" t="s">
        <v>43</v>
      </c>
      <c r="R236" s="235"/>
      <c r="S236" s="236"/>
      <c r="T236" s="237"/>
      <c r="U236" s="57"/>
      <c r="V236" s="57"/>
      <c r="W236" s="57"/>
      <c r="X236" s="57"/>
      <c r="Y236" s="57"/>
      <c r="Z236" s="57"/>
      <c r="AA236" s="57"/>
      <c r="AB236" s="57"/>
    </row>
    <row r="237">
      <c r="A237" s="243" t="s">
        <v>382</v>
      </c>
      <c r="B237" s="243" t="s">
        <v>382</v>
      </c>
      <c r="C237" s="223" t="s">
        <v>2690</v>
      </c>
      <c r="D237" s="232">
        <v>5.706988794E9</v>
      </c>
      <c r="E237" s="232" t="s">
        <v>35</v>
      </c>
      <c r="F237" s="232" t="s">
        <v>35</v>
      </c>
      <c r="G237" s="226" t="s">
        <v>51</v>
      </c>
      <c r="H237" s="240"/>
      <c r="I237" s="227"/>
      <c r="J237" s="270">
        <v>46076.0</v>
      </c>
      <c r="K237" s="240"/>
      <c r="L237" s="225" t="s">
        <v>38</v>
      </c>
      <c r="M237" s="229">
        <v>523659.0</v>
      </c>
      <c r="N237" s="230">
        <v>114.0</v>
      </c>
      <c r="O237" s="308">
        <v>670537.0</v>
      </c>
      <c r="P237" s="256" t="s">
        <v>43</v>
      </c>
      <c r="Q237" s="250" t="s">
        <v>43</v>
      </c>
      <c r="R237" s="235"/>
      <c r="S237" s="236"/>
      <c r="T237" s="237"/>
      <c r="U237" s="57"/>
      <c r="V237" s="57"/>
      <c r="W237" s="57"/>
      <c r="X237" s="57"/>
      <c r="Y237" s="57"/>
      <c r="Z237" s="57"/>
      <c r="AA237" s="57"/>
      <c r="AB237" s="57"/>
    </row>
    <row r="238">
      <c r="A238" s="243" t="s">
        <v>382</v>
      </c>
      <c r="B238" s="243" t="s">
        <v>382</v>
      </c>
      <c r="C238" s="223" t="s">
        <v>747</v>
      </c>
      <c r="D238" s="232" t="s">
        <v>2182</v>
      </c>
      <c r="E238" s="232" t="s">
        <v>41</v>
      </c>
      <c r="F238" s="232" t="s">
        <v>41</v>
      </c>
      <c r="G238" s="226" t="s">
        <v>51</v>
      </c>
      <c r="H238" s="240"/>
      <c r="I238" s="227"/>
      <c r="J238" s="270">
        <v>46076.0</v>
      </c>
      <c r="K238" s="240"/>
      <c r="L238" s="225" t="s">
        <v>38</v>
      </c>
      <c r="M238" s="229">
        <v>523659.0</v>
      </c>
      <c r="N238" s="230">
        <v>114.0</v>
      </c>
      <c r="O238" s="308">
        <v>670537.0</v>
      </c>
      <c r="P238" s="256" t="s">
        <v>43</v>
      </c>
      <c r="Q238" s="250" t="s">
        <v>43</v>
      </c>
      <c r="R238" s="235"/>
      <c r="S238" s="236"/>
      <c r="T238" s="237"/>
      <c r="U238" s="57"/>
      <c r="V238" s="57"/>
      <c r="W238" s="57"/>
      <c r="X238" s="57"/>
      <c r="Y238" s="57"/>
      <c r="Z238" s="57"/>
      <c r="AA238" s="57"/>
      <c r="AB238" s="57"/>
    </row>
    <row r="239">
      <c r="A239" s="243" t="s">
        <v>382</v>
      </c>
      <c r="B239" s="243" t="s">
        <v>382</v>
      </c>
      <c r="C239" s="225" t="s">
        <v>360</v>
      </c>
      <c r="D239" s="259" t="s">
        <v>2691</v>
      </c>
      <c r="E239" s="232" t="s">
        <v>41</v>
      </c>
      <c r="F239" s="232" t="s">
        <v>41</v>
      </c>
      <c r="G239" s="226" t="s">
        <v>2283</v>
      </c>
      <c r="H239" s="240"/>
      <c r="I239" s="227"/>
      <c r="J239" s="270">
        <v>46076.0</v>
      </c>
      <c r="K239" s="240"/>
      <c r="L239" s="225" t="s">
        <v>38</v>
      </c>
      <c r="M239" s="229">
        <v>523659.0</v>
      </c>
      <c r="N239" s="230">
        <v>113.91</v>
      </c>
      <c r="O239" s="308">
        <v>670537.0</v>
      </c>
      <c r="P239" s="249" t="s">
        <v>43</v>
      </c>
      <c r="Q239" s="250" t="s">
        <v>43</v>
      </c>
      <c r="R239" s="235"/>
      <c r="S239" s="236"/>
      <c r="T239" s="237"/>
      <c r="U239" s="57"/>
      <c r="V239" s="57"/>
      <c r="W239" s="57"/>
      <c r="X239" s="57"/>
      <c r="Y239" s="57"/>
      <c r="Z239" s="57"/>
      <c r="AA239" s="57"/>
      <c r="AB239" s="57"/>
    </row>
    <row r="240">
      <c r="A240" s="243" t="s">
        <v>382</v>
      </c>
      <c r="B240" s="243" t="s">
        <v>382</v>
      </c>
      <c r="C240" s="223" t="s">
        <v>53</v>
      </c>
      <c r="D240" s="224"/>
      <c r="E240" s="232" t="s">
        <v>41</v>
      </c>
      <c r="F240" s="232" t="s">
        <v>41</v>
      </c>
      <c r="G240" s="226" t="s">
        <v>2250</v>
      </c>
      <c r="H240" s="240"/>
      <c r="I240" s="227"/>
      <c r="J240" s="270">
        <v>46076.0</v>
      </c>
      <c r="K240" s="240"/>
      <c r="L240" s="225" t="s">
        <v>38</v>
      </c>
      <c r="M240" s="229">
        <v>523659.0</v>
      </c>
      <c r="N240" s="230">
        <v>99.28</v>
      </c>
      <c r="O240" s="308">
        <v>670537.0</v>
      </c>
      <c r="P240" s="256" t="s">
        <v>59</v>
      </c>
      <c r="Q240" s="302" t="s">
        <v>59</v>
      </c>
      <c r="R240" s="236"/>
      <c r="S240" s="236"/>
      <c r="T240" s="237"/>
      <c r="U240" s="57"/>
      <c r="V240" s="57"/>
      <c r="W240" s="57"/>
      <c r="X240" s="57"/>
      <c r="Y240" s="57"/>
      <c r="Z240" s="57"/>
      <c r="AA240" s="57"/>
      <c r="AB240" s="57"/>
    </row>
    <row r="241">
      <c r="A241" s="243" t="s">
        <v>382</v>
      </c>
      <c r="B241" s="243" t="s">
        <v>382</v>
      </c>
      <c r="C241" s="223" t="s">
        <v>40</v>
      </c>
      <c r="D241" s="224"/>
      <c r="E241" s="232" t="s">
        <v>41</v>
      </c>
      <c r="F241" s="232" t="s">
        <v>41</v>
      </c>
      <c r="G241" s="226" t="s">
        <v>339</v>
      </c>
      <c r="H241" s="240"/>
      <c r="I241" s="227"/>
      <c r="J241" s="270">
        <v>46076.0</v>
      </c>
      <c r="K241" s="240"/>
      <c r="L241" s="225" t="s">
        <v>38</v>
      </c>
      <c r="M241" s="229">
        <v>523659.0</v>
      </c>
      <c r="N241" s="230">
        <v>156.51</v>
      </c>
      <c r="O241" s="308">
        <v>670537.0</v>
      </c>
      <c r="P241" s="297"/>
      <c r="Q241" s="235"/>
      <c r="R241" s="235"/>
      <c r="S241" s="236"/>
      <c r="T241" s="237"/>
      <c r="U241" s="57"/>
      <c r="V241" s="57"/>
      <c r="W241" s="57"/>
      <c r="X241" s="57"/>
      <c r="Y241" s="57"/>
      <c r="Z241" s="57"/>
      <c r="AA241" s="57"/>
      <c r="AB241" s="57"/>
    </row>
    <row r="242">
      <c r="A242" s="243" t="s">
        <v>382</v>
      </c>
      <c r="B242" s="243" t="s">
        <v>382</v>
      </c>
      <c r="C242" s="223" t="s">
        <v>1104</v>
      </c>
      <c r="D242" s="224"/>
      <c r="E242" s="232" t="s">
        <v>35</v>
      </c>
      <c r="F242" s="232" t="s">
        <v>35</v>
      </c>
      <c r="G242" s="226" t="s">
        <v>1954</v>
      </c>
      <c r="H242" s="240"/>
      <c r="I242" s="227"/>
      <c r="J242" s="270">
        <v>46076.0</v>
      </c>
      <c r="K242" s="240"/>
      <c r="L242" s="225" t="s">
        <v>38</v>
      </c>
      <c r="M242" s="229">
        <v>523659.0</v>
      </c>
      <c r="N242" s="230">
        <v>114.0</v>
      </c>
      <c r="O242" s="308">
        <v>670537.0</v>
      </c>
      <c r="P242" s="256" t="s">
        <v>43</v>
      </c>
      <c r="Q242" s="250" t="s">
        <v>43</v>
      </c>
      <c r="R242" s="235"/>
      <c r="S242" s="236"/>
      <c r="T242" s="237"/>
      <c r="U242" s="57"/>
      <c r="V242" s="57"/>
      <c r="W242" s="57"/>
      <c r="X242" s="57"/>
      <c r="Y242" s="57"/>
      <c r="Z242" s="57"/>
      <c r="AA242" s="57"/>
      <c r="AB242" s="57"/>
    </row>
    <row r="243">
      <c r="A243" s="243" t="s">
        <v>382</v>
      </c>
      <c r="B243" s="243" t="s">
        <v>382</v>
      </c>
      <c r="C243" s="223" t="s">
        <v>53</v>
      </c>
      <c r="D243" s="224"/>
      <c r="E243" s="232" t="s">
        <v>41</v>
      </c>
      <c r="F243" s="232" t="s">
        <v>41</v>
      </c>
      <c r="G243" s="226" t="s">
        <v>2452</v>
      </c>
      <c r="H243" s="240"/>
      <c r="I243" s="227"/>
      <c r="J243" s="309">
        <v>46076.0</v>
      </c>
      <c r="K243" s="246"/>
      <c r="L243" s="225" t="s">
        <v>38</v>
      </c>
      <c r="M243" s="229">
        <v>523659.0</v>
      </c>
      <c r="N243" s="230">
        <v>20.9</v>
      </c>
      <c r="O243" s="308">
        <v>670537.0</v>
      </c>
      <c r="P243" s="256" t="s">
        <v>59</v>
      </c>
      <c r="Q243" s="250" t="s">
        <v>59</v>
      </c>
      <c r="R243" s="235"/>
      <c r="S243" s="236"/>
      <c r="T243" s="237"/>
      <c r="U243" s="57"/>
      <c r="V243" s="57"/>
      <c r="W243" s="57"/>
      <c r="X243" s="57"/>
      <c r="Y243" s="57"/>
      <c r="Z243" s="57"/>
      <c r="AA243" s="57"/>
      <c r="AB243" s="57"/>
    </row>
    <row r="244">
      <c r="A244" s="243" t="s">
        <v>382</v>
      </c>
      <c r="B244" s="243" t="s">
        <v>382</v>
      </c>
      <c r="C244" s="223" t="s">
        <v>53</v>
      </c>
      <c r="D244" s="224"/>
      <c r="E244" s="224"/>
      <c r="F244" s="224"/>
      <c r="G244" s="226" t="s">
        <v>474</v>
      </c>
      <c r="H244" s="240"/>
      <c r="I244" s="227"/>
      <c r="J244" s="309">
        <v>46076.0</v>
      </c>
      <c r="K244" s="246"/>
      <c r="L244" s="225" t="s">
        <v>347</v>
      </c>
      <c r="M244" s="225" t="s">
        <v>2692</v>
      </c>
      <c r="N244" s="230">
        <v>100.0</v>
      </c>
      <c r="O244" s="310">
        <v>7426926.0</v>
      </c>
      <c r="P244" s="256" t="s">
        <v>59</v>
      </c>
      <c r="Q244" s="250" t="s">
        <v>59</v>
      </c>
      <c r="R244" s="235"/>
      <c r="S244" s="236"/>
      <c r="T244" s="237"/>
      <c r="U244" s="57"/>
      <c r="V244" s="57"/>
      <c r="W244" s="57"/>
      <c r="X244" s="57"/>
      <c r="Y244" s="57"/>
      <c r="Z244" s="57"/>
      <c r="AA244" s="57"/>
      <c r="AB244" s="57"/>
    </row>
    <row r="245">
      <c r="A245" s="243" t="s">
        <v>382</v>
      </c>
      <c r="B245" s="243" t="s">
        <v>382</v>
      </c>
      <c r="C245" s="223" t="s">
        <v>53</v>
      </c>
      <c r="D245" s="224"/>
      <c r="E245" s="224"/>
      <c r="F245" s="224"/>
      <c r="G245" s="226" t="s">
        <v>2342</v>
      </c>
      <c r="H245" s="240"/>
      <c r="I245" s="227"/>
      <c r="J245" s="309">
        <v>46076.0</v>
      </c>
      <c r="K245" s="246"/>
      <c r="L245" s="225" t="s">
        <v>347</v>
      </c>
      <c r="M245" s="225" t="s">
        <v>2692</v>
      </c>
      <c r="N245" s="230">
        <v>100.0</v>
      </c>
      <c r="O245" s="310">
        <v>7426926.0</v>
      </c>
      <c r="P245" s="256" t="s">
        <v>59</v>
      </c>
      <c r="Q245" s="250" t="s">
        <v>59</v>
      </c>
      <c r="R245" s="235"/>
      <c r="S245" s="236"/>
      <c r="T245" s="237"/>
      <c r="U245" s="57"/>
      <c r="V245" s="57"/>
      <c r="W245" s="57"/>
      <c r="X245" s="57"/>
      <c r="Y245" s="57"/>
      <c r="Z245" s="57"/>
      <c r="AA245" s="57"/>
      <c r="AB245" s="57"/>
    </row>
    <row r="246">
      <c r="A246" s="243" t="s">
        <v>382</v>
      </c>
      <c r="B246" s="243" t="s">
        <v>382</v>
      </c>
      <c r="C246" s="223" t="s">
        <v>53</v>
      </c>
      <c r="D246" s="224"/>
      <c r="E246" s="224"/>
      <c r="F246" s="224"/>
      <c r="G246" s="226" t="s">
        <v>335</v>
      </c>
      <c r="H246" s="240"/>
      <c r="I246" s="227"/>
      <c r="J246" s="309">
        <v>46076.0</v>
      </c>
      <c r="K246" s="246"/>
      <c r="L246" s="225" t="s">
        <v>347</v>
      </c>
      <c r="M246" s="225" t="s">
        <v>2692</v>
      </c>
      <c r="N246" s="230">
        <v>100.0</v>
      </c>
      <c r="O246" s="310">
        <v>7426926.0</v>
      </c>
      <c r="P246" s="256" t="s">
        <v>59</v>
      </c>
      <c r="Q246" s="250" t="s">
        <v>59</v>
      </c>
      <c r="R246" s="235"/>
      <c r="S246" s="236"/>
      <c r="T246" s="237"/>
      <c r="U246" s="57"/>
      <c r="V246" s="57"/>
      <c r="W246" s="57"/>
      <c r="X246" s="57"/>
      <c r="Y246" s="57"/>
      <c r="Z246" s="57"/>
      <c r="AA246" s="57"/>
      <c r="AB246" s="57"/>
    </row>
    <row r="247">
      <c r="A247" s="243" t="s">
        <v>382</v>
      </c>
      <c r="B247" s="243" t="s">
        <v>382</v>
      </c>
      <c r="C247" s="225" t="s">
        <v>53</v>
      </c>
      <c r="D247" s="224"/>
      <c r="E247" s="224"/>
      <c r="F247" s="224"/>
      <c r="G247" s="226" t="s">
        <v>2423</v>
      </c>
      <c r="H247" s="227"/>
      <c r="I247" s="227"/>
      <c r="J247" s="309">
        <v>46076.0</v>
      </c>
      <c r="K247" s="246"/>
      <c r="L247" s="225" t="s">
        <v>347</v>
      </c>
      <c r="M247" s="225" t="s">
        <v>2692</v>
      </c>
      <c r="N247" s="230">
        <v>100.0</v>
      </c>
      <c r="O247" s="229">
        <v>7426926.0</v>
      </c>
      <c r="P247" s="256" t="s">
        <v>43</v>
      </c>
      <c r="Q247" s="250" t="s">
        <v>43</v>
      </c>
      <c r="R247" s="235"/>
      <c r="S247" s="236"/>
      <c r="T247" s="237"/>
      <c r="U247" s="57"/>
      <c r="V247" s="57"/>
      <c r="W247" s="57"/>
      <c r="X247" s="57"/>
      <c r="Y247" s="57"/>
      <c r="Z247" s="57"/>
      <c r="AA247" s="57"/>
      <c r="AB247" s="57"/>
    </row>
    <row r="248">
      <c r="A248" s="243" t="s">
        <v>382</v>
      </c>
      <c r="B248" s="243" t="s">
        <v>382</v>
      </c>
      <c r="C248" s="223" t="s">
        <v>53</v>
      </c>
      <c r="D248" s="224"/>
      <c r="E248" s="227"/>
      <c r="F248" s="227"/>
      <c r="G248" s="226" t="s">
        <v>471</v>
      </c>
      <c r="H248" s="227"/>
      <c r="I248" s="227"/>
      <c r="J248" s="309">
        <v>46076.0</v>
      </c>
      <c r="K248" s="246"/>
      <c r="L248" s="225" t="s">
        <v>347</v>
      </c>
      <c r="M248" s="225" t="s">
        <v>2692</v>
      </c>
      <c r="N248" s="230">
        <v>100.0</v>
      </c>
      <c r="O248" s="229">
        <v>7426926.0</v>
      </c>
      <c r="P248" s="256" t="s">
        <v>59</v>
      </c>
      <c r="Q248" s="250" t="s">
        <v>59</v>
      </c>
      <c r="R248" s="235"/>
      <c r="S248" s="236"/>
      <c r="T248" s="237"/>
      <c r="U248" s="57"/>
      <c r="V248" s="57"/>
      <c r="W248" s="57"/>
      <c r="X248" s="57"/>
      <c r="Y248" s="57"/>
      <c r="Z248" s="57"/>
      <c r="AA248" s="57"/>
      <c r="AB248" s="57"/>
    </row>
    <row r="249">
      <c r="A249" s="243" t="s">
        <v>382</v>
      </c>
      <c r="B249" s="243" t="s">
        <v>382</v>
      </c>
      <c r="C249" s="223" t="s">
        <v>2693</v>
      </c>
      <c r="D249" s="263" t="s">
        <v>2694</v>
      </c>
      <c r="E249" s="255" t="s">
        <v>41</v>
      </c>
      <c r="F249" s="255" t="s">
        <v>41</v>
      </c>
      <c r="G249" s="226" t="s">
        <v>471</v>
      </c>
      <c r="H249" s="227"/>
      <c r="I249" s="240"/>
      <c r="J249" s="309">
        <v>46080.0</v>
      </c>
      <c r="K249" s="246"/>
      <c r="L249" s="225" t="s">
        <v>38</v>
      </c>
      <c r="M249" s="229">
        <v>524675.0</v>
      </c>
      <c r="N249" s="230">
        <v>156.51</v>
      </c>
      <c r="O249" s="229">
        <v>671898.0</v>
      </c>
      <c r="P249" s="256" t="s">
        <v>43</v>
      </c>
      <c r="Q249" s="250" t="s">
        <v>43</v>
      </c>
      <c r="R249" s="236"/>
      <c r="S249" s="236"/>
      <c r="T249" s="237"/>
      <c r="U249" s="57"/>
      <c r="V249" s="57"/>
      <c r="W249" s="57"/>
      <c r="X249" s="57"/>
      <c r="Y249" s="57"/>
      <c r="Z249" s="57"/>
      <c r="AA249" s="57"/>
      <c r="AB249" s="57"/>
    </row>
    <row r="250">
      <c r="A250" s="243" t="s">
        <v>382</v>
      </c>
      <c r="B250" s="243" t="s">
        <v>382</v>
      </c>
      <c r="C250" s="225" t="s">
        <v>53</v>
      </c>
      <c r="D250" s="224"/>
      <c r="E250" s="232" t="s">
        <v>35</v>
      </c>
      <c r="F250" s="232" t="s">
        <v>35</v>
      </c>
      <c r="G250" s="226" t="s">
        <v>471</v>
      </c>
      <c r="H250" s="227"/>
      <c r="I250" s="227"/>
      <c r="J250" s="309">
        <v>46080.0</v>
      </c>
      <c r="K250" s="246"/>
      <c r="L250" s="225" t="s">
        <v>38</v>
      </c>
      <c r="M250" s="229">
        <v>524675.0</v>
      </c>
      <c r="N250" s="230">
        <v>156.51</v>
      </c>
      <c r="O250" s="229">
        <v>671898.0</v>
      </c>
      <c r="P250" s="311" t="s">
        <v>59</v>
      </c>
      <c r="Q250" s="312" t="s">
        <v>59</v>
      </c>
      <c r="R250" s="236"/>
      <c r="S250" s="236"/>
      <c r="T250" s="237"/>
      <c r="U250" s="57"/>
      <c r="V250" s="57"/>
      <c r="W250" s="57"/>
      <c r="X250" s="57"/>
      <c r="Y250" s="57"/>
      <c r="Z250" s="57"/>
      <c r="AA250" s="57"/>
      <c r="AB250" s="57"/>
    </row>
    <row r="251">
      <c r="A251" s="243" t="s">
        <v>382</v>
      </c>
      <c r="B251" s="304" t="s">
        <v>382</v>
      </c>
      <c r="C251" s="223" t="s">
        <v>2669</v>
      </c>
      <c r="D251" s="224"/>
      <c r="E251" s="255" t="s">
        <v>41</v>
      </c>
      <c r="F251" s="255" t="s">
        <v>41</v>
      </c>
      <c r="G251" s="226" t="s">
        <v>471</v>
      </c>
      <c r="H251" s="227"/>
      <c r="I251" s="253"/>
      <c r="J251" s="309">
        <v>46080.0</v>
      </c>
      <c r="K251" s="246"/>
      <c r="L251" s="225" t="s">
        <v>38</v>
      </c>
      <c r="M251" s="229">
        <v>524675.0</v>
      </c>
      <c r="N251" s="230">
        <v>156.51</v>
      </c>
      <c r="O251" s="229">
        <v>671898.0</v>
      </c>
      <c r="P251" s="311" t="s">
        <v>43</v>
      </c>
      <c r="Q251" s="312" t="s">
        <v>43</v>
      </c>
      <c r="R251" s="236"/>
      <c r="S251" s="236"/>
      <c r="T251" s="237"/>
      <c r="U251" s="57"/>
      <c r="V251" s="57"/>
      <c r="W251" s="57"/>
      <c r="X251" s="57"/>
      <c r="Y251" s="57"/>
      <c r="Z251" s="57"/>
      <c r="AA251" s="57"/>
      <c r="AB251" s="57"/>
    </row>
    <row r="252">
      <c r="A252" s="222"/>
      <c r="B252" s="222"/>
      <c r="C252" s="223" t="s">
        <v>2701</v>
      </c>
      <c r="D252" s="224"/>
      <c r="E252" s="255" t="s">
        <v>35</v>
      </c>
      <c r="F252" s="232" t="s">
        <v>35</v>
      </c>
      <c r="G252" s="226" t="s">
        <v>2179</v>
      </c>
      <c r="H252" s="240"/>
      <c r="I252" s="227"/>
      <c r="J252" s="233">
        <v>46080.0</v>
      </c>
      <c r="K252" s="246"/>
      <c r="L252" s="259" t="s">
        <v>38</v>
      </c>
      <c r="M252" s="259">
        <v>524675.0</v>
      </c>
      <c r="N252" s="261">
        <v>156.51</v>
      </c>
      <c r="O252" s="308">
        <v>671898.0</v>
      </c>
      <c r="P252" s="256" t="s">
        <v>43</v>
      </c>
      <c r="Q252" s="302" t="s">
        <v>43</v>
      </c>
      <c r="R252" s="236"/>
      <c r="S252" s="236"/>
      <c r="T252" s="237"/>
      <c r="U252" s="57"/>
      <c r="V252" s="57"/>
      <c r="W252" s="57"/>
      <c r="X252" s="57"/>
      <c r="Y252" s="57"/>
      <c r="Z252" s="57"/>
      <c r="AA252" s="57"/>
      <c r="AB252" s="57"/>
    </row>
    <row r="253">
      <c r="A253" s="243" t="s">
        <v>382</v>
      </c>
      <c r="B253" s="243" t="s">
        <v>382</v>
      </c>
      <c r="C253" s="223" t="s">
        <v>2703</v>
      </c>
      <c r="D253" s="259">
        <v>5.70561834E9</v>
      </c>
      <c r="E253" s="255" t="s">
        <v>41</v>
      </c>
      <c r="F253" s="232" t="s">
        <v>41</v>
      </c>
      <c r="G253" s="226" t="s">
        <v>146</v>
      </c>
      <c r="H253" s="240"/>
      <c r="I253" s="240"/>
      <c r="J253" s="233">
        <v>46080.0</v>
      </c>
      <c r="K253" s="246"/>
      <c r="L253" s="259" t="s">
        <v>38</v>
      </c>
      <c r="M253" s="259">
        <v>524675.0</v>
      </c>
      <c r="N253" s="261">
        <v>156.51</v>
      </c>
      <c r="O253" s="308">
        <v>671898.0</v>
      </c>
      <c r="P253" s="256" t="s">
        <v>43</v>
      </c>
      <c r="Q253" s="302" t="s">
        <v>43</v>
      </c>
      <c r="R253" s="236"/>
      <c r="S253" s="236"/>
      <c r="T253" s="237"/>
      <c r="U253" s="57"/>
      <c r="V253" s="57"/>
      <c r="W253" s="57"/>
      <c r="X253" s="57"/>
      <c r="Y253" s="57"/>
      <c r="Z253" s="57"/>
      <c r="AA253" s="57"/>
      <c r="AB253" s="57"/>
    </row>
    <row r="254">
      <c r="A254" s="243" t="s">
        <v>382</v>
      </c>
      <c r="B254" s="243" t="s">
        <v>382</v>
      </c>
      <c r="C254" s="223" t="s">
        <v>53</v>
      </c>
      <c r="D254" s="224"/>
      <c r="E254" s="227"/>
      <c r="F254" s="224"/>
      <c r="G254" s="264" t="s">
        <v>2453</v>
      </c>
      <c r="H254" s="227"/>
      <c r="I254" s="227"/>
      <c r="J254" s="265">
        <v>46083.0</v>
      </c>
      <c r="K254" s="246"/>
      <c r="L254" s="263" t="s">
        <v>69</v>
      </c>
      <c r="M254" s="263">
        <v>5.00315055E8</v>
      </c>
      <c r="N254" s="266">
        <v>0.99</v>
      </c>
      <c r="O254" s="313"/>
      <c r="P254" s="311" t="s">
        <v>59</v>
      </c>
      <c r="Q254" s="312" t="s">
        <v>59</v>
      </c>
      <c r="R254" s="236"/>
      <c r="S254" s="236"/>
      <c r="T254" s="237"/>
      <c r="U254" s="57"/>
      <c r="V254" s="57"/>
      <c r="W254" s="57"/>
      <c r="X254" s="57"/>
      <c r="Y254" s="57"/>
      <c r="Z254" s="57"/>
      <c r="AA254" s="57"/>
      <c r="AB254" s="57"/>
    </row>
    <row r="255">
      <c r="A255" s="243" t="s">
        <v>382</v>
      </c>
      <c r="B255" s="243" t="s">
        <v>382</v>
      </c>
      <c r="C255" s="223" t="s">
        <v>53</v>
      </c>
      <c r="D255" s="224"/>
      <c r="E255" s="227"/>
      <c r="F255" s="224"/>
      <c r="G255" s="264" t="s">
        <v>1865</v>
      </c>
      <c r="H255" s="228"/>
      <c r="I255" s="253"/>
      <c r="J255" s="265">
        <v>46083.0</v>
      </c>
      <c r="K255" s="246"/>
      <c r="L255" s="263" t="s">
        <v>69</v>
      </c>
      <c r="M255" s="263">
        <v>5.00315055E8</v>
      </c>
      <c r="N255" s="266">
        <v>0.99</v>
      </c>
      <c r="O255" s="313"/>
      <c r="P255" s="311" t="s">
        <v>59</v>
      </c>
      <c r="Q255" s="312" t="s">
        <v>59</v>
      </c>
      <c r="R255" s="236"/>
      <c r="S255" s="236"/>
      <c r="T255" s="237"/>
      <c r="U255" s="57"/>
      <c r="V255" s="57"/>
      <c r="W255" s="57"/>
      <c r="X255" s="57"/>
      <c r="Y255" s="57"/>
      <c r="Z255" s="57"/>
      <c r="AA255" s="57"/>
      <c r="AB255" s="57"/>
    </row>
    <row r="256">
      <c r="A256" s="243" t="s">
        <v>382</v>
      </c>
      <c r="B256" s="243" t="s">
        <v>382</v>
      </c>
      <c r="C256" s="223" t="s">
        <v>53</v>
      </c>
      <c r="D256" s="224"/>
      <c r="E256" s="227"/>
      <c r="F256" s="224"/>
      <c r="G256" s="264" t="s">
        <v>2454</v>
      </c>
      <c r="H256" s="227"/>
      <c r="I256" s="227"/>
      <c r="J256" s="265">
        <v>46083.0</v>
      </c>
      <c r="K256" s="246"/>
      <c r="L256" s="263" t="s">
        <v>69</v>
      </c>
      <c r="M256" s="263">
        <v>5.00315055E8</v>
      </c>
      <c r="N256" s="266">
        <v>0.99</v>
      </c>
      <c r="O256" s="313"/>
      <c r="P256" s="311" t="s">
        <v>59</v>
      </c>
      <c r="Q256" s="312" t="s">
        <v>59</v>
      </c>
      <c r="R256" s="236"/>
      <c r="S256" s="236"/>
      <c r="T256" s="237"/>
      <c r="U256" s="57"/>
      <c r="V256" s="57"/>
      <c r="W256" s="57"/>
      <c r="X256" s="57"/>
      <c r="Y256" s="57"/>
      <c r="Z256" s="57"/>
      <c r="AA256" s="57"/>
      <c r="AB256" s="57"/>
    </row>
    <row r="257">
      <c r="A257" s="243" t="s">
        <v>382</v>
      </c>
      <c r="B257" s="243" t="s">
        <v>382</v>
      </c>
      <c r="C257" s="223" t="s">
        <v>53</v>
      </c>
      <c r="D257" s="224"/>
      <c r="E257" s="227"/>
      <c r="F257" s="224"/>
      <c r="G257" s="264" t="s">
        <v>2285</v>
      </c>
      <c r="H257" s="227"/>
      <c r="I257" s="227"/>
      <c r="J257" s="265">
        <v>46083.0</v>
      </c>
      <c r="K257" s="246"/>
      <c r="L257" s="263" t="s">
        <v>69</v>
      </c>
      <c r="M257" s="263">
        <v>5.00315055E8</v>
      </c>
      <c r="N257" s="266">
        <v>0.99</v>
      </c>
      <c r="O257" s="313"/>
      <c r="P257" s="311" t="s">
        <v>59</v>
      </c>
      <c r="Q257" s="312" t="s">
        <v>59</v>
      </c>
      <c r="R257" s="236"/>
      <c r="S257" s="236"/>
      <c r="T257" s="237"/>
      <c r="U257" s="57"/>
      <c r="V257" s="57"/>
      <c r="W257" s="57"/>
      <c r="X257" s="57"/>
      <c r="Y257" s="57"/>
      <c r="Z257" s="57"/>
      <c r="AA257" s="57"/>
      <c r="AB257" s="57"/>
    </row>
    <row r="258">
      <c r="A258" s="243" t="s">
        <v>382</v>
      </c>
      <c r="B258" s="243" t="s">
        <v>382</v>
      </c>
      <c r="C258" s="223" t="s">
        <v>53</v>
      </c>
      <c r="D258" s="224"/>
      <c r="E258" s="227"/>
      <c r="F258" s="224"/>
      <c r="G258" s="264" t="s">
        <v>2455</v>
      </c>
      <c r="H258" s="227"/>
      <c r="I258" s="227"/>
      <c r="J258" s="265">
        <v>46083.0</v>
      </c>
      <c r="K258" s="246"/>
      <c r="L258" s="263" t="s">
        <v>69</v>
      </c>
      <c r="M258" s="263">
        <v>5.00315055E8</v>
      </c>
      <c r="N258" s="266">
        <v>0.99</v>
      </c>
      <c r="O258" s="313"/>
      <c r="P258" s="311" t="s">
        <v>59</v>
      </c>
      <c r="Q258" s="312" t="s">
        <v>59</v>
      </c>
      <c r="R258" s="236"/>
      <c r="S258" s="236"/>
      <c r="T258" s="237"/>
      <c r="U258" s="57"/>
      <c r="V258" s="57"/>
      <c r="W258" s="57"/>
      <c r="X258" s="57"/>
      <c r="Y258" s="57"/>
      <c r="Z258" s="57"/>
      <c r="AA258" s="57"/>
      <c r="AB258" s="57"/>
    </row>
    <row r="259">
      <c r="A259" s="243" t="s">
        <v>382</v>
      </c>
      <c r="B259" s="243" t="s">
        <v>382</v>
      </c>
      <c r="C259" s="223" t="s">
        <v>53</v>
      </c>
      <c r="D259" s="224"/>
      <c r="E259" s="227"/>
      <c r="F259" s="224"/>
      <c r="G259" s="264" t="s">
        <v>2281</v>
      </c>
      <c r="H259" s="227"/>
      <c r="I259" s="227"/>
      <c r="J259" s="265">
        <v>46083.0</v>
      </c>
      <c r="K259" s="246"/>
      <c r="L259" s="263" t="s">
        <v>69</v>
      </c>
      <c r="M259" s="263">
        <v>5.00315055E8</v>
      </c>
      <c r="N259" s="266">
        <v>0.99</v>
      </c>
      <c r="O259" s="313"/>
      <c r="P259" s="311" t="s">
        <v>59</v>
      </c>
      <c r="Q259" s="312" t="s">
        <v>59</v>
      </c>
      <c r="R259" s="236"/>
      <c r="S259" s="236"/>
      <c r="T259" s="237"/>
      <c r="U259" s="57"/>
      <c r="V259" s="57"/>
      <c r="W259" s="57"/>
      <c r="X259" s="57"/>
      <c r="Y259" s="57"/>
      <c r="Z259" s="57"/>
      <c r="AA259" s="57"/>
      <c r="AB259" s="57"/>
    </row>
    <row r="260">
      <c r="A260" s="243" t="s">
        <v>382</v>
      </c>
      <c r="B260" s="243" t="s">
        <v>382</v>
      </c>
      <c r="C260" s="223" t="s">
        <v>53</v>
      </c>
      <c r="D260" s="224"/>
      <c r="E260" s="227"/>
      <c r="F260" s="224"/>
      <c r="G260" s="264" t="s">
        <v>1058</v>
      </c>
      <c r="H260" s="227"/>
      <c r="I260" s="227"/>
      <c r="J260" s="265">
        <v>46083.0</v>
      </c>
      <c r="K260" s="246"/>
      <c r="L260" s="263" t="s">
        <v>69</v>
      </c>
      <c r="M260" s="263">
        <v>5.00315055E8</v>
      </c>
      <c r="N260" s="266">
        <v>0.99</v>
      </c>
      <c r="O260" s="313"/>
      <c r="P260" s="311" t="s">
        <v>59</v>
      </c>
      <c r="Q260" s="312" t="s">
        <v>59</v>
      </c>
      <c r="R260" s="236"/>
      <c r="S260" s="236"/>
      <c r="T260" s="237"/>
      <c r="U260" s="57"/>
      <c r="V260" s="57"/>
      <c r="W260" s="57"/>
      <c r="X260" s="57"/>
      <c r="Y260" s="57"/>
      <c r="Z260" s="57"/>
      <c r="AA260" s="57"/>
      <c r="AB260" s="57"/>
    </row>
    <row r="261">
      <c r="A261" s="243" t="s">
        <v>382</v>
      </c>
      <c r="B261" s="243" t="s">
        <v>382</v>
      </c>
      <c r="C261" s="223" t="s">
        <v>53</v>
      </c>
      <c r="D261" s="224"/>
      <c r="E261" s="227"/>
      <c r="F261" s="224"/>
      <c r="G261" s="264" t="s">
        <v>2456</v>
      </c>
      <c r="H261" s="227"/>
      <c r="I261" s="227"/>
      <c r="J261" s="265">
        <v>46083.0</v>
      </c>
      <c r="K261" s="246"/>
      <c r="L261" s="263" t="s">
        <v>69</v>
      </c>
      <c r="M261" s="263">
        <v>5.00315055E8</v>
      </c>
      <c r="N261" s="266">
        <v>0.99</v>
      </c>
      <c r="O261" s="313"/>
      <c r="P261" s="311" t="s">
        <v>59</v>
      </c>
      <c r="Q261" s="312" t="s">
        <v>59</v>
      </c>
      <c r="R261" s="236"/>
      <c r="S261" s="236"/>
      <c r="T261" s="237"/>
      <c r="U261" s="57"/>
      <c r="V261" s="57"/>
      <c r="W261" s="57"/>
      <c r="X261" s="57"/>
      <c r="Y261" s="57"/>
      <c r="Z261" s="57"/>
      <c r="AA261" s="57"/>
      <c r="AB261" s="57"/>
    </row>
    <row r="262">
      <c r="A262" s="243" t="s">
        <v>382</v>
      </c>
      <c r="B262" s="243" t="s">
        <v>382</v>
      </c>
      <c r="C262" s="223" t="s">
        <v>53</v>
      </c>
      <c r="D262" s="224"/>
      <c r="E262" s="227"/>
      <c r="F262" s="224"/>
      <c r="G262" s="264" t="s">
        <v>2361</v>
      </c>
      <c r="H262" s="227"/>
      <c r="I262" s="227"/>
      <c r="J262" s="265">
        <v>46083.0</v>
      </c>
      <c r="K262" s="246"/>
      <c r="L262" s="263" t="s">
        <v>69</v>
      </c>
      <c r="M262" s="263">
        <v>5.00315055E8</v>
      </c>
      <c r="N262" s="266">
        <v>0.99</v>
      </c>
      <c r="O262" s="313"/>
      <c r="P262" s="311" t="s">
        <v>59</v>
      </c>
      <c r="Q262" s="312" t="s">
        <v>59</v>
      </c>
      <c r="R262" s="236"/>
      <c r="S262" s="236"/>
      <c r="T262" s="237"/>
      <c r="U262" s="57"/>
      <c r="V262" s="57"/>
      <c r="W262" s="57"/>
      <c r="X262" s="57"/>
      <c r="Y262" s="57"/>
      <c r="Z262" s="57"/>
      <c r="AA262" s="57"/>
      <c r="AB262" s="57"/>
    </row>
    <row r="263">
      <c r="A263" s="243" t="s">
        <v>382</v>
      </c>
      <c r="B263" s="243" t="s">
        <v>382</v>
      </c>
      <c r="C263" s="223" t="s">
        <v>53</v>
      </c>
      <c r="D263" s="224"/>
      <c r="E263" s="227"/>
      <c r="F263" s="224"/>
      <c r="G263" s="264" t="s">
        <v>2135</v>
      </c>
      <c r="H263" s="227"/>
      <c r="I263" s="227"/>
      <c r="J263" s="265">
        <v>46083.0</v>
      </c>
      <c r="K263" s="246"/>
      <c r="L263" s="263" t="s">
        <v>69</v>
      </c>
      <c r="M263" s="263">
        <v>5.00315055E8</v>
      </c>
      <c r="N263" s="266">
        <v>0.99</v>
      </c>
      <c r="O263" s="313"/>
      <c r="P263" s="311" t="s">
        <v>59</v>
      </c>
      <c r="Q263" s="312" t="s">
        <v>59</v>
      </c>
      <c r="R263" s="236"/>
      <c r="S263" s="236"/>
      <c r="T263" s="237"/>
      <c r="U263" s="57"/>
      <c r="V263" s="57"/>
      <c r="W263" s="57"/>
      <c r="X263" s="57"/>
      <c r="Y263" s="57"/>
      <c r="Z263" s="57"/>
      <c r="AA263" s="57"/>
      <c r="AB263" s="57"/>
    </row>
    <row r="264">
      <c r="A264" s="243" t="s">
        <v>382</v>
      </c>
      <c r="B264" s="243" t="s">
        <v>382</v>
      </c>
      <c r="C264" s="223" t="s">
        <v>53</v>
      </c>
      <c r="D264" s="224"/>
      <c r="E264" s="227"/>
      <c r="F264" s="224"/>
      <c r="G264" s="264" t="s">
        <v>2132</v>
      </c>
      <c r="H264" s="227"/>
      <c r="I264" s="227"/>
      <c r="J264" s="265">
        <v>46083.0</v>
      </c>
      <c r="K264" s="246"/>
      <c r="L264" s="263" t="s">
        <v>69</v>
      </c>
      <c r="M264" s="263">
        <v>5.00315055E8</v>
      </c>
      <c r="N264" s="266">
        <v>0.99</v>
      </c>
      <c r="O264" s="313"/>
      <c r="P264" s="311" t="s">
        <v>59</v>
      </c>
      <c r="Q264" s="312" t="s">
        <v>59</v>
      </c>
      <c r="R264" s="236"/>
      <c r="S264" s="236"/>
      <c r="T264" s="237"/>
      <c r="U264" s="57"/>
      <c r="V264" s="57"/>
      <c r="W264" s="57"/>
      <c r="X264" s="57"/>
      <c r="Y264" s="57"/>
      <c r="Z264" s="57"/>
      <c r="AA264" s="57"/>
      <c r="AB264" s="57"/>
    </row>
    <row r="265">
      <c r="A265" s="243" t="s">
        <v>382</v>
      </c>
      <c r="B265" s="243" t="s">
        <v>382</v>
      </c>
      <c r="C265" s="223" t="s">
        <v>53</v>
      </c>
      <c r="D265" s="224"/>
      <c r="E265" s="227"/>
      <c r="F265" s="224"/>
      <c r="G265" s="264" t="s">
        <v>1866</v>
      </c>
      <c r="H265" s="227"/>
      <c r="I265" s="227"/>
      <c r="J265" s="265">
        <v>46083.0</v>
      </c>
      <c r="K265" s="246"/>
      <c r="L265" s="263" t="s">
        <v>69</v>
      </c>
      <c r="M265" s="263">
        <v>5.00315055E8</v>
      </c>
      <c r="N265" s="266">
        <v>0.99</v>
      </c>
      <c r="O265" s="313"/>
      <c r="P265" s="311" t="s">
        <v>59</v>
      </c>
      <c r="Q265" s="312" t="s">
        <v>59</v>
      </c>
      <c r="R265" s="236"/>
      <c r="S265" s="236"/>
      <c r="T265" s="237"/>
      <c r="U265" s="57"/>
      <c r="V265" s="57"/>
      <c r="W265" s="57"/>
      <c r="X265" s="57"/>
      <c r="Y265" s="57"/>
      <c r="Z265" s="57"/>
      <c r="AA265" s="57"/>
      <c r="AB265" s="57"/>
    </row>
    <row r="266">
      <c r="A266" s="243" t="s">
        <v>382</v>
      </c>
      <c r="B266" s="243" t="s">
        <v>382</v>
      </c>
      <c r="C266" s="223" t="s">
        <v>53</v>
      </c>
      <c r="D266" s="224"/>
      <c r="E266" s="227"/>
      <c r="F266" s="224"/>
      <c r="G266" s="264" t="s">
        <v>1868</v>
      </c>
      <c r="H266" s="227"/>
      <c r="I266" s="227"/>
      <c r="J266" s="265">
        <v>46083.0</v>
      </c>
      <c r="K266" s="246"/>
      <c r="L266" s="263" t="s">
        <v>69</v>
      </c>
      <c r="M266" s="263">
        <v>5.00315055E8</v>
      </c>
      <c r="N266" s="266">
        <v>0.99</v>
      </c>
      <c r="O266" s="313"/>
      <c r="P266" s="311" t="s">
        <v>59</v>
      </c>
      <c r="Q266" s="312" t="s">
        <v>59</v>
      </c>
      <c r="R266" s="236"/>
      <c r="S266" s="236"/>
      <c r="T266" s="237"/>
      <c r="U266" s="57"/>
      <c r="V266" s="57"/>
      <c r="W266" s="57"/>
      <c r="X266" s="57"/>
      <c r="Y266" s="57"/>
      <c r="Z266" s="57"/>
      <c r="AA266" s="57"/>
      <c r="AB266" s="57"/>
    </row>
    <row r="267">
      <c r="A267" s="243" t="s">
        <v>382</v>
      </c>
      <c r="B267" s="243" t="s">
        <v>382</v>
      </c>
      <c r="C267" s="223" t="s">
        <v>53</v>
      </c>
      <c r="D267" s="224"/>
      <c r="E267" s="227"/>
      <c r="F267" s="224"/>
      <c r="G267" s="264" t="s">
        <v>2457</v>
      </c>
      <c r="H267" s="227"/>
      <c r="I267" s="227"/>
      <c r="J267" s="265">
        <v>46083.0</v>
      </c>
      <c r="K267" s="246"/>
      <c r="L267" s="263" t="s">
        <v>69</v>
      </c>
      <c r="M267" s="263">
        <v>5.00315055E8</v>
      </c>
      <c r="N267" s="266">
        <v>0.99</v>
      </c>
      <c r="O267" s="313"/>
      <c r="P267" s="311" t="s">
        <v>59</v>
      </c>
      <c r="Q267" s="312" t="s">
        <v>59</v>
      </c>
      <c r="R267" s="236"/>
      <c r="S267" s="236"/>
      <c r="T267" s="237"/>
      <c r="U267" s="57"/>
      <c r="V267" s="57"/>
      <c r="W267" s="57"/>
      <c r="X267" s="57"/>
      <c r="Y267" s="57"/>
      <c r="Z267" s="57"/>
      <c r="AA267" s="57"/>
      <c r="AB267" s="57"/>
    </row>
    <row r="268">
      <c r="A268" s="243" t="s">
        <v>382</v>
      </c>
      <c r="B268" s="243" t="s">
        <v>382</v>
      </c>
      <c r="C268" s="223" t="s">
        <v>53</v>
      </c>
      <c r="D268" s="224"/>
      <c r="E268" s="227"/>
      <c r="F268" s="224"/>
      <c r="G268" s="239" t="s">
        <v>1859</v>
      </c>
      <c r="H268" s="227"/>
      <c r="I268" s="227"/>
      <c r="J268" s="245">
        <v>46083.0</v>
      </c>
      <c r="K268" s="246"/>
      <c r="L268" s="232" t="s">
        <v>69</v>
      </c>
      <c r="M268" s="232">
        <v>5.00315055E8</v>
      </c>
      <c r="N268" s="247">
        <v>0.99</v>
      </c>
      <c r="O268" s="313"/>
      <c r="P268" s="311" t="s">
        <v>59</v>
      </c>
      <c r="Q268" s="312" t="s">
        <v>59</v>
      </c>
      <c r="R268" s="236"/>
      <c r="S268" s="236"/>
      <c r="T268" s="237"/>
      <c r="U268" s="57"/>
      <c r="V268" s="57"/>
      <c r="W268" s="57"/>
      <c r="X268" s="57"/>
      <c r="Y268" s="57"/>
      <c r="Z268" s="57"/>
      <c r="AA268" s="57"/>
      <c r="AB268" s="57"/>
    </row>
    <row r="269">
      <c r="A269" s="243" t="s">
        <v>382</v>
      </c>
      <c r="B269" s="243" t="s">
        <v>382</v>
      </c>
      <c r="C269" s="223" t="s">
        <v>53</v>
      </c>
      <c r="D269" s="224"/>
      <c r="E269" s="227"/>
      <c r="F269" s="224"/>
      <c r="G269" s="239" t="s">
        <v>2082</v>
      </c>
      <c r="H269" s="227"/>
      <c r="I269" s="227"/>
      <c r="J269" s="245">
        <v>46083.0</v>
      </c>
      <c r="K269" s="246"/>
      <c r="L269" s="232" t="s">
        <v>69</v>
      </c>
      <c r="M269" s="232">
        <v>5.00315055E8</v>
      </c>
      <c r="N269" s="247">
        <v>0.99</v>
      </c>
      <c r="O269" s="313"/>
      <c r="P269" s="311" t="s">
        <v>59</v>
      </c>
      <c r="Q269" s="312" t="s">
        <v>59</v>
      </c>
      <c r="R269" s="236"/>
      <c r="S269" s="236"/>
      <c r="T269" s="237"/>
      <c r="U269" s="57"/>
      <c r="V269" s="57"/>
      <c r="W269" s="57"/>
      <c r="X269" s="57"/>
      <c r="Y269" s="57"/>
      <c r="Z269" s="57"/>
      <c r="AA269" s="57"/>
      <c r="AB269" s="57"/>
    </row>
    <row r="270">
      <c r="A270" s="243" t="s">
        <v>382</v>
      </c>
      <c r="B270" s="243" t="s">
        <v>382</v>
      </c>
      <c r="C270" s="223" t="s">
        <v>53</v>
      </c>
      <c r="D270" s="224"/>
      <c r="E270" s="227"/>
      <c r="F270" s="224"/>
      <c r="G270" s="208" t="s">
        <v>2459</v>
      </c>
      <c r="H270" s="227"/>
      <c r="I270" s="227"/>
      <c r="J270" s="245">
        <v>46083.0</v>
      </c>
      <c r="K270" s="246"/>
      <c r="L270" s="232" t="s">
        <v>69</v>
      </c>
      <c r="M270" s="232">
        <v>5.00315055E8</v>
      </c>
      <c r="N270" s="247">
        <v>0.99</v>
      </c>
      <c r="O270" s="313"/>
      <c r="P270" s="311" t="s">
        <v>59</v>
      </c>
      <c r="Q270" s="312" t="s">
        <v>59</v>
      </c>
      <c r="R270" s="236"/>
      <c r="S270" s="236"/>
      <c r="T270" s="237"/>
      <c r="U270" s="57"/>
      <c r="V270" s="57"/>
      <c r="W270" s="57"/>
      <c r="X270" s="57"/>
      <c r="Y270" s="57"/>
      <c r="Z270" s="57"/>
      <c r="AA270" s="57"/>
      <c r="AB270" s="57"/>
    </row>
    <row r="271">
      <c r="A271" s="243" t="s">
        <v>382</v>
      </c>
      <c r="B271" s="243" t="s">
        <v>382</v>
      </c>
      <c r="C271" s="223" t="s">
        <v>53</v>
      </c>
      <c r="D271" s="224"/>
      <c r="E271" s="227"/>
      <c r="F271" s="224"/>
      <c r="G271" s="239" t="s">
        <v>71</v>
      </c>
      <c r="H271" s="227"/>
      <c r="I271" s="227"/>
      <c r="J271" s="245">
        <v>46083.0</v>
      </c>
      <c r="K271" s="246"/>
      <c r="L271" s="232" t="s">
        <v>69</v>
      </c>
      <c r="M271" s="232">
        <v>5.00315055E8</v>
      </c>
      <c r="N271" s="247">
        <v>0.99</v>
      </c>
      <c r="O271" s="313"/>
      <c r="P271" s="311" t="s">
        <v>59</v>
      </c>
      <c r="Q271" s="312" t="s">
        <v>59</v>
      </c>
      <c r="R271" s="236"/>
      <c r="S271" s="236"/>
      <c r="T271" s="237"/>
      <c r="U271" s="57"/>
      <c r="V271" s="57"/>
      <c r="W271" s="57"/>
      <c r="X271" s="57"/>
      <c r="Y271" s="57"/>
      <c r="Z271" s="57"/>
      <c r="AA271" s="57"/>
      <c r="AB271" s="57"/>
    </row>
    <row r="272">
      <c r="A272" s="243" t="s">
        <v>382</v>
      </c>
      <c r="B272" s="243" t="s">
        <v>382</v>
      </c>
      <c r="C272" s="223" t="s">
        <v>53</v>
      </c>
      <c r="D272" s="224"/>
      <c r="E272" s="227"/>
      <c r="F272" s="224"/>
      <c r="G272" s="239" t="s">
        <v>1861</v>
      </c>
      <c r="H272" s="227"/>
      <c r="I272" s="227"/>
      <c r="J272" s="245">
        <v>46083.0</v>
      </c>
      <c r="K272" s="246"/>
      <c r="L272" s="232" t="s">
        <v>69</v>
      </c>
      <c r="M272" s="232">
        <v>5.00315055E8</v>
      </c>
      <c r="N272" s="247">
        <v>0.99</v>
      </c>
      <c r="O272" s="313"/>
      <c r="P272" s="311" t="s">
        <v>59</v>
      </c>
      <c r="Q272" s="312" t="s">
        <v>59</v>
      </c>
      <c r="R272" s="236"/>
      <c r="S272" s="236"/>
      <c r="T272" s="237"/>
      <c r="U272" s="57"/>
      <c r="V272" s="57"/>
      <c r="W272" s="57"/>
      <c r="X272" s="57"/>
      <c r="Y272" s="57"/>
      <c r="Z272" s="57"/>
      <c r="AA272" s="57"/>
      <c r="AB272" s="57"/>
    </row>
    <row r="273">
      <c r="A273" s="243" t="s">
        <v>382</v>
      </c>
      <c r="B273" s="243" t="s">
        <v>382</v>
      </c>
      <c r="C273" s="225" t="s">
        <v>53</v>
      </c>
      <c r="D273" s="224"/>
      <c r="E273" s="227"/>
      <c r="F273" s="224"/>
      <c r="G273" s="239" t="s">
        <v>873</v>
      </c>
      <c r="H273" s="227"/>
      <c r="I273" s="227"/>
      <c r="J273" s="245">
        <v>46083.0</v>
      </c>
      <c r="K273" s="246"/>
      <c r="L273" s="232" t="s">
        <v>69</v>
      </c>
      <c r="M273" s="232">
        <v>5.00315055E8</v>
      </c>
      <c r="N273" s="247">
        <v>0.99</v>
      </c>
      <c r="O273" s="313"/>
      <c r="P273" s="311" t="s">
        <v>59</v>
      </c>
      <c r="Q273" s="312" t="s">
        <v>59</v>
      </c>
      <c r="R273" s="236"/>
      <c r="S273" s="236"/>
      <c r="T273" s="237"/>
      <c r="U273" s="57"/>
      <c r="V273" s="57"/>
      <c r="W273" s="57"/>
      <c r="X273" s="57"/>
      <c r="Y273" s="57"/>
      <c r="Z273" s="57"/>
      <c r="AA273" s="57"/>
      <c r="AB273" s="57"/>
    </row>
    <row r="274">
      <c r="A274" s="243" t="s">
        <v>382</v>
      </c>
      <c r="B274" s="243" t="s">
        <v>382</v>
      </c>
      <c r="C274" s="223" t="s">
        <v>53</v>
      </c>
      <c r="D274" s="224"/>
      <c r="E274" s="227"/>
      <c r="F274" s="224"/>
      <c r="G274" s="239" t="s">
        <v>2136</v>
      </c>
      <c r="H274" s="227"/>
      <c r="I274" s="227"/>
      <c r="J274" s="245">
        <v>46083.0</v>
      </c>
      <c r="K274" s="246"/>
      <c r="L274" s="232" t="s">
        <v>69</v>
      </c>
      <c r="M274" s="232">
        <v>5.00315055E8</v>
      </c>
      <c r="N274" s="247">
        <v>0.99</v>
      </c>
      <c r="O274" s="313"/>
      <c r="P274" s="311" t="s">
        <v>59</v>
      </c>
      <c r="Q274" s="312" t="s">
        <v>59</v>
      </c>
      <c r="R274" s="236"/>
      <c r="S274" s="236"/>
      <c r="T274" s="237"/>
      <c r="U274" s="57"/>
      <c r="V274" s="57"/>
      <c r="W274" s="57"/>
      <c r="X274" s="57"/>
      <c r="Y274" s="57"/>
      <c r="Z274" s="57"/>
      <c r="AA274" s="57"/>
      <c r="AB274" s="57"/>
    </row>
    <row r="275">
      <c r="A275" s="243" t="s">
        <v>382</v>
      </c>
      <c r="B275" s="243" t="s">
        <v>382</v>
      </c>
      <c r="C275" s="223" t="s">
        <v>53</v>
      </c>
      <c r="D275" s="224"/>
      <c r="E275" s="255" t="s">
        <v>35</v>
      </c>
      <c r="F275" s="232" t="s">
        <v>35</v>
      </c>
      <c r="G275" s="264" t="s">
        <v>883</v>
      </c>
      <c r="H275" s="227"/>
      <c r="I275" s="227"/>
      <c r="J275" s="265">
        <v>46083.0</v>
      </c>
      <c r="K275" s="246"/>
      <c r="L275" s="263" t="s">
        <v>69</v>
      </c>
      <c r="M275" s="263">
        <v>5.00315055E8</v>
      </c>
      <c r="N275" s="266">
        <v>16.92</v>
      </c>
      <c r="O275" s="313"/>
      <c r="P275" s="311" t="s">
        <v>59</v>
      </c>
      <c r="Q275" s="312" t="s">
        <v>59</v>
      </c>
      <c r="R275" s="236"/>
      <c r="S275" s="236"/>
      <c r="T275" s="237"/>
      <c r="U275" s="57"/>
      <c r="V275" s="57"/>
      <c r="W275" s="57"/>
      <c r="X275" s="57"/>
      <c r="Y275" s="57"/>
      <c r="Z275" s="57"/>
      <c r="AA275" s="57"/>
      <c r="AB275" s="57"/>
    </row>
    <row r="276">
      <c r="A276" s="243" t="s">
        <v>382</v>
      </c>
      <c r="B276" s="304" t="s">
        <v>382</v>
      </c>
      <c r="C276" s="223" t="s">
        <v>53</v>
      </c>
      <c r="D276" s="224"/>
      <c r="E276" s="227"/>
      <c r="F276" s="227"/>
      <c r="G276" s="299" t="s">
        <v>2461</v>
      </c>
      <c r="H276" s="227"/>
      <c r="I276" s="227"/>
      <c r="J276" s="265">
        <v>46083.0</v>
      </c>
      <c r="K276" s="246"/>
      <c r="L276" s="263" t="s">
        <v>69</v>
      </c>
      <c r="M276" s="263">
        <v>5.00315055E8</v>
      </c>
      <c r="N276" s="266">
        <v>9.86</v>
      </c>
      <c r="O276" s="313"/>
      <c r="P276" s="311" t="s">
        <v>59</v>
      </c>
      <c r="Q276" s="312" t="s">
        <v>59</v>
      </c>
      <c r="R276" s="236"/>
      <c r="S276" s="236"/>
      <c r="T276" s="237"/>
      <c r="U276" s="57"/>
      <c r="V276" s="57"/>
      <c r="W276" s="57"/>
      <c r="X276" s="57"/>
      <c r="Y276" s="57"/>
      <c r="Z276" s="57"/>
      <c r="AA276" s="57"/>
      <c r="AB276" s="57"/>
    </row>
    <row r="277">
      <c r="A277" s="243" t="s">
        <v>382</v>
      </c>
      <c r="B277" s="243" t="s">
        <v>382</v>
      </c>
      <c r="C277" s="223" t="s">
        <v>53</v>
      </c>
      <c r="D277" s="224"/>
      <c r="E277" s="224"/>
      <c r="F277" s="224"/>
      <c r="G277" s="264" t="s">
        <v>2436</v>
      </c>
      <c r="H277" s="227"/>
      <c r="I277" s="227"/>
      <c r="J277" s="265">
        <v>46083.0</v>
      </c>
      <c r="K277" s="246"/>
      <c r="L277" s="263" t="s">
        <v>69</v>
      </c>
      <c r="M277" s="263">
        <v>5.00315055E8</v>
      </c>
      <c r="N277" s="266">
        <v>8.04</v>
      </c>
      <c r="O277" s="313"/>
      <c r="P277" s="311" t="s">
        <v>59</v>
      </c>
      <c r="Q277" s="312" t="s">
        <v>59</v>
      </c>
      <c r="R277" s="235"/>
      <c r="S277" s="236"/>
      <c r="T277" s="237"/>
      <c r="U277" s="57"/>
      <c r="V277" s="57"/>
      <c r="W277" s="57"/>
      <c r="X277" s="57"/>
      <c r="Y277" s="57"/>
      <c r="Z277" s="57"/>
      <c r="AA277" s="57"/>
      <c r="AB277" s="57"/>
    </row>
    <row r="278">
      <c r="A278" s="243" t="s">
        <v>382</v>
      </c>
      <c r="B278" s="243" t="s">
        <v>382</v>
      </c>
      <c r="C278" s="225" t="s">
        <v>2721</v>
      </c>
      <c r="D278" s="259" t="s">
        <v>2722</v>
      </c>
      <c r="E278" s="224"/>
      <c r="F278" s="224"/>
      <c r="G278" s="260" t="s">
        <v>134</v>
      </c>
      <c r="H278" s="227"/>
      <c r="I278" s="227"/>
      <c r="J278" s="307">
        <v>46083.0</v>
      </c>
      <c r="K278" s="240"/>
      <c r="L278" s="259" t="s">
        <v>38</v>
      </c>
      <c r="M278" s="259">
        <v>525240.0</v>
      </c>
      <c r="N278" s="261">
        <v>144.35</v>
      </c>
      <c r="O278" s="317">
        <v>672726.0</v>
      </c>
      <c r="P278" s="311" t="s">
        <v>43</v>
      </c>
      <c r="Q278" s="312" t="s">
        <v>43</v>
      </c>
      <c r="R278" s="236"/>
      <c r="S278" s="236"/>
      <c r="T278" s="237"/>
      <c r="U278" s="57"/>
      <c r="V278" s="57"/>
      <c r="W278" s="57"/>
      <c r="X278" s="57"/>
      <c r="Y278" s="57"/>
      <c r="Z278" s="57"/>
      <c r="AA278" s="57"/>
      <c r="AB278" s="57"/>
    </row>
    <row r="279">
      <c r="A279" s="243" t="s">
        <v>382</v>
      </c>
      <c r="B279" s="243" t="s">
        <v>382</v>
      </c>
      <c r="C279" s="223" t="s">
        <v>1532</v>
      </c>
      <c r="D279" s="224"/>
      <c r="E279" s="255" t="s">
        <v>35</v>
      </c>
      <c r="F279" s="232" t="s">
        <v>35</v>
      </c>
      <c r="G279" s="264" t="s">
        <v>2462</v>
      </c>
      <c r="H279" s="227"/>
      <c r="I279" s="227"/>
      <c r="J279" s="269">
        <v>46083.0</v>
      </c>
      <c r="K279" s="240"/>
      <c r="L279" s="263" t="s">
        <v>38</v>
      </c>
      <c r="M279" s="263">
        <v>525240.0</v>
      </c>
      <c r="N279" s="266">
        <v>60.8</v>
      </c>
      <c r="O279" s="317">
        <v>672726.0</v>
      </c>
      <c r="P279" s="311" t="s">
        <v>43</v>
      </c>
      <c r="Q279" s="312" t="s">
        <v>43</v>
      </c>
      <c r="R279" s="236"/>
      <c r="S279" s="236"/>
      <c r="T279" s="237"/>
      <c r="U279" s="57"/>
      <c r="V279" s="57"/>
      <c r="W279" s="57"/>
      <c r="X279" s="57"/>
      <c r="Y279" s="57"/>
      <c r="Z279" s="57"/>
      <c r="AA279" s="57"/>
      <c r="AB279" s="57"/>
    </row>
    <row r="280">
      <c r="A280" s="243" t="s">
        <v>382</v>
      </c>
      <c r="B280" s="243" t="s">
        <v>382</v>
      </c>
      <c r="C280" s="225" t="s">
        <v>73</v>
      </c>
      <c r="D280" s="259">
        <v>5.707024266E9</v>
      </c>
      <c r="E280" s="255" t="s">
        <v>35</v>
      </c>
      <c r="F280" s="232" t="s">
        <v>35</v>
      </c>
      <c r="G280" s="260" t="s">
        <v>2463</v>
      </c>
      <c r="H280" s="224"/>
      <c r="I280" s="227"/>
      <c r="J280" s="307">
        <v>46083.0</v>
      </c>
      <c r="K280" s="240"/>
      <c r="L280" s="259" t="s">
        <v>38</v>
      </c>
      <c r="M280" s="259">
        <v>525240.0</v>
      </c>
      <c r="N280" s="261">
        <v>150.01</v>
      </c>
      <c r="O280" s="317">
        <v>672726.0</v>
      </c>
      <c r="P280" s="311" t="s">
        <v>43</v>
      </c>
      <c r="Q280" s="312" t="s">
        <v>43</v>
      </c>
      <c r="R280" s="236"/>
      <c r="S280" s="236"/>
      <c r="T280" s="237"/>
      <c r="U280" s="57"/>
      <c r="V280" s="57"/>
      <c r="W280" s="57"/>
      <c r="X280" s="57"/>
      <c r="Y280" s="57"/>
      <c r="Z280" s="57"/>
      <c r="AA280" s="57"/>
      <c r="AB280" s="57"/>
    </row>
    <row r="281">
      <c r="A281" s="243" t="s">
        <v>382</v>
      </c>
      <c r="B281" s="243" t="s">
        <v>382</v>
      </c>
      <c r="C281" s="225" t="s">
        <v>53</v>
      </c>
      <c r="D281" s="224"/>
      <c r="E281" s="255" t="s">
        <v>35</v>
      </c>
      <c r="F281" s="232" t="s">
        <v>35</v>
      </c>
      <c r="G281" s="264" t="s">
        <v>2464</v>
      </c>
      <c r="H281" s="224"/>
      <c r="I281" s="227"/>
      <c r="J281" s="269">
        <v>46083.0</v>
      </c>
      <c r="K281" s="240"/>
      <c r="L281" s="263" t="s">
        <v>38</v>
      </c>
      <c r="M281" s="263">
        <v>525240.0</v>
      </c>
      <c r="N281" s="266">
        <v>42.47</v>
      </c>
      <c r="O281" s="317">
        <v>672726.0</v>
      </c>
      <c r="P281" s="311" t="s">
        <v>59</v>
      </c>
      <c r="Q281" s="312" t="s">
        <v>59</v>
      </c>
      <c r="R281" s="236"/>
      <c r="S281" s="236"/>
      <c r="T281" s="237"/>
      <c r="U281" s="57"/>
      <c r="V281" s="57"/>
      <c r="W281" s="57"/>
      <c r="X281" s="57"/>
      <c r="Y281" s="57"/>
      <c r="Z281" s="57"/>
      <c r="AA281" s="57"/>
      <c r="AB281" s="57"/>
    </row>
    <row r="282">
      <c r="A282" s="243" t="s">
        <v>382</v>
      </c>
      <c r="B282" s="243" t="s">
        <v>382</v>
      </c>
      <c r="C282" s="225" t="s">
        <v>53</v>
      </c>
      <c r="D282" s="224"/>
      <c r="E282" s="255" t="s">
        <v>41</v>
      </c>
      <c r="F282" s="232" t="s">
        <v>41</v>
      </c>
      <c r="G282" s="264" t="s">
        <v>2365</v>
      </c>
      <c r="H282" s="224"/>
      <c r="I282" s="227"/>
      <c r="J282" s="269">
        <v>46083.0</v>
      </c>
      <c r="K282" s="240"/>
      <c r="L282" s="263" t="s">
        <v>38</v>
      </c>
      <c r="M282" s="263">
        <v>525240.0</v>
      </c>
      <c r="N282" s="266">
        <v>42.47</v>
      </c>
      <c r="O282" s="317">
        <v>672726.0</v>
      </c>
      <c r="P282" s="311" t="s">
        <v>59</v>
      </c>
      <c r="Q282" s="312" t="s">
        <v>59</v>
      </c>
      <c r="R282" s="236"/>
      <c r="S282" s="236"/>
      <c r="T282" s="237"/>
      <c r="U282" s="57"/>
      <c r="V282" s="57"/>
      <c r="W282" s="57"/>
      <c r="X282" s="57"/>
      <c r="Y282" s="57"/>
      <c r="Z282" s="57"/>
      <c r="AA282" s="57"/>
      <c r="AB282" s="57"/>
    </row>
    <row r="283">
      <c r="A283" s="243" t="s">
        <v>382</v>
      </c>
      <c r="B283" s="243" t="s">
        <v>382</v>
      </c>
      <c r="C283" s="225" t="s">
        <v>53</v>
      </c>
      <c r="D283" s="224"/>
      <c r="E283" s="255" t="s">
        <v>35</v>
      </c>
      <c r="F283" s="232" t="s">
        <v>35</v>
      </c>
      <c r="G283" s="264" t="s">
        <v>2465</v>
      </c>
      <c r="H283" s="224"/>
      <c r="I283" s="227"/>
      <c r="J283" s="269">
        <v>46083.0</v>
      </c>
      <c r="K283" s="240"/>
      <c r="L283" s="263" t="s">
        <v>38</v>
      </c>
      <c r="M283" s="263">
        <v>525240.0</v>
      </c>
      <c r="N283" s="266">
        <v>42.47</v>
      </c>
      <c r="O283" s="317">
        <v>672726.0</v>
      </c>
      <c r="P283" s="311" t="s">
        <v>59</v>
      </c>
      <c r="Q283" s="312" t="s">
        <v>59</v>
      </c>
      <c r="R283" s="236"/>
      <c r="S283" s="236"/>
      <c r="T283" s="237"/>
      <c r="U283" s="57"/>
      <c r="V283" s="57"/>
      <c r="W283" s="57"/>
      <c r="X283" s="57"/>
      <c r="Y283" s="57"/>
      <c r="Z283" s="57"/>
      <c r="AA283" s="57"/>
      <c r="AB283" s="57"/>
    </row>
    <row r="284">
      <c r="A284" s="243" t="s">
        <v>382</v>
      </c>
      <c r="B284" s="243" t="s">
        <v>382</v>
      </c>
      <c r="C284" s="225" t="s">
        <v>53</v>
      </c>
      <c r="D284" s="224"/>
      <c r="E284" s="255" t="s">
        <v>41</v>
      </c>
      <c r="F284" s="232" t="s">
        <v>41</v>
      </c>
      <c r="G284" s="264" t="s">
        <v>61</v>
      </c>
      <c r="H284" s="224"/>
      <c r="I284" s="227"/>
      <c r="J284" s="269">
        <v>46083.0</v>
      </c>
      <c r="K284" s="240"/>
      <c r="L284" s="263" t="s">
        <v>38</v>
      </c>
      <c r="M284" s="263">
        <v>525240.0</v>
      </c>
      <c r="N284" s="266">
        <v>42.47</v>
      </c>
      <c r="O284" s="317">
        <v>672726.0</v>
      </c>
      <c r="P284" s="311" t="s">
        <v>59</v>
      </c>
      <c r="Q284" s="312" t="s">
        <v>59</v>
      </c>
      <c r="R284" s="236"/>
      <c r="S284" s="236"/>
      <c r="T284" s="237"/>
      <c r="U284" s="57"/>
      <c r="V284" s="57"/>
      <c r="W284" s="57"/>
      <c r="X284" s="57"/>
      <c r="Y284" s="57"/>
      <c r="Z284" s="57"/>
      <c r="AA284" s="57"/>
      <c r="AB284" s="57"/>
    </row>
    <row r="285">
      <c r="A285" s="243" t="s">
        <v>382</v>
      </c>
      <c r="B285" s="243" t="s">
        <v>382</v>
      </c>
      <c r="C285" s="225" t="s">
        <v>53</v>
      </c>
      <c r="D285" s="224"/>
      <c r="E285" s="255" t="s">
        <v>41</v>
      </c>
      <c r="F285" s="232" t="s">
        <v>41</v>
      </c>
      <c r="G285" s="264" t="s">
        <v>1240</v>
      </c>
      <c r="H285" s="224"/>
      <c r="I285" s="227"/>
      <c r="J285" s="269">
        <v>46083.0</v>
      </c>
      <c r="K285" s="240"/>
      <c r="L285" s="263" t="s">
        <v>38</v>
      </c>
      <c r="M285" s="263">
        <v>525240.0</v>
      </c>
      <c r="N285" s="266">
        <v>42.47</v>
      </c>
      <c r="O285" s="317">
        <v>672726.0</v>
      </c>
      <c r="P285" s="311" t="s">
        <v>59</v>
      </c>
      <c r="Q285" s="312" t="s">
        <v>59</v>
      </c>
      <c r="R285" s="236"/>
      <c r="S285" s="236"/>
      <c r="T285" s="237"/>
      <c r="U285" s="57"/>
      <c r="V285" s="57"/>
      <c r="W285" s="57"/>
      <c r="X285" s="57"/>
      <c r="Y285" s="57"/>
      <c r="Z285" s="57"/>
      <c r="AA285" s="57"/>
      <c r="AB285" s="57"/>
    </row>
    <row r="286">
      <c r="A286" s="243" t="s">
        <v>382</v>
      </c>
      <c r="B286" s="304" t="s">
        <v>382</v>
      </c>
      <c r="C286" s="223" t="s">
        <v>53</v>
      </c>
      <c r="D286" s="224"/>
      <c r="E286" s="255" t="s">
        <v>41</v>
      </c>
      <c r="F286" s="232" t="s">
        <v>41</v>
      </c>
      <c r="G286" s="264" t="s">
        <v>294</v>
      </c>
      <c r="H286" s="224"/>
      <c r="I286" s="227"/>
      <c r="J286" s="269">
        <v>46083.0</v>
      </c>
      <c r="K286" s="240"/>
      <c r="L286" s="263" t="s">
        <v>38</v>
      </c>
      <c r="M286" s="263">
        <v>525240.0</v>
      </c>
      <c r="N286" s="266">
        <v>42.47</v>
      </c>
      <c r="O286" s="317">
        <v>672726.0</v>
      </c>
      <c r="P286" s="311" t="s">
        <v>59</v>
      </c>
      <c r="Q286" s="312" t="s">
        <v>59</v>
      </c>
      <c r="R286" s="236"/>
      <c r="S286" s="236"/>
      <c r="T286" s="237"/>
      <c r="U286" s="57"/>
      <c r="V286" s="57"/>
      <c r="W286" s="57"/>
      <c r="X286" s="57"/>
      <c r="Y286" s="57"/>
      <c r="Z286" s="57"/>
      <c r="AA286" s="57"/>
      <c r="AB286" s="57"/>
    </row>
    <row r="287">
      <c r="A287" s="243" t="s">
        <v>382</v>
      </c>
      <c r="B287" s="243" t="s">
        <v>382</v>
      </c>
      <c r="C287" s="223" t="s">
        <v>53</v>
      </c>
      <c r="D287" s="224"/>
      <c r="E287" s="255" t="s">
        <v>41</v>
      </c>
      <c r="F287" s="232" t="s">
        <v>41</v>
      </c>
      <c r="G287" s="264" t="s">
        <v>331</v>
      </c>
      <c r="H287" s="224"/>
      <c r="I287" s="227"/>
      <c r="J287" s="269">
        <v>46083.0</v>
      </c>
      <c r="K287" s="240"/>
      <c r="L287" s="263" t="s">
        <v>38</v>
      </c>
      <c r="M287" s="263">
        <v>525240.0</v>
      </c>
      <c r="N287" s="266">
        <v>5.46</v>
      </c>
      <c r="O287" s="317">
        <v>672726.0</v>
      </c>
      <c r="P287" s="311" t="s">
        <v>59</v>
      </c>
      <c r="Q287" s="312" t="s">
        <v>59</v>
      </c>
      <c r="R287" s="236"/>
      <c r="S287" s="236"/>
      <c r="T287" s="237"/>
      <c r="U287" s="57"/>
      <c r="V287" s="57"/>
      <c r="W287" s="57"/>
      <c r="X287" s="57"/>
      <c r="Y287" s="57"/>
      <c r="Z287" s="57"/>
      <c r="AA287" s="57"/>
      <c r="AB287" s="57"/>
    </row>
    <row r="288">
      <c r="A288" s="243" t="s">
        <v>382</v>
      </c>
      <c r="B288" s="243" t="s">
        <v>382</v>
      </c>
      <c r="C288" s="223" t="s">
        <v>2723</v>
      </c>
      <c r="D288" s="259" t="s">
        <v>2724</v>
      </c>
      <c r="E288" s="255" t="s">
        <v>41</v>
      </c>
      <c r="F288" s="232" t="s">
        <v>41</v>
      </c>
      <c r="G288" s="260" t="s">
        <v>2467</v>
      </c>
      <c r="H288" s="224"/>
      <c r="I288" s="227"/>
      <c r="J288" s="307">
        <v>46083.0</v>
      </c>
      <c r="K288" s="240"/>
      <c r="L288" s="259" t="s">
        <v>38</v>
      </c>
      <c r="M288" s="259">
        <v>525240.0</v>
      </c>
      <c r="N288" s="261">
        <v>156.51</v>
      </c>
      <c r="O288" s="317">
        <v>672726.0</v>
      </c>
      <c r="P288" s="311" t="s">
        <v>43</v>
      </c>
      <c r="Q288" s="312" t="s">
        <v>43</v>
      </c>
      <c r="R288" s="236"/>
      <c r="S288" s="236"/>
      <c r="T288" s="237"/>
      <c r="U288" s="57"/>
      <c r="V288" s="57"/>
      <c r="W288" s="57"/>
      <c r="X288" s="57"/>
      <c r="Y288" s="57"/>
      <c r="Z288" s="57"/>
      <c r="AA288" s="57"/>
      <c r="AB288" s="57"/>
    </row>
    <row r="289">
      <c r="A289" s="243" t="s">
        <v>382</v>
      </c>
      <c r="B289" s="243" t="s">
        <v>382</v>
      </c>
      <c r="C289" s="225" t="s">
        <v>53</v>
      </c>
      <c r="D289" s="224"/>
      <c r="E289" s="255" t="s">
        <v>41</v>
      </c>
      <c r="F289" s="232" t="s">
        <v>41</v>
      </c>
      <c r="G289" s="264" t="s">
        <v>2423</v>
      </c>
      <c r="H289" s="224"/>
      <c r="I289" s="227"/>
      <c r="J289" s="269">
        <v>46083.0</v>
      </c>
      <c r="K289" s="240"/>
      <c r="L289" s="263" t="s">
        <v>38</v>
      </c>
      <c r="M289" s="263">
        <v>525240.0</v>
      </c>
      <c r="N289" s="266">
        <v>124.88</v>
      </c>
      <c r="O289" s="317">
        <v>672726.0</v>
      </c>
      <c r="P289" s="311" t="s">
        <v>59</v>
      </c>
      <c r="Q289" s="312" t="s">
        <v>59</v>
      </c>
      <c r="R289" s="236"/>
      <c r="S289" s="236"/>
      <c r="T289" s="237"/>
      <c r="U289" s="57"/>
      <c r="V289" s="57"/>
      <c r="W289" s="57"/>
      <c r="X289" s="57"/>
      <c r="Y289" s="57"/>
      <c r="Z289" s="57"/>
      <c r="AA289" s="57"/>
      <c r="AB289" s="57"/>
    </row>
    <row r="290">
      <c r="A290" s="243" t="s">
        <v>382</v>
      </c>
      <c r="B290" s="304" t="s">
        <v>382</v>
      </c>
      <c r="C290" s="223" t="s">
        <v>53</v>
      </c>
      <c r="D290" s="224"/>
      <c r="E290" s="232" t="s">
        <v>35</v>
      </c>
      <c r="F290" s="232" t="s">
        <v>35</v>
      </c>
      <c r="G290" s="264" t="s">
        <v>2423</v>
      </c>
      <c r="H290" s="224"/>
      <c r="I290" s="227"/>
      <c r="J290" s="269">
        <v>46083.0</v>
      </c>
      <c r="K290" s="240"/>
      <c r="L290" s="263" t="s">
        <v>38</v>
      </c>
      <c r="M290" s="263">
        <v>525240.0</v>
      </c>
      <c r="N290" s="266">
        <v>124.88</v>
      </c>
      <c r="O290" s="317">
        <v>672726.0</v>
      </c>
      <c r="P290" s="311" t="s">
        <v>59</v>
      </c>
      <c r="Q290" s="312" t="s">
        <v>59</v>
      </c>
      <c r="R290" s="236"/>
      <c r="S290" s="236"/>
      <c r="T290" s="237"/>
      <c r="U290" s="57"/>
      <c r="V290" s="57"/>
      <c r="W290" s="57"/>
      <c r="X290" s="57"/>
      <c r="Y290" s="57"/>
      <c r="Z290" s="57"/>
      <c r="AA290" s="57"/>
      <c r="AB290" s="57"/>
    </row>
    <row r="291">
      <c r="A291" s="243" t="s">
        <v>382</v>
      </c>
      <c r="B291" s="243" t="s">
        <v>382</v>
      </c>
      <c r="C291" s="223" t="s">
        <v>53</v>
      </c>
      <c r="D291" s="224"/>
      <c r="E291" s="255" t="s">
        <v>64</v>
      </c>
      <c r="F291" s="232" t="s">
        <v>64</v>
      </c>
      <c r="G291" s="264" t="s">
        <v>2342</v>
      </c>
      <c r="H291" s="224"/>
      <c r="I291" s="227"/>
      <c r="J291" s="269">
        <v>46083.0</v>
      </c>
      <c r="K291" s="240"/>
      <c r="L291" s="263" t="s">
        <v>38</v>
      </c>
      <c r="M291" s="263">
        <v>525240.0</v>
      </c>
      <c r="N291" s="266">
        <v>132.15</v>
      </c>
      <c r="O291" s="317">
        <v>672726.0</v>
      </c>
      <c r="P291" s="311" t="s">
        <v>59</v>
      </c>
      <c r="Q291" s="312" t="s">
        <v>59</v>
      </c>
      <c r="R291" s="236"/>
      <c r="S291" s="236"/>
      <c r="T291" s="237"/>
      <c r="U291" s="57"/>
      <c r="V291" s="57"/>
      <c r="W291" s="57"/>
      <c r="X291" s="57"/>
      <c r="Y291" s="57"/>
      <c r="Z291" s="57"/>
      <c r="AA291" s="57"/>
      <c r="AB291" s="57"/>
    </row>
    <row r="292">
      <c r="A292" s="243" t="s">
        <v>382</v>
      </c>
      <c r="B292" s="304" t="s">
        <v>382</v>
      </c>
      <c r="C292" s="223" t="s">
        <v>2726</v>
      </c>
      <c r="D292" s="259">
        <v>5.703165316E9</v>
      </c>
      <c r="E292" s="255" t="s">
        <v>41</v>
      </c>
      <c r="F292" s="232" t="s">
        <v>41</v>
      </c>
      <c r="G292" s="264" t="s">
        <v>2469</v>
      </c>
      <c r="H292" s="224"/>
      <c r="I292" s="227"/>
      <c r="J292" s="269">
        <v>46083.0</v>
      </c>
      <c r="K292" s="240"/>
      <c r="L292" s="263" t="s">
        <v>38</v>
      </c>
      <c r="M292" s="263">
        <v>525240.0</v>
      </c>
      <c r="N292" s="266">
        <v>132.15</v>
      </c>
      <c r="O292" s="317">
        <v>672726.0</v>
      </c>
      <c r="P292" s="311" t="s">
        <v>43</v>
      </c>
      <c r="Q292" s="312" t="s">
        <v>43</v>
      </c>
      <c r="R292" s="236"/>
      <c r="S292" s="236"/>
      <c r="T292" s="237"/>
      <c r="U292" s="57"/>
      <c r="V292" s="57"/>
      <c r="W292" s="57"/>
      <c r="X292" s="57"/>
      <c r="Y292" s="57"/>
      <c r="Z292" s="57"/>
      <c r="AA292" s="57"/>
      <c r="AB292" s="57"/>
    </row>
    <row r="293">
      <c r="A293" s="243" t="s">
        <v>382</v>
      </c>
      <c r="B293" s="243" t="s">
        <v>382</v>
      </c>
      <c r="C293" s="223" t="s">
        <v>2727</v>
      </c>
      <c r="D293" s="224"/>
      <c r="E293" s="232" t="s">
        <v>35</v>
      </c>
      <c r="F293" s="232" t="s">
        <v>35</v>
      </c>
      <c r="G293" s="260" t="s">
        <v>474</v>
      </c>
      <c r="H293" s="224"/>
      <c r="I293" s="227"/>
      <c r="J293" s="307">
        <v>46083.0</v>
      </c>
      <c r="K293" s="240"/>
      <c r="L293" s="259" t="s">
        <v>38</v>
      </c>
      <c r="M293" s="259">
        <v>525240.0</v>
      </c>
      <c r="N293" s="261">
        <v>113.91</v>
      </c>
      <c r="O293" s="317">
        <v>672726.0</v>
      </c>
      <c r="P293" s="311" t="s">
        <v>43</v>
      </c>
      <c r="Q293" s="312" t="s">
        <v>43</v>
      </c>
      <c r="R293" s="236"/>
      <c r="S293" s="236"/>
      <c r="T293" s="237"/>
      <c r="U293" s="57"/>
      <c r="V293" s="57"/>
      <c r="W293" s="57"/>
      <c r="X293" s="57"/>
      <c r="Y293" s="57"/>
      <c r="Z293" s="57"/>
      <c r="AA293" s="57"/>
      <c r="AB293" s="57"/>
    </row>
    <row r="294">
      <c r="A294" s="243" t="s">
        <v>382</v>
      </c>
      <c r="B294" s="243" t="s">
        <v>382</v>
      </c>
      <c r="C294" s="223" t="s">
        <v>1721</v>
      </c>
      <c r="D294" s="259" t="s">
        <v>2729</v>
      </c>
      <c r="E294" s="255" t="s">
        <v>35</v>
      </c>
      <c r="F294" s="232" t="s">
        <v>35</v>
      </c>
      <c r="G294" s="274" t="s">
        <v>134</v>
      </c>
      <c r="H294" s="224"/>
      <c r="I294" s="227"/>
      <c r="J294" s="318">
        <v>46083.0</v>
      </c>
      <c r="K294" s="240"/>
      <c r="L294" s="276" t="s">
        <v>38</v>
      </c>
      <c r="M294" s="276">
        <v>525240.0</v>
      </c>
      <c r="N294" s="230">
        <v>144.35</v>
      </c>
      <c r="O294" s="317">
        <v>672726.0</v>
      </c>
      <c r="P294" s="311" t="s">
        <v>43</v>
      </c>
      <c r="Q294" s="312" t="s">
        <v>43</v>
      </c>
      <c r="R294" s="236"/>
      <c r="S294" s="236"/>
      <c r="T294" s="237"/>
      <c r="U294" s="57"/>
      <c r="V294" s="57"/>
      <c r="W294" s="57"/>
      <c r="X294" s="57"/>
      <c r="Y294" s="57"/>
      <c r="Z294" s="57"/>
      <c r="AA294" s="57"/>
      <c r="AB294" s="57"/>
    </row>
    <row r="295">
      <c r="A295" s="243" t="s">
        <v>382</v>
      </c>
      <c r="B295" s="243" t="s">
        <v>382</v>
      </c>
      <c r="C295" s="223" t="s">
        <v>2730</v>
      </c>
      <c r="D295" s="224"/>
      <c r="E295" s="232" t="s">
        <v>41</v>
      </c>
      <c r="F295" s="232" t="s">
        <v>41</v>
      </c>
      <c r="G295" s="239" t="s">
        <v>2472</v>
      </c>
      <c r="H295" s="224"/>
      <c r="I295" s="227"/>
      <c r="J295" s="291">
        <v>46083.0</v>
      </c>
      <c r="K295" s="240"/>
      <c r="L295" s="232" t="s">
        <v>38</v>
      </c>
      <c r="M295" s="232">
        <v>525240.0</v>
      </c>
      <c r="N295" s="247">
        <v>81.08</v>
      </c>
      <c r="O295" s="317">
        <v>672726.0</v>
      </c>
      <c r="P295" s="311" t="s">
        <v>43</v>
      </c>
      <c r="Q295" s="312" t="s">
        <v>43</v>
      </c>
      <c r="R295" s="236"/>
      <c r="S295" s="236"/>
      <c r="T295" s="237"/>
      <c r="U295" s="57"/>
      <c r="V295" s="57"/>
      <c r="W295" s="57"/>
      <c r="X295" s="57"/>
      <c r="Y295" s="57"/>
      <c r="Z295" s="57"/>
      <c r="AA295" s="57"/>
      <c r="AB295" s="57"/>
    </row>
    <row r="296">
      <c r="A296" s="243" t="s">
        <v>382</v>
      </c>
      <c r="B296" s="243" t="s">
        <v>382</v>
      </c>
      <c r="C296" s="223" t="s">
        <v>53</v>
      </c>
      <c r="D296" s="224"/>
      <c r="E296" s="232" t="s">
        <v>41</v>
      </c>
      <c r="F296" s="232" t="s">
        <v>41</v>
      </c>
      <c r="G296" s="239" t="s">
        <v>264</v>
      </c>
      <c r="H296" s="224"/>
      <c r="I296" s="227"/>
      <c r="J296" s="291">
        <v>46083.0</v>
      </c>
      <c r="K296" s="240"/>
      <c r="L296" s="232" t="s">
        <v>38</v>
      </c>
      <c r="M296" s="232">
        <v>525240.0</v>
      </c>
      <c r="N296" s="247">
        <v>144.35</v>
      </c>
      <c r="O296" s="317">
        <v>672726.0</v>
      </c>
      <c r="P296" s="311" t="s">
        <v>59</v>
      </c>
      <c r="Q296" s="312" t="s">
        <v>59</v>
      </c>
      <c r="R296" s="236"/>
      <c r="S296" s="236"/>
      <c r="T296" s="237"/>
      <c r="U296" s="57"/>
      <c r="V296" s="57"/>
      <c r="W296" s="57"/>
      <c r="X296" s="57"/>
      <c r="Y296" s="57"/>
      <c r="Z296" s="57"/>
      <c r="AA296" s="57"/>
      <c r="AB296" s="57"/>
    </row>
    <row r="297">
      <c r="A297" s="243" t="s">
        <v>382</v>
      </c>
      <c r="B297" s="243" t="s">
        <v>382</v>
      </c>
      <c r="C297" s="223" t="s">
        <v>2732</v>
      </c>
      <c r="D297" s="224"/>
      <c r="E297" s="255" t="s">
        <v>41</v>
      </c>
      <c r="F297" s="232" t="s">
        <v>41</v>
      </c>
      <c r="G297" s="239" t="s">
        <v>2180</v>
      </c>
      <c r="H297" s="224"/>
      <c r="I297" s="227"/>
      <c r="J297" s="291">
        <v>46083.0</v>
      </c>
      <c r="K297" s="240"/>
      <c r="L297" s="232" t="s">
        <v>38</v>
      </c>
      <c r="M297" s="232">
        <v>525240.0</v>
      </c>
      <c r="N297" s="247">
        <v>114.0</v>
      </c>
      <c r="O297" s="317">
        <v>672726.0</v>
      </c>
      <c r="P297" s="311" t="s">
        <v>43</v>
      </c>
      <c r="Q297" s="312" t="s">
        <v>43</v>
      </c>
      <c r="R297" s="236"/>
      <c r="S297" s="236"/>
      <c r="T297" s="237"/>
      <c r="U297" s="57"/>
      <c r="V297" s="57"/>
      <c r="W297" s="57"/>
      <c r="X297" s="57"/>
      <c r="Y297" s="57"/>
      <c r="Z297" s="57"/>
      <c r="AA297" s="57"/>
      <c r="AB297" s="57"/>
    </row>
    <row r="298">
      <c r="A298" s="243" t="s">
        <v>382</v>
      </c>
      <c r="B298" s="243" t="s">
        <v>382</v>
      </c>
      <c r="C298" s="223" t="s">
        <v>252</v>
      </c>
      <c r="D298" s="224"/>
      <c r="E298" s="232" t="s">
        <v>41</v>
      </c>
      <c r="F298" s="232" t="s">
        <v>41</v>
      </c>
      <c r="G298" s="239" t="s">
        <v>51</v>
      </c>
      <c r="H298" s="224"/>
      <c r="I298" s="227"/>
      <c r="J298" s="291">
        <v>46083.0</v>
      </c>
      <c r="K298" s="240"/>
      <c r="L298" s="232" t="s">
        <v>38</v>
      </c>
      <c r="M298" s="232">
        <v>525240.0</v>
      </c>
      <c r="N298" s="247">
        <v>114.0</v>
      </c>
      <c r="O298" s="317">
        <v>672726.0</v>
      </c>
      <c r="P298" s="311" t="s">
        <v>43</v>
      </c>
      <c r="Q298" s="312" t="s">
        <v>43</v>
      </c>
      <c r="R298" s="236"/>
      <c r="S298" s="236"/>
      <c r="T298" s="237"/>
      <c r="U298" s="57"/>
      <c r="V298" s="57"/>
      <c r="W298" s="57"/>
      <c r="X298" s="57"/>
      <c r="Y298" s="57"/>
      <c r="Z298" s="57"/>
      <c r="AA298" s="57"/>
      <c r="AB298" s="57"/>
    </row>
    <row r="299">
      <c r="A299" s="243" t="s">
        <v>382</v>
      </c>
      <c r="B299" s="243" t="s">
        <v>382</v>
      </c>
      <c r="C299" s="223" t="s">
        <v>53</v>
      </c>
      <c r="D299" s="224"/>
      <c r="E299" s="255" t="s">
        <v>41</v>
      </c>
      <c r="F299" s="232" t="s">
        <v>41</v>
      </c>
      <c r="G299" s="208" t="s">
        <v>2057</v>
      </c>
      <c r="H299" s="227"/>
      <c r="I299" s="227"/>
      <c r="J299" s="291">
        <v>46083.0</v>
      </c>
      <c r="K299" s="240"/>
      <c r="L299" s="232" t="s">
        <v>38</v>
      </c>
      <c r="M299" s="232">
        <v>525240.0</v>
      </c>
      <c r="N299" s="247">
        <v>20.9</v>
      </c>
      <c r="O299" s="317">
        <v>672726.0</v>
      </c>
      <c r="P299" s="311" t="s">
        <v>59</v>
      </c>
      <c r="Q299" s="312" t="s">
        <v>59</v>
      </c>
      <c r="R299" s="236"/>
      <c r="S299" s="236"/>
      <c r="T299" s="237"/>
      <c r="U299" s="57"/>
      <c r="V299" s="57"/>
      <c r="W299" s="57"/>
      <c r="X299" s="57"/>
      <c r="Y299" s="57"/>
      <c r="Z299" s="57"/>
      <c r="AA299" s="57"/>
      <c r="AB299" s="57"/>
    </row>
    <row r="300">
      <c r="A300" s="243" t="s">
        <v>382</v>
      </c>
      <c r="B300" s="243" t="s">
        <v>382</v>
      </c>
      <c r="C300" s="223" t="s">
        <v>2735</v>
      </c>
      <c r="D300" s="224"/>
      <c r="E300" s="232" t="s">
        <v>41</v>
      </c>
      <c r="F300" s="232" t="s">
        <v>41</v>
      </c>
      <c r="G300" s="239" t="s">
        <v>264</v>
      </c>
      <c r="H300" s="227"/>
      <c r="I300" s="227"/>
      <c r="J300" s="291">
        <v>46083.0</v>
      </c>
      <c r="K300" s="240"/>
      <c r="L300" s="232" t="s">
        <v>38</v>
      </c>
      <c r="M300" s="232">
        <v>525240.0</v>
      </c>
      <c r="N300" s="247">
        <v>144.35</v>
      </c>
      <c r="O300" s="317">
        <v>672726.0</v>
      </c>
      <c r="P300" s="311" t="s">
        <v>43</v>
      </c>
      <c r="Q300" s="312" t="s">
        <v>43</v>
      </c>
      <c r="R300" s="236"/>
      <c r="S300" s="236"/>
      <c r="T300" s="237"/>
      <c r="U300" s="57"/>
      <c r="V300" s="57"/>
      <c r="W300" s="57"/>
      <c r="X300" s="57"/>
      <c r="Y300" s="57"/>
      <c r="Z300" s="57"/>
      <c r="AA300" s="57"/>
      <c r="AB300" s="57"/>
    </row>
    <row r="301">
      <c r="A301" s="243" t="s">
        <v>382</v>
      </c>
      <c r="B301" s="243" t="s">
        <v>382</v>
      </c>
      <c r="C301" s="223" t="s">
        <v>53</v>
      </c>
      <c r="D301" s="224"/>
      <c r="E301" s="224"/>
      <c r="F301" s="224"/>
      <c r="G301" s="264" t="s">
        <v>308</v>
      </c>
      <c r="H301" s="227"/>
      <c r="I301" s="227"/>
      <c r="J301" s="269">
        <v>46083.0</v>
      </c>
      <c r="K301" s="240"/>
      <c r="L301" s="263" t="s">
        <v>347</v>
      </c>
      <c r="M301" s="263" t="s">
        <v>2737</v>
      </c>
      <c r="N301" s="266">
        <v>95.4</v>
      </c>
      <c r="O301" s="313"/>
      <c r="P301" s="311" t="s">
        <v>59</v>
      </c>
      <c r="Q301" s="312" t="s">
        <v>59</v>
      </c>
      <c r="R301" s="236"/>
      <c r="S301" s="236"/>
      <c r="T301" s="237"/>
      <c r="U301" s="57"/>
      <c r="V301" s="57"/>
      <c r="W301" s="57"/>
      <c r="X301" s="57"/>
      <c r="Y301" s="57"/>
      <c r="Z301" s="57"/>
      <c r="AA301" s="57"/>
      <c r="AB301" s="57"/>
    </row>
    <row r="302">
      <c r="A302" s="243" t="s">
        <v>382</v>
      </c>
      <c r="B302" s="243" t="s">
        <v>382</v>
      </c>
      <c r="C302" s="223" t="s">
        <v>400</v>
      </c>
      <c r="D302" s="224"/>
      <c r="E302" s="224"/>
      <c r="F302" s="224"/>
      <c r="G302" s="260" t="s">
        <v>2474</v>
      </c>
      <c r="H302" s="227"/>
      <c r="I302" s="227"/>
      <c r="J302" s="307">
        <v>46083.0</v>
      </c>
      <c r="K302" s="240"/>
      <c r="L302" s="259" t="s">
        <v>347</v>
      </c>
      <c r="M302" s="259" t="s">
        <v>2737</v>
      </c>
      <c r="N302" s="261">
        <v>95.4</v>
      </c>
      <c r="O302" s="313"/>
      <c r="P302" s="311" t="s">
        <v>43</v>
      </c>
      <c r="Q302" s="312" t="s">
        <v>43</v>
      </c>
      <c r="R302" s="236"/>
      <c r="S302" s="236"/>
      <c r="T302" s="237"/>
      <c r="U302" s="57"/>
      <c r="V302" s="57"/>
      <c r="W302" s="57"/>
      <c r="X302" s="57"/>
      <c r="Y302" s="57"/>
      <c r="Z302" s="57"/>
      <c r="AA302" s="57"/>
      <c r="AB302" s="57"/>
    </row>
    <row r="303">
      <c r="A303" s="243" t="s">
        <v>382</v>
      </c>
      <c r="B303" s="243" t="s">
        <v>382</v>
      </c>
      <c r="C303" s="223" t="s">
        <v>53</v>
      </c>
      <c r="D303" s="224"/>
      <c r="E303" s="224"/>
      <c r="F303" s="224"/>
      <c r="G303" s="231" t="s">
        <v>2475</v>
      </c>
      <c r="H303" s="227"/>
      <c r="I303" s="227"/>
      <c r="J303" s="307">
        <v>46083.0</v>
      </c>
      <c r="K303" s="240"/>
      <c r="L303" s="259" t="s">
        <v>347</v>
      </c>
      <c r="M303" s="259" t="s">
        <v>2737</v>
      </c>
      <c r="N303" s="261">
        <v>95.4</v>
      </c>
      <c r="O303" s="313"/>
      <c r="P303" s="311" t="s">
        <v>59</v>
      </c>
      <c r="Q303" s="312" t="s">
        <v>59</v>
      </c>
      <c r="R303" s="236"/>
      <c r="S303" s="236"/>
      <c r="T303" s="237"/>
      <c r="U303" s="57"/>
      <c r="V303" s="57"/>
      <c r="W303" s="57"/>
      <c r="X303" s="57"/>
      <c r="Y303" s="57"/>
      <c r="Z303" s="57"/>
      <c r="AA303" s="57"/>
      <c r="AB303" s="57"/>
    </row>
    <row r="304">
      <c r="A304" s="243" t="s">
        <v>382</v>
      </c>
      <c r="B304" s="243" t="s">
        <v>382</v>
      </c>
      <c r="C304" s="223" t="s">
        <v>53</v>
      </c>
      <c r="D304" s="224"/>
      <c r="E304" s="227"/>
      <c r="F304" s="224"/>
      <c r="G304" s="260" t="s">
        <v>2477</v>
      </c>
      <c r="H304" s="227"/>
      <c r="I304" s="227"/>
      <c r="J304" s="307">
        <v>46083.0</v>
      </c>
      <c r="K304" s="240"/>
      <c r="L304" s="259" t="s">
        <v>347</v>
      </c>
      <c r="M304" s="259" t="s">
        <v>2737</v>
      </c>
      <c r="N304" s="261">
        <v>95.4</v>
      </c>
      <c r="O304" s="313"/>
      <c r="P304" s="311" t="s">
        <v>59</v>
      </c>
      <c r="Q304" s="312" t="s">
        <v>59</v>
      </c>
      <c r="R304" s="236"/>
      <c r="S304" s="236"/>
      <c r="T304" s="237"/>
      <c r="U304" s="57"/>
      <c r="V304" s="57"/>
      <c r="W304" s="57"/>
      <c r="X304" s="57"/>
      <c r="Y304" s="57"/>
      <c r="Z304" s="57"/>
      <c r="AA304" s="57"/>
      <c r="AB304" s="57"/>
    </row>
    <row r="305">
      <c r="A305" s="243" t="s">
        <v>382</v>
      </c>
      <c r="B305" s="243" t="s">
        <v>382</v>
      </c>
      <c r="C305" s="223" t="s">
        <v>53</v>
      </c>
      <c r="D305" s="224"/>
      <c r="E305" s="224"/>
      <c r="F305" s="224"/>
      <c r="G305" s="264" t="s">
        <v>2423</v>
      </c>
      <c r="H305" s="227"/>
      <c r="I305" s="299" t="s">
        <v>2740</v>
      </c>
      <c r="J305" s="269">
        <v>46084.0</v>
      </c>
      <c r="K305" s="240"/>
      <c r="L305" s="263" t="s">
        <v>347</v>
      </c>
      <c r="M305" s="263" t="s">
        <v>59</v>
      </c>
      <c r="N305" s="266">
        <v>0.0</v>
      </c>
      <c r="O305" s="313"/>
      <c r="P305" s="311" t="s">
        <v>59</v>
      </c>
      <c r="Q305" s="312" t="s">
        <v>59</v>
      </c>
      <c r="R305" s="236"/>
      <c r="S305" s="236"/>
      <c r="T305" s="237"/>
      <c r="U305" s="57"/>
      <c r="V305" s="57"/>
      <c r="W305" s="57"/>
      <c r="X305" s="57"/>
      <c r="Y305" s="57"/>
      <c r="Z305" s="57"/>
      <c r="AA305" s="57"/>
      <c r="AB305" s="57"/>
    </row>
    <row r="306">
      <c r="A306" s="243" t="s">
        <v>382</v>
      </c>
      <c r="B306" s="243" t="s">
        <v>382</v>
      </c>
      <c r="C306" s="225" t="s">
        <v>53</v>
      </c>
      <c r="D306" s="224"/>
      <c r="E306" s="232" t="s">
        <v>41</v>
      </c>
      <c r="F306" s="232" t="s">
        <v>41</v>
      </c>
      <c r="G306" s="264" t="s">
        <v>2480</v>
      </c>
      <c r="H306" s="227"/>
      <c r="I306" s="227"/>
      <c r="J306" s="269">
        <v>46084.0</v>
      </c>
      <c r="K306" s="240"/>
      <c r="L306" s="263" t="s">
        <v>2741</v>
      </c>
      <c r="M306" s="263" t="s">
        <v>1081</v>
      </c>
      <c r="N306" s="266">
        <v>125.0</v>
      </c>
      <c r="O306" s="313"/>
      <c r="P306" s="311" t="s">
        <v>59</v>
      </c>
      <c r="Q306" s="312" t="s">
        <v>59</v>
      </c>
      <c r="R306" s="236"/>
      <c r="S306" s="236"/>
      <c r="T306" s="237"/>
      <c r="U306" s="57"/>
      <c r="V306" s="57"/>
      <c r="W306" s="57"/>
      <c r="X306" s="57"/>
      <c r="Y306" s="57"/>
      <c r="Z306" s="57"/>
      <c r="AA306" s="57"/>
      <c r="AB306" s="57"/>
    </row>
    <row r="307">
      <c r="A307" s="243" t="s">
        <v>382</v>
      </c>
      <c r="B307" s="243" t="s">
        <v>382</v>
      </c>
      <c r="C307" s="223" t="s">
        <v>53</v>
      </c>
      <c r="D307" s="224"/>
      <c r="E307" s="232" t="s">
        <v>41</v>
      </c>
      <c r="F307" s="232" t="s">
        <v>41</v>
      </c>
      <c r="G307" s="260" t="s">
        <v>2181</v>
      </c>
      <c r="H307" s="227"/>
      <c r="I307" s="227"/>
      <c r="J307" s="307">
        <v>46084.0</v>
      </c>
      <c r="K307" s="240"/>
      <c r="L307" s="259" t="s">
        <v>2741</v>
      </c>
      <c r="M307" s="259" t="s">
        <v>1081</v>
      </c>
      <c r="N307" s="261">
        <v>125.0</v>
      </c>
      <c r="O307" s="313"/>
      <c r="P307" s="311" t="s">
        <v>59</v>
      </c>
      <c r="Q307" s="312" t="s">
        <v>59</v>
      </c>
      <c r="R307" s="236"/>
      <c r="S307" s="236"/>
      <c r="T307" s="237"/>
      <c r="U307" s="57"/>
      <c r="V307" s="57"/>
      <c r="W307" s="57"/>
      <c r="X307" s="57"/>
      <c r="Y307" s="57"/>
      <c r="Z307" s="57"/>
      <c r="AA307" s="57"/>
      <c r="AB307" s="57"/>
    </row>
    <row r="308">
      <c r="A308" s="243" t="s">
        <v>382</v>
      </c>
      <c r="B308" s="243" t="s">
        <v>382</v>
      </c>
      <c r="C308" s="223" t="s">
        <v>53</v>
      </c>
      <c r="D308" s="224"/>
      <c r="E308" s="255" t="s">
        <v>41</v>
      </c>
      <c r="F308" s="232" t="s">
        <v>41</v>
      </c>
      <c r="G308" s="231" t="s">
        <v>2481</v>
      </c>
      <c r="H308" s="227"/>
      <c r="I308" s="227"/>
      <c r="J308" s="307">
        <v>46084.0</v>
      </c>
      <c r="K308" s="240"/>
      <c r="L308" s="321" t="s">
        <v>2741</v>
      </c>
      <c r="M308" s="321" t="s">
        <v>1081</v>
      </c>
      <c r="N308" s="261">
        <v>125.0</v>
      </c>
      <c r="O308" s="313"/>
      <c r="P308" s="311" t="s">
        <v>59</v>
      </c>
      <c r="Q308" s="312" t="s">
        <v>59</v>
      </c>
      <c r="R308" s="236"/>
      <c r="S308" s="236"/>
      <c r="T308" s="237"/>
      <c r="U308" s="57"/>
      <c r="V308" s="57"/>
      <c r="W308" s="57"/>
      <c r="X308" s="57"/>
      <c r="Y308" s="57"/>
      <c r="Z308" s="57"/>
      <c r="AA308" s="57"/>
      <c r="AB308" s="57"/>
    </row>
    <row r="309">
      <c r="A309" s="243" t="s">
        <v>382</v>
      </c>
      <c r="B309" s="243" t="s">
        <v>382</v>
      </c>
      <c r="C309" s="223" t="s">
        <v>53</v>
      </c>
      <c r="D309" s="224"/>
      <c r="E309" s="232" t="s">
        <v>41</v>
      </c>
      <c r="F309" s="232" t="s">
        <v>41</v>
      </c>
      <c r="G309" s="260" t="s">
        <v>853</v>
      </c>
      <c r="H309" s="227"/>
      <c r="I309" s="227"/>
      <c r="J309" s="307">
        <v>46084.0</v>
      </c>
      <c r="K309" s="240"/>
      <c r="L309" s="321" t="s">
        <v>2741</v>
      </c>
      <c r="M309" s="321" t="s">
        <v>1081</v>
      </c>
      <c r="N309" s="261">
        <v>125.0</v>
      </c>
      <c r="O309" s="313"/>
      <c r="P309" s="311" t="s">
        <v>59</v>
      </c>
      <c r="Q309" s="312" t="s">
        <v>59</v>
      </c>
      <c r="R309" s="236"/>
      <c r="S309" s="236"/>
      <c r="T309" s="237"/>
      <c r="U309" s="57"/>
      <c r="V309" s="57"/>
      <c r="W309" s="57"/>
      <c r="X309" s="57"/>
      <c r="Y309" s="57"/>
      <c r="Z309" s="57"/>
      <c r="AA309" s="57"/>
      <c r="AB309" s="57"/>
    </row>
    <row r="310">
      <c r="A310" s="243" t="s">
        <v>382</v>
      </c>
      <c r="B310" s="243" t="s">
        <v>382</v>
      </c>
      <c r="C310" s="225" t="s">
        <v>53</v>
      </c>
      <c r="D310" s="224"/>
      <c r="E310" s="224"/>
      <c r="F310" s="224"/>
      <c r="G310" s="264" t="s">
        <v>529</v>
      </c>
      <c r="H310" s="227"/>
      <c r="I310" s="227"/>
      <c r="J310" s="269">
        <v>46090.0</v>
      </c>
      <c r="K310" s="240"/>
      <c r="L310" s="323" t="s">
        <v>38</v>
      </c>
      <c r="M310" s="323">
        <v>527198.0</v>
      </c>
      <c r="N310" s="266">
        <v>1.14</v>
      </c>
      <c r="O310" s="324">
        <v>674905.0</v>
      </c>
      <c r="P310" s="311" t="s">
        <v>59</v>
      </c>
      <c r="Q310" s="312" t="s">
        <v>59</v>
      </c>
      <c r="R310" s="236"/>
      <c r="S310" s="236"/>
      <c r="T310" s="237"/>
      <c r="U310" s="57"/>
      <c r="V310" s="57"/>
      <c r="W310" s="57"/>
      <c r="X310" s="57"/>
      <c r="Y310" s="57"/>
      <c r="Z310" s="57"/>
      <c r="AA310" s="57"/>
      <c r="AB310" s="57"/>
    </row>
    <row r="311">
      <c r="A311" s="243" t="s">
        <v>382</v>
      </c>
      <c r="B311" s="243" t="s">
        <v>382</v>
      </c>
      <c r="C311" s="223" t="s">
        <v>52</v>
      </c>
      <c r="D311" s="259" t="s">
        <v>2744</v>
      </c>
      <c r="E311" s="232" t="s">
        <v>35</v>
      </c>
      <c r="F311" s="232" t="s">
        <v>35</v>
      </c>
      <c r="G311" s="260" t="s">
        <v>2482</v>
      </c>
      <c r="H311" s="227"/>
      <c r="I311" s="227"/>
      <c r="J311" s="269">
        <v>46090.0</v>
      </c>
      <c r="K311" s="240"/>
      <c r="L311" s="323" t="s">
        <v>38</v>
      </c>
      <c r="M311" s="323">
        <v>527198.0</v>
      </c>
      <c r="N311" s="261">
        <v>132.15</v>
      </c>
      <c r="O311" s="324">
        <v>674905.0</v>
      </c>
      <c r="P311" s="311" t="s">
        <v>43</v>
      </c>
      <c r="Q311" s="312" t="s">
        <v>43</v>
      </c>
      <c r="R311" s="236"/>
      <c r="S311" s="236"/>
      <c r="T311" s="237"/>
      <c r="U311" s="57"/>
      <c r="V311" s="57"/>
      <c r="W311" s="57"/>
      <c r="X311" s="57"/>
      <c r="Y311" s="57"/>
      <c r="Z311" s="57"/>
      <c r="AA311" s="57"/>
      <c r="AB311" s="57"/>
    </row>
    <row r="312">
      <c r="A312" s="243" t="s">
        <v>382</v>
      </c>
      <c r="B312" s="243" t="s">
        <v>382</v>
      </c>
      <c r="C312" s="223" t="s">
        <v>2745</v>
      </c>
      <c r="D312" s="232" t="s">
        <v>2746</v>
      </c>
      <c r="E312" s="255" t="s">
        <v>41</v>
      </c>
      <c r="F312" s="232" t="s">
        <v>41</v>
      </c>
      <c r="G312" s="239" t="s">
        <v>2484</v>
      </c>
      <c r="H312" s="227"/>
      <c r="I312" s="227"/>
      <c r="J312" s="269">
        <v>46090.0</v>
      </c>
      <c r="K312" s="240"/>
      <c r="L312" s="323" t="s">
        <v>38</v>
      </c>
      <c r="M312" s="323">
        <v>527198.0</v>
      </c>
      <c r="N312" s="247">
        <v>58.43</v>
      </c>
      <c r="O312" s="323">
        <v>674905.0</v>
      </c>
      <c r="P312" s="256" t="s">
        <v>59</v>
      </c>
      <c r="Q312" s="302" t="s">
        <v>59</v>
      </c>
      <c r="R312" s="236"/>
      <c r="S312" s="236"/>
      <c r="T312" s="237"/>
      <c r="U312" s="57"/>
      <c r="V312" s="57"/>
      <c r="W312" s="57"/>
      <c r="X312" s="57"/>
      <c r="Y312" s="57"/>
      <c r="Z312" s="57"/>
      <c r="AA312" s="57"/>
      <c r="AB312" s="57"/>
    </row>
    <row r="313">
      <c r="A313" s="243" t="s">
        <v>382</v>
      </c>
      <c r="B313" s="243" t="s">
        <v>382</v>
      </c>
      <c r="C313" s="225" t="s">
        <v>2748</v>
      </c>
      <c r="D313" s="259">
        <v>5.709058743E9</v>
      </c>
      <c r="E313" s="255" t="s">
        <v>41</v>
      </c>
      <c r="F313" s="232" t="s">
        <v>41</v>
      </c>
      <c r="G313" s="274" t="s">
        <v>2486</v>
      </c>
      <c r="H313" s="227"/>
      <c r="I313" s="227"/>
      <c r="J313" s="269">
        <v>46090.0</v>
      </c>
      <c r="K313" s="240"/>
      <c r="L313" s="323" t="s">
        <v>38</v>
      </c>
      <c r="M313" s="323">
        <v>527198.0</v>
      </c>
      <c r="N313" s="230">
        <v>50.11</v>
      </c>
      <c r="O313" s="324">
        <v>674905.0</v>
      </c>
      <c r="P313" s="311" t="s">
        <v>43</v>
      </c>
      <c r="Q313" s="312" t="s">
        <v>43</v>
      </c>
      <c r="R313" s="236"/>
      <c r="S313" s="236"/>
      <c r="T313" s="237"/>
      <c r="U313" s="57"/>
      <c r="V313" s="57"/>
      <c r="W313" s="57"/>
      <c r="X313" s="57"/>
      <c r="Y313" s="57"/>
      <c r="Z313" s="57"/>
      <c r="AA313" s="57"/>
      <c r="AB313" s="57"/>
    </row>
    <row r="314">
      <c r="A314" s="243" t="s">
        <v>382</v>
      </c>
      <c r="B314" s="304" t="s">
        <v>382</v>
      </c>
      <c r="C314" s="223" t="s">
        <v>53</v>
      </c>
      <c r="D314" s="224"/>
      <c r="E314" s="232" t="s">
        <v>41</v>
      </c>
      <c r="F314" s="232" t="s">
        <v>41</v>
      </c>
      <c r="G314" s="264" t="s">
        <v>2080</v>
      </c>
      <c r="H314" s="227"/>
      <c r="I314" s="227"/>
      <c r="J314" s="269">
        <v>46090.0</v>
      </c>
      <c r="K314" s="240"/>
      <c r="L314" s="323" t="s">
        <v>38</v>
      </c>
      <c r="M314" s="323">
        <v>527198.0</v>
      </c>
      <c r="N314" s="266">
        <v>42.27</v>
      </c>
      <c r="O314" s="324">
        <v>674905.0</v>
      </c>
      <c r="P314" s="311" t="s">
        <v>59</v>
      </c>
      <c r="Q314" s="312" t="s">
        <v>59</v>
      </c>
      <c r="R314" s="236"/>
      <c r="S314" s="236"/>
      <c r="T314" s="237"/>
      <c r="U314" s="57"/>
      <c r="V314" s="57"/>
      <c r="W314" s="57"/>
      <c r="X314" s="57"/>
      <c r="Y314" s="57"/>
      <c r="Z314" s="57"/>
      <c r="AA314" s="57"/>
      <c r="AB314" s="57"/>
    </row>
    <row r="315">
      <c r="A315" s="243" t="s">
        <v>382</v>
      </c>
      <c r="B315" s="243" t="s">
        <v>382</v>
      </c>
      <c r="C315" s="223" t="s">
        <v>53</v>
      </c>
      <c r="D315" s="224"/>
      <c r="E315" s="255" t="s">
        <v>41</v>
      </c>
      <c r="F315" s="232" t="s">
        <v>41</v>
      </c>
      <c r="G315" s="264" t="s">
        <v>2488</v>
      </c>
      <c r="H315" s="227"/>
      <c r="I315" s="227"/>
      <c r="J315" s="269">
        <v>46090.0</v>
      </c>
      <c r="K315" s="240"/>
      <c r="L315" s="323" t="s">
        <v>38</v>
      </c>
      <c r="M315" s="323">
        <v>527198.0</v>
      </c>
      <c r="N315" s="266">
        <v>42.27</v>
      </c>
      <c r="O315" s="324">
        <v>674905.0</v>
      </c>
      <c r="P315" s="311" t="s">
        <v>59</v>
      </c>
      <c r="Q315" s="312" t="s">
        <v>59</v>
      </c>
      <c r="R315" s="236"/>
      <c r="S315" s="236"/>
      <c r="T315" s="237"/>
      <c r="U315" s="57"/>
      <c r="V315" s="57"/>
      <c r="W315" s="57"/>
      <c r="X315" s="57"/>
      <c r="Y315" s="57"/>
      <c r="Z315" s="57"/>
      <c r="AA315" s="57"/>
      <c r="AB315" s="57"/>
    </row>
    <row r="316">
      <c r="A316" s="243" t="s">
        <v>382</v>
      </c>
      <c r="B316" s="243" t="s">
        <v>382</v>
      </c>
      <c r="C316" s="223" t="s">
        <v>53</v>
      </c>
      <c r="D316" s="224"/>
      <c r="E316" s="255" t="s">
        <v>35</v>
      </c>
      <c r="F316" s="232" t="s">
        <v>35</v>
      </c>
      <c r="G316" s="264" t="s">
        <v>2489</v>
      </c>
      <c r="H316" s="227"/>
      <c r="I316" s="227"/>
      <c r="J316" s="269">
        <v>46090.0</v>
      </c>
      <c r="K316" s="240"/>
      <c r="L316" s="323" t="s">
        <v>38</v>
      </c>
      <c r="M316" s="323">
        <v>527198.0</v>
      </c>
      <c r="N316" s="266">
        <v>11.16</v>
      </c>
      <c r="O316" s="324">
        <v>674905.0</v>
      </c>
      <c r="P316" s="311" t="s">
        <v>59</v>
      </c>
      <c r="Q316" s="312" t="s">
        <v>59</v>
      </c>
      <c r="R316" s="236"/>
      <c r="S316" s="236"/>
      <c r="T316" s="237"/>
      <c r="U316" s="57"/>
      <c r="V316" s="57"/>
      <c r="W316" s="57"/>
      <c r="X316" s="57"/>
      <c r="Y316" s="57"/>
      <c r="Z316" s="57"/>
      <c r="AA316" s="57"/>
      <c r="AB316" s="57"/>
    </row>
    <row r="317">
      <c r="A317" s="243" t="s">
        <v>382</v>
      </c>
      <c r="B317" s="243" t="s">
        <v>382</v>
      </c>
      <c r="C317" s="225" t="s">
        <v>53</v>
      </c>
      <c r="D317" s="224"/>
      <c r="E317" s="255" t="s">
        <v>35</v>
      </c>
      <c r="F317" s="232" t="s">
        <v>35</v>
      </c>
      <c r="G317" s="264" t="s">
        <v>471</v>
      </c>
      <c r="H317" s="227"/>
      <c r="I317" s="227"/>
      <c r="J317" s="269">
        <v>46090.0</v>
      </c>
      <c r="K317" s="240"/>
      <c r="L317" s="323" t="s">
        <v>38</v>
      </c>
      <c r="M317" s="323">
        <v>527198.0</v>
      </c>
      <c r="N317" s="266">
        <v>156.51</v>
      </c>
      <c r="O317" s="324">
        <v>674905.0</v>
      </c>
      <c r="P317" s="311" t="s">
        <v>59</v>
      </c>
      <c r="Q317" s="312" t="s">
        <v>59</v>
      </c>
      <c r="R317" s="236"/>
      <c r="S317" s="236"/>
      <c r="T317" s="237"/>
      <c r="U317" s="57"/>
      <c r="V317" s="57"/>
      <c r="W317" s="57"/>
      <c r="X317" s="57"/>
      <c r="Y317" s="57"/>
      <c r="Z317" s="57"/>
      <c r="AA317" s="57"/>
      <c r="AB317" s="57"/>
    </row>
    <row r="318">
      <c r="A318" s="243" t="s">
        <v>382</v>
      </c>
      <c r="B318" s="243" t="s">
        <v>382</v>
      </c>
      <c r="C318" s="223" t="s">
        <v>53</v>
      </c>
      <c r="D318" s="224"/>
      <c r="E318" s="232" t="s">
        <v>41</v>
      </c>
      <c r="F318" s="232" t="s">
        <v>41</v>
      </c>
      <c r="G318" s="264" t="s">
        <v>335</v>
      </c>
      <c r="H318" s="227"/>
      <c r="I318" s="227"/>
      <c r="J318" s="269">
        <v>46090.0</v>
      </c>
      <c r="K318" s="240"/>
      <c r="L318" s="323" t="s">
        <v>38</v>
      </c>
      <c r="M318" s="323">
        <v>527198.0</v>
      </c>
      <c r="N318" s="266">
        <v>156.51</v>
      </c>
      <c r="O318" s="324">
        <v>674905.0</v>
      </c>
      <c r="P318" s="311" t="s">
        <v>59</v>
      </c>
      <c r="Q318" s="312" t="s">
        <v>59</v>
      </c>
      <c r="R318" s="236"/>
      <c r="S318" s="236"/>
      <c r="T318" s="237"/>
      <c r="U318" s="57"/>
      <c r="V318" s="57"/>
      <c r="W318" s="57"/>
      <c r="X318" s="57"/>
      <c r="Y318" s="57"/>
      <c r="Z318" s="57"/>
      <c r="AA318" s="57"/>
      <c r="AB318" s="57"/>
    </row>
    <row r="319">
      <c r="A319" s="243" t="s">
        <v>382</v>
      </c>
      <c r="B319" s="243" t="s">
        <v>382</v>
      </c>
      <c r="C319" s="223" t="s">
        <v>2751</v>
      </c>
      <c r="D319" s="263" t="s">
        <v>2752</v>
      </c>
      <c r="E319" s="255" t="s">
        <v>41</v>
      </c>
      <c r="F319" s="232" t="s">
        <v>41</v>
      </c>
      <c r="G319" s="239" t="s">
        <v>2156</v>
      </c>
      <c r="H319" s="227"/>
      <c r="I319" s="227"/>
      <c r="J319" s="269">
        <v>46090.0</v>
      </c>
      <c r="K319" s="240"/>
      <c r="L319" s="323" t="s">
        <v>38</v>
      </c>
      <c r="M319" s="323">
        <v>527198.0</v>
      </c>
      <c r="N319" s="247">
        <v>42.47</v>
      </c>
      <c r="O319" s="324">
        <v>674905.0</v>
      </c>
      <c r="P319" s="311" t="s">
        <v>43</v>
      </c>
      <c r="Q319" s="312" t="s">
        <v>43</v>
      </c>
      <c r="R319" s="236"/>
      <c r="S319" s="236"/>
      <c r="T319" s="237"/>
      <c r="U319" s="57"/>
      <c r="V319" s="57"/>
      <c r="W319" s="57"/>
      <c r="X319" s="57"/>
      <c r="Y319" s="57"/>
      <c r="Z319" s="57"/>
      <c r="AA319" s="57"/>
      <c r="AB319" s="57"/>
    </row>
    <row r="320">
      <c r="A320" s="243" t="s">
        <v>382</v>
      </c>
      <c r="B320" s="243" t="s">
        <v>382</v>
      </c>
      <c r="C320" s="225" t="s">
        <v>53</v>
      </c>
      <c r="D320" s="224"/>
      <c r="E320" s="232" t="s">
        <v>35</v>
      </c>
      <c r="F320" s="232" t="s">
        <v>35</v>
      </c>
      <c r="G320" s="239" t="s">
        <v>2011</v>
      </c>
      <c r="H320" s="227"/>
      <c r="I320" s="227"/>
      <c r="J320" s="269">
        <v>46090.0</v>
      </c>
      <c r="K320" s="240"/>
      <c r="L320" s="323" t="s">
        <v>38</v>
      </c>
      <c r="M320" s="323">
        <v>527198.0</v>
      </c>
      <c r="N320" s="247">
        <v>42.47</v>
      </c>
      <c r="O320" s="324">
        <v>674905.0</v>
      </c>
      <c r="P320" s="311" t="s">
        <v>59</v>
      </c>
      <c r="Q320" s="312" t="s">
        <v>59</v>
      </c>
      <c r="R320" s="236"/>
      <c r="S320" s="236"/>
      <c r="T320" s="237"/>
      <c r="U320" s="57"/>
      <c r="V320" s="57"/>
      <c r="W320" s="57"/>
      <c r="X320" s="57"/>
      <c r="Y320" s="57"/>
      <c r="Z320" s="57"/>
      <c r="AA320" s="57"/>
      <c r="AB320" s="57"/>
    </row>
    <row r="321">
      <c r="A321" s="243" t="s">
        <v>382</v>
      </c>
      <c r="B321" s="243" t="s">
        <v>382</v>
      </c>
      <c r="C321" s="223" t="s">
        <v>53</v>
      </c>
      <c r="D321" s="224"/>
      <c r="E321" s="232" t="s">
        <v>35</v>
      </c>
      <c r="F321" s="232" t="s">
        <v>35</v>
      </c>
      <c r="G321" s="239" t="s">
        <v>1778</v>
      </c>
      <c r="H321" s="227"/>
      <c r="I321" s="227"/>
      <c r="J321" s="269">
        <v>46090.0</v>
      </c>
      <c r="K321" s="240"/>
      <c r="L321" s="323" t="s">
        <v>38</v>
      </c>
      <c r="M321" s="323">
        <v>527198.0</v>
      </c>
      <c r="N321" s="247">
        <v>14.25</v>
      </c>
      <c r="O321" s="323">
        <v>674905.0</v>
      </c>
      <c r="P321" s="256" t="s">
        <v>59</v>
      </c>
      <c r="Q321" s="302" t="s">
        <v>59</v>
      </c>
      <c r="R321" s="236"/>
      <c r="S321" s="236"/>
      <c r="T321" s="237"/>
      <c r="U321" s="57"/>
      <c r="V321" s="57"/>
      <c r="W321" s="57"/>
      <c r="X321" s="57"/>
      <c r="Y321" s="57"/>
      <c r="Z321" s="57"/>
      <c r="AA321" s="57"/>
      <c r="AB321" s="57"/>
    </row>
    <row r="322">
      <c r="A322" s="243" t="s">
        <v>382</v>
      </c>
      <c r="B322" s="243" t="s">
        <v>382</v>
      </c>
      <c r="C322" s="223" t="s">
        <v>2755</v>
      </c>
      <c r="D322" s="326">
        <v>5.703603973E9</v>
      </c>
      <c r="E322" s="232" t="s">
        <v>41</v>
      </c>
      <c r="F322" s="232" t="s">
        <v>41</v>
      </c>
      <c r="G322" s="274" t="s">
        <v>2491</v>
      </c>
      <c r="H322" s="227"/>
      <c r="I322" s="227"/>
      <c r="J322" s="269">
        <v>46090.0</v>
      </c>
      <c r="K322" s="240"/>
      <c r="L322" s="323" t="s">
        <v>38</v>
      </c>
      <c r="M322" s="323">
        <v>527198.0</v>
      </c>
      <c r="N322" s="230">
        <v>132.15</v>
      </c>
      <c r="O322" s="323">
        <v>674905.0</v>
      </c>
      <c r="P322" s="256" t="s">
        <v>43</v>
      </c>
      <c r="Q322" s="302" t="s">
        <v>43</v>
      </c>
      <c r="R322" s="236"/>
      <c r="S322" s="236"/>
      <c r="T322" s="237"/>
      <c r="U322" s="57"/>
      <c r="V322" s="57"/>
      <c r="W322" s="57"/>
      <c r="X322" s="57"/>
      <c r="Y322" s="57"/>
      <c r="Z322" s="57"/>
      <c r="AA322" s="57"/>
      <c r="AB322" s="57"/>
    </row>
    <row r="323">
      <c r="A323" s="243" t="s">
        <v>382</v>
      </c>
      <c r="B323" s="243" t="s">
        <v>382</v>
      </c>
      <c r="C323" s="223" t="s">
        <v>53</v>
      </c>
      <c r="D323" s="224"/>
      <c r="E323" s="255" t="s">
        <v>35</v>
      </c>
      <c r="F323" s="232" t="s">
        <v>35</v>
      </c>
      <c r="G323" s="239" t="s">
        <v>471</v>
      </c>
      <c r="H323" s="227"/>
      <c r="I323" s="227"/>
      <c r="J323" s="269">
        <v>46090.0</v>
      </c>
      <c r="K323" s="240"/>
      <c r="L323" s="323" t="s">
        <v>38</v>
      </c>
      <c r="M323" s="323">
        <v>527198.0</v>
      </c>
      <c r="N323" s="247">
        <v>156.51</v>
      </c>
      <c r="O323" s="323">
        <v>674905.0</v>
      </c>
      <c r="P323" s="256" t="s">
        <v>59</v>
      </c>
      <c r="Q323" s="302" t="s">
        <v>59</v>
      </c>
      <c r="R323" s="236"/>
      <c r="S323" s="236"/>
      <c r="T323" s="237"/>
      <c r="U323" s="57"/>
      <c r="V323" s="57"/>
      <c r="W323" s="57"/>
      <c r="X323" s="57"/>
      <c r="Y323" s="57"/>
      <c r="Z323" s="57"/>
      <c r="AA323" s="57"/>
      <c r="AB323" s="57"/>
    </row>
    <row r="324">
      <c r="A324" s="243" t="s">
        <v>382</v>
      </c>
      <c r="B324" s="304" t="s">
        <v>382</v>
      </c>
      <c r="C324" s="223" t="s">
        <v>2757</v>
      </c>
      <c r="D324" s="279" t="s">
        <v>2758</v>
      </c>
      <c r="E324" s="232" t="s">
        <v>35</v>
      </c>
      <c r="F324" s="232" t="s">
        <v>35</v>
      </c>
      <c r="G324" s="327" t="s">
        <v>2492</v>
      </c>
      <c r="H324" s="227"/>
      <c r="I324" s="227"/>
      <c r="J324" s="269">
        <v>46090.0</v>
      </c>
      <c r="K324" s="240"/>
      <c r="L324" s="323" t="s">
        <v>38</v>
      </c>
      <c r="M324" s="323">
        <v>527198.0</v>
      </c>
      <c r="N324" s="261">
        <v>156.51</v>
      </c>
      <c r="O324" s="323">
        <v>674905.0</v>
      </c>
      <c r="P324" s="256" t="s">
        <v>43</v>
      </c>
      <c r="Q324" s="302" t="s">
        <v>43</v>
      </c>
      <c r="R324" s="236"/>
      <c r="S324" s="236"/>
      <c r="T324" s="237"/>
      <c r="U324" s="57"/>
      <c r="V324" s="57"/>
      <c r="W324" s="57"/>
      <c r="X324" s="57"/>
      <c r="Y324" s="57"/>
      <c r="Z324" s="57"/>
      <c r="AA324" s="57"/>
      <c r="AB324" s="57"/>
    </row>
    <row r="325">
      <c r="A325" s="243" t="s">
        <v>382</v>
      </c>
      <c r="B325" s="243" t="s">
        <v>382</v>
      </c>
      <c r="C325" s="223" t="s">
        <v>2688</v>
      </c>
      <c r="D325" s="279" t="s">
        <v>1599</v>
      </c>
      <c r="E325" s="255" t="s">
        <v>35</v>
      </c>
      <c r="F325" s="232" t="s">
        <v>35</v>
      </c>
      <c r="G325" s="327" t="s">
        <v>2493</v>
      </c>
      <c r="H325" s="227"/>
      <c r="I325" s="227"/>
      <c r="J325" s="269">
        <v>46090.0</v>
      </c>
      <c r="K325" s="240"/>
      <c r="L325" s="323" t="s">
        <v>38</v>
      </c>
      <c r="M325" s="323">
        <v>527198.0</v>
      </c>
      <c r="N325" s="261">
        <v>70.16</v>
      </c>
      <c r="O325" s="323">
        <v>674905.0</v>
      </c>
      <c r="P325" s="256" t="s">
        <v>43</v>
      </c>
      <c r="Q325" s="302" t="s">
        <v>43</v>
      </c>
      <c r="R325" s="236"/>
      <c r="S325" s="236"/>
      <c r="T325" s="237"/>
      <c r="U325" s="57"/>
      <c r="V325" s="57"/>
      <c r="W325" s="57"/>
      <c r="X325" s="57"/>
      <c r="Y325" s="57"/>
      <c r="Z325" s="57"/>
      <c r="AA325" s="57"/>
      <c r="AB325" s="57"/>
    </row>
    <row r="326">
      <c r="A326" s="243" t="s">
        <v>382</v>
      </c>
      <c r="B326" s="243" t="s">
        <v>382</v>
      </c>
      <c r="C326" s="223" t="s">
        <v>53</v>
      </c>
      <c r="D326" s="224"/>
      <c r="E326" s="255" t="s">
        <v>35</v>
      </c>
      <c r="F326" s="232" t="s">
        <v>35</v>
      </c>
      <c r="G326" s="260" t="s">
        <v>335</v>
      </c>
      <c r="H326" s="227"/>
      <c r="I326" s="227"/>
      <c r="J326" s="269">
        <v>46090.0</v>
      </c>
      <c r="K326" s="240"/>
      <c r="L326" s="323" t="s">
        <v>38</v>
      </c>
      <c r="M326" s="323">
        <v>527198.0</v>
      </c>
      <c r="N326" s="261">
        <v>156.51</v>
      </c>
      <c r="O326" s="323">
        <v>674905.0</v>
      </c>
      <c r="P326" s="256" t="s">
        <v>59</v>
      </c>
      <c r="Q326" s="302" t="s">
        <v>59</v>
      </c>
      <c r="R326" s="236"/>
      <c r="S326" s="236"/>
      <c r="T326" s="237"/>
      <c r="U326" s="57"/>
      <c r="V326" s="57"/>
      <c r="W326" s="57"/>
      <c r="X326" s="57"/>
      <c r="Y326" s="57"/>
      <c r="Z326" s="57"/>
      <c r="AA326" s="57"/>
      <c r="AB326" s="57"/>
    </row>
    <row r="327">
      <c r="A327" s="243" t="s">
        <v>382</v>
      </c>
      <c r="B327" s="243" t="s">
        <v>382</v>
      </c>
      <c r="C327" s="223" t="s">
        <v>53</v>
      </c>
      <c r="D327" s="224"/>
      <c r="E327" s="232" t="s">
        <v>35</v>
      </c>
      <c r="F327" s="232" t="s">
        <v>35</v>
      </c>
      <c r="G327" s="260" t="s">
        <v>2423</v>
      </c>
      <c r="H327" s="227"/>
      <c r="I327" s="227"/>
      <c r="J327" s="269">
        <v>46090.0</v>
      </c>
      <c r="K327" s="240"/>
      <c r="L327" s="323" t="s">
        <v>38</v>
      </c>
      <c r="M327" s="323">
        <v>527198.0</v>
      </c>
      <c r="N327" s="261">
        <v>124.88</v>
      </c>
      <c r="O327" s="323">
        <v>674905.0</v>
      </c>
      <c r="P327" s="256" t="s">
        <v>59</v>
      </c>
      <c r="Q327" s="302" t="s">
        <v>59</v>
      </c>
      <c r="R327" s="236"/>
      <c r="S327" s="236"/>
      <c r="T327" s="237"/>
      <c r="U327" s="57"/>
      <c r="V327" s="57"/>
      <c r="W327" s="57"/>
      <c r="X327" s="57"/>
      <c r="Y327" s="57"/>
      <c r="Z327" s="57"/>
      <c r="AA327" s="57"/>
      <c r="AB327" s="57"/>
    </row>
    <row r="328">
      <c r="A328" s="243" t="s">
        <v>382</v>
      </c>
      <c r="B328" s="243" t="s">
        <v>382</v>
      </c>
      <c r="C328" s="225" t="s">
        <v>53</v>
      </c>
      <c r="D328" s="224"/>
      <c r="E328" s="224"/>
      <c r="F328" s="224"/>
      <c r="G328" s="239" t="s">
        <v>2495</v>
      </c>
      <c r="H328" s="227"/>
      <c r="I328" s="227"/>
      <c r="J328" s="269">
        <v>46090.0</v>
      </c>
      <c r="K328" s="240"/>
      <c r="L328" s="323" t="s">
        <v>38</v>
      </c>
      <c r="M328" s="323">
        <v>527198.0</v>
      </c>
      <c r="N328" s="247">
        <v>5.23</v>
      </c>
      <c r="O328" s="323">
        <v>674905.0</v>
      </c>
      <c r="P328" s="256" t="s">
        <v>59</v>
      </c>
      <c r="Q328" s="302" t="s">
        <v>59</v>
      </c>
      <c r="R328" s="236"/>
      <c r="S328" s="236"/>
      <c r="T328" s="237"/>
      <c r="U328" s="57"/>
      <c r="V328" s="57"/>
      <c r="W328" s="57"/>
      <c r="X328" s="57"/>
      <c r="Y328" s="57"/>
      <c r="Z328" s="57"/>
      <c r="AA328" s="57"/>
      <c r="AB328" s="57"/>
    </row>
    <row r="329">
      <c r="A329" s="243" t="s">
        <v>382</v>
      </c>
      <c r="B329" s="243" t="s">
        <v>382</v>
      </c>
      <c r="C329" s="223" t="s">
        <v>53</v>
      </c>
      <c r="D329" s="224"/>
      <c r="E329" s="224"/>
      <c r="F329" s="224"/>
      <c r="G329" s="264" t="s">
        <v>2496</v>
      </c>
      <c r="H329" s="227"/>
      <c r="I329" s="227"/>
      <c r="J329" s="269">
        <v>46090.0</v>
      </c>
      <c r="K329" s="240"/>
      <c r="L329" s="323" t="s">
        <v>38</v>
      </c>
      <c r="M329" s="323">
        <v>527198.0</v>
      </c>
      <c r="N329" s="266">
        <v>8.98</v>
      </c>
      <c r="O329" s="323">
        <v>674905.0</v>
      </c>
      <c r="P329" s="256" t="s">
        <v>59</v>
      </c>
      <c r="Q329" s="302" t="s">
        <v>59</v>
      </c>
      <c r="R329" s="236"/>
      <c r="S329" s="236"/>
      <c r="T329" s="237"/>
      <c r="U329" s="57"/>
      <c r="V329" s="57"/>
      <c r="W329" s="57"/>
      <c r="X329" s="57"/>
      <c r="Y329" s="57"/>
      <c r="Z329" s="57"/>
      <c r="AA329" s="57"/>
      <c r="AB329" s="57"/>
    </row>
    <row r="330">
      <c r="A330" s="243" t="s">
        <v>382</v>
      </c>
      <c r="B330" s="243" t="s">
        <v>382</v>
      </c>
      <c r="C330" s="223" t="s">
        <v>383</v>
      </c>
      <c r="D330" s="224"/>
      <c r="E330" s="227"/>
      <c r="F330" s="224"/>
      <c r="G330" s="264" t="s">
        <v>2497</v>
      </c>
      <c r="H330" s="227"/>
      <c r="I330" s="227"/>
      <c r="J330" s="269">
        <v>46090.0</v>
      </c>
      <c r="K330" s="240"/>
      <c r="L330" s="323" t="s">
        <v>38</v>
      </c>
      <c r="M330" s="323">
        <v>527198.0</v>
      </c>
      <c r="N330" s="266">
        <v>8.98</v>
      </c>
      <c r="O330" s="323">
        <v>674905.0</v>
      </c>
      <c r="P330" s="297"/>
      <c r="Q330" s="236"/>
      <c r="R330" s="236"/>
      <c r="S330" s="236"/>
      <c r="T330" s="237"/>
      <c r="U330" s="57"/>
      <c r="V330" s="57"/>
      <c r="W330" s="57"/>
      <c r="X330" s="57"/>
      <c r="Y330" s="57"/>
      <c r="Z330" s="57"/>
      <c r="AA330" s="57"/>
      <c r="AB330" s="57"/>
    </row>
    <row r="331">
      <c r="A331" s="243" t="s">
        <v>382</v>
      </c>
      <c r="B331" s="243" t="s">
        <v>382</v>
      </c>
      <c r="C331" s="223" t="s">
        <v>53</v>
      </c>
      <c r="D331" s="224"/>
      <c r="E331" s="227"/>
      <c r="F331" s="224"/>
      <c r="G331" s="264" t="s">
        <v>2498</v>
      </c>
      <c r="H331" s="227"/>
      <c r="I331" s="227"/>
      <c r="J331" s="269">
        <v>46090.0</v>
      </c>
      <c r="K331" s="240"/>
      <c r="L331" s="323" t="s">
        <v>38</v>
      </c>
      <c r="M331" s="323">
        <v>527198.0</v>
      </c>
      <c r="N331" s="266">
        <v>9.12</v>
      </c>
      <c r="O331" s="323">
        <v>674905.0</v>
      </c>
      <c r="P331" s="256" t="s">
        <v>59</v>
      </c>
      <c r="Q331" s="302" t="s">
        <v>59</v>
      </c>
      <c r="R331" s="236"/>
      <c r="S331" s="236"/>
      <c r="T331" s="237"/>
      <c r="U331" s="57"/>
      <c r="V331" s="57"/>
      <c r="W331" s="57"/>
      <c r="X331" s="57"/>
      <c r="Y331" s="57"/>
      <c r="Z331" s="57"/>
      <c r="AA331" s="57"/>
      <c r="AB331" s="57"/>
    </row>
    <row r="332">
      <c r="A332" s="243" t="s">
        <v>382</v>
      </c>
      <c r="B332" s="243" t="s">
        <v>382</v>
      </c>
      <c r="C332" s="223" t="s">
        <v>2763</v>
      </c>
      <c r="D332" s="263" t="s">
        <v>1545</v>
      </c>
      <c r="E332" s="255" t="s">
        <v>35</v>
      </c>
      <c r="F332" s="232" t="s">
        <v>35</v>
      </c>
      <c r="G332" s="299" t="s">
        <v>2499</v>
      </c>
      <c r="H332" s="227"/>
      <c r="I332" s="227"/>
      <c r="J332" s="269">
        <v>46090.0</v>
      </c>
      <c r="K332" s="240"/>
      <c r="L332" s="323" t="s">
        <v>38</v>
      </c>
      <c r="M332" s="323">
        <v>527198.0</v>
      </c>
      <c r="N332" s="266">
        <v>50.11</v>
      </c>
      <c r="O332" s="323">
        <v>674905.0</v>
      </c>
      <c r="P332" s="256" t="s">
        <v>43</v>
      </c>
      <c r="Q332" s="302" t="s">
        <v>43</v>
      </c>
      <c r="R332" s="236"/>
      <c r="S332" s="236"/>
      <c r="T332" s="237"/>
      <c r="U332" s="57"/>
      <c r="V332" s="57"/>
      <c r="W332" s="57"/>
      <c r="X332" s="57"/>
      <c r="Y332" s="57"/>
      <c r="Z332" s="57"/>
      <c r="AA332" s="57"/>
      <c r="AB332" s="57"/>
    </row>
    <row r="333">
      <c r="A333" s="243" t="s">
        <v>382</v>
      </c>
      <c r="B333" s="243" t="s">
        <v>382</v>
      </c>
      <c r="C333" s="223" t="s">
        <v>2764</v>
      </c>
      <c r="D333" s="263" t="s">
        <v>2765</v>
      </c>
      <c r="E333" s="255" t="s">
        <v>35</v>
      </c>
      <c r="F333" s="232" t="s">
        <v>35</v>
      </c>
      <c r="G333" s="264" t="s">
        <v>2500</v>
      </c>
      <c r="H333" s="227"/>
      <c r="I333" s="227"/>
      <c r="J333" s="269">
        <v>46090.0</v>
      </c>
      <c r="K333" s="240"/>
      <c r="L333" s="323" t="s">
        <v>38</v>
      </c>
      <c r="M333" s="323">
        <v>527198.0</v>
      </c>
      <c r="N333" s="266">
        <v>50.11</v>
      </c>
      <c r="O333" s="323">
        <v>674905.0</v>
      </c>
      <c r="P333" s="256" t="s">
        <v>43</v>
      </c>
      <c r="Q333" s="302" t="s">
        <v>43</v>
      </c>
      <c r="R333" s="236"/>
      <c r="S333" s="236"/>
      <c r="T333" s="237"/>
      <c r="U333" s="57"/>
      <c r="V333" s="57"/>
      <c r="W333" s="57"/>
      <c r="X333" s="57"/>
      <c r="Y333" s="57"/>
      <c r="Z333" s="57"/>
      <c r="AA333" s="57"/>
      <c r="AB333" s="57"/>
    </row>
    <row r="334">
      <c r="A334" s="243" t="s">
        <v>382</v>
      </c>
      <c r="B334" s="243" t="s">
        <v>382</v>
      </c>
      <c r="C334" s="223" t="s">
        <v>2766</v>
      </c>
      <c r="D334" s="225" t="s">
        <v>2767</v>
      </c>
      <c r="E334" s="255" t="s">
        <v>35</v>
      </c>
      <c r="F334" s="232" t="s">
        <v>35</v>
      </c>
      <c r="G334" s="206" t="s">
        <v>2501</v>
      </c>
      <c r="H334" s="227"/>
      <c r="I334" s="227"/>
      <c r="J334" s="269">
        <v>46090.0</v>
      </c>
      <c r="K334" s="240"/>
      <c r="L334" s="323" t="s">
        <v>38</v>
      </c>
      <c r="M334" s="323">
        <v>527198.0</v>
      </c>
      <c r="N334" s="230">
        <v>150.43</v>
      </c>
      <c r="O334" s="323">
        <v>674905.0</v>
      </c>
      <c r="P334" s="256" t="s">
        <v>43</v>
      </c>
      <c r="Q334" s="302" t="s">
        <v>43</v>
      </c>
      <c r="R334" s="236"/>
      <c r="S334" s="236"/>
      <c r="T334" s="237"/>
      <c r="U334" s="57"/>
      <c r="V334" s="57"/>
      <c r="W334" s="57"/>
      <c r="X334" s="57"/>
      <c r="Y334" s="57"/>
      <c r="Z334" s="57"/>
      <c r="AA334" s="57"/>
      <c r="AB334" s="57"/>
    </row>
    <row r="335">
      <c r="A335" s="336"/>
      <c r="B335" s="222"/>
      <c r="C335" s="223" t="s">
        <v>2770</v>
      </c>
      <c r="D335" s="224"/>
      <c r="E335" s="223" t="s">
        <v>35</v>
      </c>
      <c r="F335" s="225" t="s">
        <v>35</v>
      </c>
      <c r="G335" s="206" t="s">
        <v>2502</v>
      </c>
      <c r="H335" s="227"/>
      <c r="I335" s="227"/>
      <c r="J335" s="269">
        <v>46090.0</v>
      </c>
      <c r="K335" s="240"/>
      <c r="L335" s="323" t="s">
        <v>38</v>
      </c>
      <c r="M335" s="323">
        <v>527198.0</v>
      </c>
      <c r="N335" s="230">
        <v>150.01</v>
      </c>
      <c r="O335" s="323">
        <v>674905.0</v>
      </c>
      <c r="P335" s="256" t="s">
        <v>43</v>
      </c>
      <c r="Q335" s="302" t="s">
        <v>43</v>
      </c>
      <c r="R335" s="236"/>
      <c r="S335" s="236"/>
      <c r="T335" s="237"/>
      <c r="U335" s="57"/>
      <c r="V335" s="57"/>
      <c r="W335" s="57"/>
      <c r="X335" s="57"/>
      <c r="Y335" s="57"/>
      <c r="Z335" s="57"/>
      <c r="AA335" s="57"/>
      <c r="AB335" s="57"/>
    </row>
    <row r="336">
      <c r="A336" s="336"/>
      <c r="B336" s="222"/>
      <c r="C336" s="338" t="s">
        <v>2771</v>
      </c>
      <c r="D336" s="225" t="s">
        <v>2772</v>
      </c>
      <c r="E336" s="227"/>
      <c r="F336" s="224"/>
      <c r="G336" s="206" t="s">
        <v>2505</v>
      </c>
      <c r="H336" s="227"/>
      <c r="I336" s="227"/>
      <c r="J336" s="269">
        <v>46090.0</v>
      </c>
      <c r="K336" s="240"/>
      <c r="L336" s="323" t="s">
        <v>38</v>
      </c>
      <c r="M336" s="323">
        <v>527198.0</v>
      </c>
      <c r="N336" s="230">
        <v>158.94</v>
      </c>
      <c r="O336" s="323">
        <v>674905.0</v>
      </c>
      <c r="P336" s="256" t="s">
        <v>43</v>
      </c>
      <c r="Q336" s="302" t="s">
        <v>43</v>
      </c>
      <c r="R336" s="236"/>
      <c r="S336" s="236"/>
      <c r="T336" s="237"/>
      <c r="U336" s="57"/>
      <c r="V336" s="57"/>
      <c r="W336" s="57"/>
      <c r="X336" s="57"/>
      <c r="Y336" s="57"/>
      <c r="Z336" s="57"/>
      <c r="AA336" s="57"/>
      <c r="AB336" s="57"/>
    </row>
    <row r="337">
      <c r="A337" s="336"/>
      <c r="B337" s="222"/>
      <c r="C337" s="225" t="s">
        <v>202</v>
      </c>
      <c r="D337" s="224"/>
      <c r="E337" s="223" t="s">
        <v>35</v>
      </c>
      <c r="F337" s="225" t="s">
        <v>35</v>
      </c>
      <c r="G337" s="226" t="s">
        <v>2506</v>
      </c>
      <c r="H337" s="227"/>
      <c r="I337" s="206" t="s">
        <v>2773</v>
      </c>
      <c r="J337" s="269">
        <v>46090.0</v>
      </c>
      <c r="K337" s="240"/>
      <c r="L337" s="323" t="s">
        <v>38</v>
      </c>
      <c r="M337" s="323">
        <v>527198.0</v>
      </c>
      <c r="N337" s="230">
        <v>156.51</v>
      </c>
      <c r="O337" s="323">
        <v>674905.0</v>
      </c>
      <c r="P337" s="256" t="s">
        <v>43</v>
      </c>
      <c r="Q337" s="302" t="s">
        <v>43</v>
      </c>
      <c r="R337" s="236"/>
      <c r="S337" s="236"/>
      <c r="T337" s="237"/>
      <c r="U337" s="57"/>
      <c r="V337" s="57"/>
      <c r="W337" s="57"/>
      <c r="X337" s="57"/>
      <c r="Y337" s="57"/>
      <c r="Z337" s="57"/>
      <c r="AA337" s="57"/>
      <c r="AB337" s="57"/>
    </row>
    <row r="338">
      <c r="A338" s="336"/>
      <c r="B338" s="222"/>
      <c r="C338" s="225" t="s">
        <v>53</v>
      </c>
      <c r="D338" s="224"/>
      <c r="E338" s="227"/>
      <c r="F338" s="224"/>
      <c r="G338" s="226" t="s">
        <v>481</v>
      </c>
      <c r="H338" s="227"/>
      <c r="I338" s="227"/>
      <c r="J338" s="269">
        <v>46090.0</v>
      </c>
      <c r="K338" s="240"/>
      <c r="L338" s="223" t="s">
        <v>820</v>
      </c>
      <c r="M338" s="223" t="s">
        <v>2776</v>
      </c>
      <c r="N338" s="230">
        <v>108.25</v>
      </c>
      <c r="O338" s="227"/>
      <c r="P338" s="256" t="s">
        <v>59</v>
      </c>
      <c r="Q338" s="302" t="s">
        <v>59</v>
      </c>
      <c r="R338" s="236"/>
      <c r="S338" s="236"/>
      <c r="T338" s="237"/>
      <c r="U338" s="57"/>
      <c r="V338" s="57"/>
      <c r="W338" s="57"/>
      <c r="X338" s="57"/>
      <c r="Y338" s="57"/>
      <c r="Z338" s="57"/>
      <c r="AA338" s="57"/>
      <c r="AB338" s="57"/>
    </row>
    <row r="339">
      <c r="A339" s="336"/>
      <c r="B339" s="344"/>
      <c r="C339" s="223" t="s">
        <v>53</v>
      </c>
      <c r="D339" s="227"/>
      <c r="E339" s="227"/>
      <c r="F339" s="227"/>
      <c r="G339" s="206" t="s">
        <v>134</v>
      </c>
      <c r="H339" s="227"/>
      <c r="I339" s="227"/>
      <c r="J339" s="269">
        <v>46090.0</v>
      </c>
      <c r="K339" s="240"/>
      <c r="L339" s="223" t="s">
        <v>820</v>
      </c>
      <c r="M339" s="223" t="s">
        <v>2776</v>
      </c>
      <c r="N339" s="230">
        <v>108.25</v>
      </c>
      <c r="O339" s="227"/>
      <c r="P339" s="256" t="s">
        <v>59</v>
      </c>
      <c r="Q339" s="302" t="s">
        <v>59</v>
      </c>
      <c r="R339" s="236"/>
      <c r="S339" s="236"/>
      <c r="T339" s="237"/>
      <c r="U339" s="57"/>
      <c r="V339" s="57"/>
      <c r="W339" s="57"/>
      <c r="X339" s="57"/>
      <c r="Y339" s="57"/>
      <c r="Z339" s="57"/>
      <c r="AA339" s="57"/>
      <c r="AB339" s="57"/>
    </row>
    <row r="340">
      <c r="A340" s="348">
        <v>46096.80112267361</v>
      </c>
      <c r="B340" s="304" t="s">
        <v>2777</v>
      </c>
      <c r="C340" s="223" t="s">
        <v>2778</v>
      </c>
      <c r="D340" s="223" t="s">
        <v>2780</v>
      </c>
      <c r="E340" s="223" t="s">
        <v>35</v>
      </c>
      <c r="F340" s="223" t="s">
        <v>35</v>
      </c>
      <c r="G340" s="206" t="s">
        <v>234</v>
      </c>
      <c r="H340" s="227"/>
      <c r="I340" s="206" t="s">
        <v>2773</v>
      </c>
      <c r="J340" s="269">
        <v>46090.0</v>
      </c>
      <c r="K340" s="240"/>
      <c r="L340" s="223" t="s">
        <v>820</v>
      </c>
      <c r="M340" s="223" t="s">
        <v>2776</v>
      </c>
      <c r="N340" s="230">
        <v>108.25</v>
      </c>
      <c r="O340" s="227"/>
      <c r="P340" s="256" t="s">
        <v>43</v>
      </c>
      <c r="Q340" s="302" t="s">
        <v>43</v>
      </c>
      <c r="R340" s="236"/>
      <c r="S340" s="236"/>
      <c r="T340" s="237"/>
      <c r="U340" s="57"/>
      <c r="V340" s="57"/>
      <c r="W340" s="57"/>
      <c r="X340" s="57"/>
      <c r="Y340" s="57"/>
      <c r="Z340" s="57"/>
      <c r="AA340" s="57"/>
      <c r="AB340" s="57"/>
    </row>
    <row r="341">
      <c r="A341" s="336"/>
      <c r="B341" s="344"/>
      <c r="C341" s="223" t="s">
        <v>2714</v>
      </c>
      <c r="D341" s="321" t="s">
        <v>2715</v>
      </c>
      <c r="E341" s="255" t="s">
        <v>41</v>
      </c>
      <c r="F341" s="255" t="s">
        <v>41</v>
      </c>
      <c r="G341" s="206" t="s">
        <v>204</v>
      </c>
      <c r="H341" s="227"/>
      <c r="I341" s="227"/>
      <c r="J341" s="269">
        <v>46090.0</v>
      </c>
      <c r="K341" s="240"/>
      <c r="L341" s="223" t="s">
        <v>820</v>
      </c>
      <c r="M341" s="223" t="s">
        <v>2776</v>
      </c>
      <c r="N341" s="230">
        <v>108.25</v>
      </c>
      <c r="O341" s="227"/>
      <c r="P341" s="256" t="s">
        <v>43</v>
      </c>
      <c r="Q341" s="302" t="s">
        <v>43</v>
      </c>
      <c r="R341" s="236"/>
      <c r="S341" s="236"/>
      <c r="T341" s="237"/>
      <c r="U341" s="57"/>
      <c r="V341" s="57"/>
      <c r="W341" s="57"/>
      <c r="X341" s="57"/>
      <c r="Y341" s="57"/>
      <c r="Z341" s="57"/>
      <c r="AA341" s="57"/>
      <c r="AB341" s="57"/>
    </row>
    <row r="342">
      <c r="A342" s="336"/>
      <c r="B342" s="344"/>
      <c r="C342" s="223" t="s">
        <v>2782</v>
      </c>
      <c r="D342" s="227"/>
      <c r="E342" s="227"/>
      <c r="F342" s="227"/>
      <c r="G342" s="206" t="s">
        <v>2507</v>
      </c>
      <c r="H342" s="227"/>
      <c r="I342" s="227"/>
      <c r="J342" s="269">
        <v>46090.0</v>
      </c>
      <c r="K342" s="240"/>
      <c r="L342" s="223" t="s">
        <v>820</v>
      </c>
      <c r="M342" s="223" t="s">
        <v>2776</v>
      </c>
      <c r="N342" s="230">
        <v>108.25</v>
      </c>
      <c r="O342" s="227"/>
      <c r="P342" s="256" t="s">
        <v>59</v>
      </c>
      <c r="Q342" s="302" t="s">
        <v>59</v>
      </c>
      <c r="R342" s="236"/>
      <c r="S342" s="236"/>
      <c r="T342" s="237"/>
      <c r="U342" s="57"/>
      <c r="V342" s="57"/>
      <c r="W342" s="57"/>
      <c r="X342" s="57"/>
      <c r="Y342" s="57"/>
      <c r="Z342" s="57"/>
      <c r="AA342" s="57"/>
      <c r="AB342" s="57"/>
    </row>
    <row r="343">
      <c r="A343" s="348">
        <v>46096.864610578705</v>
      </c>
      <c r="B343" s="304" t="s">
        <v>2784</v>
      </c>
      <c r="C343" s="223" t="s">
        <v>1352</v>
      </c>
      <c r="D343" s="351">
        <v>5.705783108E9</v>
      </c>
      <c r="E343" s="223" t="s">
        <v>41</v>
      </c>
      <c r="F343" s="223" t="s">
        <v>41</v>
      </c>
      <c r="G343" s="206" t="s">
        <v>2508</v>
      </c>
      <c r="H343" s="227"/>
      <c r="I343" s="227"/>
      <c r="J343" s="207">
        <v>46090.0</v>
      </c>
      <c r="K343" s="227"/>
      <c r="L343" s="223" t="s">
        <v>820</v>
      </c>
      <c r="M343" s="223" t="s">
        <v>2776</v>
      </c>
      <c r="N343" s="230">
        <v>108.25</v>
      </c>
      <c r="O343" s="227"/>
      <c r="P343" s="223" t="s">
        <v>43</v>
      </c>
      <c r="Q343" s="302" t="s">
        <v>43</v>
      </c>
      <c r="R343" s="236"/>
      <c r="S343" s="236"/>
      <c r="T343" s="237"/>
      <c r="U343" s="57"/>
      <c r="V343" s="57"/>
      <c r="W343" s="57"/>
      <c r="X343" s="57"/>
      <c r="Y343" s="57"/>
      <c r="Z343" s="57"/>
      <c r="AA343" s="57"/>
      <c r="AB343" s="57"/>
    </row>
    <row r="344">
      <c r="A344" s="348">
        <v>46090.53338032408</v>
      </c>
      <c r="B344" s="304" t="s">
        <v>2787</v>
      </c>
      <c r="C344" s="223" t="s">
        <v>2788</v>
      </c>
      <c r="D344" s="223" t="s">
        <v>2789</v>
      </c>
      <c r="E344" s="223" t="s">
        <v>41</v>
      </c>
      <c r="F344" s="223" t="s">
        <v>41</v>
      </c>
      <c r="G344" s="206" t="s">
        <v>2509</v>
      </c>
      <c r="H344" s="227"/>
      <c r="I344" s="227"/>
      <c r="J344" s="207">
        <v>46090.0</v>
      </c>
      <c r="K344" s="227"/>
      <c r="L344" s="223" t="s">
        <v>38</v>
      </c>
      <c r="M344" s="351">
        <v>527198.0</v>
      </c>
      <c r="N344" s="230">
        <v>144.35</v>
      </c>
      <c r="O344" s="351">
        <v>674905.0</v>
      </c>
      <c r="P344" s="256" t="s">
        <v>43</v>
      </c>
      <c r="Q344" s="302" t="s">
        <v>43</v>
      </c>
      <c r="R344" s="236"/>
      <c r="S344" s="236"/>
      <c r="T344" s="237"/>
      <c r="U344" s="57"/>
      <c r="V344" s="57"/>
      <c r="W344" s="57"/>
      <c r="X344" s="57"/>
      <c r="Y344" s="57"/>
      <c r="Z344" s="57"/>
      <c r="AA344" s="57"/>
      <c r="AB344" s="57"/>
    </row>
    <row r="345">
      <c r="A345" s="336"/>
      <c r="B345" s="344"/>
      <c r="C345" s="223" t="s">
        <v>73</v>
      </c>
      <c r="D345" s="321">
        <v>5.707024266E9</v>
      </c>
      <c r="E345" s="255" t="s">
        <v>35</v>
      </c>
      <c r="F345" s="255" t="s">
        <v>35</v>
      </c>
      <c r="G345" s="231" t="s">
        <v>2510</v>
      </c>
      <c r="H345" s="227"/>
      <c r="I345" s="227"/>
      <c r="J345" s="270">
        <v>46097.0</v>
      </c>
      <c r="K345" s="240"/>
      <c r="L345" s="223" t="s">
        <v>38</v>
      </c>
      <c r="M345" s="351">
        <v>528880.0</v>
      </c>
      <c r="N345" s="230">
        <v>160.17</v>
      </c>
      <c r="O345" s="351">
        <v>676848.0</v>
      </c>
      <c r="P345" s="256" t="s">
        <v>43</v>
      </c>
      <c r="Q345" s="302" t="s">
        <v>43</v>
      </c>
      <c r="R345" s="236"/>
      <c r="S345" s="236"/>
      <c r="T345" s="237"/>
      <c r="U345" s="57"/>
      <c r="V345" s="57"/>
      <c r="W345" s="57"/>
      <c r="X345" s="57"/>
      <c r="Y345" s="57"/>
      <c r="Z345" s="57"/>
      <c r="AA345" s="57"/>
      <c r="AB345" s="57"/>
    </row>
    <row r="346">
      <c r="A346" s="243" t="s">
        <v>382</v>
      </c>
      <c r="B346" s="304" t="s">
        <v>382</v>
      </c>
      <c r="C346" s="223" t="s">
        <v>53</v>
      </c>
      <c r="D346" s="227"/>
      <c r="E346" s="255" t="s">
        <v>35</v>
      </c>
      <c r="F346" s="255" t="s">
        <v>35</v>
      </c>
      <c r="G346" s="299" t="s">
        <v>856</v>
      </c>
      <c r="H346" s="227"/>
      <c r="I346" s="227"/>
      <c r="J346" s="270">
        <v>46097.0</v>
      </c>
      <c r="K346" s="240"/>
      <c r="L346" s="223" t="s">
        <v>38</v>
      </c>
      <c r="M346" s="351">
        <v>528880.0</v>
      </c>
      <c r="N346" s="230">
        <v>15.53</v>
      </c>
      <c r="O346" s="351">
        <v>676848.0</v>
      </c>
      <c r="P346" s="256" t="s">
        <v>59</v>
      </c>
      <c r="Q346" s="302" t="s">
        <v>59</v>
      </c>
      <c r="R346" s="236"/>
      <c r="S346" s="236"/>
      <c r="T346" s="237"/>
      <c r="U346" s="57"/>
      <c r="V346" s="57"/>
      <c r="W346" s="57"/>
      <c r="X346" s="57"/>
      <c r="Y346" s="57"/>
      <c r="Z346" s="57"/>
      <c r="AA346" s="57"/>
      <c r="AB346" s="57"/>
    </row>
    <row r="347">
      <c r="A347" s="336"/>
      <c r="B347" s="344"/>
      <c r="C347" s="223" t="s">
        <v>53</v>
      </c>
      <c r="D347" s="227"/>
      <c r="E347" s="223" t="s">
        <v>41</v>
      </c>
      <c r="F347" s="227"/>
      <c r="G347" s="206" t="s">
        <v>486</v>
      </c>
      <c r="H347" s="227"/>
      <c r="I347" s="227"/>
      <c r="J347" s="270">
        <v>46097.0</v>
      </c>
      <c r="K347" s="240"/>
      <c r="L347" s="223" t="s">
        <v>38</v>
      </c>
      <c r="M347" s="351">
        <v>528880.0</v>
      </c>
      <c r="N347" s="230">
        <v>42.47</v>
      </c>
      <c r="O347" s="351">
        <v>676848.0</v>
      </c>
      <c r="P347" s="256" t="s">
        <v>59</v>
      </c>
      <c r="Q347" s="302" t="s">
        <v>59</v>
      </c>
      <c r="R347" s="236"/>
      <c r="S347" s="236"/>
      <c r="T347" s="237"/>
      <c r="U347" s="57"/>
      <c r="V347" s="57"/>
      <c r="W347" s="57"/>
      <c r="X347" s="57"/>
      <c r="Y347" s="57"/>
      <c r="Z347" s="57"/>
      <c r="AA347" s="57"/>
      <c r="AB347" s="57"/>
    </row>
    <row r="348">
      <c r="A348" s="336"/>
      <c r="B348" s="344"/>
      <c r="C348" s="223" t="s">
        <v>53</v>
      </c>
      <c r="D348" s="227"/>
      <c r="E348" s="223" t="s">
        <v>41</v>
      </c>
      <c r="F348" s="227"/>
      <c r="G348" s="206" t="s">
        <v>2511</v>
      </c>
      <c r="H348" s="227"/>
      <c r="I348" s="227"/>
      <c r="J348" s="270">
        <v>46097.0</v>
      </c>
      <c r="K348" s="240"/>
      <c r="L348" s="223" t="s">
        <v>38</v>
      </c>
      <c r="M348" s="351">
        <v>528880.0</v>
      </c>
      <c r="N348" s="230">
        <v>42.47</v>
      </c>
      <c r="O348" s="351">
        <v>676848.0</v>
      </c>
      <c r="P348" s="256" t="s">
        <v>59</v>
      </c>
      <c r="Q348" s="302" t="s">
        <v>59</v>
      </c>
      <c r="R348" s="236"/>
      <c r="S348" s="236"/>
      <c r="T348" s="237"/>
      <c r="U348" s="57"/>
      <c r="V348" s="57"/>
      <c r="W348" s="57"/>
      <c r="X348" s="57"/>
      <c r="Y348" s="57"/>
      <c r="Z348" s="57"/>
      <c r="AA348" s="57"/>
      <c r="AB348" s="57"/>
    </row>
    <row r="349">
      <c r="A349" s="348">
        <v>46095.5581058449</v>
      </c>
      <c r="B349" s="304" t="s">
        <v>419</v>
      </c>
      <c r="C349" s="223" t="s">
        <v>420</v>
      </c>
      <c r="D349" s="351">
        <v>5.706909747E9</v>
      </c>
      <c r="E349" s="223" t="s">
        <v>56</v>
      </c>
      <c r="F349" s="223" t="s">
        <v>56</v>
      </c>
      <c r="G349" s="206" t="s">
        <v>2512</v>
      </c>
      <c r="H349" s="227"/>
      <c r="I349" s="206" t="s">
        <v>2773</v>
      </c>
      <c r="J349" s="270">
        <v>46097.0</v>
      </c>
      <c r="K349" s="240"/>
      <c r="L349" s="223" t="s">
        <v>38</v>
      </c>
      <c r="M349" s="351">
        <v>528880.0</v>
      </c>
      <c r="N349" s="230">
        <v>144.35</v>
      </c>
      <c r="O349" s="351">
        <v>676848.0</v>
      </c>
      <c r="P349" s="354" t="s">
        <v>43</v>
      </c>
      <c r="Q349" s="354" t="s">
        <v>43</v>
      </c>
      <c r="R349" s="297"/>
      <c r="S349" s="297"/>
      <c r="T349" s="355"/>
      <c r="U349" s="57"/>
      <c r="V349" s="57"/>
      <c r="W349" s="57"/>
      <c r="X349" s="57"/>
      <c r="Y349" s="57"/>
      <c r="Z349" s="57"/>
      <c r="AA349" s="57"/>
      <c r="AB349" s="57"/>
    </row>
    <row r="350">
      <c r="A350" s="348">
        <v>46095.56893861111</v>
      </c>
      <c r="B350" s="304" t="s">
        <v>2793</v>
      </c>
      <c r="C350" s="223" t="s">
        <v>2794</v>
      </c>
      <c r="D350" s="223" t="s">
        <v>2795</v>
      </c>
      <c r="E350" s="223" t="s">
        <v>56</v>
      </c>
      <c r="F350" s="223" t="s">
        <v>56</v>
      </c>
      <c r="G350" s="206" t="s">
        <v>2513</v>
      </c>
      <c r="H350" s="227"/>
      <c r="I350" s="206" t="s">
        <v>2773</v>
      </c>
      <c r="J350" s="270">
        <v>46097.0</v>
      </c>
      <c r="K350" s="240"/>
      <c r="L350" s="223" t="s">
        <v>38</v>
      </c>
      <c r="M350" s="351">
        <v>528880.0</v>
      </c>
      <c r="N350" s="230">
        <v>150.01</v>
      </c>
      <c r="O350" s="351">
        <v>676848.0</v>
      </c>
      <c r="P350" s="354" t="s">
        <v>43</v>
      </c>
      <c r="Q350" s="354" t="s">
        <v>43</v>
      </c>
      <c r="R350" s="297"/>
      <c r="S350" s="297"/>
      <c r="T350" s="355"/>
      <c r="U350" s="57"/>
      <c r="V350" s="57"/>
      <c r="W350" s="57"/>
      <c r="X350" s="57"/>
      <c r="Y350" s="57"/>
      <c r="Z350" s="57"/>
      <c r="AA350" s="57"/>
      <c r="AB350" s="57"/>
    </row>
    <row r="351">
      <c r="A351" s="348">
        <v>46095.590049907405</v>
      </c>
      <c r="B351" s="304" t="s">
        <v>2798</v>
      </c>
      <c r="C351" s="223" t="s">
        <v>2799</v>
      </c>
      <c r="D351" s="223" t="s">
        <v>2800</v>
      </c>
      <c r="E351" s="223" t="s">
        <v>56</v>
      </c>
      <c r="F351" s="223" t="s">
        <v>169</v>
      </c>
      <c r="G351" s="206" t="s">
        <v>2514</v>
      </c>
      <c r="H351" s="227"/>
      <c r="I351" s="206" t="s">
        <v>2773</v>
      </c>
      <c r="J351" s="270">
        <v>46097.0</v>
      </c>
      <c r="K351" s="240"/>
      <c r="L351" s="223" t="s">
        <v>38</v>
      </c>
      <c r="M351" s="351">
        <v>528880.0</v>
      </c>
      <c r="N351" s="230">
        <v>132.15</v>
      </c>
      <c r="O351" s="351">
        <v>676848.0</v>
      </c>
      <c r="P351" s="354" t="s">
        <v>43</v>
      </c>
      <c r="Q351" s="354" t="s">
        <v>43</v>
      </c>
      <c r="R351" s="297"/>
      <c r="S351" s="297"/>
      <c r="T351" s="355"/>
      <c r="U351" s="57"/>
      <c r="V351" s="57"/>
      <c r="W351" s="57"/>
      <c r="X351" s="57"/>
      <c r="Y351" s="57"/>
      <c r="Z351" s="57"/>
      <c r="AA351" s="57"/>
      <c r="AB351" s="57"/>
    </row>
    <row r="352">
      <c r="A352" s="348">
        <v>46096.51080497685</v>
      </c>
      <c r="B352" s="304" t="s">
        <v>2801</v>
      </c>
      <c r="C352" s="223" t="s">
        <v>2802</v>
      </c>
      <c r="D352" s="223" t="s">
        <v>1525</v>
      </c>
      <c r="E352" s="223" t="s">
        <v>169</v>
      </c>
      <c r="F352" s="223" t="s">
        <v>169</v>
      </c>
      <c r="G352" s="206" t="s">
        <v>2515</v>
      </c>
      <c r="H352" s="227"/>
      <c r="I352" s="206" t="s">
        <v>2773</v>
      </c>
      <c r="J352" s="270">
        <v>46097.0</v>
      </c>
      <c r="K352" s="240"/>
      <c r="L352" s="223" t="s">
        <v>38</v>
      </c>
      <c r="M352" s="351">
        <v>528880.0</v>
      </c>
      <c r="N352" s="230">
        <v>131.43</v>
      </c>
      <c r="O352" s="351">
        <v>676848.0</v>
      </c>
      <c r="P352" s="354" t="s">
        <v>43</v>
      </c>
      <c r="Q352" s="354" t="s">
        <v>43</v>
      </c>
      <c r="R352" s="297"/>
      <c r="S352" s="297"/>
      <c r="T352" s="355"/>
      <c r="U352" s="57"/>
      <c r="V352" s="57"/>
      <c r="W352" s="57"/>
      <c r="X352" s="57"/>
      <c r="Y352" s="57"/>
      <c r="Z352" s="57"/>
      <c r="AA352" s="57"/>
      <c r="AB352" s="57"/>
    </row>
    <row r="353">
      <c r="A353" s="336"/>
      <c r="B353" s="344"/>
      <c r="C353" s="223" t="s">
        <v>2803</v>
      </c>
      <c r="D353" s="223" t="s">
        <v>2804</v>
      </c>
      <c r="E353" s="223" t="s">
        <v>35</v>
      </c>
      <c r="F353" s="223" t="s">
        <v>35</v>
      </c>
      <c r="G353" s="206" t="s">
        <v>2516</v>
      </c>
      <c r="H353" s="227"/>
      <c r="I353" s="206" t="s">
        <v>2773</v>
      </c>
      <c r="J353" s="270">
        <v>46097.0</v>
      </c>
      <c r="K353" s="240"/>
      <c r="L353" s="223" t="s">
        <v>38</v>
      </c>
      <c r="M353" s="351">
        <v>528880.0</v>
      </c>
      <c r="N353" s="230">
        <v>158.94</v>
      </c>
      <c r="O353" s="351">
        <v>676848.0</v>
      </c>
      <c r="P353" s="354" t="s">
        <v>43</v>
      </c>
      <c r="Q353" s="354" t="s">
        <v>43</v>
      </c>
      <c r="R353" s="297"/>
      <c r="S353" s="297"/>
      <c r="T353" s="355"/>
      <c r="U353" s="57"/>
      <c r="V353" s="57"/>
      <c r="W353" s="57"/>
      <c r="X353" s="57"/>
      <c r="Y353" s="57"/>
      <c r="Z353" s="57"/>
      <c r="AA353" s="57"/>
      <c r="AB353" s="57"/>
    </row>
    <row r="354">
      <c r="A354" s="348">
        <v>46096.82653928241</v>
      </c>
      <c r="B354" s="344"/>
      <c r="C354" s="223" t="s">
        <v>2759</v>
      </c>
      <c r="D354" s="351">
        <v>5.703358973E9</v>
      </c>
      <c r="E354" s="223" t="s">
        <v>35</v>
      </c>
      <c r="F354" s="223" t="s">
        <v>41</v>
      </c>
      <c r="G354" s="206" t="s">
        <v>2517</v>
      </c>
      <c r="H354" s="227"/>
      <c r="I354" s="206" t="s">
        <v>2773</v>
      </c>
      <c r="J354" s="270">
        <v>46097.0</v>
      </c>
      <c r="K354" s="240"/>
      <c r="L354" s="223" t="s">
        <v>38</v>
      </c>
      <c r="M354" s="351">
        <v>528880.0</v>
      </c>
      <c r="N354" s="230">
        <v>158.94</v>
      </c>
      <c r="O354" s="351">
        <v>676848.0</v>
      </c>
      <c r="P354" s="354" t="s">
        <v>43</v>
      </c>
      <c r="Q354" s="354" t="s">
        <v>43</v>
      </c>
      <c r="R354" s="297"/>
      <c r="S354" s="297"/>
      <c r="T354" s="355"/>
      <c r="U354" s="57"/>
      <c r="V354" s="57"/>
      <c r="W354" s="57"/>
      <c r="X354" s="57"/>
      <c r="Y354" s="57"/>
      <c r="Z354" s="57"/>
      <c r="AA354" s="57"/>
      <c r="AB354" s="57"/>
    </row>
    <row r="355">
      <c r="A355" s="348">
        <v>46096.83127079861</v>
      </c>
      <c r="B355" s="304" t="s">
        <v>2806</v>
      </c>
      <c r="C355" s="223" t="s">
        <v>1591</v>
      </c>
      <c r="D355" s="223" t="s">
        <v>2808</v>
      </c>
      <c r="E355" s="223" t="s">
        <v>35</v>
      </c>
      <c r="F355" s="223" t="s">
        <v>35</v>
      </c>
      <c r="G355" s="206" t="s">
        <v>2518</v>
      </c>
      <c r="H355" s="227"/>
      <c r="I355" s="206" t="s">
        <v>2773</v>
      </c>
      <c r="J355" s="270">
        <v>46097.0</v>
      </c>
      <c r="K355" s="240"/>
      <c r="L355" s="223" t="s">
        <v>38</v>
      </c>
      <c r="M355" s="351">
        <v>528880.0</v>
      </c>
      <c r="N355" s="230">
        <v>144.35</v>
      </c>
      <c r="O355" s="351">
        <v>676848.0</v>
      </c>
      <c r="P355" s="354" t="s">
        <v>43</v>
      </c>
      <c r="Q355" s="354" t="s">
        <v>43</v>
      </c>
      <c r="R355" s="297"/>
      <c r="S355" s="297"/>
      <c r="T355" s="355"/>
      <c r="U355" s="57"/>
      <c r="V355" s="57"/>
      <c r="W355" s="57"/>
      <c r="X355" s="57"/>
      <c r="Y355" s="57"/>
      <c r="Z355" s="57"/>
      <c r="AA355" s="57"/>
      <c r="AB355" s="57"/>
    </row>
    <row r="356">
      <c r="A356" s="336"/>
      <c r="B356" s="344"/>
      <c r="C356" s="223" t="s">
        <v>2809</v>
      </c>
      <c r="D356" s="227"/>
      <c r="E356" s="223" t="s">
        <v>35</v>
      </c>
      <c r="F356" s="223" t="s">
        <v>35</v>
      </c>
      <c r="G356" s="206" t="s">
        <v>264</v>
      </c>
      <c r="H356" s="227"/>
      <c r="I356" s="206" t="s">
        <v>2773</v>
      </c>
      <c r="J356" s="270">
        <v>46097.0</v>
      </c>
      <c r="K356" s="240"/>
      <c r="L356" s="223" t="s">
        <v>38</v>
      </c>
      <c r="M356" s="351">
        <v>528880.0</v>
      </c>
      <c r="N356" s="230">
        <v>144.35</v>
      </c>
      <c r="O356" s="351">
        <v>676848.0</v>
      </c>
      <c r="P356" s="354" t="s">
        <v>43</v>
      </c>
      <c r="Q356" s="354" t="s">
        <v>43</v>
      </c>
      <c r="R356" s="297"/>
      <c r="S356" s="297"/>
      <c r="T356" s="355"/>
      <c r="U356" s="57"/>
      <c r="V356" s="57"/>
      <c r="W356" s="57"/>
      <c r="X356" s="57"/>
      <c r="Y356" s="57"/>
      <c r="Z356" s="57"/>
      <c r="AA356" s="57"/>
      <c r="AB356" s="57"/>
    </row>
    <row r="357">
      <c r="A357" s="336"/>
      <c r="B357" s="344"/>
      <c r="C357" s="223" t="s">
        <v>1120</v>
      </c>
      <c r="D357" s="227"/>
      <c r="E357" s="223" t="s">
        <v>35</v>
      </c>
      <c r="F357" s="223" t="s">
        <v>35</v>
      </c>
      <c r="G357" s="206" t="s">
        <v>234</v>
      </c>
      <c r="H357" s="227"/>
      <c r="I357" s="227"/>
      <c r="J357" s="270">
        <v>46097.0</v>
      </c>
      <c r="K357" s="240"/>
      <c r="L357" s="223" t="s">
        <v>38</v>
      </c>
      <c r="M357" s="351">
        <v>528880.0</v>
      </c>
      <c r="N357" s="230">
        <v>150.01</v>
      </c>
      <c r="O357" s="351">
        <v>676848.0</v>
      </c>
      <c r="P357" s="354" t="s">
        <v>43</v>
      </c>
      <c r="Q357" s="354" t="s">
        <v>43</v>
      </c>
      <c r="R357" s="297"/>
      <c r="S357" s="297"/>
      <c r="T357" s="355"/>
      <c r="U357" s="57"/>
      <c r="V357" s="57"/>
      <c r="W357" s="57"/>
      <c r="X357" s="57"/>
      <c r="Y357" s="57"/>
      <c r="Z357" s="57"/>
      <c r="AA357" s="57"/>
      <c r="AB357" s="57"/>
    </row>
    <row r="358">
      <c r="A358" s="336"/>
      <c r="B358" s="344"/>
      <c r="C358" s="223" t="s">
        <v>2810</v>
      </c>
      <c r="D358" s="223" t="s">
        <v>2811</v>
      </c>
      <c r="E358" s="223" t="s">
        <v>41</v>
      </c>
      <c r="F358" s="223" t="s">
        <v>41</v>
      </c>
      <c r="G358" s="206" t="s">
        <v>839</v>
      </c>
      <c r="H358" s="227"/>
      <c r="I358" s="227"/>
      <c r="J358" s="270">
        <v>46097.0</v>
      </c>
      <c r="K358" s="240"/>
      <c r="L358" s="223" t="s">
        <v>38</v>
      </c>
      <c r="M358" s="351">
        <v>528880.0</v>
      </c>
      <c r="N358" s="230">
        <v>132.15</v>
      </c>
      <c r="O358" s="351">
        <v>676848.0</v>
      </c>
      <c r="P358" s="354" t="s">
        <v>43</v>
      </c>
      <c r="Q358" s="354" t="s">
        <v>43</v>
      </c>
      <c r="R358" s="297"/>
      <c r="S358" s="297"/>
      <c r="T358" s="355"/>
      <c r="U358" s="57"/>
      <c r="V358" s="57"/>
      <c r="W358" s="57"/>
      <c r="X358" s="57"/>
      <c r="Y358" s="57"/>
      <c r="Z358" s="57"/>
      <c r="AA358" s="57"/>
      <c r="AB358" s="57"/>
    </row>
    <row r="359">
      <c r="A359" s="348">
        <v>46092.8665295949</v>
      </c>
      <c r="B359" s="344"/>
      <c r="C359" s="223" t="s">
        <v>2812</v>
      </c>
      <c r="D359" s="223" t="s">
        <v>2813</v>
      </c>
      <c r="E359" s="223" t="s">
        <v>35</v>
      </c>
      <c r="F359" s="223" t="s">
        <v>35</v>
      </c>
      <c r="G359" s="206" t="s">
        <v>2519</v>
      </c>
      <c r="H359" s="227"/>
      <c r="I359" s="227"/>
      <c r="J359" s="207">
        <v>46097.0</v>
      </c>
      <c r="K359" s="228"/>
      <c r="L359" s="223" t="s">
        <v>38</v>
      </c>
      <c r="M359" s="351">
        <v>528880.0</v>
      </c>
      <c r="N359" s="230">
        <v>40.0</v>
      </c>
      <c r="O359" s="351">
        <v>676848.0</v>
      </c>
      <c r="P359" s="354" t="s">
        <v>43</v>
      </c>
      <c r="Q359" s="354" t="s">
        <v>43</v>
      </c>
      <c r="R359" s="297"/>
      <c r="S359" s="297"/>
      <c r="T359" s="355"/>
      <c r="U359" s="57"/>
      <c r="V359" s="57"/>
      <c r="W359" s="57"/>
      <c r="X359" s="57"/>
      <c r="Y359" s="57"/>
      <c r="Z359" s="57"/>
      <c r="AA359" s="57"/>
      <c r="AB359" s="57"/>
    </row>
    <row r="360">
      <c r="A360" s="348">
        <v>46090.755525636574</v>
      </c>
      <c r="B360" s="304" t="s">
        <v>2814</v>
      </c>
      <c r="C360" s="223" t="s">
        <v>2815</v>
      </c>
      <c r="D360" s="351">
        <v>5.704799148E9</v>
      </c>
      <c r="E360" s="223" t="s">
        <v>41</v>
      </c>
      <c r="F360" s="223" t="s">
        <v>41</v>
      </c>
      <c r="G360" s="206" t="s">
        <v>2520</v>
      </c>
      <c r="H360" s="227"/>
      <c r="I360" s="227"/>
      <c r="J360" s="207">
        <v>46097.0</v>
      </c>
      <c r="K360" s="228"/>
      <c r="L360" s="223" t="s">
        <v>38</v>
      </c>
      <c r="M360" s="351">
        <v>528880.0</v>
      </c>
      <c r="N360" s="230">
        <v>144.35</v>
      </c>
      <c r="O360" s="351">
        <v>676848.0</v>
      </c>
      <c r="P360" s="354" t="s">
        <v>43</v>
      </c>
      <c r="Q360" s="354" t="s">
        <v>43</v>
      </c>
      <c r="R360" s="297"/>
      <c r="S360" s="297"/>
      <c r="T360" s="355"/>
      <c r="U360" s="57"/>
      <c r="V360" s="57"/>
      <c r="W360" s="57"/>
      <c r="X360" s="57"/>
      <c r="Y360" s="57"/>
      <c r="Z360" s="57"/>
      <c r="AA360" s="57"/>
      <c r="AB360" s="57"/>
    </row>
    <row r="361">
      <c r="A361" s="348">
        <v>46090.77539905092</v>
      </c>
      <c r="B361" s="344"/>
      <c r="C361" s="223" t="s">
        <v>2816</v>
      </c>
      <c r="D361" s="351">
        <v>5.708768383E9</v>
      </c>
      <c r="E361" s="223" t="s">
        <v>35</v>
      </c>
      <c r="F361" s="223" t="s">
        <v>35</v>
      </c>
      <c r="G361" s="206" t="s">
        <v>2521</v>
      </c>
      <c r="H361" s="227"/>
      <c r="I361" s="227"/>
      <c r="J361" s="207">
        <v>46097.0</v>
      </c>
      <c r="K361" s="228"/>
      <c r="L361" s="223" t="s">
        <v>38</v>
      </c>
      <c r="M361" s="351">
        <v>528880.0</v>
      </c>
      <c r="N361" s="230">
        <v>79.8</v>
      </c>
      <c r="O361" s="351">
        <v>676848.0</v>
      </c>
      <c r="P361" s="354" t="s">
        <v>43</v>
      </c>
      <c r="Q361" s="354" t="s">
        <v>43</v>
      </c>
      <c r="R361" s="297"/>
      <c r="S361" s="297"/>
      <c r="T361" s="355"/>
      <c r="U361" s="57"/>
      <c r="V361" s="57"/>
      <c r="W361" s="57"/>
      <c r="X361" s="57"/>
      <c r="Y361" s="57"/>
      <c r="Z361" s="57"/>
      <c r="AA361" s="57"/>
      <c r="AB361" s="57"/>
    </row>
    <row r="362">
      <c r="A362" s="348">
        <v>46095.45548631945</v>
      </c>
      <c r="B362" s="304" t="s">
        <v>2784</v>
      </c>
      <c r="C362" s="223" t="s">
        <v>487</v>
      </c>
      <c r="D362" s="223" t="s">
        <v>2817</v>
      </c>
      <c r="E362" s="223" t="s">
        <v>169</v>
      </c>
      <c r="F362" s="223" t="s">
        <v>169</v>
      </c>
      <c r="G362" s="206" t="s">
        <v>2522</v>
      </c>
      <c r="H362" s="227"/>
      <c r="I362" s="227"/>
      <c r="J362" s="207">
        <v>46097.0</v>
      </c>
      <c r="K362" s="228"/>
      <c r="L362" s="223" t="s">
        <v>38</v>
      </c>
      <c r="M362" s="351">
        <v>528880.0</v>
      </c>
      <c r="N362" s="230">
        <v>114.0</v>
      </c>
      <c r="O362" s="351">
        <v>676848.0</v>
      </c>
      <c r="P362" s="354" t="s">
        <v>43</v>
      </c>
      <c r="Q362" s="354" t="s">
        <v>43</v>
      </c>
      <c r="R362" s="297"/>
      <c r="S362" s="297"/>
      <c r="T362" s="355"/>
      <c r="U362" s="57"/>
      <c r="V362" s="57"/>
      <c r="W362" s="57"/>
      <c r="X362" s="57"/>
      <c r="Y362" s="57"/>
      <c r="Z362" s="57"/>
      <c r="AA362" s="57"/>
      <c r="AB362" s="57"/>
    </row>
    <row r="363">
      <c r="A363" s="348">
        <v>46095.59050122685</v>
      </c>
      <c r="B363" s="304" t="s">
        <v>2818</v>
      </c>
      <c r="C363" s="223" t="s">
        <v>2819</v>
      </c>
      <c r="D363" s="223" t="s">
        <v>1499</v>
      </c>
      <c r="E363" s="223" t="s">
        <v>169</v>
      </c>
      <c r="F363" s="223" t="s">
        <v>169</v>
      </c>
      <c r="G363" s="206" t="s">
        <v>2512</v>
      </c>
      <c r="H363" s="227"/>
      <c r="I363" s="227"/>
      <c r="J363" s="207">
        <v>46097.0</v>
      </c>
      <c r="K363" s="228"/>
      <c r="L363" s="223" t="s">
        <v>38</v>
      </c>
      <c r="M363" s="351">
        <v>528880.0</v>
      </c>
      <c r="N363" s="230">
        <v>144.35</v>
      </c>
      <c r="O363" s="351">
        <v>676848.0</v>
      </c>
      <c r="P363" s="354" t="s">
        <v>43</v>
      </c>
      <c r="Q363" s="354" t="s">
        <v>43</v>
      </c>
      <c r="R363" s="297"/>
      <c r="S363" s="297"/>
      <c r="T363" s="355"/>
      <c r="U363" s="57"/>
      <c r="V363" s="57"/>
      <c r="W363" s="57"/>
      <c r="X363" s="57"/>
      <c r="Y363" s="57"/>
      <c r="Z363" s="57"/>
      <c r="AA363" s="57"/>
      <c r="AB363" s="57"/>
    </row>
    <row r="364">
      <c r="A364" s="348">
        <v>46095.59050122685</v>
      </c>
      <c r="B364" s="304" t="s">
        <v>2818</v>
      </c>
      <c r="C364" s="223" t="s">
        <v>2819</v>
      </c>
      <c r="D364" s="223" t="s">
        <v>1499</v>
      </c>
      <c r="E364" s="223" t="s">
        <v>169</v>
      </c>
      <c r="F364" s="223" t="s">
        <v>169</v>
      </c>
      <c r="G364" s="206" t="s">
        <v>2513</v>
      </c>
      <c r="H364" s="227"/>
      <c r="I364" s="227"/>
      <c r="J364" s="207">
        <v>46097.0</v>
      </c>
      <c r="K364" s="228"/>
      <c r="L364" s="223" t="s">
        <v>38</v>
      </c>
      <c r="M364" s="351">
        <v>528880.0</v>
      </c>
      <c r="N364" s="230">
        <v>150.01</v>
      </c>
      <c r="O364" s="351">
        <v>676848.0</v>
      </c>
      <c r="P364" s="354" t="s">
        <v>43</v>
      </c>
      <c r="Q364" s="354" t="s">
        <v>43</v>
      </c>
      <c r="R364" s="297"/>
      <c r="S364" s="297"/>
      <c r="T364" s="355"/>
      <c r="U364" s="57"/>
      <c r="V364" s="57"/>
      <c r="W364" s="57"/>
      <c r="X364" s="57"/>
      <c r="Y364" s="57"/>
      <c r="Z364" s="57"/>
      <c r="AA364" s="57"/>
      <c r="AB364" s="57"/>
    </row>
    <row r="365">
      <c r="A365" s="348">
        <v>46096.82584597223</v>
      </c>
      <c r="B365" s="304" t="s">
        <v>2823</v>
      </c>
      <c r="C365" s="223" t="s">
        <v>1493</v>
      </c>
      <c r="D365" s="223" t="s">
        <v>84</v>
      </c>
      <c r="E365" s="223" t="s">
        <v>35</v>
      </c>
      <c r="F365" s="223" t="s">
        <v>35</v>
      </c>
      <c r="G365" s="206" t="s">
        <v>2516</v>
      </c>
      <c r="H365" s="227"/>
      <c r="I365" s="227"/>
      <c r="J365" s="207">
        <v>46097.0</v>
      </c>
      <c r="K365" s="228"/>
      <c r="L365" s="223" t="s">
        <v>38</v>
      </c>
      <c r="M365" s="351">
        <v>528880.0</v>
      </c>
      <c r="N365" s="230">
        <v>158.94</v>
      </c>
      <c r="O365" s="351">
        <v>676848.0</v>
      </c>
      <c r="P365" s="354" t="s">
        <v>43</v>
      </c>
      <c r="Q365" s="354" t="s">
        <v>43</v>
      </c>
      <c r="R365" s="297"/>
      <c r="S365" s="297"/>
      <c r="T365" s="355"/>
      <c r="U365" s="57"/>
      <c r="V365" s="57"/>
      <c r="W365" s="57"/>
      <c r="X365" s="57"/>
      <c r="Y365" s="57"/>
      <c r="Z365" s="57"/>
      <c r="AA365" s="57"/>
      <c r="AB365" s="57"/>
    </row>
    <row r="366">
      <c r="A366" s="348">
        <v>46096.83584672454</v>
      </c>
      <c r="B366" s="304" t="s">
        <v>2824</v>
      </c>
      <c r="C366" s="223" t="s">
        <v>1595</v>
      </c>
      <c r="D366" s="223" t="s">
        <v>1596</v>
      </c>
      <c r="E366" s="223" t="s">
        <v>35</v>
      </c>
      <c r="F366" s="223" t="s">
        <v>35</v>
      </c>
      <c r="G366" s="206" t="s">
        <v>2523</v>
      </c>
      <c r="H366" s="227"/>
      <c r="I366" s="227"/>
      <c r="J366" s="207">
        <v>46097.0</v>
      </c>
      <c r="K366" s="228"/>
      <c r="L366" s="223" t="s">
        <v>38</v>
      </c>
      <c r="M366" s="351">
        <v>528880.0</v>
      </c>
      <c r="N366" s="230">
        <v>158.94</v>
      </c>
      <c r="O366" s="351">
        <v>676848.0</v>
      </c>
      <c r="P366" s="354" t="s">
        <v>43</v>
      </c>
      <c r="Q366" s="354" t="s">
        <v>43</v>
      </c>
      <c r="R366" s="297"/>
      <c r="S366" s="297"/>
      <c r="T366" s="355"/>
      <c r="U366" s="57"/>
      <c r="V366" s="57"/>
      <c r="W366" s="57"/>
      <c r="X366" s="57"/>
      <c r="Y366" s="57"/>
      <c r="Z366" s="57"/>
      <c r="AA366" s="57"/>
      <c r="AB366" s="57"/>
    </row>
    <row r="367">
      <c r="A367" s="336"/>
      <c r="B367" s="344"/>
      <c r="C367" s="223" t="s">
        <v>53</v>
      </c>
      <c r="D367" s="227"/>
      <c r="E367" s="227"/>
      <c r="F367" s="227"/>
      <c r="G367" s="206" t="s">
        <v>1842</v>
      </c>
      <c r="H367" s="227"/>
      <c r="I367" s="227"/>
      <c r="J367" s="270">
        <v>46097.0</v>
      </c>
      <c r="K367" s="240"/>
      <c r="L367" s="223" t="s">
        <v>69</v>
      </c>
      <c r="M367" s="351">
        <v>5.00321922E8</v>
      </c>
      <c r="N367" s="230">
        <v>8.04</v>
      </c>
      <c r="O367" s="351">
        <v>8.00054696E8</v>
      </c>
      <c r="P367" s="354" t="s">
        <v>59</v>
      </c>
      <c r="Q367" s="354" t="s">
        <v>59</v>
      </c>
      <c r="R367" s="297"/>
      <c r="S367" s="297"/>
      <c r="T367" s="355"/>
      <c r="U367" s="57"/>
      <c r="V367" s="57"/>
      <c r="W367" s="57"/>
      <c r="X367" s="57"/>
      <c r="Y367" s="57"/>
      <c r="Z367" s="57"/>
      <c r="AA367" s="57"/>
      <c r="AB367" s="57"/>
    </row>
    <row r="368">
      <c r="A368" s="243" t="s">
        <v>382</v>
      </c>
      <c r="B368" s="304" t="s">
        <v>382</v>
      </c>
      <c r="C368" s="223" t="s">
        <v>53</v>
      </c>
      <c r="D368" s="227"/>
      <c r="E368" s="255" t="s">
        <v>41</v>
      </c>
      <c r="F368" s="255" t="s">
        <v>41</v>
      </c>
      <c r="G368" s="208" t="s">
        <v>322</v>
      </c>
      <c r="H368" s="227"/>
      <c r="I368" s="227"/>
      <c r="J368" s="270">
        <v>46097.0</v>
      </c>
      <c r="K368" s="240"/>
      <c r="L368" s="223" t="s">
        <v>69</v>
      </c>
      <c r="M368" s="351">
        <v>5.00321922E8</v>
      </c>
      <c r="N368" s="230">
        <v>16.92</v>
      </c>
      <c r="O368" s="351">
        <v>8.00054696E8</v>
      </c>
      <c r="P368" s="354" t="s">
        <v>59</v>
      </c>
      <c r="Q368" s="354" t="s">
        <v>59</v>
      </c>
      <c r="R368" s="297"/>
      <c r="S368" s="297"/>
      <c r="T368" s="355"/>
      <c r="U368" s="57"/>
      <c r="V368" s="57"/>
      <c r="W368" s="57"/>
      <c r="X368" s="57"/>
      <c r="Y368" s="57"/>
      <c r="Z368" s="57"/>
      <c r="AA368" s="57"/>
      <c r="AB368" s="57"/>
    </row>
    <row r="369">
      <c r="A369" s="243" t="s">
        <v>382</v>
      </c>
      <c r="B369" s="304" t="s">
        <v>382</v>
      </c>
      <c r="C369" s="223" t="s">
        <v>53</v>
      </c>
      <c r="D369" s="227"/>
      <c r="E369" s="227"/>
      <c r="F369" s="227"/>
      <c r="G369" s="231" t="s">
        <v>2525</v>
      </c>
      <c r="H369" s="227"/>
      <c r="I369" s="227"/>
      <c r="J369" s="270">
        <v>46097.0</v>
      </c>
      <c r="K369" s="240"/>
      <c r="L369" s="223" t="s">
        <v>69</v>
      </c>
      <c r="M369" s="351">
        <v>5.00321922E8</v>
      </c>
      <c r="N369" s="230">
        <v>3.07</v>
      </c>
      <c r="O369" s="351">
        <v>8.00054696E8</v>
      </c>
      <c r="P369" s="354" t="s">
        <v>59</v>
      </c>
      <c r="Q369" s="354" t="s">
        <v>59</v>
      </c>
      <c r="R369" s="297"/>
      <c r="S369" s="297"/>
      <c r="T369" s="355"/>
      <c r="U369" s="57"/>
      <c r="V369" s="57"/>
      <c r="W369" s="57"/>
      <c r="X369" s="57"/>
      <c r="Y369" s="57"/>
      <c r="Z369" s="57"/>
      <c r="AA369" s="57"/>
      <c r="AB369" s="57"/>
    </row>
    <row r="370">
      <c r="A370" s="243" t="s">
        <v>382</v>
      </c>
      <c r="B370" s="304" t="s">
        <v>382</v>
      </c>
      <c r="C370" s="223" t="s">
        <v>53</v>
      </c>
      <c r="D370" s="227"/>
      <c r="E370" s="227"/>
      <c r="F370" s="227"/>
      <c r="G370" s="231" t="s">
        <v>2526</v>
      </c>
      <c r="H370" s="227"/>
      <c r="I370" s="227"/>
      <c r="J370" s="270">
        <v>46097.0</v>
      </c>
      <c r="K370" s="240"/>
      <c r="L370" s="223" t="s">
        <v>69</v>
      </c>
      <c r="M370" s="351">
        <v>5.00321922E8</v>
      </c>
      <c r="N370" s="230">
        <v>3.07</v>
      </c>
      <c r="O370" s="351">
        <v>8.00054696E8</v>
      </c>
      <c r="P370" s="354" t="s">
        <v>59</v>
      </c>
      <c r="Q370" s="354" t="s">
        <v>59</v>
      </c>
      <c r="R370" s="297"/>
      <c r="S370" s="297"/>
      <c r="T370" s="355"/>
      <c r="U370" s="57"/>
      <c r="V370" s="57"/>
      <c r="W370" s="57"/>
      <c r="X370" s="57"/>
      <c r="Y370" s="57"/>
      <c r="Z370" s="57"/>
      <c r="AA370" s="57"/>
      <c r="AB370" s="57"/>
    </row>
    <row r="371">
      <c r="A371" s="336"/>
      <c r="B371" s="344"/>
      <c r="C371" s="223" t="s">
        <v>53</v>
      </c>
      <c r="D371" s="227"/>
      <c r="E371" s="227"/>
      <c r="F371" s="227"/>
      <c r="G371" s="206" t="s">
        <v>2527</v>
      </c>
      <c r="H371" s="227"/>
      <c r="I371" s="227"/>
      <c r="J371" s="270">
        <v>46097.0</v>
      </c>
      <c r="K371" s="240"/>
      <c r="L371" s="223" t="s">
        <v>69</v>
      </c>
      <c r="M371" s="351">
        <v>5.00321922E8</v>
      </c>
      <c r="N371" s="230">
        <v>84.42</v>
      </c>
      <c r="O371" s="351">
        <v>8.00054696E8</v>
      </c>
      <c r="P371" s="354" t="s">
        <v>2825</v>
      </c>
      <c r="Q371" s="354" t="s">
        <v>59</v>
      </c>
      <c r="R371" s="297"/>
      <c r="S371" s="297"/>
      <c r="T371" s="355"/>
      <c r="U371" s="57"/>
      <c r="V371" s="57"/>
      <c r="W371" s="57"/>
      <c r="X371" s="57"/>
      <c r="Y371" s="57"/>
      <c r="Z371" s="57"/>
      <c r="AA371" s="57"/>
      <c r="AB371" s="57"/>
    </row>
    <row r="372">
      <c r="A372" s="348">
        <v>46102.514344351854</v>
      </c>
      <c r="B372" s="344"/>
      <c r="C372" s="223" t="s">
        <v>2826</v>
      </c>
      <c r="D372" s="227"/>
      <c r="E372" s="223" t="s">
        <v>41</v>
      </c>
      <c r="F372" s="223" t="s">
        <v>41</v>
      </c>
      <c r="G372" s="206" t="s">
        <v>2528</v>
      </c>
      <c r="H372" s="227"/>
      <c r="I372" s="227"/>
      <c r="J372" s="270">
        <v>46104.0</v>
      </c>
      <c r="K372" s="240"/>
      <c r="L372" s="223" t="s">
        <v>38</v>
      </c>
      <c r="M372" s="351">
        <v>530463.0</v>
      </c>
      <c r="N372" s="230">
        <v>156.51</v>
      </c>
      <c r="O372" s="227"/>
      <c r="P372" s="354" t="s">
        <v>43</v>
      </c>
      <c r="Q372" s="354" t="s">
        <v>43</v>
      </c>
      <c r="R372" s="297"/>
      <c r="S372" s="297"/>
      <c r="T372" s="355"/>
      <c r="U372" s="57"/>
      <c r="V372" s="57"/>
      <c r="W372" s="57"/>
      <c r="X372" s="57"/>
      <c r="Y372" s="57"/>
      <c r="Z372" s="57"/>
      <c r="AA372" s="57"/>
      <c r="AB372" s="57"/>
    </row>
    <row r="373">
      <c r="A373" s="336"/>
      <c r="B373" s="344"/>
      <c r="C373" s="223" t="s">
        <v>53</v>
      </c>
      <c r="D373" s="227"/>
      <c r="E373" s="227"/>
      <c r="F373" s="227"/>
      <c r="G373" s="206" t="s">
        <v>2529</v>
      </c>
      <c r="H373" s="227"/>
      <c r="I373" s="227"/>
      <c r="J373" s="270">
        <v>46104.0</v>
      </c>
      <c r="K373" s="240"/>
      <c r="L373" s="223" t="s">
        <v>38</v>
      </c>
      <c r="M373" s="351">
        <v>530463.0</v>
      </c>
      <c r="N373" s="230">
        <v>8.17</v>
      </c>
      <c r="O373" s="227"/>
      <c r="P373" s="354" t="s">
        <v>59</v>
      </c>
      <c r="Q373" s="354" t="s">
        <v>59</v>
      </c>
      <c r="R373" s="297"/>
      <c r="S373" s="297"/>
      <c r="T373" s="355"/>
      <c r="U373" s="57"/>
      <c r="V373" s="57"/>
      <c r="W373" s="57"/>
      <c r="X373" s="57"/>
      <c r="Y373" s="57"/>
      <c r="Z373" s="57"/>
      <c r="AA373" s="57"/>
      <c r="AB373" s="57"/>
    </row>
    <row r="374">
      <c r="A374" s="336"/>
      <c r="B374" s="344"/>
      <c r="C374" s="223" t="s">
        <v>53</v>
      </c>
      <c r="D374" s="227"/>
      <c r="E374" s="227"/>
      <c r="F374" s="227"/>
      <c r="G374" s="206" t="s">
        <v>2530</v>
      </c>
      <c r="H374" s="227"/>
      <c r="I374" s="227"/>
      <c r="J374" s="270">
        <v>46104.0</v>
      </c>
      <c r="K374" s="240"/>
      <c r="L374" s="223" t="s">
        <v>69</v>
      </c>
      <c r="M374" s="351">
        <v>5.00324645E8</v>
      </c>
      <c r="N374" s="230">
        <v>7.6</v>
      </c>
      <c r="O374" s="227"/>
      <c r="P374" s="354" t="s">
        <v>59</v>
      </c>
      <c r="Q374" s="354" t="s">
        <v>59</v>
      </c>
      <c r="R374" s="297"/>
      <c r="S374" s="297"/>
      <c r="T374" s="355"/>
      <c r="U374" s="57"/>
      <c r="V374" s="57"/>
      <c r="W374" s="57"/>
      <c r="X374" s="57"/>
      <c r="Y374" s="57"/>
      <c r="Z374" s="57"/>
      <c r="AA374" s="57"/>
      <c r="AB374" s="57"/>
    </row>
    <row r="375">
      <c r="A375" s="336"/>
      <c r="B375" s="344"/>
      <c r="C375" s="338" t="s">
        <v>53</v>
      </c>
      <c r="D375" s="227"/>
      <c r="E375" s="227"/>
      <c r="F375" s="227"/>
      <c r="G375" s="206" t="s">
        <v>2532</v>
      </c>
      <c r="H375" s="227"/>
      <c r="I375" s="227"/>
      <c r="J375" s="270">
        <v>46104.0</v>
      </c>
      <c r="K375" s="240"/>
      <c r="L375" s="223" t="s">
        <v>69</v>
      </c>
      <c r="M375" s="351">
        <v>5.00324645E8</v>
      </c>
      <c r="N375" s="230">
        <v>1.05</v>
      </c>
      <c r="O375" s="227"/>
      <c r="P375" s="354" t="s">
        <v>59</v>
      </c>
      <c r="Q375" s="354" t="s">
        <v>59</v>
      </c>
      <c r="R375" s="297"/>
      <c r="S375" s="297"/>
      <c r="T375" s="355"/>
      <c r="U375" s="57"/>
      <c r="V375" s="57"/>
      <c r="W375" s="57"/>
      <c r="X375" s="57"/>
      <c r="Y375" s="57"/>
      <c r="Z375" s="57"/>
      <c r="AA375" s="57"/>
      <c r="AB375" s="57"/>
    </row>
    <row r="376">
      <c r="A376" s="222"/>
      <c r="B376" s="344"/>
      <c r="C376" s="223" t="s">
        <v>53</v>
      </c>
      <c r="D376" s="227"/>
      <c r="E376" s="227"/>
      <c r="F376" s="227"/>
      <c r="G376" s="206" t="s">
        <v>2533</v>
      </c>
      <c r="H376" s="227"/>
      <c r="I376" s="227"/>
      <c r="J376" s="270">
        <v>46104.0</v>
      </c>
      <c r="K376" s="240"/>
      <c r="L376" s="223" t="s">
        <v>69</v>
      </c>
      <c r="M376" s="351">
        <v>5.00324645E8</v>
      </c>
      <c r="N376" s="230">
        <v>1.05</v>
      </c>
      <c r="O376" s="227"/>
      <c r="P376" s="354" t="s">
        <v>59</v>
      </c>
      <c r="Q376" s="354" t="s">
        <v>59</v>
      </c>
      <c r="R376" s="297"/>
      <c r="S376" s="297"/>
      <c r="T376" s="355"/>
      <c r="U376" s="57"/>
      <c r="V376" s="57"/>
      <c r="W376" s="57"/>
      <c r="X376" s="57"/>
      <c r="Y376" s="57"/>
      <c r="Z376" s="57"/>
      <c r="AA376" s="57"/>
      <c r="AB376" s="57"/>
    </row>
    <row r="377">
      <c r="A377" s="336"/>
      <c r="B377" s="344"/>
      <c r="C377" s="223" t="s">
        <v>53</v>
      </c>
      <c r="D377" s="227"/>
      <c r="E377" s="227"/>
      <c r="F377" s="227"/>
      <c r="G377" s="206" t="s">
        <v>704</v>
      </c>
      <c r="H377" s="227"/>
      <c r="I377" s="227"/>
      <c r="J377" s="270">
        <v>46104.0</v>
      </c>
      <c r="K377" s="240"/>
      <c r="L377" s="223" t="s">
        <v>69</v>
      </c>
      <c r="M377" s="351">
        <v>5.00324645E8</v>
      </c>
      <c r="N377" s="230">
        <v>14.58</v>
      </c>
      <c r="O377" s="227"/>
      <c r="P377" s="354" t="s">
        <v>59</v>
      </c>
      <c r="Q377" s="354" t="s">
        <v>59</v>
      </c>
      <c r="R377" s="297"/>
      <c r="S377" s="297"/>
      <c r="T377" s="355"/>
      <c r="U377" s="57"/>
      <c r="V377" s="57"/>
      <c r="W377" s="57"/>
      <c r="X377" s="57"/>
      <c r="Y377" s="57"/>
      <c r="Z377" s="57"/>
      <c r="AA377" s="57"/>
      <c r="AB377" s="57"/>
    </row>
    <row r="378">
      <c r="A378" s="336"/>
      <c r="B378" s="344"/>
      <c r="C378" s="223" t="s">
        <v>53</v>
      </c>
      <c r="D378" s="227"/>
      <c r="E378" s="227"/>
      <c r="F378" s="227"/>
      <c r="G378" s="206" t="s">
        <v>2534</v>
      </c>
      <c r="H378" s="227"/>
      <c r="I378" s="227"/>
      <c r="J378" s="270">
        <v>46104.0</v>
      </c>
      <c r="K378" s="240"/>
      <c r="L378" s="223" t="s">
        <v>69</v>
      </c>
      <c r="M378" s="351">
        <v>5.00324645E8</v>
      </c>
      <c r="N378" s="230">
        <v>14.58</v>
      </c>
      <c r="O378" s="227"/>
      <c r="P378" s="354" t="s">
        <v>59</v>
      </c>
      <c r="Q378" s="354" t="s">
        <v>59</v>
      </c>
      <c r="R378" s="297"/>
      <c r="S378" s="297"/>
      <c r="T378" s="355"/>
      <c r="U378" s="57"/>
      <c r="V378" s="57"/>
      <c r="W378" s="57"/>
      <c r="X378" s="57"/>
      <c r="Y378" s="57"/>
      <c r="Z378" s="57"/>
      <c r="AA378" s="57"/>
      <c r="AB378" s="57"/>
    </row>
    <row r="379">
      <c r="A379" s="336"/>
      <c r="B379" s="344"/>
      <c r="C379" s="223" t="s">
        <v>53</v>
      </c>
      <c r="D379" s="227"/>
      <c r="E379" s="227"/>
      <c r="F379" s="227"/>
      <c r="G379" s="206" t="s">
        <v>2444</v>
      </c>
      <c r="H379" s="227"/>
      <c r="I379" s="227"/>
      <c r="J379" s="270">
        <v>46104.0</v>
      </c>
      <c r="K379" s="240"/>
      <c r="L379" s="223" t="s">
        <v>69</v>
      </c>
      <c r="M379" s="351">
        <v>5.00324645E8</v>
      </c>
      <c r="N379" s="230">
        <v>8.99</v>
      </c>
      <c r="O379" s="227"/>
      <c r="P379" s="354" t="s">
        <v>59</v>
      </c>
      <c r="Q379" s="354" t="s">
        <v>59</v>
      </c>
      <c r="R379" s="297"/>
      <c r="S379" s="297"/>
      <c r="T379" s="355"/>
      <c r="U379" s="57"/>
      <c r="V379" s="57"/>
      <c r="W379" s="57"/>
      <c r="X379" s="57"/>
      <c r="Y379" s="57"/>
      <c r="Z379" s="57"/>
      <c r="AA379" s="57"/>
      <c r="AB379" s="57"/>
    </row>
    <row r="380">
      <c r="A380" s="348">
        <v>46102.514344351854</v>
      </c>
      <c r="B380" s="344"/>
      <c r="C380" s="223" t="s">
        <v>2826</v>
      </c>
      <c r="D380" s="227"/>
      <c r="E380" s="223" t="s">
        <v>41</v>
      </c>
      <c r="F380" s="360" t="s">
        <v>41</v>
      </c>
      <c r="G380" s="206" t="s">
        <v>2528</v>
      </c>
      <c r="H380" s="227"/>
      <c r="I380" s="227"/>
      <c r="J380" s="270">
        <v>46104.0</v>
      </c>
      <c r="K380" s="240"/>
      <c r="L380" s="223" t="s">
        <v>38</v>
      </c>
      <c r="M380" s="351">
        <v>530463.0</v>
      </c>
      <c r="N380" s="230">
        <v>156.51</v>
      </c>
      <c r="O380" s="351">
        <v>678718.0</v>
      </c>
      <c r="P380" s="223" t="s">
        <v>43</v>
      </c>
      <c r="Q380" s="223" t="s">
        <v>43</v>
      </c>
      <c r="R380" s="227"/>
      <c r="S380" s="361"/>
      <c r="T380" s="227"/>
      <c r="U380" s="57"/>
      <c r="V380" s="57"/>
      <c r="W380" s="57"/>
      <c r="X380" s="57"/>
      <c r="Y380" s="57"/>
      <c r="Z380" s="57"/>
      <c r="AA380" s="57"/>
      <c r="AB380" s="57"/>
    </row>
    <row r="381">
      <c r="A381" s="336"/>
      <c r="B381" s="344"/>
      <c r="C381" s="223" t="s">
        <v>53</v>
      </c>
      <c r="D381" s="227"/>
      <c r="E381" s="227"/>
      <c r="F381" s="362"/>
      <c r="G381" s="206" t="s">
        <v>2529</v>
      </c>
      <c r="H381" s="227"/>
      <c r="I381" s="227"/>
      <c r="J381" s="270">
        <v>46104.0</v>
      </c>
      <c r="K381" s="240"/>
      <c r="L381" s="223" t="s">
        <v>38</v>
      </c>
      <c r="M381" s="351">
        <v>530463.0</v>
      </c>
      <c r="N381" s="230">
        <v>8.17</v>
      </c>
      <c r="O381" s="351">
        <v>678718.0</v>
      </c>
      <c r="P381" s="223" t="s">
        <v>59</v>
      </c>
      <c r="Q381" s="223" t="s">
        <v>59</v>
      </c>
      <c r="R381" s="227"/>
      <c r="S381" s="361"/>
      <c r="T381" s="227"/>
      <c r="U381" s="57"/>
      <c r="V381" s="57"/>
      <c r="W381" s="57"/>
      <c r="X381" s="57"/>
      <c r="Y381" s="57"/>
      <c r="Z381" s="57"/>
      <c r="AA381" s="57"/>
      <c r="AB381" s="57"/>
    </row>
    <row r="382">
      <c r="A382" s="348">
        <v>46098.46171875</v>
      </c>
      <c r="B382" s="304" t="s">
        <v>2830</v>
      </c>
      <c r="C382" s="223" t="s">
        <v>2831</v>
      </c>
      <c r="D382" s="223" t="s">
        <v>2832</v>
      </c>
      <c r="E382" s="223" t="s">
        <v>41</v>
      </c>
      <c r="F382" s="223" t="s">
        <v>41</v>
      </c>
      <c r="G382" s="206" t="s">
        <v>2535</v>
      </c>
      <c r="H382" s="227"/>
      <c r="I382" s="227"/>
      <c r="J382" s="207">
        <v>46104.0</v>
      </c>
      <c r="K382" s="228"/>
      <c r="L382" s="223" t="s">
        <v>38</v>
      </c>
      <c r="M382" s="351">
        <v>530463.0</v>
      </c>
      <c r="N382" s="230">
        <v>156.51</v>
      </c>
      <c r="O382" s="351">
        <v>678718.0</v>
      </c>
      <c r="P382" s="354" t="s">
        <v>43</v>
      </c>
      <c r="Q382" s="354" t="s">
        <v>43</v>
      </c>
      <c r="R382" s="297"/>
      <c r="S382" s="297"/>
      <c r="T382" s="355"/>
      <c r="U382" s="57"/>
      <c r="V382" s="57"/>
      <c r="W382" s="57"/>
      <c r="X382" s="57"/>
      <c r="Y382" s="57"/>
      <c r="Z382" s="57"/>
      <c r="AA382" s="57"/>
      <c r="AB382" s="57"/>
    </row>
    <row r="383">
      <c r="A383" s="348">
        <v>46099.87542644676</v>
      </c>
      <c r="B383" s="304" t="s">
        <v>367</v>
      </c>
      <c r="C383" s="223" t="s">
        <v>2835</v>
      </c>
      <c r="D383" s="223" t="s">
        <v>1428</v>
      </c>
      <c r="E383" s="223" t="s">
        <v>41</v>
      </c>
      <c r="F383" s="223" t="s">
        <v>41</v>
      </c>
      <c r="G383" s="206" t="s">
        <v>2536</v>
      </c>
      <c r="H383" s="227"/>
      <c r="I383" s="227"/>
      <c r="J383" s="207">
        <v>46104.0</v>
      </c>
      <c r="K383" s="228"/>
      <c r="L383" s="223" t="s">
        <v>38</v>
      </c>
      <c r="M383" s="351">
        <v>530463.0</v>
      </c>
      <c r="N383" s="230">
        <v>156.51</v>
      </c>
      <c r="O383" s="351">
        <v>678718.0</v>
      </c>
      <c r="P383" s="354" t="s">
        <v>43</v>
      </c>
      <c r="Q383" s="354" t="s">
        <v>43</v>
      </c>
      <c r="R383" s="297"/>
      <c r="S383" s="297"/>
      <c r="T383" s="355"/>
      <c r="U383" s="57"/>
      <c r="V383" s="57"/>
      <c r="W383" s="57"/>
      <c r="X383" s="57"/>
      <c r="Y383" s="57"/>
      <c r="Z383" s="57"/>
      <c r="AA383" s="57"/>
      <c r="AB383" s="57"/>
    </row>
    <row r="384">
      <c r="A384" s="348">
        <v>46098.50024710648</v>
      </c>
      <c r="B384" s="304" t="s">
        <v>136</v>
      </c>
      <c r="C384" s="223" t="s">
        <v>137</v>
      </c>
      <c r="D384" s="351">
        <v>2.019066445E9</v>
      </c>
      <c r="E384" s="223" t="s">
        <v>41</v>
      </c>
      <c r="F384" s="223" t="s">
        <v>41</v>
      </c>
      <c r="G384" s="206" t="s">
        <v>2537</v>
      </c>
      <c r="H384" s="227"/>
      <c r="I384" s="227"/>
      <c r="J384" s="207">
        <v>46104.0</v>
      </c>
      <c r="K384" s="228"/>
      <c r="L384" s="223" t="s">
        <v>38</v>
      </c>
      <c r="M384" s="351">
        <v>530463.0</v>
      </c>
      <c r="N384" s="230">
        <v>150.01</v>
      </c>
      <c r="O384" s="351">
        <v>678718.0</v>
      </c>
      <c r="P384" s="227"/>
      <c r="Q384" s="227"/>
      <c r="R384" s="297"/>
      <c r="S384" s="297"/>
      <c r="T384" s="355"/>
      <c r="U384" s="57"/>
      <c r="V384" s="57"/>
      <c r="W384" s="57"/>
      <c r="X384" s="57"/>
      <c r="Y384" s="57"/>
      <c r="Z384" s="57"/>
      <c r="AA384" s="57"/>
      <c r="AB384" s="57"/>
    </row>
    <row r="385">
      <c r="A385" s="348">
        <v>46099.792094606484</v>
      </c>
      <c r="B385" s="344"/>
      <c r="C385" s="223" t="s">
        <v>864</v>
      </c>
      <c r="D385" s="223" t="s">
        <v>84</v>
      </c>
      <c r="E385" s="223" t="s">
        <v>35</v>
      </c>
      <c r="F385" s="223" t="s">
        <v>35</v>
      </c>
      <c r="G385" s="206" t="s">
        <v>2538</v>
      </c>
      <c r="H385" s="227"/>
      <c r="I385" s="227"/>
      <c r="J385" s="207">
        <v>46104.0</v>
      </c>
      <c r="K385" s="228"/>
      <c r="L385" s="223" t="s">
        <v>38</v>
      </c>
      <c r="M385" s="351">
        <v>530463.0</v>
      </c>
      <c r="N385" s="230">
        <v>150.58</v>
      </c>
      <c r="O385" s="351">
        <v>678718.0</v>
      </c>
      <c r="P385" s="227"/>
      <c r="Q385" s="227"/>
      <c r="R385" s="297"/>
      <c r="S385" s="297"/>
      <c r="T385" s="355"/>
      <c r="U385" s="57"/>
      <c r="V385" s="57"/>
      <c r="W385" s="57"/>
      <c r="X385" s="57"/>
      <c r="Y385" s="57"/>
      <c r="Z385" s="57"/>
      <c r="AA385" s="57"/>
      <c r="AB385" s="57"/>
    </row>
    <row r="386">
      <c r="A386" s="348">
        <v>46100.78739859954</v>
      </c>
      <c r="B386" s="304" t="s">
        <v>283</v>
      </c>
      <c r="C386" s="223" t="s">
        <v>285</v>
      </c>
      <c r="D386" s="351">
        <v>5.705794933E9</v>
      </c>
      <c r="E386" s="223" t="s">
        <v>35</v>
      </c>
      <c r="F386" s="223" t="s">
        <v>35</v>
      </c>
      <c r="G386" s="206" t="s">
        <v>2539</v>
      </c>
      <c r="H386" s="227"/>
      <c r="I386" s="227"/>
      <c r="J386" s="207">
        <v>46104.0</v>
      </c>
      <c r="K386" s="228"/>
      <c r="L386" s="223" t="s">
        <v>38</v>
      </c>
      <c r="M386" s="351">
        <v>530463.0</v>
      </c>
      <c r="N386" s="230">
        <v>51.78</v>
      </c>
      <c r="O386" s="351">
        <v>678718.0</v>
      </c>
      <c r="P386" s="354" t="s">
        <v>43</v>
      </c>
      <c r="Q386" s="354" t="s">
        <v>43</v>
      </c>
      <c r="R386" s="297"/>
      <c r="S386" s="297"/>
      <c r="T386" s="355"/>
      <c r="U386" s="57"/>
      <c r="V386" s="57"/>
      <c r="W386" s="57"/>
      <c r="X386" s="57"/>
      <c r="Y386" s="57"/>
      <c r="Z386" s="57"/>
      <c r="AA386" s="57"/>
      <c r="AB386" s="57"/>
    </row>
    <row r="387">
      <c r="A387" s="348">
        <v>46100.78739859954</v>
      </c>
      <c r="B387" s="304" t="s">
        <v>283</v>
      </c>
      <c r="C387" s="223" t="s">
        <v>285</v>
      </c>
      <c r="D387" s="351">
        <v>5.705794933E9</v>
      </c>
      <c r="E387" s="223" t="s">
        <v>35</v>
      </c>
      <c r="F387" s="223" t="s">
        <v>35</v>
      </c>
      <c r="G387" s="206" t="s">
        <v>2540</v>
      </c>
      <c r="H387" s="227"/>
      <c r="I387" s="227"/>
      <c r="J387" s="207">
        <v>46104.0</v>
      </c>
      <c r="K387" s="228"/>
      <c r="L387" s="223" t="s">
        <v>38</v>
      </c>
      <c r="M387" s="351">
        <v>530463.0</v>
      </c>
      <c r="N387" s="230">
        <v>51.78</v>
      </c>
      <c r="O387" s="351">
        <v>678718.0</v>
      </c>
      <c r="P387" s="354" t="s">
        <v>43</v>
      </c>
      <c r="Q387" s="354" t="s">
        <v>43</v>
      </c>
      <c r="R387" s="297"/>
      <c r="S387" s="297"/>
      <c r="T387" s="355"/>
      <c r="U387" s="57"/>
      <c r="V387" s="57"/>
      <c r="W387" s="57"/>
      <c r="X387" s="57"/>
      <c r="Y387" s="57"/>
      <c r="Z387" s="57"/>
      <c r="AA387" s="57"/>
      <c r="AB387" s="57"/>
    </row>
    <row r="388">
      <c r="A388" s="348">
        <v>46102.55384237268</v>
      </c>
      <c r="B388" s="344"/>
      <c r="C388" s="223" t="s">
        <v>2840</v>
      </c>
      <c r="D388" s="223" t="s">
        <v>84</v>
      </c>
      <c r="E388" s="223" t="s">
        <v>35</v>
      </c>
      <c r="F388" s="223" t="s">
        <v>35</v>
      </c>
      <c r="G388" s="206" t="s">
        <v>2541</v>
      </c>
      <c r="H388" s="227"/>
      <c r="I388" s="227"/>
      <c r="J388" s="207">
        <v>46104.0</v>
      </c>
      <c r="K388" s="228"/>
      <c r="L388" s="223" t="s">
        <v>38</v>
      </c>
      <c r="M388" s="351">
        <v>530463.0</v>
      </c>
      <c r="N388" s="230">
        <v>141.88</v>
      </c>
      <c r="O388" s="351">
        <v>678718.0</v>
      </c>
      <c r="P388" s="354" t="s">
        <v>43</v>
      </c>
      <c r="Q388" s="354" t="s">
        <v>43</v>
      </c>
      <c r="R388" s="297"/>
      <c r="S388" s="297"/>
      <c r="T388" s="355"/>
      <c r="U388" s="57"/>
      <c r="V388" s="57"/>
      <c r="W388" s="57"/>
      <c r="X388" s="57"/>
      <c r="Y388" s="57"/>
      <c r="Z388" s="57"/>
      <c r="AA388" s="57"/>
      <c r="AB388" s="57"/>
    </row>
    <row r="389">
      <c r="A389" s="348">
        <v>46102.65407076389</v>
      </c>
      <c r="B389" s="304" t="s">
        <v>107</v>
      </c>
      <c r="C389" s="223" t="s">
        <v>2841</v>
      </c>
      <c r="D389" s="223" t="s">
        <v>2842</v>
      </c>
      <c r="E389" s="223" t="s">
        <v>41</v>
      </c>
      <c r="F389" s="223" t="s">
        <v>41</v>
      </c>
      <c r="G389" s="206" t="s">
        <v>2542</v>
      </c>
      <c r="H389" s="227"/>
      <c r="I389" s="227"/>
      <c r="J389" s="207">
        <v>46104.0</v>
      </c>
      <c r="K389" s="228"/>
      <c r="L389" s="223" t="s">
        <v>38</v>
      </c>
      <c r="M389" s="351">
        <v>530463.0</v>
      </c>
      <c r="N389" s="230">
        <v>119.99</v>
      </c>
      <c r="O389" s="351">
        <v>678718.0</v>
      </c>
      <c r="P389" s="354" t="s">
        <v>43</v>
      </c>
      <c r="Q389" s="354" t="s">
        <v>43</v>
      </c>
      <c r="R389" s="297"/>
      <c r="S389" s="297"/>
      <c r="T389" s="355"/>
      <c r="U389" s="57"/>
      <c r="V389" s="57"/>
      <c r="W389" s="57"/>
      <c r="X389" s="57"/>
      <c r="Y389" s="57"/>
      <c r="Z389" s="57"/>
      <c r="AA389" s="57"/>
      <c r="AB389" s="57"/>
    </row>
    <row r="390">
      <c r="A390" s="348">
        <v>46102.65407076389</v>
      </c>
      <c r="B390" s="304" t="s">
        <v>107</v>
      </c>
      <c r="C390" s="223" t="s">
        <v>2841</v>
      </c>
      <c r="D390" s="223" t="s">
        <v>2842</v>
      </c>
      <c r="E390" s="223" t="s">
        <v>41</v>
      </c>
      <c r="F390" s="223" t="s">
        <v>41</v>
      </c>
      <c r="G390" s="206" t="s">
        <v>2543</v>
      </c>
      <c r="H390" s="227"/>
      <c r="I390" s="227"/>
      <c r="J390" s="207">
        <v>46104.0</v>
      </c>
      <c r="K390" s="228"/>
      <c r="L390" s="223" t="s">
        <v>38</v>
      </c>
      <c r="M390" s="351">
        <v>530463.0</v>
      </c>
      <c r="N390" s="230">
        <v>113.91</v>
      </c>
      <c r="O390" s="351">
        <v>678718.0</v>
      </c>
      <c r="P390" s="354" t="s">
        <v>43</v>
      </c>
      <c r="Q390" s="354" t="s">
        <v>43</v>
      </c>
      <c r="R390" s="297"/>
      <c r="S390" s="297"/>
      <c r="T390" s="355"/>
      <c r="U390" s="57"/>
      <c r="V390" s="57"/>
      <c r="W390" s="57"/>
      <c r="X390" s="57"/>
      <c r="Y390" s="57"/>
      <c r="Z390" s="57"/>
      <c r="AA390" s="57"/>
      <c r="AB390" s="57"/>
    </row>
    <row r="391">
      <c r="A391" s="348">
        <v>46103.85669677083</v>
      </c>
      <c r="B391" s="344"/>
      <c r="C391" s="223" t="s">
        <v>1568</v>
      </c>
      <c r="D391" s="227"/>
      <c r="E391" s="223" t="s">
        <v>35</v>
      </c>
      <c r="F391" s="223" t="s">
        <v>35</v>
      </c>
      <c r="G391" s="206" t="s">
        <v>2544</v>
      </c>
      <c r="H391" s="227"/>
      <c r="I391" s="227"/>
      <c r="J391" s="207">
        <v>46104.0</v>
      </c>
      <c r="K391" s="228"/>
      <c r="L391" s="223" t="s">
        <v>38</v>
      </c>
      <c r="M391" s="351">
        <v>530463.0</v>
      </c>
      <c r="N391" s="230">
        <v>99.28</v>
      </c>
      <c r="O391" s="351">
        <v>678718.0</v>
      </c>
      <c r="P391" s="354" t="s">
        <v>43</v>
      </c>
      <c r="Q391" s="354" t="s">
        <v>43</v>
      </c>
      <c r="R391" s="297"/>
      <c r="S391" s="297"/>
      <c r="T391" s="355"/>
      <c r="U391" s="57"/>
      <c r="V391" s="57"/>
      <c r="W391" s="57"/>
      <c r="X391" s="57"/>
      <c r="Y391" s="57"/>
      <c r="Z391" s="57"/>
      <c r="AA391" s="57"/>
      <c r="AB391" s="57"/>
    </row>
    <row r="392">
      <c r="A392" s="348">
        <v>46103.914027708335</v>
      </c>
      <c r="B392" s="304" t="s">
        <v>107</v>
      </c>
      <c r="C392" s="223" t="s">
        <v>1352</v>
      </c>
      <c r="D392" s="351">
        <v>5.705783108E9</v>
      </c>
      <c r="E392" s="223" t="s">
        <v>41</v>
      </c>
      <c r="F392" s="223" t="s">
        <v>41</v>
      </c>
      <c r="G392" s="206" t="s">
        <v>2545</v>
      </c>
      <c r="H392" s="227"/>
      <c r="I392" s="227"/>
      <c r="J392" s="207">
        <v>46104.0</v>
      </c>
      <c r="K392" s="228"/>
      <c r="L392" s="223" t="s">
        <v>38</v>
      </c>
      <c r="M392" s="351">
        <v>530463.0</v>
      </c>
      <c r="N392" s="230">
        <v>114.0</v>
      </c>
      <c r="O392" s="351">
        <v>678718.0</v>
      </c>
      <c r="P392" s="354" t="s">
        <v>43</v>
      </c>
      <c r="Q392" s="354" t="s">
        <v>43</v>
      </c>
      <c r="R392" s="297"/>
      <c r="S392" s="297"/>
      <c r="T392" s="355"/>
      <c r="U392" s="57"/>
      <c r="V392" s="57"/>
      <c r="W392" s="57"/>
      <c r="X392" s="57"/>
      <c r="Y392" s="57"/>
      <c r="Z392" s="57"/>
      <c r="AA392" s="57"/>
      <c r="AB392" s="57"/>
    </row>
    <row r="393">
      <c r="A393" s="348">
        <v>46103.912699444445</v>
      </c>
      <c r="B393" s="304" t="s">
        <v>107</v>
      </c>
      <c r="C393" s="223" t="s">
        <v>1272</v>
      </c>
      <c r="D393" s="223" t="s">
        <v>2843</v>
      </c>
      <c r="E393" s="223" t="s">
        <v>41</v>
      </c>
      <c r="F393" s="223" t="s">
        <v>41</v>
      </c>
      <c r="G393" s="206" t="s">
        <v>2546</v>
      </c>
      <c r="H393" s="227"/>
      <c r="I393" s="227"/>
      <c r="J393" s="207">
        <v>46104.0</v>
      </c>
      <c r="K393" s="227"/>
      <c r="L393" s="223" t="s">
        <v>38</v>
      </c>
      <c r="M393" s="351">
        <v>530463.0</v>
      </c>
      <c r="N393" s="230">
        <v>97.38</v>
      </c>
      <c r="O393" s="351">
        <v>678718.0</v>
      </c>
      <c r="P393" s="354" t="s">
        <v>43</v>
      </c>
      <c r="Q393" s="354" t="s">
        <v>43</v>
      </c>
      <c r="R393" s="297"/>
      <c r="S393" s="297"/>
      <c r="T393" s="355"/>
      <c r="U393" s="57"/>
      <c r="V393" s="57"/>
      <c r="W393" s="57"/>
      <c r="X393" s="57"/>
      <c r="Y393" s="57"/>
      <c r="Z393" s="57"/>
      <c r="AA393" s="57"/>
      <c r="AB393" s="57"/>
    </row>
    <row r="394">
      <c r="A394" s="348">
        <v>46107.798318229165</v>
      </c>
      <c r="B394" s="304" t="s">
        <v>2844</v>
      </c>
      <c r="C394" s="223" t="s">
        <v>2845</v>
      </c>
      <c r="D394" s="351">
        <v>5.706143078E9</v>
      </c>
      <c r="E394" s="223" t="s">
        <v>41</v>
      </c>
      <c r="F394" s="223" t="s">
        <v>41</v>
      </c>
      <c r="G394" s="206" t="s">
        <v>2547</v>
      </c>
      <c r="H394" s="206" t="s">
        <v>37</v>
      </c>
      <c r="I394" s="227"/>
      <c r="J394" s="270">
        <v>46111.0</v>
      </c>
      <c r="K394" s="227"/>
      <c r="L394" s="223" t="s">
        <v>38</v>
      </c>
      <c r="M394" s="351">
        <v>532169.0</v>
      </c>
      <c r="N394" s="230">
        <v>156.51</v>
      </c>
      <c r="O394" s="351">
        <v>680611.0</v>
      </c>
      <c r="P394" s="354" t="s">
        <v>43</v>
      </c>
      <c r="Q394" s="354" t="s">
        <v>43</v>
      </c>
      <c r="R394" s="297"/>
      <c r="S394" s="297"/>
      <c r="T394" s="355"/>
      <c r="U394" s="57"/>
      <c r="V394" s="57"/>
      <c r="W394" s="57"/>
      <c r="X394" s="57"/>
      <c r="Y394" s="57"/>
      <c r="Z394" s="57"/>
      <c r="AA394" s="57"/>
      <c r="AB394" s="57"/>
    </row>
    <row r="395">
      <c r="A395" s="348">
        <v>46107.799524849535</v>
      </c>
      <c r="B395" s="304" t="s">
        <v>2846</v>
      </c>
      <c r="C395" s="223" t="s">
        <v>2847</v>
      </c>
      <c r="D395" s="223" t="s">
        <v>2848</v>
      </c>
      <c r="E395" s="223" t="s">
        <v>41</v>
      </c>
      <c r="F395" s="223" t="s">
        <v>41</v>
      </c>
      <c r="G395" s="206" t="s">
        <v>2548</v>
      </c>
      <c r="H395" s="206" t="s">
        <v>37</v>
      </c>
      <c r="I395" s="227"/>
      <c r="J395" s="270">
        <v>46111.0</v>
      </c>
      <c r="K395" s="227"/>
      <c r="L395" s="223" t="s">
        <v>38</v>
      </c>
      <c r="M395" s="351">
        <v>532169.0</v>
      </c>
      <c r="N395" s="230">
        <v>132.15</v>
      </c>
      <c r="O395" s="351">
        <v>680611.0</v>
      </c>
      <c r="P395" s="354" t="s">
        <v>43</v>
      </c>
      <c r="Q395" s="354" t="s">
        <v>43</v>
      </c>
      <c r="R395" s="297"/>
      <c r="S395" s="297"/>
      <c r="T395" s="355"/>
      <c r="U395" s="57"/>
      <c r="V395" s="57"/>
      <c r="W395" s="57"/>
      <c r="X395" s="57"/>
      <c r="Y395" s="57"/>
      <c r="Z395" s="57"/>
      <c r="AA395" s="57"/>
      <c r="AB395" s="57"/>
    </row>
    <row r="396">
      <c r="A396" s="336"/>
      <c r="B396" s="344"/>
      <c r="C396" s="223" t="s">
        <v>1573</v>
      </c>
      <c r="D396" s="223" t="s">
        <v>1574</v>
      </c>
      <c r="E396" s="223" t="s">
        <v>41</v>
      </c>
      <c r="F396" s="223" t="s">
        <v>41</v>
      </c>
      <c r="G396" s="206" t="s">
        <v>125</v>
      </c>
      <c r="H396" s="227"/>
      <c r="I396" s="227"/>
      <c r="J396" s="270">
        <v>46111.0</v>
      </c>
      <c r="K396" s="227"/>
      <c r="L396" s="223" t="s">
        <v>38</v>
      </c>
      <c r="M396" s="351">
        <v>532169.0</v>
      </c>
      <c r="N396" s="230">
        <v>113.91</v>
      </c>
      <c r="O396" s="351">
        <v>680611.0</v>
      </c>
      <c r="P396" s="354" t="s">
        <v>43</v>
      </c>
      <c r="Q396" s="354" t="s">
        <v>43</v>
      </c>
      <c r="R396" s="297"/>
      <c r="S396" s="297"/>
      <c r="T396" s="355"/>
      <c r="U396" s="57"/>
      <c r="V396" s="57"/>
      <c r="W396" s="57"/>
      <c r="X396" s="57"/>
      <c r="Y396" s="57"/>
      <c r="Z396" s="57"/>
      <c r="AA396" s="57"/>
      <c r="AB396" s="57"/>
    </row>
    <row r="397">
      <c r="A397" s="336"/>
      <c r="B397" s="344"/>
      <c r="C397" s="223" t="s">
        <v>53</v>
      </c>
      <c r="D397" s="227"/>
      <c r="E397" s="227"/>
      <c r="F397" s="227"/>
      <c r="G397" s="206" t="s">
        <v>2549</v>
      </c>
      <c r="H397" s="227"/>
      <c r="I397" s="227"/>
      <c r="J397" s="270">
        <v>46111.0</v>
      </c>
      <c r="K397" s="227"/>
      <c r="L397" s="223" t="s">
        <v>38</v>
      </c>
      <c r="M397" s="351">
        <v>532169.0</v>
      </c>
      <c r="N397" s="230">
        <v>3.56</v>
      </c>
      <c r="O397" s="351">
        <v>680611.0</v>
      </c>
      <c r="P397" s="354" t="s">
        <v>59</v>
      </c>
      <c r="Q397" s="354" t="s">
        <v>59</v>
      </c>
      <c r="R397" s="297"/>
      <c r="S397" s="297"/>
      <c r="T397" s="355"/>
      <c r="U397" s="57"/>
      <c r="V397" s="57"/>
      <c r="W397" s="57"/>
      <c r="X397" s="57"/>
      <c r="Y397" s="57"/>
      <c r="Z397" s="57"/>
      <c r="AA397" s="57"/>
      <c r="AB397" s="57"/>
    </row>
    <row r="398">
      <c r="A398" s="336"/>
      <c r="B398" s="344"/>
      <c r="C398" s="223" t="s">
        <v>53</v>
      </c>
      <c r="D398" s="227"/>
      <c r="E398" s="227"/>
      <c r="F398" s="227"/>
      <c r="G398" s="206" t="s">
        <v>2551</v>
      </c>
      <c r="H398" s="227"/>
      <c r="I398" s="227"/>
      <c r="J398" s="270">
        <v>46111.0</v>
      </c>
      <c r="K398" s="227"/>
      <c r="L398" s="223" t="s">
        <v>38</v>
      </c>
      <c r="M398" s="351">
        <v>532169.0</v>
      </c>
      <c r="N398" s="230">
        <v>3.56</v>
      </c>
      <c r="O398" s="351">
        <v>680611.0</v>
      </c>
      <c r="P398" s="354" t="s">
        <v>59</v>
      </c>
      <c r="Q398" s="354" t="s">
        <v>59</v>
      </c>
      <c r="R398" s="297"/>
      <c r="S398" s="297"/>
      <c r="T398" s="355"/>
      <c r="U398" s="57"/>
      <c r="V398" s="57"/>
      <c r="W398" s="57"/>
      <c r="X398" s="57"/>
      <c r="Y398" s="57"/>
      <c r="Z398" s="57"/>
      <c r="AA398" s="57"/>
      <c r="AB398" s="57"/>
    </row>
    <row r="399">
      <c r="A399" s="336"/>
      <c r="B399" s="344"/>
      <c r="C399" s="223" t="s">
        <v>53</v>
      </c>
      <c r="D399" s="227"/>
      <c r="E399" s="223" t="s">
        <v>41</v>
      </c>
      <c r="F399" s="223" t="s">
        <v>41</v>
      </c>
      <c r="G399" s="206" t="s">
        <v>2552</v>
      </c>
      <c r="H399" s="227"/>
      <c r="I399" s="227"/>
      <c r="J399" s="270">
        <v>46111.0</v>
      </c>
      <c r="K399" s="227"/>
      <c r="L399" s="223" t="s">
        <v>38</v>
      </c>
      <c r="M399" s="351">
        <v>532169.0</v>
      </c>
      <c r="N399" s="230">
        <v>114.0</v>
      </c>
      <c r="O399" s="351">
        <v>680611.0</v>
      </c>
      <c r="P399" s="354" t="s">
        <v>59</v>
      </c>
      <c r="Q399" s="354" t="s">
        <v>59</v>
      </c>
      <c r="R399" s="297"/>
      <c r="S399" s="297"/>
      <c r="T399" s="355"/>
      <c r="U399" s="57"/>
      <c r="V399" s="57"/>
      <c r="W399" s="57"/>
      <c r="X399" s="57"/>
      <c r="Y399" s="57"/>
      <c r="Z399" s="57"/>
      <c r="AA399" s="57"/>
      <c r="AB399" s="57"/>
    </row>
    <row r="400">
      <c r="A400" s="336"/>
      <c r="B400" s="344"/>
      <c r="C400" s="238" t="s">
        <v>2232</v>
      </c>
      <c r="D400" s="255" t="s">
        <v>2233</v>
      </c>
      <c r="E400" s="255" t="s">
        <v>41</v>
      </c>
      <c r="F400" s="255" t="s">
        <v>41</v>
      </c>
      <c r="G400" s="206" t="s">
        <v>2552</v>
      </c>
      <c r="H400" s="227"/>
      <c r="I400" s="227"/>
      <c r="J400" s="270">
        <v>46111.0</v>
      </c>
      <c r="K400" s="227"/>
      <c r="L400" s="223" t="s">
        <v>38</v>
      </c>
      <c r="M400" s="351">
        <v>532169.0</v>
      </c>
      <c r="N400" s="230">
        <v>114.0</v>
      </c>
      <c r="O400" s="351">
        <v>680611.0</v>
      </c>
      <c r="P400" s="354" t="s">
        <v>43</v>
      </c>
      <c r="Q400" s="354" t="s">
        <v>43</v>
      </c>
      <c r="R400" s="297"/>
      <c r="S400" s="297"/>
      <c r="T400" s="355"/>
      <c r="U400" s="57"/>
      <c r="V400" s="57"/>
      <c r="W400" s="57"/>
      <c r="X400" s="57"/>
      <c r="Y400" s="57"/>
      <c r="Z400" s="57"/>
      <c r="AA400" s="57"/>
      <c r="AB400" s="57"/>
    </row>
    <row r="401">
      <c r="A401" s="336"/>
      <c r="B401" s="344"/>
      <c r="C401" s="223" t="s">
        <v>53</v>
      </c>
      <c r="D401" s="227"/>
      <c r="E401" s="223" t="s">
        <v>35</v>
      </c>
      <c r="F401" s="223" t="s">
        <v>35</v>
      </c>
      <c r="G401" s="206" t="s">
        <v>2552</v>
      </c>
      <c r="H401" s="227"/>
      <c r="I401" s="227"/>
      <c r="J401" s="270">
        <v>46111.0</v>
      </c>
      <c r="K401" s="227"/>
      <c r="L401" s="223" t="s">
        <v>38</v>
      </c>
      <c r="M401" s="351">
        <v>532169.0</v>
      </c>
      <c r="N401" s="230">
        <v>114.0</v>
      </c>
      <c r="O401" s="351">
        <v>680611.0</v>
      </c>
      <c r="P401" s="354" t="s">
        <v>59</v>
      </c>
      <c r="Q401" s="354" t="s">
        <v>59</v>
      </c>
      <c r="R401" s="297"/>
      <c r="S401" s="297"/>
      <c r="T401" s="355"/>
      <c r="U401" s="57"/>
      <c r="V401" s="57"/>
      <c r="W401" s="57"/>
      <c r="X401" s="57"/>
      <c r="Y401" s="57"/>
      <c r="Z401" s="57"/>
      <c r="AA401" s="57"/>
      <c r="AB401" s="57"/>
    </row>
    <row r="402">
      <c r="A402" s="348">
        <v>46106.76958438657</v>
      </c>
      <c r="B402" s="304" t="s">
        <v>2851</v>
      </c>
      <c r="C402" s="223" t="s">
        <v>2852</v>
      </c>
      <c r="D402" s="351">
        <v>5.704660924E9</v>
      </c>
      <c r="E402" s="223" t="s">
        <v>35</v>
      </c>
      <c r="F402" s="223" t="s">
        <v>35</v>
      </c>
      <c r="G402" s="206" t="s">
        <v>2553</v>
      </c>
      <c r="H402" s="206" t="s">
        <v>37</v>
      </c>
      <c r="I402" s="227"/>
      <c r="J402" s="270">
        <v>46111.0</v>
      </c>
      <c r="K402" s="227"/>
      <c r="L402" s="223" t="s">
        <v>38</v>
      </c>
      <c r="M402" s="351">
        <v>532169.0</v>
      </c>
      <c r="N402" s="230">
        <v>50.11</v>
      </c>
      <c r="O402" s="351">
        <v>680611.0</v>
      </c>
      <c r="P402" s="354" t="s">
        <v>43</v>
      </c>
      <c r="Q402" s="354" t="s">
        <v>43</v>
      </c>
      <c r="R402" s="297"/>
      <c r="S402" s="297"/>
      <c r="T402" s="355"/>
      <c r="U402" s="57"/>
      <c r="V402" s="57"/>
      <c r="W402" s="57"/>
      <c r="X402" s="57"/>
      <c r="Y402" s="57"/>
      <c r="Z402" s="57"/>
      <c r="AA402" s="57"/>
      <c r="AB402" s="57"/>
    </row>
    <row r="403">
      <c r="A403" s="336"/>
      <c r="B403" s="344"/>
      <c r="C403" s="223" t="s">
        <v>53</v>
      </c>
      <c r="D403" s="227"/>
      <c r="E403" s="223" t="s">
        <v>35</v>
      </c>
      <c r="F403" s="227"/>
      <c r="G403" s="206" t="s">
        <v>2516</v>
      </c>
      <c r="H403" s="227"/>
      <c r="I403" s="227"/>
      <c r="J403" s="270">
        <v>46111.0</v>
      </c>
      <c r="K403" s="227"/>
      <c r="L403" s="223" t="s">
        <v>38</v>
      </c>
      <c r="M403" s="351">
        <v>532169.0</v>
      </c>
      <c r="N403" s="230">
        <v>158.94</v>
      </c>
      <c r="O403" s="351">
        <v>680611.0</v>
      </c>
      <c r="P403" s="354" t="s">
        <v>59</v>
      </c>
      <c r="Q403" s="354" t="s">
        <v>59</v>
      </c>
      <c r="R403" s="297"/>
      <c r="S403" s="297"/>
      <c r="T403" s="355"/>
      <c r="U403" s="57"/>
      <c r="V403" s="57"/>
      <c r="W403" s="57"/>
      <c r="X403" s="57"/>
      <c r="Y403" s="57"/>
      <c r="Z403" s="57"/>
      <c r="AA403" s="57"/>
      <c r="AB403" s="57"/>
    </row>
    <row r="404">
      <c r="A404" s="348">
        <v>46104.66415136574</v>
      </c>
      <c r="B404" s="304" t="s">
        <v>359</v>
      </c>
      <c r="C404" s="223" t="s">
        <v>360</v>
      </c>
      <c r="D404" s="223" t="s">
        <v>2854</v>
      </c>
      <c r="E404" s="223" t="s">
        <v>41</v>
      </c>
      <c r="F404" s="223" t="s">
        <v>41</v>
      </c>
      <c r="G404" s="206" t="s">
        <v>2554</v>
      </c>
      <c r="H404" s="206" t="s">
        <v>37</v>
      </c>
      <c r="I404" s="227"/>
      <c r="J404" s="270">
        <v>46111.0</v>
      </c>
      <c r="K404" s="227"/>
      <c r="L404" s="223" t="s">
        <v>38</v>
      </c>
      <c r="M404" s="351">
        <v>532169.0</v>
      </c>
      <c r="N404" s="230">
        <v>119.99</v>
      </c>
      <c r="O404" s="351">
        <v>680611.0</v>
      </c>
      <c r="P404" s="354" t="s">
        <v>92</v>
      </c>
      <c r="Q404" s="354" t="s">
        <v>43</v>
      </c>
      <c r="R404" s="297"/>
      <c r="S404" s="297"/>
      <c r="T404" s="355"/>
      <c r="U404" s="57"/>
      <c r="V404" s="57"/>
      <c r="W404" s="57"/>
      <c r="X404" s="57"/>
      <c r="Y404" s="57"/>
      <c r="Z404" s="57"/>
      <c r="AA404" s="57"/>
      <c r="AB404" s="57"/>
    </row>
    <row r="405">
      <c r="A405" s="336"/>
      <c r="B405" s="344"/>
      <c r="C405" s="223" t="s">
        <v>53</v>
      </c>
      <c r="D405" s="227"/>
      <c r="E405" s="227"/>
      <c r="F405" s="227"/>
      <c r="G405" s="206" t="s">
        <v>2555</v>
      </c>
      <c r="H405" s="227"/>
      <c r="I405" s="227"/>
      <c r="J405" s="270">
        <v>46111.0</v>
      </c>
      <c r="K405" s="227"/>
      <c r="L405" s="223" t="s">
        <v>38</v>
      </c>
      <c r="M405" s="351">
        <v>532169.0</v>
      </c>
      <c r="N405" s="230">
        <v>91.2</v>
      </c>
      <c r="O405" s="351">
        <v>680611.0</v>
      </c>
      <c r="P405" s="354" t="s">
        <v>59</v>
      </c>
      <c r="Q405" s="354" t="s">
        <v>59</v>
      </c>
      <c r="R405" s="297"/>
      <c r="S405" s="297"/>
      <c r="T405" s="355"/>
      <c r="U405" s="57"/>
      <c r="V405" s="57"/>
      <c r="W405" s="57"/>
      <c r="X405" s="57"/>
      <c r="Y405" s="57"/>
      <c r="Z405" s="57"/>
      <c r="AA405" s="57"/>
      <c r="AB405" s="57"/>
    </row>
    <row r="406">
      <c r="A406" s="336"/>
      <c r="B406" s="344"/>
      <c r="C406" s="223" t="s">
        <v>53</v>
      </c>
      <c r="D406" s="227"/>
      <c r="E406" s="223" t="s">
        <v>35</v>
      </c>
      <c r="F406" s="227"/>
      <c r="G406" s="206" t="s">
        <v>264</v>
      </c>
      <c r="H406" s="227"/>
      <c r="I406" s="227"/>
      <c r="J406" s="270">
        <v>46111.0</v>
      </c>
      <c r="K406" s="227"/>
      <c r="L406" s="223" t="s">
        <v>38</v>
      </c>
      <c r="M406" s="351">
        <v>532169.0</v>
      </c>
      <c r="N406" s="230">
        <v>144.35</v>
      </c>
      <c r="O406" s="351">
        <v>680611.0</v>
      </c>
      <c r="P406" s="354" t="s">
        <v>59</v>
      </c>
      <c r="Q406" s="354" t="s">
        <v>59</v>
      </c>
      <c r="R406" s="297"/>
      <c r="S406" s="297"/>
      <c r="T406" s="355"/>
      <c r="U406" s="57"/>
      <c r="V406" s="57"/>
      <c r="W406" s="57"/>
      <c r="X406" s="57"/>
      <c r="Y406" s="57"/>
      <c r="Z406" s="57"/>
      <c r="AA406" s="57"/>
      <c r="AB406" s="57"/>
    </row>
    <row r="407">
      <c r="A407" s="336"/>
      <c r="B407" s="344"/>
      <c r="C407" s="223" t="s">
        <v>53</v>
      </c>
      <c r="D407" s="227"/>
      <c r="E407" s="223" t="s">
        <v>35</v>
      </c>
      <c r="F407" s="227"/>
      <c r="G407" s="206" t="s">
        <v>2250</v>
      </c>
      <c r="H407" s="227"/>
      <c r="I407" s="227"/>
      <c r="J407" s="270">
        <v>46111.0</v>
      </c>
      <c r="K407" s="227"/>
      <c r="L407" s="223" t="s">
        <v>38</v>
      </c>
      <c r="M407" s="351">
        <v>532169.0</v>
      </c>
      <c r="N407" s="230">
        <v>99.28</v>
      </c>
      <c r="O407" s="351">
        <v>680611.0</v>
      </c>
      <c r="P407" s="354" t="s">
        <v>59</v>
      </c>
      <c r="Q407" s="354" t="s">
        <v>59</v>
      </c>
      <c r="R407" s="297"/>
      <c r="S407" s="297"/>
      <c r="T407" s="355"/>
      <c r="U407" s="57"/>
      <c r="V407" s="57"/>
      <c r="W407" s="57"/>
      <c r="X407" s="57"/>
      <c r="Y407" s="57"/>
      <c r="Z407" s="57"/>
      <c r="AA407" s="57"/>
      <c r="AB407" s="57"/>
    </row>
    <row r="408">
      <c r="A408" s="348">
        <v>46104.86813340278</v>
      </c>
      <c r="B408" s="344"/>
      <c r="C408" s="223" t="s">
        <v>2650</v>
      </c>
      <c r="D408" s="351">
        <v>5.708780296E9</v>
      </c>
      <c r="E408" s="223" t="s">
        <v>35</v>
      </c>
      <c r="F408" s="223" t="s">
        <v>35</v>
      </c>
      <c r="G408" s="206" t="s">
        <v>2556</v>
      </c>
      <c r="H408" s="227"/>
      <c r="I408" s="227"/>
      <c r="J408" s="270">
        <v>46111.0</v>
      </c>
      <c r="K408" s="227"/>
      <c r="L408" s="223" t="s">
        <v>38</v>
      </c>
      <c r="M408" s="351">
        <v>532169.0</v>
      </c>
      <c r="N408" s="230">
        <v>114.0</v>
      </c>
      <c r="O408" s="351">
        <v>680611.0</v>
      </c>
      <c r="P408" s="354" t="s">
        <v>43</v>
      </c>
      <c r="Q408" s="354" t="s">
        <v>43</v>
      </c>
      <c r="R408" s="297"/>
      <c r="S408" s="297"/>
      <c r="T408" s="355"/>
      <c r="U408" s="57"/>
      <c r="V408" s="57"/>
      <c r="W408" s="57"/>
      <c r="X408" s="57"/>
      <c r="Y408" s="57"/>
      <c r="Z408" s="57"/>
      <c r="AA408" s="57"/>
      <c r="AB408" s="57"/>
    </row>
    <row r="409">
      <c r="A409" s="336"/>
      <c r="B409" s="344"/>
      <c r="C409" s="223" t="s">
        <v>2751</v>
      </c>
      <c r="D409" s="351">
        <v>3.478980659E9</v>
      </c>
      <c r="E409" s="223" t="s">
        <v>41</v>
      </c>
      <c r="F409" s="223" t="s">
        <v>41</v>
      </c>
      <c r="G409" s="206" t="s">
        <v>2528</v>
      </c>
      <c r="H409" s="227"/>
      <c r="I409" s="227"/>
      <c r="J409" s="270">
        <v>46111.0</v>
      </c>
      <c r="K409" s="227"/>
      <c r="L409" s="223" t="s">
        <v>38</v>
      </c>
      <c r="M409" s="351">
        <v>532169.0</v>
      </c>
      <c r="N409" s="230">
        <v>156.51</v>
      </c>
      <c r="O409" s="351">
        <v>680611.0</v>
      </c>
      <c r="P409" s="354" t="s">
        <v>43</v>
      </c>
      <c r="Q409" s="354" t="s">
        <v>43</v>
      </c>
      <c r="R409" s="297"/>
      <c r="S409" s="297"/>
      <c r="T409" s="355"/>
      <c r="U409" s="57"/>
      <c r="V409" s="57"/>
      <c r="W409" s="57"/>
      <c r="X409" s="57"/>
      <c r="Y409" s="57"/>
      <c r="Z409" s="57"/>
      <c r="AA409" s="57"/>
      <c r="AB409" s="57"/>
    </row>
    <row r="410">
      <c r="A410" s="348">
        <v>46103.75170188658</v>
      </c>
      <c r="B410" s="344"/>
      <c r="C410" s="223" t="s">
        <v>2855</v>
      </c>
      <c r="D410" s="223" t="s">
        <v>2856</v>
      </c>
      <c r="E410" s="223" t="s">
        <v>35</v>
      </c>
      <c r="F410" s="223" t="s">
        <v>35</v>
      </c>
      <c r="G410" s="223" t="s">
        <v>2557</v>
      </c>
      <c r="H410" s="227"/>
      <c r="I410" s="227"/>
      <c r="J410" s="270">
        <v>46111.0</v>
      </c>
      <c r="K410" s="227"/>
      <c r="L410" s="223" t="s">
        <v>38</v>
      </c>
      <c r="M410" s="351">
        <v>532169.0</v>
      </c>
      <c r="N410" s="230">
        <v>42.47</v>
      </c>
      <c r="O410" s="351">
        <v>680611.0</v>
      </c>
      <c r="P410" s="354" t="s">
        <v>43</v>
      </c>
      <c r="Q410" s="227"/>
      <c r="R410" s="297"/>
      <c r="S410" s="297"/>
      <c r="T410" s="355"/>
      <c r="U410" s="57"/>
      <c r="V410" s="57"/>
      <c r="W410" s="57"/>
      <c r="X410" s="57"/>
      <c r="Y410" s="57"/>
      <c r="Z410" s="57"/>
      <c r="AA410" s="57"/>
      <c r="AB410" s="57"/>
    </row>
    <row r="411">
      <c r="A411" s="336"/>
      <c r="B411" s="344"/>
      <c r="C411" s="338" t="s">
        <v>2669</v>
      </c>
      <c r="D411" s="227"/>
      <c r="E411" s="227"/>
      <c r="F411" s="227"/>
      <c r="G411" s="206" t="s">
        <v>2507</v>
      </c>
      <c r="H411" s="227"/>
      <c r="I411" s="227"/>
      <c r="J411" s="270">
        <v>46111.0</v>
      </c>
      <c r="K411" s="227"/>
      <c r="L411" s="223" t="s">
        <v>38</v>
      </c>
      <c r="M411" s="351">
        <v>532169.0</v>
      </c>
      <c r="N411" s="230">
        <v>132.15</v>
      </c>
      <c r="O411" s="351">
        <v>680611.0</v>
      </c>
      <c r="P411" s="227"/>
      <c r="Q411" s="227"/>
      <c r="R411" s="297"/>
      <c r="S411" s="297"/>
      <c r="T411" s="355"/>
      <c r="U411" s="57"/>
      <c r="V411" s="57"/>
      <c r="W411" s="57"/>
      <c r="X411" s="57"/>
      <c r="Y411" s="57"/>
      <c r="Z411" s="57"/>
      <c r="AA411" s="57"/>
      <c r="AB411" s="57"/>
    </row>
    <row r="412">
      <c r="A412" s="348">
        <v>46109.63230657407</v>
      </c>
      <c r="B412" s="304" t="s">
        <v>2858</v>
      </c>
      <c r="C412" s="223" t="s">
        <v>2859</v>
      </c>
      <c r="D412" s="351">
        <v>5.707802023E9</v>
      </c>
      <c r="E412" s="223" t="s">
        <v>41</v>
      </c>
      <c r="F412" s="223" t="s">
        <v>41</v>
      </c>
      <c r="G412" s="206" t="s">
        <v>2558</v>
      </c>
      <c r="H412" s="206" t="s">
        <v>111</v>
      </c>
      <c r="I412" s="227"/>
      <c r="J412" s="270">
        <v>46111.0</v>
      </c>
      <c r="K412" s="227"/>
      <c r="L412" s="223" t="s">
        <v>38</v>
      </c>
      <c r="M412" s="351">
        <v>532169.0</v>
      </c>
      <c r="N412" s="230">
        <v>132.15</v>
      </c>
      <c r="O412" s="351">
        <v>680611.0</v>
      </c>
      <c r="P412" s="354" t="s">
        <v>43</v>
      </c>
      <c r="Q412" s="354" t="s">
        <v>43</v>
      </c>
      <c r="R412" s="297"/>
      <c r="S412" s="297"/>
      <c r="T412" s="355"/>
      <c r="U412" s="57"/>
      <c r="V412" s="57"/>
      <c r="W412" s="57"/>
      <c r="X412" s="57"/>
      <c r="Y412" s="57"/>
      <c r="Z412" s="57"/>
      <c r="AA412" s="57"/>
      <c r="AB412" s="57"/>
    </row>
    <row r="413">
      <c r="A413" s="348">
        <v>46110.660996493054</v>
      </c>
      <c r="B413" s="304" t="s">
        <v>1256</v>
      </c>
      <c r="C413" s="223" t="s">
        <v>2861</v>
      </c>
      <c r="D413" s="223" t="s">
        <v>2862</v>
      </c>
      <c r="E413" s="223" t="s">
        <v>41</v>
      </c>
      <c r="F413" s="223" t="s">
        <v>41</v>
      </c>
      <c r="G413" s="206" t="s">
        <v>2559</v>
      </c>
      <c r="H413" s="206" t="s">
        <v>37</v>
      </c>
      <c r="I413" s="227"/>
      <c r="J413" s="270">
        <v>46111.0</v>
      </c>
      <c r="K413" s="227"/>
      <c r="L413" s="223" t="s">
        <v>38</v>
      </c>
      <c r="M413" s="351">
        <v>532169.0</v>
      </c>
      <c r="N413" s="230">
        <v>156.51</v>
      </c>
      <c r="O413" s="351">
        <v>680611.0</v>
      </c>
      <c r="P413" s="354" t="s">
        <v>43</v>
      </c>
      <c r="Q413" s="354" t="s">
        <v>43</v>
      </c>
      <c r="R413" s="297"/>
      <c r="S413" s="297"/>
      <c r="T413" s="355"/>
      <c r="U413" s="57"/>
      <c r="V413" s="57"/>
      <c r="W413" s="57"/>
      <c r="X413" s="57"/>
      <c r="Y413" s="57"/>
      <c r="Z413" s="57"/>
      <c r="AA413" s="57"/>
      <c r="AB413" s="57"/>
    </row>
    <row r="414">
      <c r="A414" s="348">
        <v>46110.66178177083</v>
      </c>
      <c r="B414" s="344"/>
      <c r="C414" s="223" t="s">
        <v>53</v>
      </c>
      <c r="D414" s="227"/>
      <c r="E414" s="227"/>
      <c r="F414" s="227"/>
      <c r="G414" s="206" t="s">
        <v>2560</v>
      </c>
      <c r="H414" s="227"/>
      <c r="I414" s="227"/>
      <c r="J414" s="270">
        <v>46111.0</v>
      </c>
      <c r="K414" s="227"/>
      <c r="L414" s="223" t="s">
        <v>38</v>
      </c>
      <c r="M414" s="351">
        <v>532169.0</v>
      </c>
      <c r="N414" s="230">
        <v>64.6</v>
      </c>
      <c r="O414" s="351">
        <v>680611.0</v>
      </c>
      <c r="P414" s="354" t="s">
        <v>43</v>
      </c>
      <c r="Q414" s="354" t="s">
        <v>43</v>
      </c>
      <c r="R414" s="297"/>
      <c r="S414" s="297"/>
      <c r="T414" s="355"/>
      <c r="U414" s="57"/>
      <c r="V414" s="57"/>
      <c r="W414" s="57"/>
      <c r="X414" s="57"/>
      <c r="Y414" s="57"/>
      <c r="Z414" s="57"/>
      <c r="AA414" s="57"/>
      <c r="AB414" s="57"/>
    </row>
    <row r="415">
      <c r="A415" s="348">
        <v>46103.909581631946</v>
      </c>
      <c r="B415" s="304" t="s">
        <v>107</v>
      </c>
      <c r="C415" s="223" t="s">
        <v>2863</v>
      </c>
      <c r="D415" s="223" t="s">
        <v>2864</v>
      </c>
      <c r="E415" s="223" t="s">
        <v>35</v>
      </c>
      <c r="F415" s="223" t="s">
        <v>35</v>
      </c>
      <c r="G415" s="206" t="s">
        <v>2561</v>
      </c>
      <c r="H415" s="227"/>
      <c r="I415" s="227"/>
      <c r="J415" s="270">
        <v>46111.0</v>
      </c>
      <c r="K415" s="227"/>
      <c r="L415" s="223" t="s">
        <v>69</v>
      </c>
      <c r="M415" s="351">
        <v>5.00327638E8</v>
      </c>
      <c r="N415" s="230">
        <v>152.47</v>
      </c>
      <c r="O415" s="227"/>
      <c r="P415" s="354" t="s">
        <v>43</v>
      </c>
      <c r="Q415" s="354" t="s">
        <v>43</v>
      </c>
      <c r="R415" s="297"/>
      <c r="S415" s="297"/>
      <c r="T415" s="355"/>
      <c r="U415" s="57"/>
      <c r="V415" s="57"/>
      <c r="W415" s="57"/>
      <c r="X415" s="57"/>
      <c r="Y415" s="57"/>
      <c r="Z415" s="57"/>
      <c r="AA415" s="57"/>
      <c r="AB415" s="57"/>
    </row>
    <row r="416">
      <c r="A416" s="336"/>
      <c r="B416" s="344"/>
      <c r="C416" s="223" t="s">
        <v>53</v>
      </c>
      <c r="D416" s="227"/>
      <c r="E416" s="227"/>
      <c r="F416" s="227"/>
      <c r="G416" s="206" t="s">
        <v>2562</v>
      </c>
      <c r="H416" s="227"/>
      <c r="I416" s="227"/>
      <c r="J416" s="270">
        <v>46111.0</v>
      </c>
      <c r="K416" s="227"/>
      <c r="L416" s="223" t="s">
        <v>69</v>
      </c>
      <c r="M416" s="351">
        <v>5.00327638E8</v>
      </c>
      <c r="N416" s="230">
        <v>9.86</v>
      </c>
      <c r="O416" s="227"/>
      <c r="P416" s="354" t="s">
        <v>59</v>
      </c>
      <c r="Q416" s="354" t="s">
        <v>59</v>
      </c>
      <c r="R416" s="297"/>
      <c r="S416" s="297"/>
      <c r="T416" s="355"/>
      <c r="U416" s="57"/>
      <c r="V416" s="57"/>
      <c r="W416" s="57"/>
      <c r="X416" s="57"/>
      <c r="Y416" s="57"/>
      <c r="Z416" s="57"/>
      <c r="AA416" s="57"/>
      <c r="AB416" s="57"/>
    </row>
    <row r="417">
      <c r="A417" s="336"/>
      <c r="B417" s="344"/>
      <c r="C417" s="223" t="s">
        <v>2865</v>
      </c>
      <c r="D417" s="227"/>
      <c r="E417" s="227"/>
      <c r="F417" s="227"/>
      <c r="G417" s="206" t="s">
        <v>2563</v>
      </c>
      <c r="H417" s="227"/>
      <c r="I417" s="227"/>
      <c r="J417" s="270">
        <v>46111.0</v>
      </c>
      <c r="K417" s="227"/>
      <c r="L417" s="223" t="s">
        <v>69</v>
      </c>
      <c r="M417" s="351">
        <v>5.00327638E8</v>
      </c>
      <c r="N417" s="230">
        <v>9.86</v>
      </c>
      <c r="O417" s="227"/>
      <c r="P417" s="354" t="s">
        <v>43</v>
      </c>
      <c r="Q417" s="354" t="s">
        <v>43</v>
      </c>
      <c r="R417" s="297"/>
      <c r="S417" s="297"/>
      <c r="T417" s="355"/>
      <c r="U417" s="57"/>
      <c r="V417" s="57"/>
      <c r="W417" s="57"/>
      <c r="X417" s="57"/>
      <c r="Y417" s="57"/>
      <c r="Z417" s="57"/>
      <c r="AA417" s="57"/>
      <c r="AB417" s="57"/>
    </row>
    <row r="418">
      <c r="A418" s="336"/>
      <c r="B418" s="344"/>
      <c r="C418" s="223" t="s">
        <v>2866</v>
      </c>
      <c r="D418" s="227"/>
      <c r="E418" s="227"/>
      <c r="F418" s="227"/>
      <c r="G418" s="206" t="s">
        <v>2474</v>
      </c>
      <c r="H418" s="227"/>
      <c r="I418" s="227"/>
      <c r="J418" s="270">
        <v>46111.0</v>
      </c>
      <c r="K418" s="227"/>
      <c r="L418" s="223" t="s">
        <v>69</v>
      </c>
      <c r="M418" s="351">
        <v>5.00327638E8</v>
      </c>
      <c r="N418" s="230">
        <v>158.82</v>
      </c>
      <c r="O418" s="227"/>
      <c r="P418" s="354" t="s">
        <v>43</v>
      </c>
      <c r="Q418" s="354" t="s">
        <v>43</v>
      </c>
      <c r="R418" s="297"/>
      <c r="S418" s="297"/>
      <c r="T418" s="355"/>
      <c r="U418" s="57"/>
      <c r="V418" s="57"/>
      <c r="W418" s="57"/>
      <c r="X418" s="57"/>
      <c r="Y418" s="57"/>
      <c r="Z418" s="57"/>
      <c r="AA418" s="57"/>
      <c r="AB418" s="57"/>
    </row>
    <row r="419">
      <c r="A419" s="348">
        <v>46110.568830358796</v>
      </c>
      <c r="B419" s="304" t="s">
        <v>2867</v>
      </c>
      <c r="C419" s="223" t="s">
        <v>997</v>
      </c>
      <c r="D419" s="223" t="s">
        <v>2868</v>
      </c>
      <c r="E419" s="223" t="s">
        <v>35</v>
      </c>
      <c r="F419" s="223" t="s">
        <v>35</v>
      </c>
      <c r="G419" s="206" t="s">
        <v>2564</v>
      </c>
      <c r="H419" s="206" t="s">
        <v>37</v>
      </c>
      <c r="I419" s="227"/>
      <c r="J419" s="270">
        <v>46111.0</v>
      </c>
      <c r="K419" s="227"/>
      <c r="L419" s="223" t="s">
        <v>69</v>
      </c>
      <c r="M419" s="351">
        <v>5.00327638E8</v>
      </c>
      <c r="N419" s="230">
        <v>99.0</v>
      </c>
      <c r="O419" s="351">
        <v>678718.0</v>
      </c>
      <c r="P419" s="354" t="s">
        <v>43</v>
      </c>
      <c r="Q419" s="354" t="s">
        <v>43</v>
      </c>
      <c r="R419" s="297"/>
      <c r="S419" s="297"/>
      <c r="T419" s="355"/>
      <c r="U419" s="57"/>
      <c r="V419" s="57"/>
      <c r="W419" s="57"/>
      <c r="X419" s="57"/>
      <c r="Y419" s="57"/>
      <c r="Z419" s="57"/>
      <c r="AA419" s="57"/>
      <c r="AB419" s="57"/>
    </row>
    <row r="420">
      <c r="A420" s="336"/>
      <c r="B420" s="344"/>
      <c r="C420" s="223" t="s">
        <v>2869</v>
      </c>
      <c r="D420" s="227"/>
      <c r="E420" s="227"/>
      <c r="F420" s="227"/>
      <c r="G420" s="206" t="s">
        <v>2530</v>
      </c>
      <c r="H420" s="227"/>
      <c r="I420" s="227"/>
      <c r="J420" s="270">
        <v>46111.0</v>
      </c>
      <c r="K420" s="227"/>
      <c r="L420" s="223" t="s">
        <v>69</v>
      </c>
      <c r="M420" s="351">
        <v>5.00327638E8</v>
      </c>
      <c r="N420" s="230">
        <v>7.6</v>
      </c>
      <c r="O420" s="227"/>
      <c r="P420" s="354" t="s">
        <v>59</v>
      </c>
      <c r="Q420" s="354" t="s">
        <v>59</v>
      </c>
      <c r="R420" s="297"/>
      <c r="S420" s="297"/>
      <c r="T420" s="355"/>
      <c r="U420" s="57"/>
      <c r="V420" s="57"/>
      <c r="W420" s="57"/>
      <c r="X420" s="57"/>
      <c r="Y420" s="57"/>
      <c r="Z420" s="57"/>
      <c r="AA420" s="57"/>
      <c r="AB420" s="57"/>
    </row>
    <row r="421">
      <c r="A421" s="365"/>
      <c r="B421" s="227"/>
      <c r="C421" s="338" t="s">
        <v>53</v>
      </c>
      <c r="D421" s="227"/>
      <c r="E421" s="227"/>
      <c r="F421" s="227"/>
      <c r="G421" s="206" t="s">
        <v>2532</v>
      </c>
      <c r="H421" s="227"/>
      <c r="I421" s="227"/>
      <c r="J421" s="270">
        <v>46111.0</v>
      </c>
      <c r="K421" s="227"/>
      <c r="L421" s="223" t="s">
        <v>69</v>
      </c>
      <c r="M421" s="351">
        <v>5.00327638E8</v>
      </c>
      <c r="N421" s="230">
        <v>1.05</v>
      </c>
      <c r="O421" s="227"/>
      <c r="P421" s="354" t="s">
        <v>59</v>
      </c>
      <c r="Q421" s="354" t="s">
        <v>59</v>
      </c>
      <c r="R421" s="297"/>
      <c r="S421" s="297"/>
      <c r="T421" s="355"/>
      <c r="U421" s="57"/>
      <c r="V421" s="57"/>
      <c r="W421" s="57"/>
      <c r="X421" s="57"/>
      <c r="Y421" s="57"/>
      <c r="Z421" s="57"/>
      <c r="AA421" s="57"/>
      <c r="AB421" s="57"/>
    </row>
    <row r="422">
      <c r="A422" s="224"/>
      <c r="B422" s="227"/>
      <c r="C422" s="223" t="s">
        <v>53</v>
      </c>
      <c r="D422" s="227"/>
      <c r="E422" s="227"/>
      <c r="F422" s="227"/>
      <c r="G422" s="206" t="s">
        <v>2533</v>
      </c>
      <c r="H422" s="227"/>
      <c r="I422" s="227"/>
      <c r="J422" s="270">
        <v>46111.0</v>
      </c>
      <c r="K422" s="227"/>
      <c r="L422" s="223" t="s">
        <v>69</v>
      </c>
      <c r="M422" s="351">
        <v>5.00327638E8</v>
      </c>
      <c r="N422" s="230">
        <v>1.05</v>
      </c>
      <c r="O422" s="227"/>
      <c r="P422" s="354" t="s">
        <v>59</v>
      </c>
      <c r="Q422" s="354" t="s">
        <v>59</v>
      </c>
      <c r="R422" s="297"/>
      <c r="S422" s="297"/>
      <c r="T422" s="355"/>
      <c r="U422" s="57"/>
      <c r="V422" s="57"/>
      <c r="W422" s="57"/>
      <c r="X422" s="57"/>
      <c r="Y422" s="57"/>
      <c r="Z422" s="57"/>
      <c r="AA422" s="57"/>
      <c r="AB422" s="57"/>
    </row>
    <row r="423">
      <c r="A423" s="366"/>
      <c r="B423" s="367"/>
      <c r="C423" s="368"/>
      <c r="D423" s="368"/>
      <c r="E423" s="368"/>
      <c r="F423" s="368"/>
      <c r="G423" s="369"/>
      <c r="H423" s="370"/>
      <c r="I423" s="370"/>
      <c r="J423" s="369"/>
      <c r="K423" s="62"/>
      <c r="L423" s="57"/>
      <c r="M423" s="62"/>
      <c r="N423" s="371"/>
      <c r="O423" s="57"/>
      <c r="P423" s="57"/>
      <c r="Q423" s="62"/>
      <c r="R423" s="372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</row>
    <row r="424">
      <c r="A424" s="366"/>
      <c r="B424" s="367"/>
      <c r="C424" s="368"/>
      <c r="D424" s="368"/>
      <c r="E424" s="368"/>
      <c r="F424" s="368"/>
      <c r="G424" s="369"/>
      <c r="H424" s="370"/>
      <c r="I424" s="370"/>
      <c r="J424" s="369"/>
      <c r="K424" s="62"/>
      <c r="L424" s="57"/>
      <c r="M424" s="62"/>
      <c r="N424" s="371"/>
      <c r="O424" s="57"/>
      <c r="P424" s="57"/>
      <c r="Q424" s="62"/>
      <c r="R424" s="372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</row>
    <row r="425">
      <c r="A425" s="366"/>
      <c r="B425" s="367"/>
      <c r="C425" s="368"/>
      <c r="D425" s="368"/>
      <c r="E425" s="368"/>
      <c r="F425" s="368"/>
      <c r="G425" s="369"/>
      <c r="H425" s="370"/>
      <c r="I425" s="370"/>
      <c r="J425" s="369"/>
      <c r="K425" s="62"/>
      <c r="L425" s="57"/>
      <c r="M425" s="62"/>
      <c r="N425" s="371"/>
      <c r="O425" s="57"/>
      <c r="P425" s="57"/>
      <c r="Q425" s="62"/>
      <c r="R425" s="372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</row>
    <row r="426">
      <c r="A426" s="366"/>
      <c r="B426" s="367"/>
      <c r="C426" s="368"/>
      <c r="D426" s="368"/>
      <c r="E426" s="368"/>
      <c r="F426" s="368"/>
      <c r="G426" s="369"/>
      <c r="H426" s="370"/>
      <c r="I426" s="370"/>
      <c r="J426" s="369"/>
      <c r="K426" s="62"/>
      <c r="L426" s="57"/>
      <c r="M426" s="62"/>
      <c r="N426" s="371"/>
      <c r="O426" s="57"/>
      <c r="P426" s="57"/>
      <c r="Q426" s="62"/>
      <c r="R426" s="372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</row>
    <row r="427">
      <c r="A427" s="366"/>
      <c r="B427" s="367"/>
      <c r="C427" s="368"/>
      <c r="D427" s="368"/>
      <c r="E427" s="368"/>
      <c r="F427" s="368"/>
      <c r="G427" s="369"/>
      <c r="H427" s="370"/>
      <c r="I427" s="370"/>
      <c r="J427" s="369"/>
      <c r="K427" s="62"/>
      <c r="L427" s="57"/>
      <c r="M427" s="62"/>
      <c r="N427" s="371"/>
      <c r="O427" s="57"/>
      <c r="P427" s="57"/>
      <c r="Q427" s="62"/>
      <c r="R427" s="372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</row>
    <row r="428">
      <c r="A428" s="366"/>
      <c r="B428" s="367"/>
      <c r="C428" s="368"/>
      <c r="D428" s="368"/>
      <c r="E428" s="368"/>
      <c r="F428" s="368"/>
      <c r="G428" s="369"/>
      <c r="H428" s="370"/>
      <c r="I428" s="370"/>
      <c r="J428" s="369"/>
      <c r="K428" s="62"/>
      <c r="L428" s="57"/>
      <c r="M428" s="62"/>
      <c r="N428" s="371"/>
      <c r="O428" s="57"/>
      <c r="P428" s="57"/>
      <c r="Q428" s="62"/>
      <c r="R428" s="372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</row>
    <row r="429">
      <c r="A429" s="366"/>
      <c r="B429" s="367"/>
      <c r="C429" s="368"/>
      <c r="D429" s="368"/>
      <c r="E429" s="368"/>
      <c r="F429" s="368"/>
      <c r="G429" s="369"/>
      <c r="H429" s="370"/>
      <c r="I429" s="370"/>
      <c r="J429" s="369"/>
      <c r="K429" s="62"/>
      <c r="L429" s="57"/>
      <c r="M429" s="62"/>
      <c r="N429" s="371"/>
      <c r="O429" s="57"/>
      <c r="P429" s="57"/>
      <c r="Q429" s="62"/>
      <c r="R429" s="372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</row>
    <row r="430">
      <c r="A430" s="366"/>
      <c r="B430" s="367"/>
      <c r="C430" s="368"/>
      <c r="D430" s="368"/>
      <c r="E430" s="368"/>
      <c r="F430" s="368"/>
      <c r="G430" s="369"/>
      <c r="H430" s="370"/>
      <c r="I430" s="370"/>
      <c r="J430" s="369"/>
      <c r="K430" s="62"/>
      <c r="L430" s="57"/>
      <c r="M430" s="62"/>
      <c r="N430" s="371"/>
      <c r="O430" s="57"/>
      <c r="P430" s="57"/>
      <c r="Q430" s="62"/>
      <c r="R430" s="372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</row>
    <row r="431">
      <c r="A431" s="366"/>
      <c r="B431" s="367"/>
      <c r="C431" s="368"/>
      <c r="D431" s="368"/>
      <c r="E431" s="368"/>
      <c r="F431" s="368"/>
      <c r="G431" s="369"/>
      <c r="H431" s="370"/>
      <c r="I431" s="370"/>
      <c r="J431" s="369"/>
      <c r="K431" s="62"/>
      <c r="L431" s="57"/>
      <c r="M431" s="62"/>
      <c r="N431" s="371"/>
      <c r="O431" s="57"/>
      <c r="P431" s="57"/>
      <c r="Q431" s="62"/>
      <c r="R431" s="372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</row>
    <row r="432">
      <c r="A432" s="366"/>
      <c r="B432" s="367"/>
      <c r="C432" s="368"/>
      <c r="D432" s="368"/>
      <c r="E432" s="368"/>
      <c r="F432" s="368"/>
      <c r="G432" s="369"/>
      <c r="H432" s="370"/>
      <c r="I432" s="370"/>
      <c r="J432" s="369"/>
      <c r="K432" s="62"/>
      <c r="L432" s="57"/>
      <c r="M432" s="62"/>
      <c r="N432" s="371"/>
      <c r="O432" s="57"/>
      <c r="P432" s="57"/>
      <c r="Q432" s="62"/>
      <c r="R432" s="372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</row>
    <row r="433">
      <c r="A433" s="366"/>
      <c r="B433" s="367"/>
      <c r="C433" s="368"/>
      <c r="D433" s="368"/>
      <c r="E433" s="368"/>
      <c r="F433" s="368"/>
      <c r="G433" s="369"/>
      <c r="H433" s="370"/>
      <c r="I433" s="370"/>
      <c r="J433" s="369"/>
      <c r="K433" s="62"/>
      <c r="L433" s="57"/>
      <c r="M433" s="62"/>
      <c r="N433" s="371"/>
      <c r="O433" s="57"/>
      <c r="P433" s="57"/>
      <c r="Q433" s="62"/>
      <c r="R433" s="372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</row>
    <row r="434">
      <c r="A434" s="366"/>
      <c r="B434" s="367"/>
      <c r="C434" s="368"/>
      <c r="D434" s="368"/>
      <c r="E434" s="368"/>
      <c r="F434" s="368"/>
      <c r="G434" s="369"/>
      <c r="H434" s="370"/>
      <c r="I434" s="370"/>
      <c r="J434" s="369"/>
      <c r="K434" s="62"/>
      <c r="L434" s="57"/>
      <c r="M434" s="62"/>
      <c r="N434" s="371"/>
      <c r="O434" s="57"/>
      <c r="P434" s="57"/>
      <c r="Q434" s="62"/>
      <c r="R434" s="372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</row>
    <row r="435">
      <c r="A435" s="366"/>
      <c r="B435" s="367"/>
      <c r="C435" s="368"/>
      <c r="D435" s="368"/>
      <c r="E435" s="368"/>
      <c r="F435" s="368"/>
      <c r="G435" s="369"/>
      <c r="H435" s="370"/>
      <c r="I435" s="370"/>
      <c r="J435" s="369"/>
      <c r="K435" s="62"/>
      <c r="L435" s="57"/>
      <c r="M435" s="62"/>
      <c r="N435" s="371"/>
      <c r="O435" s="57"/>
      <c r="P435" s="57"/>
      <c r="Q435" s="62"/>
      <c r="R435" s="372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</row>
    <row r="436">
      <c r="A436" s="366"/>
      <c r="B436" s="367"/>
      <c r="C436" s="368"/>
      <c r="D436" s="368"/>
      <c r="E436" s="368"/>
      <c r="F436" s="368"/>
      <c r="G436" s="369"/>
      <c r="H436" s="370"/>
      <c r="I436" s="370"/>
      <c r="J436" s="369"/>
      <c r="K436" s="62"/>
      <c r="L436" s="57"/>
      <c r="M436" s="62"/>
      <c r="N436" s="371"/>
      <c r="O436" s="57"/>
      <c r="P436" s="57"/>
      <c r="Q436" s="62"/>
      <c r="R436" s="372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</row>
    <row r="437">
      <c r="A437" s="366"/>
      <c r="B437" s="367"/>
      <c r="C437" s="368"/>
      <c r="D437" s="368"/>
      <c r="E437" s="368"/>
      <c r="F437" s="368"/>
      <c r="G437" s="369"/>
      <c r="H437" s="370"/>
      <c r="I437" s="370"/>
      <c r="J437" s="369"/>
      <c r="K437" s="62"/>
      <c r="L437" s="57"/>
      <c r="M437" s="62"/>
      <c r="N437" s="371"/>
      <c r="O437" s="57"/>
      <c r="P437" s="57"/>
      <c r="Q437" s="62"/>
      <c r="R437" s="372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</row>
    <row r="438">
      <c r="A438" s="366"/>
      <c r="B438" s="367"/>
      <c r="C438" s="368"/>
      <c r="D438" s="368"/>
      <c r="E438" s="368"/>
      <c r="F438" s="368"/>
      <c r="G438" s="369"/>
      <c r="H438" s="370"/>
      <c r="I438" s="370"/>
      <c r="J438" s="369"/>
      <c r="K438" s="62"/>
      <c r="L438" s="57"/>
      <c r="M438" s="62"/>
      <c r="N438" s="371"/>
      <c r="O438" s="57"/>
      <c r="P438" s="57"/>
      <c r="Q438" s="62"/>
      <c r="R438" s="372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</row>
    <row r="439">
      <c r="A439" s="366"/>
      <c r="B439" s="367"/>
      <c r="C439" s="368"/>
      <c r="D439" s="368"/>
      <c r="E439" s="368"/>
      <c r="F439" s="368"/>
      <c r="G439" s="369"/>
      <c r="H439" s="370"/>
      <c r="I439" s="370"/>
      <c r="J439" s="369"/>
      <c r="K439" s="62"/>
      <c r="L439" s="57"/>
      <c r="M439" s="62"/>
      <c r="N439" s="371"/>
      <c r="O439" s="57"/>
      <c r="P439" s="57"/>
      <c r="Q439" s="62"/>
      <c r="R439" s="372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</row>
    <row r="440">
      <c r="A440" s="366"/>
      <c r="B440" s="367"/>
      <c r="C440" s="368"/>
      <c r="D440" s="368"/>
      <c r="E440" s="368"/>
      <c r="F440" s="368"/>
      <c r="G440" s="369"/>
      <c r="H440" s="370"/>
      <c r="I440" s="370"/>
      <c r="J440" s="369"/>
      <c r="K440" s="62"/>
      <c r="L440" s="57"/>
      <c r="M440" s="62"/>
      <c r="N440" s="371"/>
      <c r="O440" s="57"/>
      <c r="P440" s="57"/>
      <c r="Q440" s="62"/>
      <c r="R440" s="372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</row>
    <row r="441">
      <c r="A441" s="366"/>
      <c r="B441" s="367"/>
      <c r="C441" s="368"/>
      <c r="D441" s="368"/>
      <c r="E441" s="368"/>
      <c r="F441" s="368"/>
      <c r="G441" s="369"/>
      <c r="H441" s="370"/>
      <c r="I441" s="370"/>
      <c r="J441" s="369"/>
      <c r="K441" s="62"/>
      <c r="L441" s="57"/>
      <c r="M441" s="62"/>
      <c r="N441" s="371"/>
      <c r="O441" s="57"/>
      <c r="P441" s="57"/>
      <c r="Q441" s="62"/>
      <c r="R441" s="372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</row>
    <row r="442">
      <c r="A442" s="366"/>
      <c r="B442" s="367"/>
      <c r="C442" s="368"/>
      <c r="D442" s="368"/>
      <c r="E442" s="368"/>
      <c r="F442" s="368"/>
      <c r="G442" s="369"/>
      <c r="H442" s="370"/>
      <c r="I442" s="370"/>
      <c r="J442" s="369"/>
      <c r="K442" s="62"/>
      <c r="L442" s="57"/>
      <c r="M442" s="62"/>
      <c r="N442" s="371"/>
      <c r="O442" s="57"/>
      <c r="P442" s="57"/>
      <c r="Q442" s="62"/>
      <c r="R442" s="372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</row>
    <row r="443">
      <c r="A443" s="366"/>
      <c r="B443" s="367"/>
      <c r="C443" s="368"/>
      <c r="D443" s="368"/>
      <c r="E443" s="368"/>
      <c r="F443" s="368"/>
      <c r="G443" s="369"/>
      <c r="H443" s="370"/>
      <c r="I443" s="370"/>
      <c r="J443" s="369"/>
      <c r="K443" s="62"/>
      <c r="L443" s="57"/>
      <c r="M443" s="62"/>
      <c r="N443" s="371"/>
      <c r="O443" s="57"/>
      <c r="P443" s="57"/>
      <c r="Q443" s="62"/>
      <c r="R443" s="372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</row>
    <row r="444">
      <c r="A444" s="366"/>
      <c r="B444" s="367"/>
      <c r="C444" s="368"/>
      <c r="D444" s="368"/>
      <c r="E444" s="368"/>
      <c r="F444" s="368"/>
      <c r="G444" s="369"/>
      <c r="H444" s="370"/>
      <c r="I444" s="370"/>
      <c r="J444" s="369"/>
      <c r="K444" s="62"/>
      <c r="L444" s="57"/>
      <c r="M444" s="62"/>
      <c r="N444" s="371"/>
      <c r="O444" s="57"/>
      <c r="P444" s="57"/>
      <c r="Q444" s="62"/>
      <c r="R444" s="372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</row>
    <row r="445">
      <c r="A445" s="366"/>
      <c r="B445" s="367"/>
      <c r="C445" s="368"/>
      <c r="D445" s="368"/>
      <c r="E445" s="368"/>
      <c r="F445" s="368"/>
      <c r="G445" s="369"/>
      <c r="H445" s="370"/>
      <c r="I445" s="370"/>
      <c r="J445" s="369"/>
      <c r="K445" s="62"/>
      <c r="L445" s="57"/>
      <c r="M445" s="62"/>
      <c r="N445" s="371"/>
      <c r="O445" s="57"/>
      <c r="P445" s="57"/>
      <c r="Q445" s="62"/>
      <c r="R445" s="372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</row>
    <row r="446">
      <c r="A446" s="366"/>
      <c r="B446" s="367"/>
      <c r="C446" s="368"/>
      <c r="D446" s="368"/>
      <c r="E446" s="368"/>
      <c r="F446" s="368"/>
      <c r="G446" s="369"/>
      <c r="H446" s="370"/>
      <c r="I446" s="370"/>
      <c r="J446" s="369"/>
      <c r="K446" s="62"/>
      <c r="L446" s="57"/>
      <c r="M446" s="62"/>
      <c r="N446" s="371"/>
      <c r="O446" s="57"/>
      <c r="P446" s="57"/>
      <c r="Q446" s="62"/>
      <c r="R446" s="372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</row>
    <row r="447">
      <c r="A447" s="366"/>
      <c r="B447" s="367"/>
      <c r="C447" s="368"/>
      <c r="D447" s="368"/>
      <c r="E447" s="368"/>
      <c r="F447" s="368"/>
      <c r="G447" s="369"/>
      <c r="H447" s="370"/>
      <c r="I447" s="370"/>
      <c r="J447" s="369"/>
      <c r="K447" s="62"/>
      <c r="L447" s="57"/>
      <c r="M447" s="62"/>
      <c r="N447" s="371"/>
      <c r="O447" s="57"/>
      <c r="P447" s="57"/>
      <c r="Q447" s="62"/>
      <c r="R447" s="372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</row>
    <row r="448">
      <c r="A448" s="366"/>
      <c r="B448" s="367"/>
      <c r="C448" s="368"/>
      <c r="D448" s="368"/>
      <c r="E448" s="368"/>
      <c r="F448" s="368"/>
      <c r="G448" s="369"/>
      <c r="H448" s="370"/>
      <c r="I448" s="370"/>
      <c r="J448" s="369"/>
      <c r="K448" s="62"/>
      <c r="L448" s="57"/>
      <c r="M448" s="62"/>
      <c r="N448" s="371"/>
      <c r="O448" s="57"/>
      <c r="P448" s="57"/>
      <c r="Q448" s="62"/>
      <c r="R448" s="372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</row>
    <row r="449">
      <c r="A449" s="366"/>
      <c r="B449" s="367"/>
      <c r="C449" s="368"/>
      <c r="D449" s="368"/>
      <c r="E449" s="368"/>
      <c r="F449" s="368"/>
      <c r="G449" s="369"/>
      <c r="H449" s="370"/>
      <c r="I449" s="370"/>
      <c r="J449" s="369"/>
      <c r="K449" s="62"/>
      <c r="L449" s="57"/>
      <c r="M449" s="62"/>
      <c r="N449" s="371"/>
      <c r="O449" s="57"/>
      <c r="P449" s="57"/>
      <c r="Q449" s="62"/>
      <c r="R449" s="372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</row>
    <row r="450">
      <c r="A450" s="366"/>
      <c r="B450" s="367"/>
      <c r="C450" s="368"/>
      <c r="D450" s="368"/>
      <c r="E450" s="368"/>
      <c r="F450" s="368"/>
      <c r="G450" s="369"/>
      <c r="H450" s="370"/>
      <c r="I450" s="370"/>
      <c r="J450" s="369"/>
      <c r="K450" s="62"/>
      <c r="L450" s="57"/>
      <c r="M450" s="62"/>
      <c r="N450" s="371"/>
      <c r="O450" s="57"/>
      <c r="P450" s="57"/>
      <c r="Q450" s="62"/>
      <c r="R450" s="372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</row>
    <row r="451">
      <c r="A451" s="366"/>
      <c r="B451" s="367"/>
      <c r="C451" s="368"/>
      <c r="D451" s="368"/>
      <c r="E451" s="368"/>
      <c r="F451" s="368"/>
      <c r="G451" s="369"/>
      <c r="H451" s="370"/>
      <c r="I451" s="370"/>
      <c r="J451" s="369"/>
      <c r="K451" s="62"/>
      <c r="L451" s="57"/>
      <c r="M451" s="62"/>
      <c r="N451" s="371"/>
      <c r="O451" s="57"/>
      <c r="P451" s="57"/>
      <c r="Q451" s="62"/>
      <c r="R451" s="372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</row>
    <row r="452">
      <c r="A452" s="366"/>
      <c r="B452" s="367"/>
      <c r="C452" s="368"/>
      <c r="D452" s="368"/>
      <c r="E452" s="368"/>
      <c r="F452" s="368"/>
      <c r="G452" s="369"/>
      <c r="H452" s="370"/>
      <c r="I452" s="370"/>
      <c r="J452" s="369"/>
      <c r="K452" s="62"/>
      <c r="L452" s="57"/>
      <c r="M452" s="62"/>
      <c r="N452" s="371"/>
      <c r="O452" s="57"/>
      <c r="P452" s="57"/>
      <c r="Q452" s="62"/>
      <c r="R452" s="372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</row>
    <row r="453">
      <c r="A453" s="366"/>
      <c r="B453" s="367"/>
      <c r="C453" s="368"/>
      <c r="D453" s="368"/>
      <c r="E453" s="368"/>
      <c r="F453" s="368"/>
      <c r="G453" s="369"/>
      <c r="H453" s="370"/>
      <c r="I453" s="370"/>
      <c r="J453" s="369"/>
      <c r="K453" s="62"/>
      <c r="L453" s="57"/>
      <c r="M453" s="62"/>
      <c r="N453" s="371"/>
      <c r="O453" s="57"/>
      <c r="P453" s="57"/>
      <c r="Q453" s="62"/>
      <c r="R453" s="372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</row>
    <row r="454">
      <c r="A454" s="366"/>
      <c r="B454" s="367"/>
      <c r="C454" s="368"/>
      <c r="D454" s="368"/>
      <c r="E454" s="368"/>
      <c r="F454" s="368"/>
      <c r="G454" s="369"/>
      <c r="H454" s="370"/>
      <c r="I454" s="370"/>
      <c r="J454" s="369"/>
      <c r="K454" s="62"/>
      <c r="L454" s="57"/>
      <c r="M454" s="62"/>
      <c r="N454" s="371"/>
      <c r="O454" s="57"/>
      <c r="P454" s="57"/>
      <c r="Q454" s="62"/>
      <c r="R454" s="372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</row>
    <row r="455">
      <c r="A455" s="366"/>
      <c r="B455" s="367"/>
      <c r="C455" s="368"/>
      <c r="D455" s="368"/>
      <c r="E455" s="368"/>
      <c r="F455" s="368"/>
      <c r="G455" s="369"/>
      <c r="H455" s="370"/>
      <c r="I455" s="370"/>
      <c r="J455" s="369"/>
      <c r="K455" s="62"/>
      <c r="L455" s="57"/>
      <c r="M455" s="62"/>
      <c r="N455" s="371"/>
      <c r="O455" s="57"/>
      <c r="P455" s="57"/>
      <c r="Q455" s="62"/>
      <c r="R455" s="372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</row>
    <row r="456">
      <c r="A456" s="366"/>
      <c r="B456" s="367"/>
      <c r="C456" s="368"/>
      <c r="D456" s="368"/>
      <c r="E456" s="368"/>
      <c r="F456" s="368"/>
      <c r="G456" s="369"/>
      <c r="H456" s="370"/>
      <c r="I456" s="370"/>
      <c r="J456" s="369"/>
      <c r="K456" s="62"/>
      <c r="L456" s="57"/>
      <c r="M456" s="62"/>
      <c r="N456" s="371"/>
      <c r="O456" s="57"/>
      <c r="P456" s="57"/>
      <c r="Q456" s="62"/>
      <c r="R456" s="372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</row>
    <row r="457">
      <c r="A457" s="366"/>
      <c r="B457" s="367"/>
      <c r="C457" s="368"/>
      <c r="D457" s="368"/>
      <c r="E457" s="368"/>
      <c r="F457" s="368"/>
      <c r="G457" s="369"/>
      <c r="H457" s="370"/>
      <c r="I457" s="370"/>
      <c r="J457" s="369"/>
      <c r="K457" s="62"/>
      <c r="L457" s="57"/>
      <c r="M457" s="62"/>
      <c r="N457" s="371"/>
      <c r="O457" s="57"/>
      <c r="P457" s="57"/>
      <c r="Q457" s="62"/>
      <c r="R457" s="372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</row>
    <row r="458">
      <c r="A458" s="366"/>
      <c r="B458" s="367"/>
      <c r="C458" s="368"/>
      <c r="D458" s="368"/>
      <c r="E458" s="368"/>
      <c r="F458" s="368"/>
      <c r="G458" s="369"/>
      <c r="H458" s="370"/>
      <c r="I458" s="370"/>
      <c r="J458" s="369"/>
      <c r="K458" s="62"/>
      <c r="L458" s="57"/>
      <c r="M458" s="62"/>
      <c r="N458" s="371"/>
      <c r="O458" s="57"/>
      <c r="P458" s="57"/>
      <c r="Q458" s="62"/>
      <c r="R458" s="372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</row>
    <row r="459">
      <c r="A459" s="366"/>
      <c r="B459" s="367"/>
      <c r="C459" s="368"/>
      <c r="D459" s="368"/>
      <c r="E459" s="368"/>
      <c r="F459" s="368"/>
      <c r="G459" s="369"/>
      <c r="H459" s="370"/>
      <c r="I459" s="370"/>
      <c r="J459" s="369"/>
      <c r="K459" s="62"/>
      <c r="L459" s="57"/>
      <c r="M459" s="62"/>
      <c r="N459" s="371"/>
      <c r="O459" s="57"/>
      <c r="P459" s="57"/>
      <c r="Q459" s="62"/>
      <c r="R459" s="372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</row>
    <row r="460">
      <c r="A460" s="366"/>
      <c r="B460" s="367"/>
      <c r="C460" s="368"/>
      <c r="D460" s="368"/>
      <c r="E460" s="368"/>
      <c r="F460" s="368"/>
      <c r="G460" s="369"/>
      <c r="H460" s="370"/>
      <c r="I460" s="370"/>
      <c r="J460" s="369"/>
      <c r="K460" s="62"/>
      <c r="L460" s="57"/>
      <c r="M460" s="62"/>
      <c r="N460" s="371"/>
      <c r="O460" s="57"/>
      <c r="P460" s="57"/>
      <c r="Q460" s="62"/>
      <c r="R460" s="372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</row>
    <row r="461">
      <c r="A461" s="366"/>
      <c r="B461" s="367"/>
      <c r="C461" s="368"/>
      <c r="D461" s="368"/>
      <c r="E461" s="368"/>
      <c r="F461" s="368"/>
      <c r="G461" s="369"/>
      <c r="H461" s="370"/>
      <c r="I461" s="370"/>
      <c r="J461" s="369"/>
      <c r="K461" s="62"/>
      <c r="L461" s="57"/>
      <c r="M461" s="62"/>
      <c r="N461" s="371"/>
      <c r="O461" s="57"/>
      <c r="P461" s="57"/>
      <c r="Q461" s="62"/>
      <c r="R461" s="372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</row>
    <row r="462">
      <c r="A462" s="366"/>
      <c r="B462" s="367"/>
      <c r="C462" s="368"/>
      <c r="D462" s="368"/>
      <c r="E462" s="368"/>
      <c r="F462" s="368"/>
      <c r="G462" s="369"/>
      <c r="H462" s="370"/>
      <c r="I462" s="370"/>
      <c r="J462" s="369"/>
      <c r="K462" s="62"/>
      <c r="L462" s="57"/>
      <c r="M462" s="62"/>
      <c r="N462" s="371"/>
      <c r="O462" s="57"/>
      <c r="P462" s="57"/>
      <c r="Q462" s="62"/>
      <c r="R462" s="372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</row>
    <row r="463">
      <c r="A463" s="366"/>
      <c r="B463" s="367"/>
      <c r="C463" s="368"/>
      <c r="D463" s="368"/>
      <c r="E463" s="368"/>
      <c r="F463" s="368"/>
      <c r="G463" s="369"/>
      <c r="H463" s="370"/>
      <c r="I463" s="370"/>
      <c r="J463" s="369"/>
      <c r="K463" s="62"/>
      <c r="L463" s="57"/>
      <c r="M463" s="62"/>
      <c r="N463" s="371"/>
      <c r="O463" s="57"/>
      <c r="P463" s="57"/>
      <c r="Q463" s="62"/>
      <c r="R463" s="372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</row>
    <row r="464">
      <c r="A464" s="366"/>
      <c r="B464" s="367"/>
      <c r="C464" s="368"/>
      <c r="D464" s="368"/>
      <c r="E464" s="368"/>
      <c r="F464" s="368"/>
      <c r="G464" s="369"/>
      <c r="H464" s="370"/>
      <c r="I464" s="370"/>
      <c r="J464" s="369"/>
      <c r="K464" s="62"/>
      <c r="L464" s="57"/>
      <c r="M464" s="62"/>
      <c r="N464" s="371"/>
      <c r="O464" s="57"/>
      <c r="P464" s="57"/>
      <c r="Q464" s="62"/>
      <c r="R464" s="372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</row>
    <row r="465">
      <c r="A465" s="366"/>
      <c r="B465" s="367"/>
      <c r="C465" s="368"/>
      <c r="D465" s="368"/>
      <c r="E465" s="368"/>
      <c r="F465" s="368"/>
      <c r="G465" s="369"/>
      <c r="H465" s="370"/>
      <c r="I465" s="370"/>
      <c r="J465" s="369"/>
      <c r="K465" s="62"/>
      <c r="L465" s="57"/>
      <c r="M465" s="62"/>
      <c r="N465" s="371"/>
      <c r="O465" s="57"/>
      <c r="P465" s="57"/>
      <c r="Q465" s="62"/>
      <c r="R465" s="372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</row>
    <row r="466">
      <c r="A466" s="366"/>
      <c r="B466" s="367"/>
      <c r="C466" s="368"/>
      <c r="D466" s="368"/>
      <c r="E466" s="368"/>
      <c r="F466" s="368"/>
      <c r="G466" s="369"/>
      <c r="H466" s="370"/>
      <c r="I466" s="370"/>
      <c r="J466" s="369"/>
      <c r="K466" s="62"/>
      <c r="L466" s="57"/>
      <c r="M466" s="62"/>
      <c r="N466" s="371"/>
      <c r="O466" s="57"/>
      <c r="P466" s="57"/>
      <c r="Q466" s="62"/>
      <c r="R466" s="372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</row>
    <row r="467">
      <c r="A467" s="366"/>
      <c r="B467" s="367"/>
      <c r="C467" s="368"/>
      <c r="D467" s="368"/>
      <c r="E467" s="368"/>
      <c r="F467" s="368"/>
      <c r="G467" s="369"/>
      <c r="H467" s="370"/>
      <c r="I467" s="370"/>
      <c r="J467" s="369"/>
      <c r="K467" s="62"/>
      <c r="L467" s="57"/>
      <c r="M467" s="62"/>
      <c r="N467" s="371"/>
      <c r="O467" s="57"/>
      <c r="P467" s="57"/>
      <c r="Q467" s="62"/>
      <c r="R467" s="372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</row>
    <row r="468">
      <c r="A468" s="366"/>
      <c r="B468" s="367"/>
      <c r="C468" s="368"/>
      <c r="D468" s="368"/>
      <c r="E468" s="368"/>
      <c r="F468" s="368"/>
      <c r="G468" s="369"/>
      <c r="H468" s="370"/>
      <c r="I468" s="370"/>
      <c r="J468" s="369"/>
      <c r="K468" s="62"/>
      <c r="L468" s="57"/>
      <c r="M468" s="62"/>
      <c r="N468" s="371"/>
      <c r="O468" s="57"/>
      <c r="P468" s="57"/>
      <c r="Q468" s="62"/>
      <c r="R468" s="372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</row>
    <row r="469">
      <c r="A469" s="366"/>
      <c r="B469" s="367"/>
      <c r="C469" s="368"/>
      <c r="D469" s="368"/>
      <c r="E469" s="368"/>
      <c r="F469" s="368"/>
      <c r="G469" s="369"/>
      <c r="H469" s="370"/>
      <c r="I469" s="370"/>
      <c r="J469" s="369"/>
      <c r="K469" s="62"/>
      <c r="L469" s="57"/>
      <c r="M469" s="62"/>
      <c r="N469" s="371"/>
      <c r="O469" s="57"/>
      <c r="P469" s="57"/>
      <c r="Q469" s="62"/>
      <c r="R469" s="372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</row>
    <row r="470">
      <c r="A470" s="366"/>
      <c r="B470" s="367"/>
      <c r="C470" s="368"/>
      <c r="D470" s="368"/>
      <c r="E470" s="368"/>
      <c r="F470" s="368"/>
      <c r="G470" s="369"/>
      <c r="H470" s="370"/>
      <c r="I470" s="370"/>
      <c r="J470" s="369"/>
      <c r="K470" s="62"/>
      <c r="L470" s="57"/>
      <c r="M470" s="62"/>
      <c r="N470" s="371"/>
      <c r="O470" s="57"/>
      <c r="P470" s="57"/>
      <c r="Q470" s="62"/>
      <c r="R470" s="372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</row>
    <row r="471">
      <c r="A471" s="366"/>
      <c r="B471" s="367"/>
      <c r="C471" s="368"/>
      <c r="D471" s="368"/>
      <c r="E471" s="368"/>
      <c r="F471" s="368"/>
      <c r="G471" s="369"/>
      <c r="H471" s="370"/>
      <c r="I471" s="370"/>
      <c r="J471" s="369"/>
      <c r="K471" s="62"/>
      <c r="L471" s="57"/>
      <c r="M471" s="62"/>
      <c r="N471" s="371"/>
      <c r="O471" s="57"/>
      <c r="P471" s="57"/>
      <c r="Q471" s="62"/>
      <c r="R471" s="372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</row>
    <row r="472">
      <c r="A472" s="366"/>
      <c r="B472" s="367"/>
      <c r="C472" s="368"/>
      <c r="D472" s="368"/>
      <c r="E472" s="368"/>
      <c r="F472" s="368"/>
      <c r="G472" s="369"/>
      <c r="H472" s="370"/>
      <c r="I472" s="370"/>
      <c r="J472" s="369"/>
      <c r="K472" s="62"/>
      <c r="L472" s="57"/>
      <c r="M472" s="62"/>
      <c r="N472" s="371"/>
      <c r="O472" s="57"/>
      <c r="P472" s="57"/>
      <c r="Q472" s="62"/>
      <c r="R472" s="372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</row>
    <row r="473">
      <c r="A473" s="366"/>
      <c r="B473" s="367"/>
      <c r="C473" s="368"/>
      <c r="D473" s="368"/>
      <c r="E473" s="368"/>
      <c r="F473" s="368"/>
      <c r="G473" s="369"/>
      <c r="H473" s="370"/>
      <c r="I473" s="370"/>
      <c r="J473" s="369"/>
      <c r="K473" s="62"/>
      <c r="L473" s="57"/>
      <c r="M473" s="62"/>
      <c r="N473" s="371"/>
      <c r="O473" s="57"/>
      <c r="P473" s="57"/>
      <c r="Q473" s="62"/>
      <c r="R473" s="372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</row>
    <row r="474">
      <c r="A474" s="366"/>
      <c r="B474" s="367"/>
      <c r="C474" s="368"/>
      <c r="D474" s="368"/>
      <c r="E474" s="368"/>
      <c r="F474" s="368"/>
      <c r="G474" s="369"/>
      <c r="H474" s="370"/>
      <c r="I474" s="370"/>
      <c r="J474" s="369"/>
      <c r="K474" s="62"/>
      <c r="L474" s="57"/>
      <c r="M474" s="62"/>
      <c r="N474" s="371"/>
      <c r="O474" s="57"/>
      <c r="P474" s="57"/>
      <c r="Q474" s="62"/>
      <c r="R474" s="372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</row>
    <row r="475">
      <c r="A475" s="366"/>
      <c r="B475" s="367"/>
      <c r="C475" s="368"/>
      <c r="D475" s="368"/>
      <c r="E475" s="368"/>
      <c r="F475" s="368"/>
      <c r="G475" s="369"/>
      <c r="H475" s="370"/>
      <c r="I475" s="370"/>
      <c r="J475" s="369"/>
      <c r="K475" s="62"/>
      <c r="L475" s="57"/>
      <c r="M475" s="62"/>
      <c r="N475" s="371"/>
      <c r="O475" s="57"/>
      <c r="P475" s="57"/>
      <c r="Q475" s="62"/>
      <c r="R475" s="372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</row>
    <row r="476">
      <c r="A476" s="366"/>
      <c r="B476" s="367"/>
      <c r="C476" s="368"/>
      <c r="D476" s="368"/>
      <c r="E476" s="368"/>
      <c r="F476" s="368"/>
      <c r="G476" s="369"/>
      <c r="H476" s="370"/>
      <c r="I476" s="370"/>
      <c r="J476" s="369"/>
      <c r="K476" s="62"/>
      <c r="L476" s="57"/>
      <c r="M476" s="62"/>
      <c r="N476" s="371"/>
      <c r="O476" s="57"/>
      <c r="P476" s="57"/>
      <c r="Q476" s="62"/>
      <c r="R476" s="372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</row>
    <row r="477">
      <c r="A477" s="366"/>
      <c r="B477" s="367"/>
      <c r="C477" s="368"/>
      <c r="D477" s="368"/>
      <c r="E477" s="368"/>
      <c r="F477" s="368"/>
      <c r="G477" s="369"/>
      <c r="H477" s="370"/>
      <c r="I477" s="370"/>
      <c r="J477" s="369"/>
      <c r="K477" s="62"/>
      <c r="L477" s="57"/>
      <c r="M477" s="62"/>
      <c r="N477" s="371"/>
      <c r="O477" s="57"/>
      <c r="P477" s="57"/>
      <c r="Q477" s="62"/>
      <c r="R477" s="372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</row>
    <row r="478">
      <c r="A478" s="366"/>
      <c r="B478" s="367"/>
      <c r="C478" s="368"/>
      <c r="D478" s="368"/>
      <c r="E478" s="368"/>
      <c r="F478" s="368"/>
      <c r="G478" s="369"/>
      <c r="H478" s="370"/>
      <c r="I478" s="370"/>
      <c r="J478" s="369"/>
      <c r="K478" s="62"/>
      <c r="L478" s="57"/>
      <c r="M478" s="62"/>
      <c r="N478" s="371"/>
      <c r="O478" s="57"/>
      <c r="P478" s="57"/>
      <c r="Q478" s="62"/>
      <c r="R478" s="372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</row>
    <row r="479">
      <c r="A479" s="366"/>
      <c r="B479" s="367"/>
      <c r="C479" s="368"/>
      <c r="D479" s="368"/>
      <c r="E479" s="368"/>
      <c r="F479" s="368"/>
      <c r="G479" s="369"/>
      <c r="H479" s="370"/>
      <c r="I479" s="370"/>
      <c r="J479" s="369"/>
      <c r="K479" s="62"/>
      <c r="L479" s="57"/>
      <c r="M479" s="62"/>
      <c r="N479" s="371"/>
      <c r="O479" s="57"/>
      <c r="P479" s="57"/>
      <c r="Q479" s="62"/>
      <c r="R479" s="372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</row>
    <row r="480">
      <c r="A480" s="366"/>
      <c r="B480" s="367"/>
      <c r="C480" s="368"/>
      <c r="D480" s="368"/>
      <c r="E480" s="368"/>
      <c r="F480" s="368"/>
      <c r="G480" s="369"/>
      <c r="H480" s="370"/>
      <c r="I480" s="370"/>
      <c r="J480" s="369"/>
      <c r="K480" s="62"/>
      <c r="L480" s="57"/>
      <c r="M480" s="62"/>
      <c r="N480" s="371"/>
      <c r="O480" s="57"/>
      <c r="P480" s="57"/>
      <c r="Q480" s="62"/>
      <c r="R480" s="372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</row>
    <row r="481">
      <c r="A481" s="366"/>
      <c r="B481" s="367"/>
      <c r="C481" s="368"/>
      <c r="D481" s="368"/>
      <c r="E481" s="368"/>
      <c r="F481" s="368"/>
      <c r="G481" s="369"/>
      <c r="H481" s="370"/>
      <c r="I481" s="370"/>
      <c r="J481" s="369"/>
      <c r="K481" s="62"/>
      <c r="L481" s="57"/>
      <c r="M481" s="62"/>
      <c r="N481" s="371"/>
      <c r="O481" s="57"/>
      <c r="P481" s="57"/>
      <c r="Q481" s="62"/>
      <c r="R481" s="372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</row>
    <row r="482">
      <c r="A482" s="366"/>
      <c r="B482" s="367"/>
      <c r="C482" s="368"/>
      <c r="D482" s="368"/>
      <c r="E482" s="368"/>
      <c r="F482" s="368"/>
      <c r="G482" s="369"/>
      <c r="H482" s="370"/>
      <c r="I482" s="370"/>
      <c r="J482" s="369"/>
      <c r="K482" s="62"/>
      <c r="L482" s="57"/>
      <c r="M482" s="62"/>
      <c r="N482" s="371"/>
      <c r="O482" s="57"/>
      <c r="P482" s="57"/>
      <c r="Q482" s="62"/>
      <c r="R482" s="372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</row>
    <row r="483">
      <c r="A483" s="366"/>
      <c r="B483" s="367"/>
      <c r="C483" s="368"/>
      <c r="D483" s="368"/>
      <c r="E483" s="368"/>
      <c r="F483" s="368"/>
      <c r="G483" s="369"/>
      <c r="H483" s="370"/>
      <c r="I483" s="370"/>
      <c r="J483" s="369"/>
      <c r="K483" s="62"/>
      <c r="L483" s="57"/>
      <c r="M483" s="62"/>
      <c r="N483" s="371"/>
      <c r="O483" s="57"/>
      <c r="P483" s="57"/>
      <c r="Q483" s="62"/>
      <c r="R483" s="372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</row>
    <row r="484">
      <c r="A484" s="366"/>
      <c r="B484" s="367"/>
      <c r="C484" s="368"/>
      <c r="D484" s="368"/>
      <c r="E484" s="368"/>
      <c r="F484" s="368"/>
      <c r="G484" s="369"/>
      <c r="H484" s="370"/>
      <c r="I484" s="370"/>
      <c r="J484" s="369"/>
      <c r="K484" s="62"/>
      <c r="L484" s="57"/>
      <c r="M484" s="62"/>
      <c r="N484" s="371"/>
      <c r="O484" s="57"/>
      <c r="P484" s="57"/>
      <c r="Q484" s="62"/>
      <c r="R484" s="372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</row>
    <row r="485">
      <c r="A485" s="366"/>
      <c r="B485" s="367"/>
      <c r="C485" s="368"/>
      <c r="D485" s="368"/>
      <c r="E485" s="368"/>
      <c r="F485" s="368"/>
      <c r="G485" s="369"/>
      <c r="H485" s="370"/>
      <c r="I485" s="370"/>
      <c r="J485" s="369"/>
      <c r="K485" s="62"/>
      <c r="L485" s="57"/>
      <c r="M485" s="62"/>
      <c r="N485" s="371"/>
      <c r="O485" s="57"/>
      <c r="P485" s="57"/>
      <c r="Q485" s="62"/>
      <c r="R485" s="372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</row>
    <row r="486">
      <c r="A486" s="366"/>
      <c r="B486" s="367"/>
      <c r="C486" s="368"/>
      <c r="D486" s="368"/>
      <c r="E486" s="368"/>
      <c r="F486" s="368"/>
      <c r="G486" s="369"/>
      <c r="H486" s="370"/>
      <c r="I486" s="370"/>
      <c r="J486" s="369"/>
      <c r="K486" s="62"/>
      <c r="L486" s="57"/>
      <c r="M486" s="62"/>
      <c r="N486" s="371"/>
      <c r="O486" s="57"/>
      <c r="P486" s="57"/>
      <c r="Q486" s="62"/>
      <c r="R486" s="372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</row>
    <row r="487">
      <c r="A487" s="366"/>
      <c r="B487" s="367"/>
      <c r="C487" s="368"/>
      <c r="D487" s="368"/>
      <c r="E487" s="368"/>
      <c r="F487" s="368"/>
      <c r="G487" s="369"/>
      <c r="H487" s="370"/>
      <c r="I487" s="370"/>
      <c r="J487" s="369"/>
      <c r="K487" s="62"/>
      <c r="L487" s="57"/>
      <c r="M487" s="62"/>
      <c r="N487" s="371"/>
      <c r="O487" s="57"/>
      <c r="P487" s="57"/>
      <c r="Q487" s="62"/>
      <c r="R487" s="372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</row>
    <row r="488">
      <c r="A488" s="366"/>
      <c r="B488" s="367"/>
      <c r="C488" s="368"/>
      <c r="D488" s="368"/>
      <c r="E488" s="368"/>
      <c r="F488" s="368"/>
      <c r="G488" s="369"/>
      <c r="H488" s="370"/>
      <c r="I488" s="370"/>
      <c r="J488" s="369"/>
      <c r="K488" s="62"/>
      <c r="L488" s="57"/>
      <c r="M488" s="62"/>
      <c r="N488" s="371"/>
      <c r="O488" s="57"/>
      <c r="P488" s="57"/>
      <c r="Q488" s="62"/>
      <c r="R488" s="372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</row>
    <row r="489">
      <c r="A489" s="366"/>
      <c r="B489" s="367"/>
      <c r="C489" s="368"/>
      <c r="D489" s="368"/>
      <c r="E489" s="368"/>
      <c r="F489" s="368"/>
      <c r="G489" s="369"/>
      <c r="H489" s="370"/>
      <c r="I489" s="370"/>
      <c r="J489" s="369"/>
      <c r="K489" s="62"/>
      <c r="L489" s="57"/>
      <c r="M489" s="62"/>
      <c r="N489" s="371"/>
      <c r="O489" s="57"/>
      <c r="P489" s="57"/>
      <c r="Q489" s="62"/>
      <c r="R489" s="372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</row>
    <row r="490">
      <c r="A490" s="366"/>
      <c r="B490" s="367"/>
      <c r="C490" s="368"/>
      <c r="D490" s="368"/>
      <c r="E490" s="368"/>
      <c r="F490" s="368"/>
      <c r="G490" s="369"/>
      <c r="H490" s="370"/>
      <c r="I490" s="370"/>
      <c r="J490" s="369"/>
      <c r="K490" s="62"/>
      <c r="L490" s="57"/>
      <c r="M490" s="62"/>
      <c r="N490" s="371"/>
      <c r="O490" s="57"/>
      <c r="P490" s="57"/>
      <c r="Q490" s="62"/>
      <c r="R490" s="372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</row>
    <row r="491">
      <c r="A491" s="366"/>
      <c r="B491" s="367"/>
      <c r="C491" s="368"/>
      <c r="D491" s="368"/>
      <c r="E491" s="368"/>
      <c r="F491" s="368"/>
      <c r="G491" s="369"/>
      <c r="H491" s="370"/>
      <c r="I491" s="370"/>
      <c r="J491" s="369"/>
      <c r="K491" s="62"/>
      <c r="L491" s="57"/>
      <c r="M491" s="62"/>
      <c r="N491" s="371"/>
      <c r="O491" s="57"/>
      <c r="P491" s="57"/>
      <c r="Q491" s="62"/>
      <c r="R491" s="372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</row>
    <row r="492">
      <c r="A492" s="366"/>
      <c r="B492" s="367"/>
      <c r="C492" s="368"/>
      <c r="D492" s="368"/>
      <c r="E492" s="368"/>
      <c r="F492" s="368"/>
      <c r="G492" s="369"/>
      <c r="H492" s="370"/>
      <c r="I492" s="370"/>
      <c r="J492" s="369"/>
      <c r="K492" s="62"/>
      <c r="L492" s="57"/>
      <c r="M492" s="62"/>
      <c r="N492" s="371"/>
      <c r="O492" s="57"/>
      <c r="P492" s="57"/>
      <c r="Q492" s="62"/>
      <c r="R492" s="372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</row>
    <row r="493">
      <c r="A493" s="366"/>
      <c r="B493" s="367"/>
      <c r="C493" s="368"/>
      <c r="D493" s="368"/>
      <c r="E493" s="368"/>
      <c r="F493" s="368"/>
      <c r="G493" s="369"/>
      <c r="H493" s="370"/>
      <c r="I493" s="370"/>
      <c r="J493" s="369"/>
      <c r="K493" s="62"/>
      <c r="L493" s="57"/>
      <c r="M493" s="62"/>
      <c r="N493" s="371"/>
      <c r="O493" s="57"/>
      <c r="P493" s="57"/>
      <c r="Q493" s="62"/>
      <c r="R493" s="372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</row>
    <row r="494">
      <c r="A494" s="366"/>
      <c r="B494" s="367"/>
      <c r="C494" s="368"/>
      <c r="D494" s="368"/>
      <c r="E494" s="368"/>
      <c r="F494" s="368"/>
      <c r="G494" s="369"/>
      <c r="H494" s="370"/>
      <c r="I494" s="370"/>
      <c r="J494" s="369"/>
      <c r="K494" s="62"/>
      <c r="L494" s="57"/>
      <c r="M494" s="62"/>
      <c r="N494" s="371"/>
      <c r="O494" s="57"/>
      <c r="P494" s="57"/>
      <c r="Q494" s="62"/>
      <c r="R494" s="372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</row>
    <row r="495">
      <c r="A495" s="366"/>
      <c r="B495" s="367"/>
      <c r="C495" s="368"/>
      <c r="D495" s="368"/>
      <c r="E495" s="368"/>
      <c r="F495" s="368"/>
      <c r="G495" s="369"/>
      <c r="H495" s="370"/>
      <c r="I495" s="370"/>
      <c r="J495" s="369"/>
      <c r="K495" s="62"/>
      <c r="L495" s="57"/>
      <c r="M495" s="62"/>
      <c r="N495" s="371"/>
      <c r="O495" s="57"/>
      <c r="P495" s="57"/>
      <c r="Q495" s="62"/>
      <c r="R495" s="372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</row>
    <row r="496">
      <c r="A496" s="366"/>
      <c r="B496" s="367"/>
      <c r="C496" s="368"/>
      <c r="D496" s="368"/>
      <c r="E496" s="368"/>
      <c r="F496" s="368"/>
      <c r="G496" s="369"/>
      <c r="H496" s="370"/>
      <c r="I496" s="370"/>
      <c r="J496" s="369"/>
      <c r="K496" s="62"/>
      <c r="L496" s="57"/>
      <c r="M496" s="62"/>
      <c r="N496" s="371"/>
      <c r="O496" s="57"/>
      <c r="P496" s="57"/>
      <c r="Q496" s="62"/>
      <c r="R496" s="372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</row>
    <row r="497">
      <c r="A497" s="366"/>
      <c r="B497" s="367"/>
      <c r="C497" s="368"/>
      <c r="D497" s="368"/>
      <c r="E497" s="368"/>
      <c r="F497" s="368"/>
      <c r="G497" s="369"/>
      <c r="H497" s="370"/>
      <c r="I497" s="370"/>
      <c r="J497" s="369"/>
      <c r="K497" s="62"/>
      <c r="L497" s="57"/>
      <c r="M497" s="62"/>
      <c r="N497" s="371"/>
      <c r="O497" s="57"/>
      <c r="P497" s="57"/>
      <c r="Q497" s="62"/>
      <c r="R497" s="372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</row>
    <row r="498">
      <c r="A498" s="366"/>
      <c r="B498" s="367"/>
      <c r="C498" s="368"/>
      <c r="D498" s="368"/>
      <c r="E498" s="368"/>
      <c r="F498" s="368"/>
      <c r="G498" s="369"/>
      <c r="H498" s="370"/>
      <c r="I498" s="370"/>
      <c r="J498" s="369"/>
      <c r="K498" s="62"/>
      <c r="L498" s="57"/>
      <c r="M498" s="62"/>
      <c r="N498" s="371"/>
      <c r="O498" s="57"/>
      <c r="P498" s="57"/>
      <c r="Q498" s="62"/>
      <c r="R498" s="372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</row>
    <row r="499">
      <c r="A499" s="366"/>
      <c r="B499" s="367"/>
      <c r="C499" s="368"/>
      <c r="D499" s="368"/>
      <c r="E499" s="368"/>
      <c r="F499" s="368"/>
      <c r="G499" s="369"/>
      <c r="H499" s="370"/>
      <c r="I499" s="370"/>
      <c r="J499" s="369"/>
      <c r="K499" s="62"/>
      <c r="L499" s="57"/>
      <c r="M499" s="62"/>
      <c r="N499" s="371"/>
      <c r="O499" s="57"/>
      <c r="P499" s="57"/>
      <c r="Q499" s="62"/>
      <c r="R499" s="372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</row>
    <row r="500">
      <c r="A500" s="366"/>
      <c r="B500" s="367"/>
      <c r="C500" s="368"/>
      <c r="D500" s="368"/>
      <c r="E500" s="368"/>
      <c r="F500" s="368"/>
      <c r="G500" s="369"/>
      <c r="H500" s="370"/>
      <c r="I500" s="370"/>
      <c r="J500" s="369"/>
      <c r="K500" s="62"/>
      <c r="L500" s="57"/>
      <c r="M500" s="62"/>
      <c r="N500" s="371"/>
      <c r="O500" s="57"/>
      <c r="P500" s="57"/>
      <c r="Q500" s="62"/>
      <c r="R500" s="372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</row>
    <row r="501">
      <c r="A501" s="366"/>
      <c r="B501" s="367"/>
      <c r="C501" s="368"/>
      <c r="D501" s="368"/>
      <c r="E501" s="368"/>
      <c r="F501" s="368"/>
      <c r="G501" s="369"/>
      <c r="H501" s="370"/>
      <c r="I501" s="370"/>
      <c r="J501" s="369"/>
      <c r="K501" s="62"/>
      <c r="L501" s="57"/>
      <c r="M501" s="62"/>
      <c r="N501" s="371"/>
      <c r="O501" s="57"/>
      <c r="P501" s="57"/>
      <c r="Q501" s="62"/>
      <c r="R501" s="372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</row>
    <row r="502">
      <c r="A502" s="366"/>
      <c r="B502" s="367"/>
      <c r="C502" s="368"/>
      <c r="D502" s="368"/>
      <c r="E502" s="368"/>
      <c r="F502" s="368"/>
      <c r="G502" s="369"/>
      <c r="H502" s="370"/>
      <c r="I502" s="370"/>
      <c r="J502" s="369"/>
      <c r="K502" s="62"/>
      <c r="L502" s="57"/>
      <c r="M502" s="62"/>
      <c r="N502" s="371"/>
      <c r="O502" s="57"/>
      <c r="P502" s="57"/>
      <c r="Q502" s="62"/>
      <c r="R502" s="372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</row>
    <row r="503">
      <c r="A503" s="366"/>
      <c r="B503" s="367"/>
      <c r="C503" s="368"/>
      <c r="D503" s="368"/>
      <c r="E503" s="368"/>
      <c r="F503" s="368"/>
      <c r="G503" s="369"/>
      <c r="H503" s="370"/>
      <c r="I503" s="370"/>
      <c r="J503" s="369"/>
      <c r="K503" s="62"/>
      <c r="L503" s="57"/>
      <c r="M503" s="62"/>
      <c r="N503" s="371"/>
      <c r="O503" s="57"/>
      <c r="P503" s="57"/>
      <c r="Q503" s="62"/>
      <c r="R503" s="372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</row>
    <row r="504">
      <c r="A504" s="366"/>
      <c r="B504" s="367"/>
      <c r="C504" s="368"/>
      <c r="D504" s="368"/>
      <c r="E504" s="368"/>
      <c r="F504" s="368"/>
      <c r="G504" s="369"/>
      <c r="H504" s="370"/>
      <c r="I504" s="370"/>
      <c r="J504" s="369"/>
      <c r="K504" s="62"/>
      <c r="L504" s="57"/>
      <c r="M504" s="62"/>
      <c r="N504" s="371"/>
      <c r="O504" s="57"/>
      <c r="P504" s="57"/>
      <c r="Q504" s="62"/>
      <c r="R504" s="372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</row>
    <row r="505">
      <c r="A505" s="366"/>
      <c r="B505" s="367"/>
      <c r="C505" s="368"/>
      <c r="D505" s="368"/>
      <c r="E505" s="368"/>
      <c r="F505" s="368"/>
      <c r="G505" s="369"/>
      <c r="H505" s="370"/>
      <c r="I505" s="370"/>
      <c r="J505" s="369"/>
      <c r="K505" s="62"/>
      <c r="L505" s="57"/>
      <c r="M505" s="62"/>
      <c r="N505" s="371"/>
      <c r="O505" s="57"/>
      <c r="P505" s="57"/>
      <c r="Q505" s="62"/>
      <c r="R505" s="372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</row>
    <row r="506">
      <c r="A506" s="366"/>
      <c r="B506" s="367"/>
      <c r="C506" s="368"/>
      <c r="D506" s="368"/>
      <c r="E506" s="368"/>
      <c r="F506" s="368"/>
      <c r="G506" s="369"/>
      <c r="H506" s="370"/>
      <c r="I506" s="370"/>
      <c r="J506" s="369"/>
      <c r="K506" s="62"/>
      <c r="L506" s="57"/>
      <c r="M506" s="62"/>
      <c r="N506" s="371"/>
      <c r="O506" s="57"/>
      <c r="P506" s="57"/>
      <c r="Q506" s="62"/>
      <c r="R506" s="372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</row>
    <row r="507">
      <c r="A507" s="366"/>
      <c r="B507" s="367"/>
      <c r="C507" s="368"/>
      <c r="D507" s="368"/>
      <c r="E507" s="368"/>
      <c r="F507" s="368"/>
      <c r="G507" s="369"/>
      <c r="H507" s="370"/>
      <c r="I507" s="370"/>
      <c r="J507" s="369"/>
      <c r="K507" s="62"/>
      <c r="L507" s="57"/>
      <c r="M507" s="62"/>
      <c r="N507" s="371"/>
      <c r="O507" s="57"/>
      <c r="P507" s="57"/>
      <c r="Q507" s="62"/>
      <c r="R507" s="372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</row>
    <row r="508">
      <c r="A508" s="366"/>
      <c r="B508" s="367"/>
      <c r="C508" s="368"/>
      <c r="D508" s="368"/>
      <c r="E508" s="368"/>
      <c r="F508" s="368"/>
      <c r="G508" s="369"/>
      <c r="H508" s="370"/>
      <c r="I508" s="370"/>
      <c r="J508" s="369"/>
      <c r="K508" s="62"/>
      <c r="L508" s="57"/>
      <c r="M508" s="62"/>
      <c r="N508" s="371"/>
      <c r="O508" s="57"/>
      <c r="P508" s="57"/>
      <c r="Q508" s="62"/>
      <c r="R508" s="372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</row>
    <row r="509">
      <c r="A509" s="366"/>
      <c r="B509" s="367"/>
      <c r="C509" s="368"/>
      <c r="D509" s="368"/>
      <c r="E509" s="368"/>
      <c r="F509" s="368"/>
      <c r="G509" s="369"/>
      <c r="H509" s="370"/>
      <c r="I509" s="370"/>
      <c r="J509" s="369"/>
      <c r="K509" s="62"/>
      <c r="L509" s="57"/>
      <c r="M509" s="62"/>
      <c r="N509" s="371"/>
      <c r="O509" s="57"/>
      <c r="P509" s="57"/>
      <c r="Q509" s="62"/>
      <c r="R509" s="372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</row>
    <row r="510">
      <c r="A510" s="366"/>
      <c r="B510" s="367"/>
      <c r="C510" s="368"/>
      <c r="D510" s="368"/>
      <c r="E510" s="368"/>
      <c r="F510" s="368"/>
      <c r="G510" s="369"/>
      <c r="H510" s="370"/>
      <c r="I510" s="370"/>
      <c r="J510" s="369"/>
      <c r="K510" s="62"/>
      <c r="L510" s="57"/>
      <c r="M510" s="62"/>
      <c r="N510" s="371"/>
      <c r="O510" s="57"/>
      <c r="P510" s="57"/>
      <c r="Q510" s="62"/>
      <c r="R510" s="372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</row>
    <row r="511">
      <c r="A511" s="366"/>
      <c r="B511" s="367"/>
      <c r="C511" s="368"/>
      <c r="D511" s="368"/>
      <c r="E511" s="368"/>
      <c r="F511" s="368"/>
      <c r="G511" s="369"/>
      <c r="H511" s="370"/>
      <c r="I511" s="370"/>
      <c r="J511" s="369"/>
      <c r="K511" s="62"/>
      <c r="L511" s="57"/>
      <c r="M511" s="62"/>
      <c r="N511" s="371"/>
      <c r="O511" s="57"/>
      <c r="P511" s="57"/>
      <c r="Q511" s="62"/>
      <c r="R511" s="372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</row>
    <row r="512">
      <c r="A512" s="366"/>
      <c r="B512" s="367"/>
      <c r="C512" s="368"/>
      <c r="D512" s="368"/>
      <c r="E512" s="368"/>
      <c r="F512" s="368"/>
      <c r="G512" s="369"/>
      <c r="H512" s="370"/>
      <c r="I512" s="370"/>
      <c r="J512" s="369"/>
      <c r="K512" s="62"/>
      <c r="L512" s="57"/>
      <c r="M512" s="62"/>
      <c r="N512" s="371"/>
      <c r="O512" s="57"/>
      <c r="P512" s="57"/>
      <c r="Q512" s="62"/>
      <c r="R512" s="372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</row>
    <row r="513">
      <c r="A513" s="366"/>
      <c r="B513" s="367"/>
      <c r="C513" s="368"/>
      <c r="D513" s="368"/>
      <c r="E513" s="368"/>
      <c r="F513" s="368"/>
      <c r="G513" s="369"/>
      <c r="H513" s="370"/>
      <c r="I513" s="370"/>
      <c r="J513" s="369"/>
      <c r="K513" s="62"/>
      <c r="L513" s="57"/>
      <c r="M513" s="62"/>
      <c r="N513" s="371"/>
      <c r="O513" s="57"/>
      <c r="P513" s="57"/>
      <c r="Q513" s="62"/>
      <c r="R513" s="372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</row>
    <row r="514">
      <c r="A514" s="366"/>
      <c r="B514" s="367"/>
      <c r="C514" s="368"/>
      <c r="D514" s="368"/>
      <c r="E514" s="368"/>
      <c r="F514" s="368"/>
      <c r="G514" s="369"/>
      <c r="H514" s="370"/>
      <c r="I514" s="370"/>
      <c r="J514" s="369"/>
      <c r="K514" s="62"/>
      <c r="L514" s="57"/>
      <c r="M514" s="62"/>
      <c r="N514" s="371"/>
      <c r="O514" s="57"/>
      <c r="P514" s="57"/>
      <c r="Q514" s="62"/>
      <c r="R514" s="372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</row>
    <row r="515">
      <c r="A515" s="366"/>
      <c r="B515" s="367"/>
      <c r="C515" s="368"/>
      <c r="D515" s="368"/>
      <c r="E515" s="368"/>
      <c r="F515" s="368"/>
      <c r="G515" s="369"/>
      <c r="H515" s="370"/>
      <c r="I515" s="370"/>
      <c r="J515" s="369"/>
      <c r="K515" s="62"/>
      <c r="L515" s="57"/>
      <c r="M515" s="62"/>
      <c r="N515" s="371"/>
      <c r="O515" s="57"/>
      <c r="P515" s="57"/>
      <c r="Q515" s="62"/>
      <c r="R515" s="372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</row>
    <row r="516">
      <c r="A516" s="366"/>
      <c r="B516" s="367"/>
      <c r="C516" s="368"/>
      <c r="D516" s="368"/>
      <c r="E516" s="368"/>
      <c r="F516" s="368"/>
      <c r="G516" s="369"/>
      <c r="H516" s="370"/>
      <c r="I516" s="370"/>
      <c r="J516" s="369"/>
      <c r="K516" s="62"/>
      <c r="L516" s="57"/>
      <c r="M516" s="62"/>
      <c r="N516" s="371"/>
      <c r="O516" s="57"/>
      <c r="P516" s="57"/>
      <c r="Q516" s="62"/>
      <c r="R516" s="372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</row>
    <row r="517">
      <c r="A517" s="366"/>
      <c r="B517" s="367"/>
      <c r="C517" s="368"/>
      <c r="D517" s="368"/>
      <c r="E517" s="368"/>
      <c r="F517" s="368"/>
      <c r="G517" s="369"/>
      <c r="H517" s="370"/>
      <c r="I517" s="370"/>
      <c r="J517" s="369"/>
      <c r="K517" s="62"/>
      <c r="L517" s="57"/>
      <c r="M517" s="62"/>
      <c r="N517" s="371"/>
      <c r="O517" s="57"/>
      <c r="P517" s="57"/>
      <c r="Q517" s="62"/>
      <c r="R517" s="372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</row>
    <row r="518">
      <c r="A518" s="366"/>
      <c r="B518" s="367"/>
      <c r="C518" s="368"/>
      <c r="D518" s="368"/>
      <c r="E518" s="368"/>
      <c r="F518" s="368"/>
      <c r="G518" s="369"/>
      <c r="H518" s="370"/>
      <c r="I518" s="370"/>
      <c r="J518" s="369"/>
      <c r="K518" s="62"/>
      <c r="L518" s="57"/>
      <c r="M518" s="62"/>
      <c r="N518" s="371"/>
      <c r="O518" s="57"/>
      <c r="P518" s="57"/>
      <c r="Q518" s="62"/>
      <c r="R518" s="372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</row>
    <row r="519">
      <c r="A519" s="366"/>
      <c r="B519" s="367"/>
      <c r="C519" s="368"/>
      <c r="D519" s="368"/>
      <c r="E519" s="368"/>
      <c r="F519" s="368"/>
      <c r="G519" s="369"/>
      <c r="H519" s="370"/>
      <c r="I519" s="370"/>
      <c r="J519" s="369"/>
      <c r="K519" s="62"/>
      <c r="L519" s="57"/>
      <c r="M519" s="62"/>
      <c r="N519" s="371"/>
      <c r="O519" s="57"/>
      <c r="P519" s="57"/>
      <c r="Q519" s="62"/>
      <c r="R519" s="372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</row>
    <row r="520">
      <c r="A520" s="366"/>
      <c r="B520" s="367"/>
      <c r="C520" s="368"/>
      <c r="D520" s="368"/>
      <c r="E520" s="368"/>
      <c r="F520" s="368"/>
      <c r="G520" s="369"/>
      <c r="H520" s="370"/>
      <c r="I520" s="370"/>
      <c r="J520" s="369"/>
      <c r="K520" s="62"/>
      <c r="L520" s="57"/>
      <c r="M520" s="62"/>
      <c r="N520" s="371"/>
      <c r="O520" s="57"/>
      <c r="P520" s="57"/>
      <c r="Q520" s="62"/>
      <c r="R520" s="372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</row>
    <row r="521">
      <c r="A521" s="366"/>
      <c r="B521" s="367"/>
      <c r="C521" s="368"/>
      <c r="D521" s="368"/>
      <c r="E521" s="368"/>
      <c r="F521" s="368"/>
      <c r="G521" s="369"/>
      <c r="H521" s="370"/>
      <c r="I521" s="370"/>
      <c r="J521" s="369"/>
      <c r="K521" s="62"/>
      <c r="L521" s="57"/>
      <c r="M521" s="62"/>
      <c r="N521" s="371"/>
      <c r="O521" s="57"/>
      <c r="P521" s="57"/>
      <c r="Q521" s="62"/>
      <c r="R521" s="372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</row>
    <row r="522">
      <c r="A522" s="366"/>
      <c r="B522" s="367"/>
      <c r="C522" s="368"/>
      <c r="D522" s="368"/>
      <c r="E522" s="368"/>
      <c r="F522" s="368"/>
      <c r="G522" s="369"/>
      <c r="H522" s="370"/>
      <c r="I522" s="370"/>
      <c r="J522" s="369"/>
      <c r="K522" s="62"/>
      <c r="L522" s="57"/>
      <c r="M522" s="62"/>
      <c r="N522" s="371"/>
      <c r="O522" s="57"/>
      <c r="P522" s="57"/>
      <c r="Q522" s="62"/>
      <c r="R522" s="372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</row>
    <row r="523">
      <c r="A523" s="366"/>
      <c r="B523" s="367"/>
      <c r="C523" s="368"/>
      <c r="D523" s="368"/>
      <c r="E523" s="368"/>
      <c r="F523" s="368"/>
      <c r="G523" s="369"/>
      <c r="H523" s="370"/>
      <c r="I523" s="370"/>
      <c r="J523" s="369"/>
      <c r="K523" s="62"/>
      <c r="L523" s="57"/>
      <c r="M523" s="62"/>
      <c r="N523" s="371"/>
      <c r="O523" s="57"/>
      <c r="P523" s="57"/>
      <c r="Q523" s="62"/>
      <c r="R523" s="372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</row>
    <row r="524">
      <c r="A524" s="366"/>
      <c r="B524" s="367"/>
      <c r="C524" s="368"/>
      <c r="D524" s="368"/>
      <c r="E524" s="368"/>
      <c r="F524" s="368"/>
      <c r="G524" s="369"/>
      <c r="H524" s="370"/>
      <c r="I524" s="370"/>
      <c r="J524" s="369"/>
      <c r="K524" s="62"/>
      <c r="L524" s="57"/>
      <c r="M524" s="62"/>
      <c r="N524" s="371"/>
      <c r="O524" s="57"/>
      <c r="P524" s="57"/>
      <c r="Q524" s="62"/>
      <c r="R524" s="372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</row>
    <row r="525">
      <c r="A525" s="366"/>
      <c r="B525" s="367"/>
      <c r="C525" s="368"/>
      <c r="D525" s="368"/>
      <c r="E525" s="368"/>
      <c r="F525" s="368"/>
      <c r="G525" s="369"/>
      <c r="H525" s="370"/>
      <c r="I525" s="370"/>
      <c r="J525" s="369"/>
      <c r="K525" s="62"/>
      <c r="L525" s="57"/>
      <c r="M525" s="62"/>
      <c r="N525" s="371"/>
      <c r="O525" s="57"/>
      <c r="P525" s="57"/>
      <c r="Q525" s="62"/>
      <c r="R525" s="372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</row>
    <row r="526">
      <c r="A526" s="366"/>
      <c r="B526" s="367"/>
      <c r="C526" s="368"/>
      <c r="D526" s="368"/>
      <c r="E526" s="368"/>
      <c r="F526" s="368"/>
      <c r="G526" s="369"/>
      <c r="H526" s="370"/>
      <c r="I526" s="370"/>
      <c r="J526" s="369"/>
      <c r="K526" s="62"/>
      <c r="L526" s="57"/>
      <c r="M526" s="62"/>
      <c r="N526" s="371"/>
      <c r="O526" s="57"/>
      <c r="P526" s="57"/>
      <c r="Q526" s="62"/>
      <c r="R526" s="372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</row>
    <row r="527">
      <c r="A527" s="366"/>
      <c r="B527" s="367"/>
      <c r="C527" s="368"/>
      <c r="D527" s="368"/>
      <c r="E527" s="368"/>
      <c r="F527" s="368"/>
      <c r="G527" s="369"/>
      <c r="H527" s="370"/>
      <c r="I527" s="370"/>
      <c r="J527" s="369"/>
      <c r="K527" s="62"/>
      <c r="L527" s="57"/>
      <c r="M527" s="62"/>
      <c r="N527" s="371"/>
      <c r="O527" s="57"/>
      <c r="P527" s="57"/>
      <c r="Q527" s="62"/>
      <c r="R527" s="372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</row>
    <row r="528">
      <c r="A528" s="366"/>
      <c r="B528" s="367"/>
      <c r="C528" s="368"/>
      <c r="D528" s="368"/>
      <c r="E528" s="368"/>
      <c r="F528" s="368"/>
      <c r="G528" s="369"/>
      <c r="H528" s="370"/>
      <c r="I528" s="370"/>
      <c r="J528" s="369"/>
      <c r="K528" s="62"/>
      <c r="L528" s="57"/>
      <c r="M528" s="62"/>
      <c r="N528" s="371"/>
      <c r="O528" s="57"/>
      <c r="P528" s="57"/>
      <c r="Q528" s="62"/>
      <c r="R528" s="372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</row>
    <row r="529">
      <c r="A529" s="366"/>
      <c r="B529" s="367"/>
      <c r="C529" s="368"/>
      <c r="D529" s="368"/>
      <c r="E529" s="368"/>
      <c r="F529" s="368"/>
      <c r="G529" s="369"/>
      <c r="H529" s="370"/>
      <c r="I529" s="370"/>
      <c r="J529" s="369"/>
      <c r="K529" s="62"/>
      <c r="L529" s="57"/>
      <c r="M529" s="62"/>
      <c r="N529" s="371"/>
      <c r="O529" s="57"/>
      <c r="P529" s="57"/>
      <c r="Q529" s="62"/>
      <c r="R529" s="372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</row>
    <row r="530">
      <c r="A530" s="366"/>
      <c r="B530" s="367"/>
      <c r="C530" s="368"/>
      <c r="D530" s="368"/>
      <c r="E530" s="368"/>
      <c r="F530" s="368"/>
      <c r="G530" s="369"/>
      <c r="H530" s="370"/>
      <c r="I530" s="370"/>
      <c r="J530" s="369"/>
      <c r="K530" s="62"/>
      <c r="L530" s="57"/>
      <c r="M530" s="62"/>
      <c r="N530" s="371"/>
      <c r="O530" s="57"/>
      <c r="P530" s="57"/>
      <c r="Q530" s="62"/>
      <c r="R530" s="372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</row>
    <row r="531">
      <c r="A531" s="366"/>
      <c r="B531" s="367"/>
      <c r="C531" s="368"/>
      <c r="D531" s="368"/>
      <c r="E531" s="368"/>
      <c r="F531" s="368"/>
      <c r="G531" s="369"/>
      <c r="H531" s="370"/>
      <c r="I531" s="370"/>
      <c r="J531" s="369"/>
      <c r="K531" s="62"/>
      <c r="L531" s="57"/>
      <c r="M531" s="62"/>
      <c r="N531" s="371"/>
      <c r="O531" s="57"/>
      <c r="P531" s="57"/>
      <c r="Q531" s="62"/>
      <c r="R531" s="372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</row>
    <row r="532">
      <c r="A532" s="366"/>
      <c r="B532" s="367"/>
      <c r="C532" s="368"/>
      <c r="D532" s="368"/>
      <c r="E532" s="368"/>
      <c r="F532" s="368"/>
      <c r="G532" s="369"/>
      <c r="H532" s="370"/>
      <c r="I532" s="370"/>
      <c r="J532" s="369"/>
      <c r="K532" s="62"/>
      <c r="L532" s="57"/>
      <c r="M532" s="62"/>
      <c r="N532" s="371"/>
      <c r="O532" s="57"/>
      <c r="P532" s="57"/>
      <c r="Q532" s="62"/>
      <c r="R532" s="372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</row>
    <row r="533">
      <c r="A533" s="366"/>
      <c r="B533" s="367"/>
      <c r="C533" s="368"/>
      <c r="D533" s="368"/>
      <c r="E533" s="368"/>
      <c r="F533" s="368"/>
      <c r="G533" s="369"/>
      <c r="H533" s="370"/>
      <c r="I533" s="370"/>
      <c r="J533" s="369"/>
      <c r="K533" s="62"/>
      <c r="L533" s="57"/>
      <c r="M533" s="62"/>
      <c r="N533" s="371"/>
      <c r="O533" s="57"/>
      <c r="P533" s="57"/>
      <c r="Q533" s="62"/>
      <c r="R533" s="372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</row>
    <row r="534">
      <c r="A534" s="366"/>
      <c r="B534" s="367"/>
      <c r="C534" s="368"/>
      <c r="D534" s="368"/>
      <c r="E534" s="368"/>
      <c r="F534" s="368"/>
      <c r="G534" s="369"/>
      <c r="H534" s="370"/>
      <c r="I534" s="370"/>
      <c r="J534" s="369"/>
      <c r="K534" s="62"/>
      <c r="L534" s="57"/>
      <c r="M534" s="62"/>
      <c r="N534" s="371"/>
      <c r="O534" s="57"/>
      <c r="P534" s="57"/>
      <c r="Q534" s="62"/>
      <c r="R534" s="372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</row>
    <row r="535">
      <c r="A535" s="366"/>
      <c r="B535" s="367"/>
      <c r="C535" s="368"/>
      <c r="D535" s="368"/>
      <c r="E535" s="368"/>
      <c r="F535" s="368"/>
      <c r="G535" s="369"/>
      <c r="H535" s="370"/>
      <c r="I535" s="370"/>
      <c r="J535" s="369"/>
      <c r="K535" s="62"/>
      <c r="L535" s="57"/>
      <c r="M535" s="62"/>
      <c r="N535" s="371"/>
      <c r="O535" s="57"/>
      <c r="P535" s="57"/>
      <c r="Q535" s="62"/>
      <c r="R535" s="372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</row>
    <row r="536">
      <c r="A536" s="366"/>
      <c r="B536" s="367"/>
      <c r="C536" s="368"/>
      <c r="D536" s="368"/>
      <c r="E536" s="368"/>
      <c r="F536" s="368"/>
      <c r="G536" s="369"/>
      <c r="H536" s="370"/>
      <c r="I536" s="370"/>
      <c r="J536" s="369"/>
      <c r="K536" s="62"/>
      <c r="L536" s="57"/>
      <c r="M536" s="62"/>
      <c r="N536" s="371"/>
      <c r="O536" s="57"/>
      <c r="P536" s="57"/>
      <c r="Q536" s="62"/>
      <c r="R536" s="372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</row>
    <row r="537">
      <c r="A537" s="366"/>
      <c r="B537" s="367"/>
      <c r="C537" s="368"/>
      <c r="D537" s="368"/>
      <c r="E537" s="368"/>
      <c r="F537" s="368"/>
      <c r="G537" s="369"/>
      <c r="H537" s="370"/>
      <c r="I537" s="370"/>
      <c r="J537" s="369"/>
      <c r="K537" s="62"/>
      <c r="L537" s="57"/>
      <c r="M537" s="62"/>
      <c r="N537" s="371"/>
      <c r="O537" s="57"/>
      <c r="P537" s="57"/>
      <c r="Q537" s="62"/>
      <c r="R537" s="372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</row>
    <row r="538">
      <c r="A538" s="366"/>
      <c r="B538" s="367"/>
      <c r="C538" s="368"/>
      <c r="D538" s="368"/>
      <c r="E538" s="368"/>
      <c r="F538" s="368"/>
      <c r="G538" s="369"/>
      <c r="H538" s="370"/>
      <c r="I538" s="370"/>
      <c r="J538" s="369"/>
      <c r="K538" s="62"/>
      <c r="L538" s="57"/>
      <c r="M538" s="62"/>
      <c r="N538" s="371"/>
      <c r="O538" s="57"/>
      <c r="P538" s="57"/>
      <c r="Q538" s="62"/>
      <c r="R538" s="372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</row>
    <row r="539">
      <c r="A539" s="366"/>
      <c r="B539" s="367"/>
      <c r="C539" s="368"/>
      <c r="D539" s="368"/>
      <c r="E539" s="368"/>
      <c r="F539" s="368"/>
      <c r="G539" s="369"/>
      <c r="H539" s="370"/>
      <c r="I539" s="370"/>
      <c r="J539" s="369"/>
      <c r="K539" s="62"/>
      <c r="L539" s="57"/>
      <c r="M539" s="62"/>
      <c r="N539" s="371"/>
      <c r="O539" s="57"/>
      <c r="P539" s="57"/>
      <c r="Q539" s="62"/>
      <c r="R539" s="372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</row>
    <row r="540">
      <c r="A540" s="366"/>
      <c r="B540" s="367"/>
      <c r="C540" s="368"/>
      <c r="D540" s="368"/>
      <c r="E540" s="368"/>
      <c r="F540" s="368"/>
      <c r="G540" s="369"/>
      <c r="H540" s="370"/>
      <c r="I540" s="370"/>
      <c r="J540" s="369"/>
      <c r="K540" s="62"/>
      <c r="L540" s="57"/>
      <c r="M540" s="62"/>
      <c r="N540" s="371"/>
      <c r="O540" s="57"/>
      <c r="P540" s="57"/>
      <c r="Q540" s="62"/>
      <c r="R540" s="372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</row>
    <row r="541">
      <c r="A541" s="366"/>
      <c r="B541" s="367"/>
      <c r="C541" s="368"/>
      <c r="D541" s="368"/>
      <c r="E541" s="368"/>
      <c r="F541" s="368"/>
      <c r="G541" s="369"/>
      <c r="H541" s="370"/>
      <c r="I541" s="370"/>
      <c r="J541" s="369"/>
      <c r="K541" s="62"/>
      <c r="L541" s="57"/>
      <c r="M541" s="62"/>
      <c r="N541" s="371"/>
      <c r="O541" s="57"/>
      <c r="P541" s="57"/>
      <c r="Q541" s="62"/>
      <c r="R541" s="372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</row>
    <row r="542">
      <c r="A542" s="366"/>
      <c r="B542" s="367"/>
      <c r="C542" s="368"/>
      <c r="D542" s="368"/>
      <c r="E542" s="368"/>
      <c r="F542" s="368"/>
      <c r="G542" s="369"/>
      <c r="H542" s="370"/>
      <c r="I542" s="370"/>
      <c r="J542" s="369"/>
      <c r="K542" s="62"/>
      <c r="L542" s="57"/>
      <c r="M542" s="62"/>
      <c r="N542" s="371"/>
      <c r="O542" s="57"/>
      <c r="P542" s="57"/>
      <c r="Q542" s="62"/>
      <c r="R542" s="372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</row>
    <row r="543">
      <c r="A543" s="366"/>
      <c r="B543" s="367"/>
      <c r="C543" s="368"/>
      <c r="D543" s="368"/>
      <c r="E543" s="368"/>
      <c r="F543" s="368"/>
      <c r="G543" s="369"/>
      <c r="H543" s="370"/>
      <c r="I543" s="370"/>
      <c r="J543" s="369"/>
      <c r="K543" s="62"/>
      <c r="L543" s="57"/>
      <c r="M543" s="62"/>
      <c r="N543" s="371"/>
      <c r="O543" s="57"/>
      <c r="P543" s="57"/>
      <c r="Q543" s="62"/>
      <c r="R543" s="372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</row>
    <row r="544">
      <c r="A544" s="366"/>
      <c r="B544" s="367"/>
      <c r="C544" s="368"/>
      <c r="D544" s="368"/>
      <c r="E544" s="368"/>
      <c r="F544" s="368"/>
      <c r="G544" s="369"/>
      <c r="H544" s="370"/>
      <c r="I544" s="370"/>
      <c r="J544" s="369"/>
      <c r="K544" s="62"/>
      <c r="L544" s="57"/>
      <c r="M544" s="62"/>
      <c r="N544" s="371"/>
      <c r="O544" s="57"/>
      <c r="P544" s="57"/>
      <c r="Q544" s="62"/>
      <c r="R544" s="372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</row>
    <row r="545">
      <c r="A545" s="366"/>
      <c r="B545" s="367"/>
      <c r="C545" s="368"/>
      <c r="D545" s="368"/>
      <c r="E545" s="368"/>
      <c r="F545" s="368"/>
      <c r="G545" s="369"/>
      <c r="H545" s="370"/>
      <c r="I545" s="370"/>
      <c r="J545" s="369"/>
      <c r="K545" s="62"/>
      <c r="L545" s="57"/>
      <c r="M545" s="62"/>
      <c r="N545" s="371"/>
      <c r="O545" s="57"/>
      <c r="P545" s="57"/>
      <c r="Q545" s="62"/>
      <c r="R545" s="372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</row>
    <row r="546">
      <c r="A546" s="366"/>
      <c r="B546" s="367"/>
      <c r="C546" s="368"/>
      <c r="D546" s="368"/>
      <c r="E546" s="368"/>
      <c r="F546" s="368"/>
      <c r="G546" s="369"/>
      <c r="H546" s="370"/>
      <c r="I546" s="370"/>
      <c r="J546" s="369"/>
      <c r="K546" s="62"/>
      <c r="L546" s="57"/>
      <c r="M546" s="62"/>
      <c r="N546" s="371"/>
      <c r="O546" s="57"/>
      <c r="P546" s="57"/>
      <c r="Q546" s="62"/>
      <c r="R546" s="372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</row>
    <row r="547">
      <c r="A547" s="366"/>
      <c r="B547" s="367"/>
      <c r="C547" s="368"/>
      <c r="D547" s="368"/>
      <c r="E547" s="368"/>
      <c r="F547" s="368"/>
      <c r="G547" s="369"/>
      <c r="H547" s="370"/>
      <c r="I547" s="370"/>
      <c r="J547" s="369"/>
      <c r="K547" s="62"/>
      <c r="L547" s="57"/>
      <c r="M547" s="62"/>
      <c r="N547" s="371"/>
      <c r="O547" s="57"/>
      <c r="P547" s="57"/>
      <c r="Q547" s="62"/>
      <c r="R547" s="372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</row>
    <row r="548">
      <c r="A548" s="366"/>
      <c r="B548" s="367"/>
      <c r="C548" s="368"/>
      <c r="D548" s="368"/>
      <c r="E548" s="368"/>
      <c r="F548" s="368"/>
      <c r="G548" s="369"/>
      <c r="H548" s="370"/>
      <c r="I548" s="370"/>
      <c r="J548" s="369"/>
      <c r="K548" s="62"/>
      <c r="L548" s="57"/>
      <c r="M548" s="62"/>
      <c r="N548" s="371"/>
      <c r="O548" s="57"/>
      <c r="P548" s="57"/>
      <c r="Q548" s="62"/>
      <c r="R548" s="372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</row>
    <row r="549">
      <c r="A549" s="366"/>
      <c r="B549" s="367"/>
      <c r="C549" s="368"/>
      <c r="D549" s="368"/>
      <c r="E549" s="368"/>
      <c r="F549" s="368"/>
      <c r="G549" s="369"/>
      <c r="H549" s="370"/>
      <c r="I549" s="370"/>
      <c r="J549" s="369"/>
      <c r="K549" s="62"/>
      <c r="L549" s="57"/>
      <c r="M549" s="62"/>
      <c r="N549" s="371"/>
      <c r="O549" s="57"/>
      <c r="P549" s="57"/>
      <c r="Q549" s="62"/>
      <c r="R549" s="372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</row>
    <row r="550">
      <c r="A550" s="366"/>
      <c r="B550" s="367"/>
      <c r="C550" s="368"/>
      <c r="D550" s="368"/>
      <c r="E550" s="368"/>
      <c r="F550" s="368"/>
      <c r="G550" s="369"/>
      <c r="H550" s="370"/>
      <c r="I550" s="370"/>
      <c r="J550" s="369"/>
      <c r="K550" s="62"/>
      <c r="L550" s="57"/>
      <c r="M550" s="62"/>
      <c r="N550" s="371"/>
      <c r="O550" s="57"/>
      <c r="P550" s="57"/>
      <c r="Q550" s="62"/>
      <c r="R550" s="372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</row>
    <row r="551">
      <c r="A551" s="366"/>
      <c r="B551" s="367"/>
      <c r="C551" s="368"/>
      <c r="D551" s="368"/>
      <c r="E551" s="368"/>
      <c r="F551" s="368"/>
      <c r="G551" s="369"/>
      <c r="H551" s="370"/>
      <c r="I551" s="370"/>
      <c r="J551" s="369"/>
      <c r="K551" s="62"/>
      <c r="L551" s="57"/>
      <c r="M551" s="62"/>
      <c r="N551" s="371"/>
      <c r="O551" s="57"/>
      <c r="P551" s="57"/>
      <c r="Q551" s="62"/>
      <c r="R551" s="372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</row>
    <row r="552">
      <c r="A552" s="366"/>
      <c r="B552" s="367"/>
      <c r="C552" s="368"/>
      <c r="D552" s="368"/>
      <c r="E552" s="368"/>
      <c r="F552" s="368"/>
      <c r="G552" s="369"/>
      <c r="H552" s="370"/>
      <c r="I552" s="370"/>
      <c r="J552" s="369"/>
      <c r="K552" s="62"/>
      <c r="L552" s="57"/>
      <c r="M552" s="62"/>
      <c r="N552" s="371"/>
      <c r="O552" s="57"/>
      <c r="P552" s="57"/>
      <c r="Q552" s="62"/>
      <c r="R552" s="372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</row>
    <row r="553">
      <c r="A553" s="366"/>
      <c r="B553" s="367"/>
      <c r="C553" s="368"/>
      <c r="D553" s="368"/>
      <c r="E553" s="368"/>
      <c r="F553" s="368"/>
      <c r="G553" s="369"/>
      <c r="H553" s="370"/>
      <c r="I553" s="370"/>
      <c r="J553" s="369"/>
      <c r="K553" s="62"/>
      <c r="L553" s="57"/>
      <c r="M553" s="62"/>
      <c r="N553" s="371"/>
      <c r="O553" s="57"/>
      <c r="P553" s="57"/>
      <c r="Q553" s="62"/>
      <c r="R553" s="372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</row>
    <row r="554">
      <c r="A554" s="366"/>
      <c r="B554" s="367"/>
      <c r="C554" s="368"/>
      <c r="D554" s="368"/>
      <c r="E554" s="368"/>
      <c r="F554" s="368"/>
      <c r="G554" s="369"/>
      <c r="H554" s="370"/>
      <c r="I554" s="370"/>
      <c r="J554" s="369"/>
      <c r="K554" s="62"/>
      <c r="L554" s="57"/>
      <c r="M554" s="62"/>
      <c r="N554" s="371"/>
      <c r="O554" s="57"/>
      <c r="P554" s="57"/>
      <c r="Q554" s="62"/>
      <c r="R554" s="372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</row>
    <row r="555">
      <c r="A555" s="366"/>
      <c r="B555" s="367"/>
      <c r="C555" s="368"/>
      <c r="D555" s="368"/>
      <c r="E555" s="368"/>
      <c r="F555" s="368"/>
      <c r="G555" s="369"/>
      <c r="H555" s="370"/>
      <c r="I555" s="370"/>
      <c r="J555" s="369"/>
      <c r="K555" s="62"/>
      <c r="L555" s="57"/>
      <c r="M555" s="62"/>
      <c r="N555" s="371"/>
      <c r="O555" s="57"/>
      <c r="P555" s="57"/>
      <c r="Q555" s="62"/>
      <c r="R555" s="372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</row>
    <row r="556">
      <c r="A556" s="366"/>
      <c r="B556" s="367"/>
      <c r="C556" s="368"/>
      <c r="D556" s="368"/>
      <c r="E556" s="368"/>
      <c r="F556" s="368"/>
      <c r="G556" s="369"/>
      <c r="H556" s="370"/>
      <c r="I556" s="370"/>
      <c r="J556" s="369"/>
      <c r="K556" s="62"/>
      <c r="L556" s="57"/>
      <c r="M556" s="62"/>
      <c r="N556" s="371"/>
      <c r="O556" s="57"/>
      <c r="P556" s="57"/>
      <c r="Q556" s="62"/>
      <c r="R556" s="372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</row>
    <row r="557">
      <c r="A557" s="366"/>
      <c r="B557" s="367"/>
      <c r="C557" s="368"/>
      <c r="D557" s="368"/>
      <c r="E557" s="368"/>
      <c r="F557" s="368"/>
      <c r="G557" s="369"/>
      <c r="H557" s="370"/>
      <c r="I557" s="370"/>
      <c r="J557" s="369"/>
      <c r="K557" s="62"/>
      <c r="L557" s="57"/>
      <c r="M557" s="62"/>
      <c r="N557" s="371"/>
      <c r="O557" s="57"/>
      <c r="P557" s="57"/>
      <c r="Q557" s="62"/>
      <c r="R557" s="372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</row>
    <row r="558">
      <c r="A558" s="366"/>
      <c r="B558" s="367"/>
      <c r="C558" s="368"/>
      <c r="D558" s="368"/>
      <c r="E558" s="368"/>
      <c r="F558" s="368"/>
      <c r="G558" s="369"/>
      <c r="H558" s="370"/>
      <c r="I558" s="370"/>
      <c r="J558" s="369"/>
      <c r="K558" s="62"/>
      <c r="L558" s="57"/>
      <c r="M558" s="62"/>
      <c r="N558" s="371"/>
      <c r="O558" s="57"/>
      <c r="P558" s="57"/>
      <c r="Q558" s="62"/>
      <c r="R558" s="372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</row>
    <row r="559">
      <c r="A559" s="366"/>
      <c r="B559" s="367"/>
      <c r="C559" s="368"/>
      <c r="D559" s="368"/>
      <c r="E559" s="368"/>
      <c r="F559" s="368"/>
      <c r="G559" s="369"/>
      <c r="H559" s="370"/>
      <c r="I559" s="370"/>
      <c r="J559" s="369"/>
      <c r="K559" s="62"/>
      <c r="L559" s="57"/>
      <c r="M559" s="62"/>
      <c r="N559" s="371"/>
      <c r="O559" s="57"/>
      <c r="P559" s="57"/>
      <c r="Q559" s="62"/>
      <c r="R559" s="372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</row>
    <row r="560">
      <c r="A560" s="366"/>
      <c r="B560" s="367"/>
      <c r="C560" s="368"/>
      <c r="D560" s="368"/>
      <c r="E560" s="368"/>
      <c r="F560" s="368"/>
      <c r="G560" s="369"/>
      <c r="H560" s="370"/>
      <c r="I560" s="370"/>
      <c r="J560" s="369"/>
      <c r="K560" s="62"/>
      <c r="L560" s="57"/>
      <c r="M560" s="62"/>
      <c r="N560" s="371"/>
      <c r="O560" s="57"/>
      <c r="P560" s="57"/>
      <c r="Q560" s="62"/>
      <c r="R560" s="372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</row>
    <row r="561">
      <c r="A561" s="366"/>
      <c r="B561" s="367"/>
      <c r="C561" s="368"/>
      <c r="D561" s="368"/>
      <c r="E561" s="368"/>
      <c r="F561" s="368"/>
      <c r="G561" s="369"/>
      <c r="H561" s="370"/>
      <c r="I561" s="370"/>
      <c r="J561" s="369"/>
      <c r="K561" s="62"/>
      <c r="L561" s="57"/>
      <c r="M561" s="62"/>
      <c r="N561" s="371"/>
      <c r="O561" s="57"/>
      <c r="P561" s="57"/>
      <c r="Q561" s="62"/>
      <c r="R561" s="372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</row>
    <row r="562">
      <c r="A562" s="366"/>
      <c r="B562" s="367"/>
      <c r="C562" s="368"/>
      <c r="D562" s="368"/>
      <c r="E562" s="368"/>
      <c r="F562" s="368"/>
      <c r="G562" s="369"/>
      <c r="H562" s="370"/>
      <c r="I562" s="370"/>
      <c r="J562" s="369"/>
      <c r="K562" s="62"/>
      <c r="L562" s="57"/>
      <c r="M562" s="62"/>
      <c r="N562" s="371"/>
      <c r="O562" s="57"/>
      <c r="P562" s="57"/>
      <c r="Q562" s="62"/>
      <c r="R562" s="372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</row>
    <row r="563">
      <c r="A563" s="366"/>
      <c r="B563" s="367"/>
      <c r="C563" s="368"/>
      <c r="D563" s="368"/>
      <c r="E563" s="368"/>
      <c r="F563" s="368"/>
      <c r="G563" s="369"/>
      <c r="H563" s="370"/>
      <c r="I563" s="370"/>
      <c r="J563" s="369"/>
      <c r="K563" s="62"/>
      <c r="L563" s="57"/>
      <c r="M563" s="62"/>
      <c r="N563" s="371"/>
      <c r="O563" s="57"/>
      <c r="P563" s="57"/>
      <c r="Q563" s="62"/>
      <c r="R563" s="372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</row>
    <row r="564">
      <c r="A564" s="366"/>
      <c r="B564" s="367"/>
      <c r="C564" s="368"/>
      <c r="D564" s="368"/>
      <c r="E564" s="368"/>
      <c r="F564" s="368"/>
      <c r="G564" s="369"/>
      <c r="H564" s="370"/>
      <c r="I564" s="370"/>
      <c r="J564" s="369"/>
      <c r="K564" s="62"/>
      <c r="L564" s="57"/>
      <c r="M564" s="62"/>
      <c r="N564" s="371"/>
      <c r="O564" s="57"/>
      <c r="P564" s="57"/>
      <c r="Q564" s="62"/>
      <c r="R564" s="372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</row>
    <row r="565">
      <c r="A565" s="366"/>
      <c r="B565" s="367"/>
      <c r="C565" s="368"/>
      <c r="D565" s="368"/>
      <c r="E565" s="368"/>
      <c r="F565" s="368"/>
      <c r="G565" s="369"/>
      <c r="H565" s="370"/>
      <c r="I565" s="370"/>
      <c r="J565" s="369"/>
      <c r="K565" s="62"/>
      <c r="L565" s="57"/>
      <c r="M565" s="62"/>
      <c r="N565" s="371"/>
      <c r="O565" s="57"/>
      <c r="P565" s="57"/>
      <c r="Q565" s="62"/>
      <c r="R565" s="372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</row>
    <row r="566">
      <c r="A566" s="366"/>
      <c r="B566" s="367"/>
      <c r="C566" s="368"/>
      <c r="D566" s="368"/>
      <c r="E566" s="368"/>
      <c r="F566" s="368"/>
      <c r="G566" s="369"/>
      <c r="H566" s="370"/>
      <c r="I566" s="370"/>
      <c r="J566" s="369"/>
      <c r="K566" s="62"/>
      <c r="L566" s="57"/>
      <c r="M566" s="62"/>
      <c r="N566" s="371"/>
      <c r="O566" s="57"/>
      <c r="P566" s="57"/>
      <c r="Q566" s="62"/>
      <c r="R566" s="372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</row>
    <row r="567">
      <c r="A567" s="366"/>
      <c r="B567" s="367"/>
      <c r="C567" s="368"/>
      <c r="D567" s="368"/>
      <c r="E567" s="368"/>
      <c r="F567" s="368"/>
      <c r="G567" s="369"/>
      <c r="H567" s="370"/>
      <c r="I567" s="370"/>
      <c r="J567" s="369"/>
      <c r="K567" s="62"/>
      <c r="L567" s="57"/>
      <c r="M567" s="62"/>
      <c r="N567" s="371"/>
      <c r="O567" s="57"/>
      <c r="P567" s="57"/>
      <c r="Q567" s="62"/>
      <c r="R567" s="372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</row>
    <row r="568">
      <c r="A568" s="366"/>
      <c r="B568" s="367"/>
      <c r="C568" s="368"/>
      <c r="D568" s="368"/>
      <c r="E568" s="368"/>
      <c r="F568" s="368"/>
      <c r="G568" s="369"/>
      <c r="H568" s="370"/>
      <c r="I568" s="370"/>
      <c r="J568" s="369"/>
      <c r="K568" s="62"/>
      <c r="L568" s="57"/>
      <c r="M568" s="62"/>
      <c r="N568" s="371"/>
      <c r="O568" s="57"/>
      <c r="P568" s="57"/>
      <c r="Q568" s="62"/>
      <c r="R568" s="372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</row>
    <row r="569">
      <c r="A569" s="366"/>
      <c r="B569" s="367"/>
      <c r="C569" s="368"/>
      <c r="D569" s="368"/>
      <c r="E569" s="368"/>
      <c r="F569" s="368"/>
      <c r="G569" s="369"/>
      <c r="H569" s="370"/>
      <c r="I569" s="370"/>
      <c r="J569" s="369"/>
      <c r="K569" s="62"/>
      <c r="L569" s="57"/>
      <c r="M569" s="62"/>
      <c r="N569" s="371"/>
      <c r="O569" s="57"/>
      <c r="P569" s="57"/>
      <c r="Q569" s="62"/>
      <c r="R569" s="372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</row>
    <row r="570">
      <c r="A570" s="366"/>
      <c r="B570" s="367"/>
      <c r="C570" s="368"/>
      <c r="D570" s="368"/>
      <c r="E570" s="368"/>
      <c r="F570" s="368"/>
      <c r="G570" s="369"/>
      <c r="H570" s="370"/>
      <c r="I570" s="370"/>
      <c r="J570" s="369"/>
      <c r="K570" s="62"/>
      <c r="L570" s="57"/>
      <c r="M570" s="62"/>
      <c r="N570" s="371"/>
      <c r="O570" s="57"/>
      <c r="P570" s="57"/>
      <c r="Q570" s="62"/>
      <c r="R570" s="372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</row>
    <row r="571">
      <c r="A571" s="366"/>
      <c r="B571" s="367"/>
      <c r="C571" s="368"/>
      <c r="D571" s="368"/>
      <c r="E571" s="368"/>
      <c r="F571" s="368"/>
      <c r="G571" s="369"/>
      <c r="H571" s="370"/>
      <c r="I571" s="370"/>
      <c r="J571" s="369"/>
      <c r="K571" s="62"/>
      <c r="L571" s="57"/>
      <c r="M571" s="62"/>
      <c r="N571" s="371"/>
      <c r="O571" s="57"/>
      <c r="P571" s="57"/>
      <c r="Q571" s="62"/>
      <c r="R571" s="372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</row>
    <row r="572">
      <c r="A572" s="366"/>
      <c r="B572" s="367"/>
      <c r="C572" s="368"/>
      <c r="D572" s="368"/>
      <c r="E572" s="368"/>
      <c r="F572" s="368"/>
      <c r="G572" s="369"/>
      <c r="H572" s="370"/>
      <c r="I572" s="370"/>
      <c r="J572" s="369"/>
      <c r="K572" s="62"/>
      <c r="L572" s="57"/>
      <c r="M572" s="62"/>
      <c r="N572" s="371"/>
      <c r="O572" s="57"/>
      <c r="P572" s="57"/>
      <c r="Q572" s="62"/>
      <c r="R572" s="372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</row>
    <row r="573">
      <c r="A573" s="366"/>
      <c r="B573" s="367"/>
      <c r="C573" s="368"/>
      <c r="D573" s="368"/>
      <c r="E573" s="368"/>
      <c r="F573" s="368"/>
      <c r="G573" s="369"/>
      <c r="H573" s="370"/>
      <c r="I573" s="370"/>
      <c r="J573" s="369"/>
      <c r="K573" s="62"/>
      <c r="L573" s="57"/>
      <c r="M573" s="62"/>
      <c r="N573" s="371"/>
      <c r="O573" s="57"/>
      <c r="P573" s="57"/>
      <c r="Q573" s="62"/>
      <c r="R573" s="372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</row>
    <row r="574">
      <c r="A574" s="366"/>
      <c r="B574" s="367"/>
      <c r="C574" s="368"/>
      <c r="D574" s="368"/>
      <c r="E574" s="368"/>
      <c r="F574" s="368"/>
      <c r="G574" s="369"/>
      <c r="H574" s="370"/>
      <c r="I574" s="370"/>
      <c r="J574" s="369"/>
      <c r="K574" s="62"/>
      <c r="L574" s="57"/>
      <c r="M574" s="62"/>
      <c r="N574" s="371"/>
      <c r="O574" s="57"/>
      <c r="P574" s="57"/>
      <c r="Q574" s="62"/>
      <c r="R574" s="372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</row>
    <row r="575">
      <c r="A575" s="366"/>
      <c r="B575" s="367"/>
      <c r="C575" s="368"/>
      <c r="D575" s="368"/>
      <c r="E575" s="368"/>
      <c r="F575" s="368"/>
      <c r="G575" s="369"/>
      <c r="H575" s="370"/>
      <c r="I575" s="370"/>
      <c r="J575" s="369"/>
      <c r="K575" s="62"/>
      <c r="L575" s="57"/>
      <c r="M575" s="62"/>
      <c r="N575" s="371"/>
      <c r="O575" s="57"/>
      <c r="P575" s="57"/>
      <c r="Q575" s="62"/>
      <c r="R575" s="372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</row>
    <row r="576">
      <c r="A576" s="366"/>
      <c r="B576" s="367"/>
      <c r="C576" s="368"/>
      <c r="D576" s="368"/>
      <c r="E576" s="368"/>
      <c r="F576" s="368"/>
      <c r="G576" s="369"/>
      <c r="H576" s="370"/>
      <c r="I576" s="370"/>
      <c r="J576" s="369"/>
      <c r="K576" s="62"/>
      <c r="L576" s="57"/>
      <c r="M576" s="62"/>
      <c r="N576" s="371"/>
      <c r="O576" s="57"/>
      <c r="P576" s="57"/>
      <c r="Q576" s="62"/>
      <c r="R576" s="372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</row>
    <row r="577">
      <c r="A577" s="366"/>
      <c r="B577" s="367"/>
      <c r="C577" s="368"/>
      <c r="D577" s="368"/>
      <c r="E577" s="368"/>
      <c r="F577" s="368"/>
      <c r="G577" s="369"/>
      <c r="H577" s="370"/>
      <c r="I577" s="370"/>
      <c r="J577" s="369"/>
      <c r="K577" s="62"/>
      <c r="L577" s="57"/>
      <c r="M577" s="62"/>
      <c r="N577" s="371"/>
      <c r="O577" s="57"/>
      <c r="P577" s="57"/>
      <c r="Q577" s="62"/>
      <c r="R577" s="372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</row>
    <row r="578">
      <c r="A578" s="366"/>
      <c r="B578" s="367"/>
      <c r="C578" s="368"/>
      <c r="D578" s="368"/>
      <c r="E578" s="368"/>
      <c r="F578" s="368"/>
      <c r="G578" s="369"/>
      <c r="H578" s="370"/>
      <c r="I578" s="370"/>
      <c r="J578" s="369"/>
      <c r="K578" s="62"/>
      <c r="L578" s="57"/>
      <c r="M578" s="62"/>
      <c r="N578" s="371"/>
      <c r="O578" s="57"/>
      <c r="P578" s="57"/>
      <c r="Q578" s="62"/>
      <c r="R578" s="372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</row>
    <row r="579">
      <c r="A579" s="366"/>
      <c r="B579" s="367"/>
      <c r="C579" s="368"/>
      <c r="D579" s="368"/>
      <c r="E579" s="368"/>
      <c r="F579" s="368"/>
      <c r="G579" s="369"/>
      <c r="H579" s="370"/>
      <c r="I579" s="370"/>
      <c r="J579" s="369"/>
      <c r="K579" s="62"/>
      <c r="L579" s="57"/>
      <c r="M579" s="62"/>
      <c r="N579" s="371"/>
      <c r="O579" s="57"/>
      <c r="P579" s="57"/>
      <c r="Q579" s="62"/>
      <c r="R579" s="372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</row>
    <row r="580">
      <c r="A580" s="366"/>
      <c r="B580" s="367"/>
      <c r="C580" s="368"/>
      <c r="D580" s="368"/>
      <c r="E580" s="368"/>
      <c r="F580" s="368"/>
      <c r="G580" s="369"/>
      <c r="H580" s="370"/>
      <c r="I580" s="370"/>
      <c r="J580" s="369"/>
      <c r="K580" s="62"/>
      <c r="L580" s="57"/>
      <c r="M580" s="62"/>
      <c r="N580" s="371"/>
      <c r="O580" s="57"/>
      <c r="P580" s="57"/>
      <c r="Q580" s="62"/>
      <c r="R580" s="372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</row>
    <row r="581">
      <c r="A581" s="366"/>
      <c r="B581" s="367"/>
      <c r="C581" s="368"/>
      <c r="D581" s="368"/>
      <c r="E581" s="368"/>
      <c r="F581" s="368"/>
      <c r="G581" s="369"/>
      <c r="H581" s="370"/>
      <c r="I581" s="370"/>
      <c r="J581" s="369"/>
      <c r="K581" s="62"/>
      <c r="L581" s="57"/>
      <c r="M581" s="62"/>
      <c r="N581" s="371"/>
      <c r="O581" s="57"/>
      <c r="P581" s="57"/>
      <c r="Q581" s="62"/>
      <c r="R581" s="372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</row>
    <row r="582">
      <c r="A582" s="366"/>
      <c r="B582" s="367"/>
      <c r="C582" s="368"/>
      <c r="D582" s="368"/>
      <c r="E582" s="368"/>
      <c r="F582" s="368"/>
      <c r="G582" s="369"/>
      <c r="H582" s="370"/>
      <c r="I582" s="370"/>
      <c r="J582" s="369"/>
      <c r="K582" s="62"/>
      <c r="L582" s="57"/>
      <c r="M582" s="62"/>
      <c r="N582" s="371"/>
      <c r="O582" s="57"/>
      <c r="P582" s="57"/>
      <c r="Q582" s="62"/>
      <c r="R582" s="372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</row>
    <row r="583">
      <c r="A583" s="366"/>
      <c r="B583" s="367"/>
      <c r="C583" s="368"/>
      <c r="D583" s="368"/>
      <c r="E583" s="368"/>
      <c r="F583" s="368"/>
      <c r="G583" s="369"/>
      <c r="H583" s="370"/>
      <c r="I583" s="370"/>
      <c r="J583" s="369"/>
      <c r="K583" s="62"/>
      <c r="L583" s="57"/>
      <c r="M583" s="62"/>
      <c r="N583" s="371"/>
      <c r="O583" s="57"/>
      <c r="P583" s="57"/>
      <c r="Q583" s="62"/>
      <c r="R583" s="372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</row>
    <row r="584">
      <c r="A584" s="366"/>
      <c r="B584" s="367"/>
      <c r="C584" s="368"/>
      <c r="D584" s="368"/>
      <c r="E584" s="368"/>
      <c r="F584" s="368"/>
      <c r="G584" s="369"/>
      <c r="H584" s="370"/>
      <c r="I584" s="370"/>
      <c r="J584" s="369"/>
      <c r="K584" s="62"/>
      <c r="L584" s="57"/>
      <c r="M584" s="62"/>
      <c r="N584" s="371"/>
      <c r="O584" s="57"/>
      <c r="P584" s="57"/>
      <c r="Q584" s="62"/>
      <c r="R584" s="372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</row>
    <row r="585">
      <c r="A585" s="366"/>
      <c r="B585" s="367"/>
      <c r="C585" s="368"/>
      <c r="D585" s="368"/>
      <c r="E585" s="368"/>
      <c r="F585" s="368"/>
      <c r="G585" s="369"/>
      <c r="H585" s="370"/>
      <c r="I585" s="370"/>
      <c r="J585" s="369"/>
      <c r="K585" s="62"/>
      <c r="L585" s="57"/>
      <c r="M585" s="62"/>
      <c r="N585" s="371"/>
      <c r="O585" s="57"/>
      <c r="P585" s="57"/>
      <c r="Q585" s="62"/>
      <c r="R585" s="372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</row>
    <row r="586">
      <c r="A586" s="366"/>
      <c r="B586" s="367"/>
      <c r="C586" s="368"/>
      <c r="D586" s="368"/>
      <c r="E586" s="368"/>
      <c r="F586" s="368"/>
      <c r="G586" s="369"/>
      <c r="H586" s="370"/>
      <c r="I586" s="370"/>
      <c r="J586" s="369"/>
      <c r="K586" s="62"/>
      <c r="L586" s="57"/>
      <c r="M586" s="62"/>
      <c r="N586" s="371"/>
      <c r="O586" s="57"/>
      <c r="P586" s="57"/>
      <c r="Q586" s="62"/>
      <c r="R586" s="372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</row>
    <row r="587">
      <c r="A587" s="366"/>
      <c r="B587" s="367"/>
      <c r="C587" s="368"/>
      <c r="D587" s="368"/>
      <c r="E587" s="368"/>
      <c r="F587" s="368"/>
      <c r="G587" s="369"/>
      <c r="H587" s="370"/>
      <c r="I587" s="370"/>
      <c r="J587" s="369"/>
      <c r="K587" s="62"/>
      <c r="L587" s="57"/>
      <c r="M587" s="62"/>
      <c r="N587" s="371"/>
      <c r="O587" s="57"/>
      <c r="P587" s="57"/>
      <c r="Q587" s="62"/>
      <c r="R587" s="372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</row>
    <row r="588">
      <c r="A588" s="366"/>
      <c r="B588" s="367"/>
      <c r="C588" s="368"/>
      <c r="D588" s="368"/>
      <c r="E588" s="368"/>
      <c r="F588" s="368"/>
      <c r="G588" s="369"/>
      <c r="H588" s="370"/>
      <c r="I588" s="370"/>
      <c r="J588" s="369"/>
      <c r="K588" s="62"/>
      <c r="L588" s="57"/>
      <c r="M588" s="62"/>
      <c r="N588" s="371"/>
      <c r="O588" s="57"/>
      <c r="P588" s="57"/>
      <c r="Q588" s="62"/>
      <c r="R588" s="372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</row>
    <row r="589">
      <c r="A589" s="366"/>
      <c r="B589" s="367"/>
      <c r="C589" s="368"/>
      <c r="D589" s="368"/>
      <c r="E589" s="368"/>
      <c r="F589" s="368"/>
      <c r="G589" s="369"/>
      <c r="H589" s="370"/>
      <c r="I589" s="370"/>
      <c r="J589" s="369"/>
      <c r="K589" s="62"/>
      <c r="L589" s="57"/>
      <c r="M589" s="62"/>
      <c r="N589" s="371"/>
      <c r="O589" s="57"/>
      <c r="P589" s="57"/>
      <c r="Q589" s="62"/>
      <c r="R589" s="372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</row>
    <row r="590">
      <c r="A590" s="366"/>
      <c r="B590" s="367"/>
      <c r="C590" s="368"/>
      <c r="D590" s="368"/>
      <c r="E590" s="368"/>
      <c r="F590" s="368"/>
      <c r="G590" s="369"/>
      <c r="H590" s="370"/>
      <c r="I590" s="370"/>
      <c r="J590" s="369"/>
      <c r="K590" s="62"/>
      <c r="L590" s="57"/>
      <c r="M590" s="62"/>
      <c r="N590" s="371"/>
      <c r="O590" s="57"/>
      <c r="P590" s="57"/>
      <c r="Q590" s="62"/>
      <c r="R590" s="372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</row>
    <row r="591">
      <c r="A591" s="366"/>
      <c r="B591" s="367"/>
      <c r="C591" s="368"/>
      <c r="D591" s="368"/>
      <c r="E591" s="368"/>
      <c r="F591" s="368"/>
      <c r="G591" s="369"/>
      <c r="H591" s="370"/>
      <c r="I591" s="370"/>
      <c r="J591" s="369"/>
      <c r="K591" s="62"/>
      <c r="L591" s="57"/>
      <c r="M591" s="62"/>
      <c r="N591" s="371"/>
      <c r="O591" s="57"/>
      <c r="P591" s="57"/>
      <c r="Q591" s="62"/>
      <c r="R591" s="372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</row>
    <row r="592">
      <c r="A592" s="366"/>
      <c r="B592" s="367"/>
      <c r="C592" s="368"/>
      <c r="D592" s="368"/>
      <c r="E592" s="368"/>
      <c r="F592" s="368"/>
      <c r="G592" s="369"/>
      <c r="H592" s="370"/>
      <c r="I592" s="370"/>
      <c r="J592" s="369"/>
      <c r="K592" s="62"/>
      <c r="L592" s="57"/>
      <c r="M592" s="62"/>
      <c r="N592" s="371"/>
      <c r="O592" s="57"/>
      <c r="P592" s="57"/>
      <c r="Q592" s="62"/>
      <c r="R592" s="372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</row>
    <row r="593">
      <c r="A593" s="366"/>
      <c r="B593" s="367"/>
      <c r="C593" s="368"/>
      <c r="D593" s="368"/>
      <c r="E593" s="368"/>
      <c r="F593" s="368"/>
      <c r="G593" s="369"/>
      <c r="H593" s="370"/>
      <c r="I593" s="370"/>
      <c r="J593" s="369"/>
      <c r="K593" s="62"/>
      <c r="L593" s="57"/>
      <c r="M593" s="62"/>
      <c r="N593" s="371"/>
      <c r="O593" s="57"/>
      <c r="P593" s="57"/>
      <c r="Q593" s="62"/>
      <c r="R593" s="372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</row>
    <row r="594">
      <c r="A594" s="366"/>
      <c r="B594" s="367"/>
      <c r="C594" s="368"/>
      <c r="D594" s="368"/>
      <c r="E594" s="368"/>
      <c r="F594" s="368"/>
      <c r="G594" s="369"/>
      <c r="H594" s="370"/>
      <c r="I594" s="370"/>
      <c r="J594" s="369"/>
      <c r="K594" s="62"/>
      <c r="L594" s="57"/>
      <c r="M594" s="62"/>
      <c r="N594" s="371"/>
      <c r="O594" s="57"/>
      <c r="P594" s="57"/>
      <c r="Q594" s="62"/>
      <c r="R594" s="372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</row>
    <row r="595">
      <c r="A595" s="366"/>
      <c r="B595" s="367"/>
      <c r="C595" s="368"/>
      <c r="D595" s="368"/>
      <c r="E595" s="368"/>
      <c r="F595" s="368"/>
      <c r="G595" s="369"/>
      <c r="H595" s="370"/>
      <c r="I595" s="370"/>
      <c r="J595" s="369"/>
      <c r="K595" s="62"/>
      <c r="L595" s="57"/>
      <c r="M595" s="62"/>
      <c r="N595" s="371"/>
      <c r="O595" s="57"/>
      <c r="P595" s="57"/>
      <c r="Q595" s="62"/>
      <c r="R595" s="372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</row>
    <row r="596">
      <c r="A596" s="366"/>
      <c r="B596" s="367"/>
      <c r="C596" s="368"/>
      <c r="D596" s="368"/>
      <c r="E596" s="368"/>
      <c r="F596" s="368"/>
      <c r="G596" s="369"/>
      <c r="H596" s="370"/>
      <c r="I596" s="370"/>
      <c r="J596" s="369"/>
      <c r="K596" s="62"/>
      <c r="L596" s="57"/>
      <c r="M596" s="62"/>
      <c r="N596" s="371"/>
      <c r="O596" s="57"/>
      <c r="P596" s="57"/>
      <c r="Q596" s="62"/>
      <c r="R596" s="372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</row>
    <row r="597">
      <c r="A597" s="366"/>
      <c r="B597" s="367"/>
      <c r="C597" s="368"/>
      <c r="D597" s="368"/>
      <c r="E597" s="368"/>
      <c r="F597" s="368"/>
      <c r="G597" s="369"/>
      <c r="H597" s="370"/>
      <c r="I597" s="370"/>
      <c r="J597" s="369"/>
      <c r="K597" s="62"/>
      <c r="L597" s="57"/>
      <c r="M597" s="62"/>
      <c r="N597" s="371"/>
      <c r="O597" s="57"/>
      <c r="P597" s="57"/>
      <c r="Q597" s="62"/>
      <c r="R597" s="372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</row>
    <row r="598">
      <c r="A598" s="366"/>
      <c r="B598" s="367"/>
      <c r="C598" s="368"/>
      <c r="D598" s="368"/>
      <c r="E598" s="368"/>
      <c r="F598" s="368"/>
      <c r="G598" s="369"/>
      <c r="H598" s="370"/>
      <c r="I598" s="370"/>
      <c r="J598" s="369"/>
      <c r="K598" s="62"/>
      <c r="L598" s="57"/>
      <c r="M598" s="62"/>
      <c r="N598" s="371"/>
      <c r="O598" s="57"/>
      <c r="P598" s="57"/>
      <c r="Q598" s="62"/>
      <c r="R598" s="372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</row>
    <row r="599">
      <c r="A599" s="366"/>
      <c r="B599" s="367"/>
      <c r="C599" s="368"/>
      <c r="D599" s="368"/>
      <c r="E599" s="368"/>
      <c r="F599" s="368"/>
      <c r="G599" s="369"/>
      <c r="H599" s="370"/>
      <c r="I599" s="370"/>
      <c r="J599" s="369"/>
      <c r="K599" s="62"/>
      <c r="L599" s="57"/>
      <c r="M599" s="62"/>
      <c r="N599" s="371"/>
      <c r="O599" s="57"/>
      <c r="P599" s="57"/>
      <c r="Q599" s="62"/>
      <c r="R599" s="372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</row>
    <row r="600">
      <c r="A600" s="366"/>
      <c r="B600" s="367"/>
      <c r="C600" s="368"/>
      <c r="D600" s="368"/>
      <c r="E600" s="368"/>
      <c r="F600" s="368"/>
      <c r="G600" s="369"/>
      <c r="H600" s="370"/>
      <c r="I600" s="370"/>
      <c r="J600" s="369"/>
      <c r="K600" s="62"/>
      <c r="L600" s="57"/>
      <c r="M600" s="62"/>
      <c r="N600" s="371"/>
      <c r="O600" s="57"/>
      <c r="P600" s="57"/>
      <c r="Q600" s="62"/>
      <c r="R600" s="372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</row>
    <row r="601">
      <c r="A601" s="366"/>
      <c r="B601" s="367"/>
      <c r="C601" s="368"/>
      <c r="D601" s="368"/>
      <c r="E601" s="368"/>
      <c r="F601" s="368"/>
      <c r="G601" s="369"/>
      <c r="H601" s="370"/>
      <c r="I601" s="370"/>
      <c r="J601" s="369"/>
      <c r="K601" s="62"/>
      <c r="L601" s="57"/>
      <c r="M601" s="62"/>
      <c r="N601" s="371"/>
      <c r="O601" s="57"/>
      <c r="P601" s="57"/>
      <c r="Q601" s="62"/>
      <c r="R601" s="372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</row>
    <row r="602">
      <c r="A602" s="366"/>
      <c r="B602" s="367"/>
      <c r="C602" s="368"/>
      <c r="D602" s="368"/>
      <c r="E602" s="368"/>
      <c r="F602" s="368"/>
      <c r="G602" s="369"/>
      <c r="H602" s="370"/>
      <c r="I602" s="370"/>
      <c r="J602" s="369"/>
      <c r="K602" s="62"/>
      <c r="L602" s="57"/>
      <c r="M602" s="62"/>
      <c r="N602" s="371"/>
      <c r="O602" s="57"/>
      <c r="P602" s="57"/>
      <c r="Q602" s="62"/>
      <c r="R602" s="372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</row>
    <row r="603">
      <c r="A603" s="366"/>
      <c r="B603" s="367"/>
      <c r="C603" s="368"/>
      <c r="D603" s="368"/>
      <c r="E603" s="368"/>
      <c r="F603" s="368"/>
      <c r="G603" s="369"/>
      <c r="H603" s="370"/>
      <c r="I603" s="370"/>
      <c r="J603" s="369"/>
      <c r="K603" s="62"/>
      <c r="L603" s="57"/>
      <c r="M603" s="62"/>
      <c r="N603" s="371"/>
      <c r="O603" s="57"/>
      <c r="P603" s="57"/>
      <c r="Q603" s="62"/>
      <c r="R603" s="372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</row>
    <row r="604">
      <c r="A604" s="366"/>
      <c r="B604" s="367"/>
      <c r="C604" s="368"/>
      <c r="D604" s="368"/>
      <c r="E604" s="368"/>
      <c r="F604" s="368"/>
      <c r="G604" s="369"/>
      <c r="H604" s="370"/>
      <c r="I604" s="370"/>
      <c r="J604" s="369"/>
      <c r="K604" s="62"/>
      <c r="L604" s="57"/>
      <c r="M604" s="62"/>
      <c r="N604" s="371"/>
      <c r="O604" s="57"/>
      <c r="P604" s="57"/>
      <c r="Q604" s="62"/>
      <c r="R604" s="372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</row>
    <row r="605">
      <c r="A605" s="366"/>
      <c r="B605" s="367"/>
      <c r="C605" s="368"/>
      <c r="D605" s="368"/>
      <c r="E605" s="368"/>
      <c r="F605" s="368"/>
      <c r="G605" s="369"/>
      <c r="H605" s="370"/>
      <c r="I605" s="370"/>
      <c r="J605" s="369"/>
      <c r="K605" s="62"/>
      <c r="L605" s="57"/>
      <c r="M605" s="62"/>
      <c r="N605" s="371"/>
      <c r="O605" s="57"/>
      <c r="P605" s="57"/>
      <c r="Q605" s="62"/>
      <c r="R605" s="372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</row>
    <row r="606">
      <c r="A606" s="366"/>
      <c r="B606" s="367"/>
      <c r="C606" s="368"/>
      <c r="D606" s="368"/>
      <c r="E606" s="368"/>
      <c r="F606" s="368"/>
      <c r="G606" s="369"/>
      <c r="H606" s="370"/>
      <c r="I606" s="370"/>
      <c r="J606" s="369"/>
      <c r="K606" s="62"/>
      <c r="L606" s="57"/>
      <c r="M606" s="62"/>
      <c r="N606" s="371"/>
      <c r="O606" s="57"/>
      <c r="P606" s="57"/>
      <c r="Q606" s="62"/>
      <c r="R606" s="372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</row>
    <row r="607">
      <c r="A607" s="366"/>
      <c r="B607" s="367"/>
      <c r="C607" s="368"/>
      <c r="D607" s="368"/>
      <c r="E607" s="368"/>
      <c r="F607" s="368"/>
      <c r="G607" s="369"/>
      <c r="H607" s="370"/>
      <c r="I607" s="370"/>
      <c r="J607" s="369"/>
      <c r="K607" s="62"/>
      <c r="L607" s="57"/>
      <c r="M607" s="62"/>
      <c r="N607" s="371"/>
      <c r="O607" s="57"/>
      <c r="P607" s="57"/>
      <c r="Q607" s="62"/>
      <c r="R607" s="372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</row>
    <row r="608">
      <c r="A608" s="366"/>
      <c r="B608" s="367"/>
      <c r="C608" s="368"/>
      <c r="D608" s="368"/>
      <c r="E608" s="368"/>
      <c r="F608" s="368"/>
      <c r="G608" s="369"/>
      <c r="H608" s="370"/>
      <c r="I608" s="370"/>
      <c r="J608" s="369"/>
      <c r="K608" s="62"/>
      <c r="L608" s="57"/>
      <c r="M608" s="62"/>
      <c r="N608" s="371"/>
      <c r="O608" s="57"/>
      <c r="P608" s="57"/>
      <c r="Q608" s="62"/>
      <c r="R608" s="372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</row>
    <row r="609">
      <c r="A609" s="366"/>
      <c r="B609" s="367"/>
      <c r="C609" s="368"/>
      <c r="D609" s="368"/>
      <c r="E609" s="368"/>
      <c r="F609" s="368"/>
      <c r="G609" s="369"/>
      <c r="H609" s="370"/>
      <c r="I609" s="370"/>
      <c r="J609" s="369"/>
      <c r="K609" s="62"/>
      <c r="L609" s="57"/>
      <c r="M609" s="62"/>
      <c r="N609" s="371"/>
      <c r="O609" s="57"/>
      <c r="P609" s="57"/>
      <c r="Q609" s="62"/>
      <c r="R609" s="372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</row>
    <row r="610">
      <c r="A610" s="366"/>
      <c r="B610" s="367"/>
      <c r="C610" s="368"/>
      <c r="D610" s="368"/>
      <c r="E610" s="368"/>
      <c r="F610" s="368"/>
      <c r="G610" s="369"/>
      <c r="H610" s="370"/>
      <c r="I610" s="370"/>
      <c r="J610" s="369"/>
      <c r="K610" s="62"/>
      <c r="L610" s="57"/>
      <c r="M610" s="62"/>
      <c r="N610" s="371"/>
      <c r="O610" s="57"/>
      <c r="P610" s="57"/>
      <c r="Q610" s="62"/>
      <c r="R610" s="372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</row>
    <row r="611">
      <c r="A611" s="366"/>
      <c r="B611" s="367"/>
      <c r="C611" s="368"/>
      <c r="D611" s="368"/>
      <c r="E611" s="368"/>
      <c r="F611" s="368"/>
      <c r="G611" s="369"/>
      <c r="H611" s="370"/>
      <c r="I611" s="370"/>
      <c r="J611" s="369"/>
      <c r="K611" s="62"/>
      <c r="L611" s="57"/>
      <c r="M611" s="62"/>
      <c r="N611" s="371"/>
      <c r="O611" s="57"/>
      <c r="P611" s="57"/>
      <c r="Q611" s="62"/>
      <c r="R611" s="372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</row>
    <row r="612">
      <c r="A612" s="366"/>
      <c r="B612" s="367"/>
      <c r="C612" s="368"/>
      <c r="D612" s="368"/>
      <c r="E612" s="368"/>
      <c r="F612" s="368"/>
      <c r="G612" s="369"/>
      <c r="H612" s="370"/>
      <c r="I612" s="370"/>
      <c r="J612" s="369"/>
      <c r="K612" s="62"/>
      <c r="L612" s="57"/>
      <c r="M612" s="62"/>
      <c r="N612" s="371"/>
      <c r="O612" s="57"/>
      <c r="P612" s="57"/>
      <c r="Q612" s="62"/>
      <c r="R612" s="372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</row>
    <row r="613">
      <c r="A613" s="366"/>
      <c r="B613" s="367"/>
      <c r="C613" s="368"/>
      <c r="D613" s="368"/>
      <c r="E613" s="368"/>
      <c r="F613" s="368"/>
      <c r="G613" s="369"/>
      <c r="H613" s="370"/>
      <c r="I613" s="370"/>
      <c r="J613" s="369"/>
      <c r="K613" s="62"/>
      <c r="L613" s="57"/>
      <c r="M613" s="62"/>
      <c r="N613" s="371"/>
      <c r="O613" s="57"/>
      <c r="P613" s="57"/>
      <c r="Q613" s="62"/>
      <c r="R613" s="372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</row>
    <row r="614">
      <c r="A614" s="366"/>
      <c r="B614" s="367"/>
      <c r="C614" s="368"/>
      <c r="D614" s="368"/>
      <c r="E614" s="368"/>
      <c r="F614" s="368"/>
      <c r="G614" s="369"/>
      <c r="H614" s="370"/>
      <c r="I614" s="370"/>
      <c r="J614" s="369"/>
      <c r="K614" s="62"/>
      <c r="L614" s="57"/>
      <c r="M614" s="62"/>
      <c r="N614" s="371"/>
      <c r="O614" s="57"/>
      <c r="P614" s="57"/>
      <c r="Q614" s="62"/>
      <c r="R614" s="372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</row>
    <row r="615">
      <c r="A615" s="366"/>
      <c r="B615" s="367"/>
      <c r="C615" s="368"/>
      <c r="D615" s="368"/>
      <c r="E615" s="368"/>
      <c r="F615" s="368"/>
      <c r="G615" s="369"/>
      <c r="H615" s="370"/>
      <c r="I615" s="370"/>
      <c r="J615" s="369"/>
      <c r="K615" s="62"/>
      <c r="L615" s="57"/>
      <c r="M615" s="62"/>
      <c r="N615" s="371"/>
      <c r="O615" s="57"/>
      <c r="P615" s="57"/>
      <c r="Q615" s="62"/>
      <c r="R615" s="372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</row>
    <row r="616">
      <c r="A616" s="366"/>
      <c r="B616" s="367"/>
      <c r="C616" s="368"/>
      <c r="D616" s="368"/>
      <c r="E616" s="368"/>
      <c r="F616" s="368"/>
      <c r="G616" s="369"/>
      <c r="H616" s="370"/>
      <c r="I616" s="370"/>
      <c r="J616" s="369"/>
      <c r="K616" s="62"/>
      <c r="L616" s="57"/>
      <c r="M616" s="62"/>
      <c r="N616" s="371"/>
      <c r="O616" s="57"/>
      <c r="P616" s="57"/>
      <c r="Q616" s="62"/>
      <c r="R616" s="372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</row>
    <row r="617">
      <c r="A617" s="366"/>
      <c r="B617" s="367"/>
      <c r="C617" s="368"/>
      <c r="D617" s="368"/>
      <c r="E617" s="368"/>
      <c r="F617" s="368"/>
      <c r="G617" s="369"/>
      <c r="H617" s="370"/>
      <c r="I617" s="370"/>
      <c r="J617" s="369"/>
      <c r="K617" s="62"/>
      <c r="L617" s="57"/>
      <c r="M617" s="62"/>
      <c r="N617" s="371"/>
      <c r="O617" s="57"/>
      <c r="P617" s="57"/>
      <c r="Q617" s="62"/>
      <c r="R617" s="372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</row>
    <row r="618">
      <c r="A618" s="366"/>
      <c r="B618" s="367"/>
      <c r="C618" s="368"/>
      <c r="D618" s="368"/>
      <c r="E618" s="368"/>
      <c r="F618" s="368"/>
      <c r="G618" s="369"/>
      <c r="H618" s="370"/>
      <c r="I618" s="370"/>
      <c r="J618" s="369"/>
      <c r="K618" s="62"/>
      <c r="L618" s="57"/>
      <c r="M618" s="62"/>
      <c r="N618" s="371"/>
      <c r="O618" s="57"/>
      <c r="P618" s="57"/>
      <c r="Q618" s="62"/>
      <c r="R618" s="372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</row>
    <row r="619">
      <c r="A619" s="366"/>
      <c r="B619" s="367"/>
      <c r="C619" s="368"/>
      <c r="D619" s="368"/>
      <c r="E619" s="368"/>
      <c r="F619" s="368"/>
      <c r="G619" s="369"/>
      <c r="H619" s="370"/>
      <c r="I619" s="370"/>
      <c r="J619" s="369"/>
      <c r="K619" s="62"/>
      <c r="L619" s="57"/>
      <c r="M619" s="62"/>
      <c r="N619" s="371"/>
      <c r="O619" s="57"/>
      <c r="P619" s="57"/>
      <c r="Q619" s="62"/>
      <c r="R619" s="372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</row>
    <row r="620">
      <c r="A620" s="366"/>
      <c r="B620" s="367"/>
      <c r="C620" s="368"/>
      <c r="D620" s="368"/>
      <c r="E620" s="368"/>
      <c r="F620" s="368"/>
      <c r="G620" s="369"/>
      <c r="H620" s="370"/>
      <c r="I620" s="370"/>
      <c r="J620" s="369"/>
      <c r="K620" s="62"/>
      <c r="L620" s="57"/>
      <c r="M620" s="62"/>
      <c r="N620" s="371"/>
      <c r="O620" s="57"/>
      <c r="P620" s="57"/>
      <c r="Q620" s="62"/>
      <c r="R620" s="372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</row>
    <row r="621">
      <c r="A621" s="366"/>
      <c r="B621" s="367"/>
      <c r="C621" s="368"/>
      <c r="D621" s="368"/>
      <c r="E621" s="368"/>
      <c r="F621" s="368"/>
      <c r="G621" s="369"/>
      <c r="H621" s="370"/>
      <c r="I621" s="370"/>
      <c r="J621" s="369"/>
      <c r="K621" s="62"/>
      <c r="L621" s="57"/>
      <c r="M621" s="62"/>
      <c r="N621" s="371"/>
      <c r="O621" s="57"/>
      <c r="P621" s="57"/>
      <c r="Q621" s="62"/>
      <c r="R621" s="372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</row>
    <row r="622">
      <c r="A622" s="366"/>
      <c r="B622" s="367"/>
      <c r="C622" s="368"/>
      <c r="D622" s="368"/>
      <c r="E622" s="368"/>
      <c r="F622" s="368"/>
      <c r="G622" s="369"/>
      <c r="H622" s="370"/>
      <c r="I622" s="370"/>
      <c r="J622" s="369"/>
      <c r="K622" s="62"/>
      <c r="L622" s="57"/>
      <c r="M622" s="62"/>
      <c r="N622" s="371"/>
      <c r="O622" s="57"/>
      <c r="P622" s="57"/>
      <c r="Q622" s="62"/>
      <c r="R622" s="372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</row>
    <row r="623">
      <c r="A623" s="366"/>
      <c r="B623" s="367"/>
      <c r="C623" s="368"/>
      <c r="D623" s="368"/>
      <c r="E623" s="368"/>
      <c r="F623" s="368"/>
      <c r="G623" s="369"/>
      <c r="H623" s="370"/>
      <c r="I623" s="370"/>
      <c r="J623" s="369"/>
      <c r="K623" s="62"/>
      <c r="L623" s="57"/>
      <c r="M623" s="62"/>
      <c r="N623" s="371"/>
      <c r="O623" s="57"/>
      <c r="P623" s="57"/>
      <c r="Q623" s="62"/>
      <c r="R623" s="372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</row>
    <row r="624">
      <c r="A624" s="366"/>
      <c r="B624" s="367"/>
      <c r="C624" s="368"/>
      <c r="D624" s="368"/>
      <c r="E624" s="368"/>
      <c r="F624" s="368"/>
      <c r="G624" s="369"/>
      <c r="H624" s="370"/>
      <c r="I624" s="370"/>
      <c r="J624" s="369"/>
      <c r="K624" s="62"/>
      <c r="L624" s="57"/>
      <c r="M624" s="62"/>
      <c r="N624" s="371"/>
      <c r="O624" s="57"/>
      <c r="P624" s="57"/>
      <c r="Q624" s="62"/>
      <c r="R624" s="372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</row>
    <row r="625">
      <c r="A625" s="366"/>
      <c r="B625" s="367"/>
      <c r="C625" s="368"/>
      <c r="D625" s="368"/>
      <c r="E625" s="368"/>
      <c r="F625" s="368"/>
      <c r="G625" s="369"/>
      <c r="H625" s="370"/>
      <c r="I625" s="370"/>
      <c r="J625" s="369"/>
      <c r="K625" s="62"/>
      <c r="L625" s="57"/>
      <c r="M625" s="62"/>
      <c r="N625" s="371"/>
      <c r="O625" s="57"/>
      <c r="P625" s="57"/>
      <c r="Q625" s="62"/>
      <c r="R625" s="372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</row>
    <row r="626">
      <c r="A626" s="366"/>
      <c r="B626" s="367"/>
      <c r="C626" s="368"/>
      <c r="D626" s="368"/>
      <c r="E626" s="368"/>
      <c r="F626" s="368"/>
      <c r="G626" s="369"/>
      <c r="H626" s="370"/>
      <c r="I626" s="370"/>
      <c r="J626" s="369"/>
      <c r="K626" s="62"/>
      <c r="L626" s="57"/>
      <c r="M626" s="62"/>
      <c r="N626" s="371"/>
      <c r="O626" s="57"/>
      <c r="P626" s="57"/>
      <c r="Q626" s="62"/>
      <c r="R626" s="372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</row>
    <row r="627">
      <c r="A627" s="366"/>
      <c r="B627" s="367"/>
      <c r="C627" s="368"/>
      <c r="D627" s="368"/>
      <c r="E627" s="368"/>
      <c r="F627" s="368"/>
      <c r="G627" s="369"/>
      <c r="H627" s="370"/>
      <c r="I627" s="370"/>
      <c r="J627" s="369"/>
      <c r="K627" s="62"/>
      <c r="L627" s="57"/>
      <c r="M627" s="62"/>
      <c r="N627" s="371"/>
      <c r="O627" s="57"/>
      <c r="P627" s="57"/>
      <c r="Q627" s="62"/>
      <c r="R627" s="372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</row>
    <row r="628">
      <c r="A628" s="366"/>
      <c r="B628" s="367"/>
      <c r="C628" s="368"/>
      <c r="D628" s="368"/>
      <c r="E628" s="368"/>
      <c r="F628" s="368"/>
      <c r="G628" s="369"/>
      <c r="H628" s="370"/>
      <c r="I628" s="370"/>
      <c r="J628" s="369"/>
      <c r="K628" s="62"/>
      <c r="L628" s="57"/>
      <c r="M628" s="62"/>
      <c r="N628" s="371"/>
      <c r="O628" s="57"/>
      <c r="P628" s="57"/>
      <c r="Q628" s="62"/>
      <c r="R628" s="372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</row>
    <row r="629">
      <c r="A629" s="366"/>
      <c r="B629" s="367"/>
      <c r="C629" s="368"/>
      <c r="D629" s="368"/>
      <c r="E629" s="368"/>
      <c r="F629" s="368"/>
      <c r="G629" s="369"/>
      <c r="H629" s="370"/>
      <c r="I629" s="370"/>
      <c r="J629" s="369"/>
      <c r="K629" s="62"/>
      <c r="L629" s="57"/>
      <c r="M629" s="62"/>
      <c r="N629" s="371"/>
      <c r="O629" s="57"/>
      <c r="P629" s="57"/>
      <c r="Q629" s="62"/>
      <c r="R629" s="372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</row>
    <row r="630">
      <c r="A630" s="366"/>
      <c r="B630" s="367"/>
      <c r="C630" s="368"/>
      <c r="D630" s="368"/>
      <c r="E630" s="368"/>
      <c r="F630" s="368"/>
      <c r="G630" s="369"/>
      <c r="H630" s="370"/>
      <c r="I630" s="370"/>
      <c r="J630" s="369"/>
      <c r="K630" s="62"/>
      <c r="L630" s="57"/>
      <c r="M630" s="62"/>
      <c r="N630" s="371"/>
      <c r="O630" s="57"/>
      <c r="P630" s="57"/>
      <c r="Q630" s="62"/>
      <c r="R630" s="372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</row>
    <row r="631">
      <c r="A631" s="366"/>
      <c r="B631" s="367"/>
      <c r="C631" s="368"/>
      <c r="D631" s="368"/>
      <c r="E631" s="368"/>
      <c r="F631" s="368"/>
      <c r="G631" s="369"/>
      <c r="H631" s="370"/>
      <c r="I631" s="370"/>
      <c r="J631" s="369"/>
      <c r="K631" s="62"/>
      <c r="L631" s="57"/>
      <c r="M631" s="62"/>
      <c r="N631" s="371"/>
      <c r="O631" s="57"/>
      <c r="P631" s="57"/>
      <c r="Q631" s="62"/>
      <c r="R631" s="372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</row>
    <row r="632">
      <c r="A632" s="366"/>
      <c r="B632" s="367"/>
      <c r="C632" s="368"/>
      <c r="D632" s="368"/>
      <c r="E632" s="368"/>
      <c r="F632" s="368"/>
      <c r="G632" s="369"/>
      <c r="H632" s="370"/>
      <c r="I632" s="370"/>
      <c r="J632" s="369"/>
      <c r="K632" s="62"/>
      <c r="L632" s="57"/>
      <c r="M632" s="62"/>
      <c r="N632" s="371"/>
      <c r="O632" s="57"/>
      <c r="P632" s="57"/>
      <c r="Q632" s="62"/>
      <c r="R632" s="372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</row>
    <row r="633">
      <c r="A633" s="366"/>
      <c r="B633" s="367"/>
      <c r="C633" s="368"/>
      <c r="D633" s="368"/>
      <c r="E633" s="368"/>
      <c r="F633" s="368"/>
      <c r="G633" s="369"/>
      <c r="H633" s="370"/>
      <c r="I633" s="370"/>
      <c r="J633" s="369"/>
      <c r="K633" s="62"/>
      <c r="L633" s="57"/>
      <c r="M633" s="62"/>
      <c r="N633" s="371"/>
      <c r="O633" s="57"/>
      <c r="P633" s="57"/>
      <c r="Q633" s="62"/>
      <c r="R633" s="372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</row>
    <row r="634">
      <c r="A634" s="366"/>
      <c r="B634" s="367"/>
      <c r="C634" s="368"/>
      <c r="D634" s="368"/>
      <c r="E634" s="368"/>
      <c r="F634" s="368"/>
      <c r="G634" s="369"/>
      <c r="H634" s="370"/>
      <c r="I634" s="370"/>
      <c r="J634" s="369"/>
      <c r="K634" s="62"/>
      <c r="L634" s="57"/>
      <c r="M634" s="62"/>
      <c r="N634" s="371"/>
      <c r="O634" s="57"/>
      <c r="P634" s="57"/>
      <c r="Q634" s="62"/>
      <c r="R634" s="372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</row>
    <row r="635">
      <c r="A635" s="366"/>
      <c r="B635" s="367"/>
      <c r="C635" s="368"/>
      <c r="D635" s="368"/>
      <c r="E635" s="368"/>
      <c r="F635" s="368"/>
      <c r="G635" s="369"/>
      <c r="H635" s="370"/>
      <c r="I635" s="370"/>
      <c r="J635" s="369"/>
      <c r="K635" s="62"/>
      <c r="L635" s="57"/>
      <c r="M635" s="62"/>
      <c r="N635" s="371"/>
      <c r="O635" s="57"/>
      <c r="P635" s="57"/>
      <c r="Q635" s="62"/>
      <c r="R635" s="372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</row>
    <row r="636">
      <c r="A636" s="366"/>
      <c r="B636" s="367"/>
      <c r="C636" s="368"/>
      <c r="D636" s="368"/>
      <c r="E636" s="368"/>
      <c r="F636" s="368"/>
      <c r="G636" s="369"/>
      <c r="H636" s="370"/>
      <c r="I636" s="370"/>
      <c r="J636" s="369"/>
      <c r="K636" s="62"/>
      <c r="L636" s="57"/>
      <c r="M636" s="62"/>
      <c r="N636" s="371"/>
      <c r="O636" s="57"/>
      <c r="P636" s="57"/>
      <c r="Q636" s="62"/>
      <c r="R636" s="372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</row>
    <row r="637">
      <c r="A637" s="366"/>
      <c r="B637" s="367"/>
      <c r="C637" s="368"/>
      <c r="D637" s="368"/>
      <c r="E637" s="368"/>
      <c r="F637" s="368"/>
      <c r="G637" s="369"/>
      <c r="H637" s="370"/>
      <c r="I637" s="370"/>
      <c r="J637" s="369"/>
      <c r="K637" s="62"/>
      <c r="L637" s="57"/>
      <c r="M637" s="62"/>
      <c r="N637" s="371"/>
      <c r="O637" s="57"/>
      <c r="P637" s="57"/>
      <c r="Q637" s="62"/>
      <c r="R637" s="372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</row>
    <row r="638">
      <c r="A638" s="366"/>
      <c r="B638" s="367"/>
      <c r="C638" s="368"/>
      <c r="D638" s="368"/>
      <c r="E638" s="368"/>
      <c r="F638" s="368"/>
      <c r="G638" s="369"/>
      <c r="H638" s="370"/>
      <c r="I638" s="370"/>
      <c r="J638" s="369"/>
      <c r="K638" s="62"/>
      <c r="L638" s="57"/>
      <c r="M638" s="62"/>
      <c r="N638" s="371"/>
      <c r="O638" s="57"/>
      <c r="P638" s="57"/>
      <c r="Q638" s="62"/>
      <c r="R638" s="372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</row>
    <row r="639">
      <c r="A639" s="366"/>
      <c r="B639" s="367"/>
      <c r="C639" s="368"/>
      <c r="D639" s="368"/>
      <c r="E639" s="368"/>
      <c r="F639" s="368"/>
      <c r="G639" s="369"/>
      <c r="H639" s="370"/>
      <c r="I639" s="370"/>
      <c r="J639" s="369"/>
      <c r="K639" s="62"/>
      <c r="L639" s="57"/>
      <c r="M639" s="62"/>
      <c r="N639" s="371"/>
      <c r="O639" s="57"/>
      <c r="P639" s="57"/>
      <c r="Q639" s="62"/>
      <c r="R639" s="372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</row>
    <row r="640">
      <c r="A640" s="366"/>
      <c r="B640" s="367"/>
      <c r="C640" s="368"/>
      <c r="D640" s="368"/>
      <c r="E640" s="368"/>
      <c r="F640" s="368"/>
      <c r="G640" s="369"/>
      <c r="H640" s="370"/>
      <c r="I640" s="370"/>
      <c r="J640" s="369"/>
      <c r="K640" s="62"/>
      <c r="L640" s="57"/>
      <c r="M640" s="62"/>
      <c r="N640" s="371"/>
      <c r="O640" s="57"/>
      <c r="P640" s="57"/>
      <c r="Q640" s="62"/>
      <c r="R640" s="372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</row>
    <row r="641">
      <c r="A641" s="366"/>
      <c r="B641" s="367"/>
      <c r="C641" s="368"/>
      <c r="D641" s="368"/>
      <c r="E641" s="368"/>
      <c r="F641" s="368"/>
      <c r="G641" s="369"/>
      <c r="H641" s="370"/>
      <c r="I641" s="370"/>
      <c r="J641" s="369"/>
      <c r="K641" s="62"/>
      <c r="L641" s="57"/>
      <c r="M641" s="62"/>
      <c r="N641" s="371"/>
      <c r="O641" s="57"/>
      <c r="P641" s="57"/>
      <c r="Q641" s="62"/>
      <c r="R641" s="372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</row>
    <row r="642">
      <c r="A642" s="366"/>
      <c r="B642" s="367"/>
      <c r="C642" s="368"/>
      <c r="D642" s="368"/>
      <c r="E642" s="368"/>
      <c r="F642" s="368"/>
      <c r="G642" s="369"/>
      <c r="H642" s="370"/>
      <c r="I642" s="370"/>
      <c r="J642" s="369"/>
      <c r="K642" s="62"/>
      <c r="L642" s="57"/>
      <c r="M642" s="62"/>
      <c r="N642" s="371"/>
      <c r="O642" s="57"/>
      <c r="P642" s="57"/>
      <c r="Q642" s="62"/>
      <c r="R642" s="372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</row>
    <row r="643">
      <c r="A643" s="366"/>
      <c r="B643" s="367"/>
      <c r="C643" s="368"/>
      <c r="D643" s="368"/>
      <c r="E643" s="368"/>
      <c r="F643" s="368"/>
      <c r="G643" s="369"/>
      <c r="H643" s="370"/>
      <c r="I643" s="370"/>
      <c r="J643" s="369"/>
      <c r="K643" s="62"/>
      <c r="L643" s="57"/>
      <c r="M643" s="62"/>
      <c r="N643" s="371"/>
      <c r="O643" s="57"/>
      <c r="P643" s="57"/>
      <c r="Q643" s="62"/>
      <c r="R643" s="372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</row>
    <row r="644">
      <c r="A644" s="366"/>
      <c r="B644" s="367"/>
      <c r="C644" s="368"/>
      <c r="D644" s="368"/>
      <c r="E644" s="368"/>
      <c r="F644" s="368"/>
      <c r="G644" s="369"/>
      <c r="H644" s="370"/>
      <c r="I644" s="370"/>
      <c r="J644" s="369"/>
      <c r="K644" s="62"/>
      <c r="L644" s="57"/>
      <c r="M644" s="62"/>
      <c r="N644" s="371"/>
      <c r="O644" s="57"/>
      <c r="P644" s="57"/>
      <c r="Q644" s="62"/>
      <c r="R644" s="372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</row>
    <row r="645">
      <c r="A645" s="366"/>
      <c r="B645" s="367"/>
      <c r="C645" s="368"/>
      <c r="D645" s="368"/>
      <c r="E645" s="368"/>
      <c r="F645" s="368"/>
      <c r="G645" s="369"/>
      <c r="H645" s="370"/>
      <c r="I645" s="370"/>
      <c r="J645" s="369"/>
      <c r="K645" s="62"/>
      <c r="L645" s="57"/>
      <c r="M645" s="62"/>
      <c r="N645" s="371"/>
      <c r="O645" s="57"/>
      <c r="P645" s="57"/>
      <c r="Q645" s="62"/>
      <c r="R645" s="372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</row>
    <row r="646">
      <c r="A646" s="366"/>
      <c r="B646" s="367"/>
      <c r="C646" s="368"/>
      <c r="D646" s="368"/>
      <c r="E646" s="368"/>
      <c r="F646" s="368"/>
      <c r="G646" s="369"/>
      <c r="H646" s="370"/>
      <c r="I646" s="370"/>
      <c r="J646" s="369"/>
      <c r="K646" s="62"/>
      <c r="L646" s="57"/>
      <c r="M646" s="62"/>
      <c r="N646" s="371"/>
      <c r="O646" s="57"/>
      <c r="P646" s="57"/>
      <c r="Q646" s="62"/>
      <c r="R646" s="372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</row>
    <row r="647">
      <c r="A647" s="366"/>
      <c r="B647" s="367"/>
      <c r="C647" s="368"/>
      <c r="D647" s="368"/>
      <c r="E647" s="368"/>
      <c r="F647" s="368"/>
      <c r="G647" s="369"/>
      <c r="H647" s="370"/>
      <c r="I647" s="370"/>
      <c r="J647" s="369"/>
      <c r="K647" s="62"/>
      <c r="L647" s="57"/>
      <c r="M647" s="62"/>
      <c r="N647" s="371"/>
      <c r="O647" s="57"/>
      <c r="P647" s="57"/>
      <c r="Q647" s="62"/>
      <c r="R647" s="372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</row>
    <row r="648">
      <c r="A648" s="366"/>
      <c r="B648" s="367"/>
      <c r="C648" s="368"/>
      <c r="D648" s="368"/>
      <c r="E648" s="368"/>
      <c r="F648" s="368"/>
      <c r="G648" s="369"/>
      <c r="H648" s="370"/>
      <c r="I648" s="370"/>
      <c r="J648" s="369"/>
      <c r="K648" s="62"/>
      <c r="L648" s="57"/>
      <c r="M648" s="62"/>
      <c r="N648" s="371"/>
      <c r="O648" s="57"/>
      <c r="P648" s="57"/>
      <c r="Q648" s="62"/>
      <c r="R648" s="372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</row>
    <row r="649">
      <c r="A649" s="366"/>
      <c r="B649" s="367"/>
      <c r="C649" s="368"/>
      <c r="D649" s="368"/>
      <c r="E649" s="368"/>
      <c r="F649" s="368"/>
      <c r="G649" s="369"/>
      <c r="H649" s="370"/>
      <c r="I649" s="370"/>
      <c r="J649" s="369"/>
      <c r="K649" s="62"/>
      <c r="L649" s="57"/>
      <c r="M649" s="62"/>
      <c r="N649" s="371"/>
      <c r="O649" s="57"/>
      <c r="P649" s="57"/>
      <c r="Q649" s="62"/>
      <c r="R649" s="372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</row>
    <row r="650">
      <c r="A650" s="366"/>
      <c r="B650" s="367"/>
      <c r="C650" s="368"/>
      <c r="D650" s="368"/>
      <c r="E650" s="368"/>
      <c r="F650" s="368"/>
      <c r="G650" s="369"/>
      <c r="H650" s="370"/>
      <c r="I650" s="370"/>
      <c r="J650" s="369"/>
      <c r="K650" s="62"/>
      <c r="L650" s="57"/>
      <c r="M650" s="62"/>
      <c r="N650" s="371"/>
      <c r="O650" s="57"/>
      <c r="P650" s="57"/>
      <c r="Q650" s="62"/>
      <c r="R650" s="372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</row>
    <row r="651">
      <c r="A651" s="366"/>
      <c r="B651" s="367"/>
      <c r="C651" s="368"/>
      <c r="D651" s="368"/>
      <c r="E651" s="368"/>
      <c r="F651" s="368"/>
      <c r="G651" s="369"/>
      <c r="H651" s="370"/>
      <c r="I651" s="370"/>
      <c r="J651" s="369"/>
      <c r="K651" s="62"/>
      <c r="L651" s="57"/>
      <c r="M651" s="62"/>
      <c r="N651" s="371"/>
      <c r="O651" s="57"/>
      <c r="P651" s="57"/>
      <c r="Q651" s="62"/>
      <c r="R651" s="372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</row>
    <row r="652">
      <c r="A652" s="366"/>
      <c r="B652" s="367"/>
      <c r="C652" s="368"/>
      <c r="D652" s="368"/>
      <c r="E652" s="368"/>
      <c r="F652" s="368"/>
      <c r="G652" s="369"/>
      <c r="H652" s="370"/>
      <c r="I652" s="370"/>
      <c r="J652" s="369"/>
      <c r="K652" s="62"/>
      <c r="L652" s="57"/>
      <c r="M652" s="62"/>
      <c r="N652" s="371"/>
      <c r="O652" s="57"/>
      <c r="P652" s="57"/>
      <c r="Q652" s="62"/>
      <c r="R652" s="372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</row>
    <row r="653">
      <c r="A653" s="366"/>
      <c r="B653" s="367"/>
      <c r="C653" s="368"/>
      <c r="D653" s="368"/>
      <c r="E653" s="368"/>
      <c r="F653" s="368"/>
      <c r="G653" s="369"/>
      <c r="H653" s="370"/>
      <c r="I653" s="370"/>
      <c r="J653" s="369"/>
      <c r="K653" s="62"/>
      <c r="L653" s="57"/>
      <c r="M653" s="62"/>
      <c r="N653" s="371"/>
      <c r="O653" s="57"/>
      <c r="P653" s="57"/>
      <c r="Q653" s="62"/>
      <c r="R653" s="372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</row>
    <row r="654">
      <c r="A654" s="366"/>
      <c r="B654" s="367"/>
      <c r="C654" s="368"/>
      <c r="D654" s="368"/>
      <c r="E654" s="368"/>
      <c r="F654" s="368"/>
      <c r="G654" s="369"/>
      <c r="H654" s="370"/>
      <c r="I654" s="370"/>
      <c r="J654" s="369"/>
      <c r="K654" s="62"/>
      <c r="L654" s="57"/>
      <c r="M654" s="62"/>
      <c r="N654" s="371"/>
      <c r="O654" s="57"/>
      <c r="P654" s="57"/>
      <c r="Q654" s="62"/>
      <c r="R654" s="372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</row>
    <row r="655">
      <c r="A655" s="366"/>
      <c r="B655" s="367"/>
      <c r="C655" s="368"/>
      <c r="D655" s="368"/>
      <c r="E655" s="368"/>
      <c r="F655" s="368"/>
      <c r="G655" s="369"/>
      <c r="H655" s="370"/>
      <c r="I655" s="370"/>
      <c r="J655" s="369"/>
      <c r="K655" s="62"/>
      <c r="L655" s="57"/>
      <c r="M655" s="62"/>
      <c r="N655" s="371"/>
      <c r="O655" s="57"/>
      <c r="P655" s="57"/>
      <c r="Q655" s="62"/>
      <c r="R655" s="372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</row>
    <row r="656">
      <c r="A656" s="366"/>
      <c r="B656" s="367"/>
      <c r="C656" s="368"/>
      <c r="D656" s="368"/>
      <c r="E656" s="368"/>
      <c r="F656" s="368"/>
      <c r="G656" s="369"/>
      <c r="H656" s="370"/>
      <c r="I656" s="370"/>
      <c r="J656" s="369"/>
      <c r="K656" s="62"/>
      <c r="L656" s="57"/>
      <c r="M656" s="62"/>
      <c r="N656" s="371"/>
      <c r="O656" s="57"/>
      <c r="P656" s="57"/>
      <c r="Q656" s="62"/>
      <c r="R656" s="372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</row>
    <row r="657">
      <c r="A657" s="366"/>
      <c r="B657" s="367"/>
      <c r="C657" s="368"/>
      <c r="D657" s="368"/>
      <c r="E657" s="368"/>
      <c r="F657" s="368"/>
      <c r="G657" s="369"/>
      <c r="H657" s="370"/>
      <c r="I657" s="370"/>
      <c r="J657" s="369"/>
      <c r="K657" s="62"/>
      <c r="L657" s="57"/>
      <c r="M657" s="62"/>
      <c r="N657" s="371"/>
      <c r="O657" s="57"/>
      <c r="P657" s="57"/>
      <c r="Q657" s="62"/>
      <c r="R657" s="372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</row>
    <row r="658">
      <c r="A658" s="366"/>
      <c r="B658" s="367"/>
      <c r="C658" s="368"/>
      <c r="D658" s="368"/>
      <c r="E658" s="368"/>
      <c r="F658" s="368"/>
      <c r="G658" s="369"/>
      <c r="H658" s="370"/>
      <c r="I658" s="370"/>
      <c r="J658" s="369"/>
      <c r="K658" s="62"/>
      <c r="L658" s="57"/>
      <c r="M658" s="62"/>
      <c r="N658" s="371"/>
      <c r="O658" s="57"/>
      <c r="P658" s="57"/>
      <c r="Q658" s="62"/>
      <c r="R658" s="372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</row>
    <row r="659">
      <c r="A659" s="366"/>
      <c r="B659" s="367"/>
      <c r="C659" s="368"/>
      <c r="D659" s="368"/>
      <c r="E659" s="368"/>
      <c r="F659" s="368"/>
      <c r="G659" s="369"/>
      <c r="H659" s="370"/>
      <c r="I659" s="370"/>
      <c r="J659" s="369"/>
      <c r="K659" s="62"/>
      <c r="L659" s="57"/>
      <c r="M659" s="62"/>
      <c r="N659" s="371"/>
      <c r="O659" s="57"/>
      <c r="P659" s="57"/>
      <c r="Q659" s="62"/>
      <c r="R659" s="372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</row>
    <row r="660">
      <c r="A660" s="366"/>
      <c r="B660" s="367"/>
      <c r="C660" s="368"/>
      <c r="D660" s="368"/>
      <c r="E660" s="368"/>
      <c r="F660" s="368"/>
      <c r="G660" s="369"/>
      <c r="H660" s="370"/>
      <c r="I660" s="370"/>
      <c r="J660" s="369"/>
      <c r="K660" s="62"/>
      <c r="L660" s="57"/>
      <c r="M660" s="62"/>
      <c r="N660" s="371"/>
      <c r="O660" s="57"/>
      <c r="P660" s="57"/>
      <c r="Q660" s="62"/>
      <c r="R660" s="372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</row>
    <row r="661">
      <c r="A661" s="366"/>
      <c r="B661" s="367"/>
      <c r="C661" s="368"/>
      <c r="D661" s="368"/>
      <c r="E661" s="368"/>
      <c r="F661" s="368"/>
      <c r="G661" s="369"/>
      <c r="H661" s="370"/>
      <c r="I661" s="370"/>
      <c r="J661" s="369"/>
      <c r="K661" s="62"/>
      <c r="L661" s="57"/>
      <c r="M661" s="62"/>
      <c r="N661" s="371"/>
      <c r="O661" s="57"/>
      <c r="P661" s="57"/>
      <c r="Q661" s="62"/>
      <c r="R661" s="372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</row>
    <row r="662">
      <c r="A662" s="366"/>
      <c r="B662" s="367"/>
      <c r="C662" s="368"/>
      <c r="D662" s="368"/>
      <c r="E662" s="368"/>
      <c r="F662" s="368"/>
      <c r="G662" s="369"/>
      <c r="H662" s="370"/>
      <c r="I662" s="370"/>
      <c r="J662" s="369"/>
      <c r="K662" s="62"/>
      <c r="L662" s="57"/>
      <c r="M662" s="62"/>
      <c r="N662" s="371"/>
      <c r="O662" s="57"/>
      <c r="P662" s="57"/>
      <c r="Q662" s="62"/>
      <c r="R662" s="372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</row>
    <row r="663">
      <c r="A663" s="366"/>
      <c r="B663" s="367"/>
      <c r="C663" s="368"/>
      <c r="D663" s="368"/>
      <c r="E663" s="368"/>
      <c r="F663" s="368"/>
      <c r="G663" s="369"/>
      <c r="H663" s="370"/>
      <c r="I663" s="370"/>
      <c r="J663" s="369"/>
      <c r="K663" s="62"/>
      <c r="L663" s="57"/>
      <c r="M663" s="62"/>
      <c r="N663" s="371"/>
      <c r="O663" s="57"/>
      <c r="P663" s="57"/>
      <c r="Q663" s="62"/>
      <c r="R663" s="372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</row>
    <row r="664">
      <c r="A664" s="366"/>
      <c r="B664" s="367"/>
      <c r="C664" s="368"/>
      <c r="D664" s="368"/>
      <c r="E664" s="368"/>
      <c r="F664" s="368"/>
      <c r="G664" s="369"/>
      <c r="H664" s="370"/>
      <c r="I664" s="370"/>
      <c r="J664" s="369"/>
      <c r="K664" s="62"/>
      <c r="L664" s="57"/>
      <c r="M664" s="62"/>
      <c r="N664" s="371"/>
      <c r="O664" s="57"/>
      <c r="P664" s="57"/>
      <c r="Q664" s="62"/>
      <c r="R664" s="372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</row>
    <row r="665">
      <c r="A665" s="366"/>
      <c r="B665" s="367"/>
      <c r="C665" s="368"/>
      <c r="D665" s="368"/>
      <c r="E665" s="368"/>
      <c r="F665" s="368"/>
      <c r="G665" s="369"/>
      <c r="H665" s="370"/>
      <c r="I665" s="370"/>
      <c r="J665" s="369"/>
      <c r="K665" s="62"/>
      <c r="L665" s="57"/>
      <c r="M665" s="62"/>
      <c r="N665" s="371"/>
      <c r="O665" s="57"/>
      <c r="P665" s="57"/>
      <c r="Q665" s="62"/>
      <c r="R665" s="372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</row>
    <row r="666">
      <c r="A666" s="366"/>
      <c r="B666" s="367"/>
      <c r="C666" s="368"/>
      <c r="D666" s="368"/>
      <c r="E666" s="368"/>
      <c r="F666" s="368"/>
      <c r="G666" s="369"/>
      <c r="H666" s="370"/>
      <c r="I666" s="370"/>
      <c r="J666" s="369"/>
      <c r="K666" s="62"/>
      <c r="L666" s="57"/>
      <c r="M666" s="62"/>
      <c r="N666" s="371"/>
      <c r="O666" s="57"/>
      <c r="P666" s="57"/>
      <c r="Q666" s="62"/>
      <c r="R666" s="372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</row>
    <row r="667">
      <c r="A667" s="366"/>
      <c r="B667" s="367"/>
      <c r="C667" s="368"/>
      <c r="D667" s="368"/>
      <c r="E667" s="368"/>
      <c r="F667" s="368"/>
      <c r="G667" s="369"/>
      <c r="H667" s="370"/>
      <c r="I667" s="370"/>
      <c r="J667" s="369"/>
      <c r="K667" s="62"/>
      <c r="L667" s="57"/>
      <c r="M667" s="62"/>
      <c r="N667" s="371"/>
      <c r="O667" s="57"/>
      <c r="P667" s="57"/>
      <c r="Q667" s="62"/>
      <c r="R667" s="372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</row>
    <row r="668">
      <c r="A668" s="366"/>
      <c r="B668" s="367"/>
      <c r="C668" s="368"/>
      <c r="D668" s="368"/>
      <c r="E668" s="368"/>
      <c r="F668" s="368"/>
      <c r="G668" s="369"/>
      <c r="H668" s="370"/>
      <c r="I668" s="370"/>
      <c r="J668" s="369"/>
      <c r="K668" s="62"/>
      <c r="L668" s="57"/>
      <c r="M668" s="62"/>
      <c r="N668" s="371"/>
      <c r="O668" s="57"/>
      <c r="P668" s="57"/>
      <c r="Q668" s="62"/>
      <c r="R668" s="372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</row>
    <row r="669">
      <c r="A669" s="366"/>
      <c r="B669" s="367"/>
      <c r="C669" s="368"/>
      <c r="D669" s="368"/>
      <c r="E669" s="368"/>
      <c r="F669" s="368"/>
      <c r="G669" s="369"/>
      <c r="H669" s="370"/>
      <c r="I669" s="370"/>
      <c r="J669" s="369"/>
      <c r="K669" s="62"/>
      <c r="L669" s="57"/>
      <c r="M669" s="62"/>
      <c r="N669" s="371"/>
      <c r="O669" s="57"/>
      <c r="P669" s="57"/>
      <c r="Q669" s="62"/>
      <c r="R669" s="372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</row>
    <row r="670">
      <c r="A670" s="366"/>
      <c r="B670" s="367"/>
      <c r="C670" s="368"/>
      <c r="D670" s="368"/>
      <c r="E670" s="368"/>
      <c r="F670" s="368"/>
      <c r="G670" s="369"/>
      <c r="H670" s="370"/>
      <c r="I670" s="370"/>
      <c r="J670" s="369"/>
      <c r="K670" s="62"/>
      <c r="L670" s="57"/>
      <c r="M670" s="62"/>
      <c r="N670" s="371"/>
      <c r="O670" s="57"/>
      <c r="P670" s="57"/>
      <c r="Q670" s="62"/>
      <c r="R670" s="372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</row>
    <row r="671">
      <c r="A671" s="366"/>
      <c r="B671" s="367"/>
      <c r="C671" s="368"/>
      <c r="D671" s="368"/>
      <c r="E671" s="368"/>
      <c r="F671" s="368"/>
      <c r="G671" s="369"/>
      <c r="H671" s="370"/>
      <c r="I671" s="370"/>
      <c r="J671" s="369"/>
      <c r="K671" s="62"/>
      <c r="L671" s="57"/>
      <c r="M671" s="62"/>
      <c r="N671" s="371"/>
      <c r="O671" s="57"/>
      <c r="P671" s="57"/>
      <c r="Q671" s="62"/>
      <c r="R671" s="372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</row>
    <row r="672">
      <c r="A672" s="366"/>
      <c r="B672" s="367"/>
      <c r="C672" s="368"/>
      <c r="D672" s="368"/>
      <c r="E672" s="368"/>
      <c r="F672" s="368"/>
      <c r="G672" s="369"/>
      <c r="H672" s="370"/>
      <c r="I672" s="370"/>
      <c r="J672" s="369"/>
      <c r="K672" s="62"/>
      <c r="L672" s="57"/>
      <c r="M672" s="62"/>
      <c r="N672" s="371"/>
      <c r="O672" s="57"/>
      <c r="P672" s="57"/>
      <c r="Q672" s="62"/>
      <c r="R672" s="372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</row>
    <row r="673">
      <c r="A673" s="366"/>
      <c r="B673" s="367"/>
      <c r="C673" s="368"/>
      <c r="D673" s="368"/>
      <c r="E673" s="368"/>
      <c r="F673" s="368"/>
      <c r="G673" s="369"/>
      <c r="H673" s="370"/>
      <c r="I673" s="370"/>
      <c r="J673" s="369"/>
      <c r="K673" s="62"/>
      <c r="L673" s="57"/>
      <c r="M673" s="62"/>
      <c r="N673" s="371"/>
      <c r="O673" s="57"/>
      <c r="P673" s="57"/>
      <c r="Q673" s="62"/>
      <c r="R673" s="372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</row>
    <row r="674">
      <c r="A674" s="366"/>
      <c r="B674" s="367"/>
      <c r="C674" s="368"/>
      <c r="D674" s="368"/>
      <c r="E674" s="368"/>
      <c r="F674" s="368"/>
      <c r="G674" s="369"/>
      <c r="H674" s="370"/>
      <c r="I674" s="370"/>
      <c r="J674" s="369"/>
      <c r="K674" s="62"/>
      <c r="L674" s="57"/>
      <c r="M674" s="62"/>
      <c r="N674" s="371"/>
      <c r="O674" s="57"/>
      <c r="P674" s="57"/>
      <c r="Q674" s="62"/>
      <c r="R674" s="372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</row>
    <row r="675">
      <c r="A675" s="366"/>
      <c r="B675" s="367"/>
      <c r="C675" s="368"/>
      <c r="D675" s="368"/>
      <c r="E675" s="368"/>
      <c r="F675" s="368"/>
      <c r="G675" s="369"/>
      <c r="H675" s="370"/>
      <c r="I675" s="370"/>
      <c r="J675" s="369"/>
      <c r="K675" s="62"/>
      <c r="L675" s="57"/>
      <c r="M675" s="62"/>
      <c r="N675" s="371"/>
      <c r="O675" s="57"/>
      <c r="P675" s="57"/>
      <c r="Q675" s="62"/>
      <c r="R675" s="372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</row>
    <row r="676">
      <c r="A676" s="366"/>
      <c r="B676" s="367"/>
      <c r="C676" s="368"/>
      <c r="D676" s="368"/>
      <c r="E676" s="368"/>
      <c r="F676" s="368"/>
      <c r="G676" s="369"/>
      <c r="H676" s="370"/>
      <c r="I676" s="370"/>
      <c r="J676" s="369"/>
      <c r="K676" s="62"/>
      <c r="L676" s="57"/>
      <c r="M676" s="62"/>
      <c r="N676" s="371"/>
      <c r="O676" s="57"/>
      <c r="P676" s="57"/>
      <c r="Q676" s="62"/>
      <c r="R676" s="372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</row>
    <row r="677">
      <c r="A677" s="366"/>
      <c r="B677" s="367"/>
      <c r="C677" s="368"/>
      <c r="D677" s="368"/>
      <c r="E677" s="368"/>
      <c r="F677" s="368"/>
      <c r="G677" s="369"/>
      <c r="H677" s="370"/>
      <c r="I677" s="370"/>
      <c r="J677" s="369"/>
      <c r="K677" s="62"/>
      <c r="L677" s="57"/>
      <c r="M677" s="62"/>
      <c r="N677" s="371"/>
      <c r="O677" s="57"/>
      <c r="P677" s="57"/>
      <c r="Q677" s="62"/>
      <c r="R677" s="372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</row>
    <row r="678">
      <c r="A678" s="366"/>
      <c r="B678" s="367"/>
      <c r="C678" s="368"/>
      <c r="D678" s="368"/>
      <c r="E678" s="368"/>
      <c r="F678" s="368"/>
      <c r="G678" s="369"/>
      <c r="H678" s="370"/>
      <c r="I678" s="370"/>
      <c r="J678" s="369"/>
      <c r="K678" s="62"/>
      <c r="L678" s="57"/>
      <c r="M678" s="62"/>
      <c r="N678" s="371"/>
      <c r="O678" s="57"/>
      <c r="P678" s="57"/>
      <c r="Q678" s="62"/>
      <c r="R678" s="372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</row>
    <row r="679">
      <c r="A679" s="366"/>
      <c r="B679" s="367"/>
      <c r="C679" s="368"/>
      <c r="D679" s="368"/>
      <c r="E679" s="368"/>
      <c r="F679" s="368"/>
      <c r="G679" s="369"/>
      <c r="H679" s="370"/>
      <c r="I679" s="370"/>
      <c r="J679" s="369"/>
      <c r="K679" s="62"/>
      <c r="L679" s="57"/>
      <c r="M679" s="62"/>
      <c r="N679" s="371"/>
      <c r="O679" s="57"/>
      <c r="P679" s="57"/>
      <c r="Q679" s="62"/>
      <c r="R679" s="372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</row>
    <row r="680">
      <c r="A680" s="366"/>
      <c r="B680" s="367"/>
      <c r="C680" s="368"/>
      <c r="D680" s="368"/>
      <c r="E680" s="368"/>
      <c r="F680" s="368"/>
      <c r="G680" s="369"/>
      <c r="H680" s="370"/>
      <c r="I680" s="370"/>
      <c r="J680" s="369"/>
      <c r="K680" s="62"/>
      <c r="L680" s="57"/>
      <c r="M680" s="62"/>
      <c r="N680" s="371"/>
      <c r="O680" s="57"/>
      <c r="P680" s="57"/>
      <c r="Q680" s="62"/>
      <c r="R680" s="372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</row>
    <row r="681">
      <c r="A681" s="366"/>
      <c r="B681" s="367"/>
      <c r="C681" s="368"/>
      <c r="D681" s="368"/>
      <c r="E681" s="368"/>
      <c r="F681" s="368"/>
      <c r="G681" s="369"/>
      <c r="H681" s="370"/>
      <c r="I681" s="370"/>
      <c r="J681" s="369"/>
      <c r="K681" s="62"/>
      <c r="L681" s="57"/>
      <c r="M681" s="62"/>
      <c r="N681" s="371"/>
      <c r="O681" s="57"/>
      <c r="P681" s="57"/>
      <c r="Q681" s="62"/>
      <c r="R681" s="372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</row>
    <row r="682">
      <c r="A682" s="366"/>
      <c r="B682" s="367"/>
      <c r="C682" s="368"/>
      <c r="D682" s="368"/>
      <c r="E682" s="368"/>
      <c r="F682" s="368"/>
      <c r="G682" s="369"/>
      <c r="H682" s="370"/>
      <c r="I682" s="370"/>
      <c r="J682" s="369"/>
      <c r="K682" s="62"/>
      <c r="L682" s="57"/>
      <c r="M682" s="62"/>
      <c r="N682" s="371"/>
      <c r="O682" s="57"/>
      <c r="P682" s="57"/>
      <c r="Q682" s="62"/>
      <c r="R682" s="372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</row>
    <row r="683">
      <c r="A683" s="366"/>
      <c r="B683" s="367"/>
      <c r="C683" s="368"/>
      <c r="D683" s="368"/>
      <c r="E683" s="368"/>
      <c r="F683" s="368"/>
      <c r="G683" s="369"/>
      <c r="H683" s="370"/>
      <c r="I683" s="370"/>
      <c r="J683" s="369"/>
      <c r="K683" s="62"/>
      <c r="L683" s="57"/>
      <c r="M683" s="62"/>
      <c r="N683" s="371"/>
      <c r="O683" s="57"/>
      <c r="P683" s="57"/>
      <c r="Q683" s="62"/>
      <c r="R683" s="372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</row>
    <row r="684">
      <c r="A684" s="366"/>
      <c r="B684" s="367"/>
      <c r="C684" s="368"/>
      <c r="D684" s="368"/>
      <c r="E684" s="368"/>
      <c r="F684" s="368"/>
      <c r="G684" s="369"/>
      <c r="H684" s="370"/>
      <c r="I684" s="370"/>
      <c r="J684" s="369"/>
      <c r="K684" s="62"/>
      <c r="L684" s="57"/>
      <c r="M684" s="62"/>
      <c r="N684" s="371"/>
      <c r="O684" s="57"/>
      <c r="P684" s="57"/>
      <c r="Q684" s="62"/>
      <c r="R684" s="372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</row>
    <row r="685">
      <c r="A685" s="366"/>
      <c r="B685" s="367"/>
      <c r="C685" s="368"/>
      <c r="D685" s="368"/>
      <c r="E685" s="368"/>
      <c r="F685" s="368"/>
      <c r="G685" s="369"/>
      <c r="H685" s="370"/>
      <c r="I685" s="370"/>
      <c r="J685" s="369"/>
      <c r="K685" s="62"/>
      <c r="L685" s="57"/>
      <c r="M685" s="62"/>
      <c r="N685" s="371"/>
      <c r="O685" s="57"/>
      <c r="P685" s="57"/>
      <c r="Q685" s="62"/>
      <c r="R685" s="372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</row>
    <row r="686">
      <c r="A686" s="366"/>
      <c r="B686" s="367"/>
      <c r="C686" s="368"/>
      <c r="D686" s="368"/>
      <c r="E686" s="368"/>
      <c r="F686" s="368"/>
      <c r="G686" s="369"/>
      <c r="H686" s="370"/>
      <c r="I686" s="370"/>
      <c r="J686" s="369"/>
      <c r="K686" s="62"/>
      <c r="L686" s="57"/>
      <c r="M686" s="62"/>
      <c r="N686" s="371"/>
      <c r="O686" s="57"/>
      <c r="P686" s="57"/>
      <c r="Q686" s="62"/>
      <c r="R686" s="372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</row>
    <row r="687">
      <c r="A687" s="366"/>
      <c r="B687" s="367"/>
      <c r="C687" s="368"/>
      <c r="D687" s="368"/>
      <c r="E687" s="368"/>
      <c r="F687" s="368"/>
      <c r="G687" s="369"/>
      <c r="H687" s="370"/>
      <c r="I687" s="370"/>
      <c r="J687" s="369"/>
      <c r="K687" s="62"/>
      <c r="L687" s="57"/>
      <c r="M687" s="62"/>
      <c r="N687" s="371"/>
      <c r="O687" s="57"/>
      <c r="P687" s="57"/>
      <c r="Q687" s="62"/>
      <c r="R687" s="372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</row>
    <row r="688">
      <c r="A688" s="366"/>
      <c r="B688" s="367"/>
      <c r="C688" s="368"/>
      <c r="D688" s="368"/>
      <c r="E688" s="368"/>
      <c r="F688" s="368"/>
      <c r="G688" s="369"/>
      <c r="H688" s="370"/>
      <c r="I688" s="370"/>
      <c r="J688" s="369"/>
      <c r="K688" s="62"/>
      <c r="L688" s="57"/>
      <c r="M688" s="62"/>
      <c r="N688" s="371"/>
      <c r="O688" s="57"/>
      <c r="P688" s="57"/>
      <c r="Q688" s="62"/>
      <c r="R688" s="372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</row>
    <row r="689">
      <c r="A689" s="366"/>
      <c r="B689" s="367"/>
      <c r="C689" s="368"/>
      <c r="D689" s="368"/>
      <c r="E689" s="368"/>
      <c r="F689" s="368"/>
      <c r="G689" s="369"/>
      <c r="H689" s="370"/>
      <c r="I689" s="370"/>
      <c r="J689" s="369"/>
      <c r="K689" s="62"/>
      <c r="L689" s="57"/>
      <c r="M689" s="62"/>
      <c r="N689" s="371"/>
      <c r="O689" s="57"/>
      <c r="P689" s="57"/>
      <c r="Q689" s="62"/>
      <c r="R689" s="372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</row>
    <row r="690">
      <c r="A690" s="366"/>
      <c r="B690" s="367"/>
      <c r="C690" s="368"/>
      <c r="D690" s="368"/>
      <c r="E690" s="368"/>
      <c r="F690" s="368"/>
      <c r="G690" s="369"/>
      <c r="H690" s="370"/>
      <c r="I690" s="370"/>
      <c r="J690" s="369"/>
      <c r="K690" s="62"/>
      <c r="L690" s="57"/>
      <c r="M690" s="62"/>
      <c r="N690" s="371"/>
      <c r="O690" s="57"/>
      <c r="P690" s="57"/>
      <c r="Q690" s="62"/>
      <c r="R690" s="372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</row>
    <row r="691">
      <c r="A691" s="366"/>
      <c r="B691" s="367"/>
      <c r="C691" s="368"/>
      <c r="D691" s="368"/>
      <c r="E691" s="368"/>
      <c r="F691" s="368"/>
      <c r="G691" s="369"/>
      <c r="H691" s="370"/>
      <c r="I691" s="370"/>
      <c r="J691" s="369"/>
      <c r="K691" s="62"/>
      <c r="L691" s="57"/>
      <c r="M691" s="62"/>
      <c r="N691" s="371"/>
      <c r="O691" s="57"/>
      <c r="P691" s="57"/>
      <c r="Q691" s="62"/>
      <c r="R691" s="372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</row>
    <row r="692">
      <c r="A692" s="366"/>
      <c r="B692" s="367"/>
      <c r="C692" s="368"/>
      <c r="D692" s="368"/>
      <c r="E692" s="368"/>
      <c r="F692" s="368"/>
      <c r="G692" s="369"/>
      <c r="H692" s="370"/>
      <c r="I692" s="370"/>
      <c r="J692" s="369"/>
      <c r="K692" s="62"/>
      <c r="L692" s="57"/>
      <c r="M692" s="62"/>
      <c r="N692" s="371"/>
      <c r="O692" s="57"/>
      <c r="P692" s="57"/>
      <c r="Q692" s="62"/>
      <c r="R692" s="372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</row>
    <row r="693">
      <c r="A693" s="366"/>
      <c r="B693" s="367"/>
      <c r="C693" s="368"/>
      <c r="D693" s="368"/>
      <c r="E693" s="368"/>
      <c r="F693" s="368"/>
      <c r="G693" s="369"/>
      <c r="H693" s="370"/>
      <c r="I693" s="370"/>
      <c r="J693" s="369"/>
      <c r="K693" s="62"/>
      <c r="L693" s="57"/>
      <c r="M693" s="62"/>
      <c r="N693" s="371"/>
      <c r="O693" s="57"/>
      <c r="P693" s="57"/>
      <c r="Q693" s="62"/>
      <c r="R693" s="372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</row>
    <row r="694">
      <c r="A694" s="366"/>
      <c r="B694" s="367"/>
      <c r="C694" s="368"/>
      <c r="D694" s="368"/>
      <c r="E694" s="368"/>
      <c r="F694" s="368"/>
      <c r="G694" s="369"/>
      <c r="H694" s="370"/>
      <c r="I694" s="370"/>
      <c r="J694" s="369"/>
      <c r="K694" s="62"/>
      <c r="L694" s="57"/>
      <c r="M694" s="62"/>
      <c r="N694" s="371"/>
      <c r="O694" s="57"/>
      <c r="P694" s="57"/>
      <c r="Q694" s="62"/>
      <c r="R694" s="372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</row>
    <row r="695">
      <c r="A695" s="366"/>
      <c r="B695" s="367"/>
      <c r="C695" s="368"/>
      <c r="D695" s="368"/>
      <c r="E695" s="368"/>
      <c r="F695" s="368"/>
      <c r="G695" s="369"/>
      <c r="H695" s="370"/>
      <c r="I695" s="370"/>
      <c r="J695" s="369"/>
      <c r="K695" s="62"/>
      <c r="L695" s="57"/>
      <c r="M695" s="62"/>
      <c r="N695" s="371"/>
      <c r="O695" s="57"/>
      <c r="P695" s="57"/>
      <c r="Q695" s="62"/>
      <c r="R695" s="372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</row>
    <row r="696">
      <c r="A696" s="366"/>
      <c r="B696" s="367"/>
      <c r="C696" s="368"/>
      <c r="D696" s="368"/>
      <c r="E696" s="368"/>
      <c r="F696" s="368"/>
      <c r="G696" s="369"/>
      <c r="H696" s="370"/>
      <c r="I696" s="370"/>
      <c r="J696" s="369"/>
      <c r="K696" s="62"/>
      <c r="L696" s="57"/>
      <c r="M696" s="62"/>
      <c r="N696" s="371"/>
      <c r="O696" s="57"/>
      <c r="P696" s="57"/>
      <c r="Q696" s="62"/>
      <c r="R696" s="372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</row>
    <row r="697">
      <c r="A697" s="366"/>
      <c r="B697" s="367"/>
      <c r="C697" s="368"/>
      <c r="D697" s="368"/>
      <c r="E697" s="368"/>
      <c r="F697" s="368"/>
      <c r="G697" s="369"/>
      <c r="H697" s="370"/>
      <c r="I697" s="370"/>
      <c r="J697" s="369"/>
      <c r="K697" s="62"/>
      <c r="L697" s="57"/>
      <c r="M697" s="62"/>
      <c r="N697" s="371"/>
      <c r="O697" s="57"/>
      <c r="P697" s="57"/>
      <c r="Q697" s="62"/>
      <c r="R697" s="372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</row>
    <row r="698">
      <c r="A698" s="366"/>
      <c r="B698" s="367"/>
      <c r="C698" s="368"/>
      <c r="D698" s="368"/>
      <c r="E698" s="368"/>
      <c r="F698" s="368"/>
      <c r="G698" s="369"/>
      <c r="H698" s="370"/>
      <c r="I698" s="370"/>
      <c r="J698" s="369"/>
      <c r="K698" s="62"/>
      <c r="L698" s="57"/>
      <c r="M698" s="62"/>
      <c r="N698" s="371"/>
      <c r="O698" s="57"/>
      <c r="P698" s="57"/>
      <c r="Q698" s="62"/>
      <c r="R698" s="372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</row>
    <row r="699">
      <c r="A699" s="366"/>
      <c r="B699" s="367"/>
      <c r="C699" s="368"/>
      <c r="D699" s="368"/>
      <c r="E699" s="368"/>
      <c r="F699" s="368"/>
      <c r="G699" s="369"/>
      <c r="H699" s="370"/>
      <c r="I699" s="370"/>
      <c r="J699" s="369"/>
      <c r="K699" s="62"/>
      <c r="L699" s="57"/>
      <c r="M699" s="62"/>
      <c r="N699" s="371"/>
      <c r="O699" s="57"/>
      <c r="P699" s="57"/>
      <c r="Q699" s="62"/>
      <c r="R699" s="372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</row>
    <row r="700">
      <c r="A700" s="366"/>
      <c r="B700" s="367"/>
      <c r="C700" s="368"/>
      <c r="D700" s="368"/>
      <c r="E700" s="368"/>
      <c r="F700" s="368"/>
      <c r="G700" s="369"/>
      <c r="H700" s="370"/>
      <c r="I700" s="370"/>
      <c r="J700" s="369"/>
      <c r="K700" s="62"/>
      <c r="L700" s="57"/>
      <c r="M700" s="62"/>
      <c r="N700" s="371"/>
      <c r="O700" s="57"/>
      <c r="P700" s="57"/>
      <c r="Q700" s="62"/>
      <c r="R700" s="372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</row>
    <row r="701">
      <c r="A701" s="366"/>
      <c r="B701" s="367"/>
      <c r="C701" s="368"/>
      <c r="D701" s="368"/>
      <c r="E701" s="368"/>
      <c r="F701" s="368"/>
      <c r="G701" s="369"/>
      <c r="H701" s="370"/>
      <c r="I701" s="370"/>
      <c r="J701" s="369"/>
      <c r="K701" s="62"/>
      <c r="L701" s="57"/>
      <c r="M701" s="62"/>
      <c r="N701" s="371"/>
      <c r="O701" s="57"/>
      <c r="P701" s="57"/>
      <c r="Q701" s="62"/>
      <c r="R701" s="372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</row>
    <row r="702">
      <c r="A702" s="366"/>
      <c r="B702" s="367"/>
      <c r="C702" s="368"/>
      <c r="D702" s="368"/>
      <c r="E702" s="368"/>
      <c r="F702" s="368"/>
      <c r="G702" s="369"/>
      <c r="H702" s="370"/>
      <c r="I702" s="370"/>
      <c r="J702" s="369"/>
      <c r="K702" s="62"/>
      <c r="L702" s="57"/>
      <c r="M702" s="62"/>
      <c r="N702" s="371"/>
      <c r="O702" s="57"/>
      <c r="P702" s="57"/>
      <c r="Q702" s="62"/>
      <c r="R702" s="372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</row>
    <row r="703">
      <c r="A703" s="366"/>
      <c r="B703" s="367"/>
      <c r="C703" s="368"/>
      <c r="D703" s="368"/>
      <c r="E703" s="368"/>
      <c r="F703" s="368"/>
      <c r="G703" s="369"/>
      <c r="H703" s="370"/>
      <c r="I703" s="370"/>
      <c r="J703" s="369"/>
      <c r="K703" s="62"/>
      <c r="L703" s="57"/>
      <c r="M703" s="62"/>
      <c r="N703" s="371"/>
      <c r="O703" s="57"/>
      <c r="P703" s="57"/>
      <c r="Q703" s="62"/>
      <c r="R703" s="372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</row>
    <row r="704">
      <c r="A704" s="366"/>
      <c r="B704" s="367"/>
      <c r="C704" s="368"/>
      <c r="D704" s="368"/>
      <c r="E704" s="368"/>
      <c r="F704" s="368"/>
      <c r="G704" s="369"/>
      <c r="H704" s="370"/>
      <c r="I704" s="370"/>
      <c r="J704" s="369"/>
      <c r="K704" s="62"/>
      <c r="L704" s="57"/>
      <c r="M704" s="62"/>
      <c r="N704" s="371"/>
      <c r="O704" s="57"/>
      <c r="P704" s="57"/>
      <c r="Q704" s="62"/>
      <c r="R704" s="372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</row>
    <row r="705">
      <c r="A705" s="366"/>
      <c r="B705" s="367"/>
      <c r="C705" s="368"/>
      <c r="D705" s="368"/>
      <c r="E705" s="368"/>
      <c r="F705" s="368"/>
      <c r="G705" s="369"/>
      <c r="H705" s="370"/>
      <c r="I705" s="370"/>
      <c r="J705" s="369"/>
      <c r="K705" s="62"/>
      <c r="L705" s="57"/>
      <c r="M705" s="62"/>
      <c r="N705" s="371"/>
      <c r="O705" s="57"/>
      <c r="P705" s="57"/>
      <c r="Q705" s="62"/>
      <c r="R705" s="372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</row>
    <row r="706">
      <c r="A706" s="366"/>
      <c r="B706" s="367"/>
      <c r="C706" s="368"/>
      <c r="D706" s="368"/>
      <c r="E706" s="368"/>
      <c r="F706" s="368"/>
      <c r="G706" s="369"/>
      <c r="H706" s="370"/>
      <c r="I706" s="370"/>
      <c r="J706" s="369"/>
      <c r="K706" s="62"/>
      <c r="L706" s="57"/>
      <c r="M706" s="62"/>
      <c r="N706" s="371"/>
      <c r="O706" s="57"/>
      <c r="P706" s="57"/>
      <c r="Q706" s="62"/>
      <c r="R706" s="372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</row>
    <row r="707">
      <c r="A707" s="366"/>
      <c r="B707" s="367"/>
      <c r="C707" s="368"/>
      <c r="D707" s="368"/>
      <c r="E707" s="368"/>
      <c r="F707" s="368"/>
      <c r="G707" s="369"/>
      <c r="H707" s="370"/>
      <c r="I707" s="370"/>
      <c r="J707" s="369"/>
      <c r="K707" s="62"/>
      <c r="L707" s="57"/>
      <c r="M707" s="62"/>
      <c r="N707" s="371"/>
      <c r="O707" s="57"/>
      <c r="P707" s="57"/>
      <c r="Q707" s="62"/>
      <c r="R707" s="372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</row>
    <row r="708">
      <c r="A708" s="366"/>
      <c r="B708" s="367"/>
      <c r="C708" s="368"/>
      <c r="D708" s="368"/>
      <c r="E708" s="368"/>
      <c r="F708" s="368"/>
      <c r="G708" s="369"/>
      <c r="H708" s="370"/>
      <c r="I708" s="370"/>
      <c r="J708" s="369"/>
      <c r="K708" s="62"/>
      <c r="L708" s="57"/>
      <c r="M708" s="62"/>
      <c r="N708" s="371"/>
      <c r="O708" s="57"/>
      <c r="P708" s="57"/>
      <c r="Q708" s="62"/>
      <c r="R708" s="372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</row>
    <row r="709">
      <c r="A709" s="366"/>
      <c r="B709" s="367"/>
      <c r="C709" s="368"/>
      <c r="D709" s="368"/>
      <c r="E709" s="368"/>
      <c r="F709" s="368"/>
      <c r="G709" s="369"/>
      <c r="H709" s="370"/>
      <c r="I709" s="370"/>
      <c r="J709" s="369"/>
      <c r="K709" s="62"/>
      <c r="L709" s="57"/>
      <c r="M709" s="62"/>
      <c r="N709" s="371"/>
      <c r="O709" s="57"/>
      <c r="P709" s="57"/>
      <c r="Q709" s="62"/>
      <c r="R709" s="372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</row>
    <row r="710">
      <c r="A710" s="366"/>
      <c r="B710" s="367"/>
      <c r="C710" s="368"/>
      <c r="D710" s="368"/>
      <c r="E710" s="368"/>
      <c r="F710" s="368"/>
      <c r="G710" s="369"/>
      <c r="H710" s="370"/>
      <c r="I710" s="370"/>
      <c r="J710" s="369"/>
      <c r="K710" s="62"/>
      <c r="L710" s="57"/>
      <c r="M710" s="62"/>
      <c r="N710" s="371"/>
      <c r="O710" s="57"/>
      <c r="P710" s="57"/>
      <c r="Q710" s="62"/>
      <c r="R710" s="372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</row>
    <row r="711">
      <c r="A711" s="366"/>
      <c r="B711" s="367"/>
      <c r="C711" s="368"/>
      <c r="D711" s="368"/>
      <c r="E711" s="368"/>
      <c r="F711" s="368"/>
      <c r="G711" s="369"/>
      <c r="H711" s="370"/>
      <c r="I711" s="370"/>
      <c r="J711" s="369"/>
      <c r="K711" s="62"/>
      <c r="L711" s="57"/>
      <c r="M711" s="62"/>
      <c r="N711" s="371"/>
      <c r="O711" s="57"/>
      <c r="P711" s="57"/>
      <c r="Q711" s="62"/>
      <c r="R711" s="372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</row>
    <row r="712">
      <c r="A712" s="366"/>
      <c r="B712" s="367"/>
      <c r="C712" s="368"/>
      <c r="D712" s="368"/>
      <c r="E712" s="368"/>
      <c r="F712" s="368"/>
      <c r="G712" s="369"/>
      <c r="H712" s="370"/>
      <c r="I712" s="370"/>
      <c r="J712" s="369"/>
      <c r="K712" s="62"/>
      <c r="L712" s="57"/>
      <c r="M712" s="62"/>
      <c r="N712" s="371"/>
      <c r="O712" s="57"/>
      <c r="P712" s="57"/>
      <c r="Q712" s="62"/>
      <c r="R712" s="372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</row>
    <row r="713">
      <c r="A713" s="366"/>
      <c r="B713" s="367"/>
      <c r="C713" s="368"/>
      <c r="D713" s="368"/>
      <c r="E713" s="368"/>
      <c r="F713" s="368"/>
      <c r="G713" s="369"/>
      <c r="H713" s="370"/>
      <c r="I713" s="370"/>
      <c r="J713" s="369"/>
      <c r="K713" s="62"/>
      <c r="L713" s="57"/>
      <c r="M713" s="62"/>
      <c r="N713" s="371"/>
      <c r="O713" s="57"/>
      <c r="P713" s="57"/>
      <c r="Q713" s="62"/>
      <c r="R713" s="372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</row>
    <row r="714">
      <c r="A714" s="366"/>
      <c r="B714" s="367"/>
      <c r="C714" s="368"/>
      <c r="D714" s="368"/>
      <c r="E714" s="368"/>
      <c r="F714" s="368"/>
      <c r="G714" s="369"/>
      <c r="H714" s="370"/>
      <c r="I714" s="370"/>
      <c r="J714" s="369"/>
      <c r="K714" s="62"/>
      <c r="L714" s="57"/>
      <c r="M714" s="62"/>
      <c r="N714" s="371"/>
      <c r="O714" s="57"/>
      <c r="P714" s="57"/>
      <c r="Q714" s="62"/>
      <c r="R714" s="372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</row>
    <row r="715">
      <c r="A715" s="366"/>
      <c r="B715" s="367"/>
      <c r="C715" s="368"/>
      <c r="D715" s="368"/>
      <c r="E715" s="368"/>
      <c r="F715" s="368"/>
      <c r="G715" s="369"/>
      <c r="H715" s="370"/>
      <c r="I715" s="370"/>
      <c r="J715" s="369"/>
      <c r="K715" s="62"/>
      <c r="L715" s="57"/>
      <c r="M715" s="62"/>
      <c r="N715" s="371"/>
      <c r="O715" s="57"/>
      <c r="P715" s="57"/>
      <c r="Q715" s="62"/>
      <c r="R715" s="372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</row>
    <row r="716">
      <c r="A716" s="366"/>
      <c r="B716" s="367"/>
      <c r="C716" s="368"/>
      <c r="D716" s="368"/>
      <c r="E716" s="368"/>
      <c r="F716" s="368"/>
      <c r="G716" s="369"/>
      <c r="H716" s="370"/>
      <c r="I716" s="370"/>
      <c r="J716" s="369"/>
      <c r="K716" s="62"/>
      <c r="L716" s="57"/>
      <c r="M716" s="62"/>
      <c r="N716" s="371"/>
      <c r="O716" s="57"/>
      <c r="P716" s="57"/>
      <c r="Q716" s="62"/>
      <c r="R716" s="372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</row>
    <row r="717">
      <c r="A717" s="366"/>
      <c r="B717" s="367"/>
      <c r="C717" s="368"/>
      <c r="D717" s="368"/>
      <c r="E717" s="368"/>
      <c r="F717" s="368"/>
      <c r="G717" s="369"/>
      <c r="H717" s="370"/>
      <c r="I717" s="370"/>
      <c r="J717" s="369"/>
      <c r="K717" s="62"/>
      <c r="L717" s="57"/>
      <c r="M717" s="62"/>
      <c r="N717" s="371"/>
      <c r="O717" s="57"/>
      <c r="P717" s="57"/>
      <c r="Q717" s="62"/>
      <c r="R717" s="372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</row>
    <row r="718">
      <c r="A718" s="366"/>
      <c r="B718" s="367"/>
      <c r="C718" s="368"/>
      <c r="D718" s="368"/>
      <c r="E718" s="368"/>
      <c r="F718" s="368"/>
      <c r="G718" s="369"/>
      <c r="H718" s="370"/>
      <c r="I718" s="370"/>
      <c r="J718" s="369"/>
      <c r="K718" s="62"/>
      <c r="L718" s="57"/>
      <c r="M718" s="62"/>
      <c r="N718" s="371"/>
      <c r="O718" s="57"/>
      <c r="P718" s="57"/>
      <c r="Q718" s="62"/>
      <c r="R718" s="372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</row>
    <row r="719">
      <c r="A719" s="366"/>
      <c r="B719" s="367"/>
      <c r="C719" s="368"/>
      <c r="D719" s="368"/>
      <c r="E719" s="368"/>
      <c r="F719" s="368"/>
      <c r="G719" s="369"/>
      <c r="H719" s="370"/>
      <c r="I719" s="370"/>
      <c r="J719" s="369"/>
      <c r="K719" s="62"/>
      <c r="L719" s="57"/>
      <c r="M719" s="62"/>
      <c r="N719" s="371"/>
      <c r="O719" s="57"/>
      <c r="P719" s="57"/>
      <c r="Q719" s="62"/>
      <c r="R719" s="372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</row>
    <row r="720">
      <c r="A720" s="366"/>
      <c r="B720" s="367"/>
      <c r="C720" s="368"/>
      <c r="D720" s="368"/>
      <c r="E720" s="368"/>
      <c r="F720" s="368"/>
      <c r="G720" s="369"/>
      <c r="H720" s="370"/>
      <c r="I720" s="370"/>
      <c r="J720" s="369"/>
      <c r="K720" s="62"/>
      <c r="L720" s="57"/>
      <c r="M720" s="62"/>
      <c r="N720" s="371"/>
      <c r="O720" s="57"/>
      <c r="P720" s="57"/>
      <c r="Q720" s="62"/>
      <c r="R720" s="372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</row>
    <row r="721">
      <c r="A721" s="366"/>
      <c r="B721" s="367"/>
      <c r="C721" s="368"/>
      <c r="D721" s="368"/>
      <c r="E721" s="368"/>
      <c r="F721" s="368"/>
      <c r="G721" s="369"/>
      <c r="H721" s="370"/>
      <c r="I721" s="370"/>
      <c r="J721" s="369"/>
      <c r="K721" s="62"/>
      <c r="L721" s="57"/>
      <c r="M721" s="62"/>
      <c r="N721" s="371"/>
      <c r="O721" s="57"/>
      <c r="P721" s="57"/>
      <c r="Q721" s="62"/>
      <c r="R721" s="372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</row>
    <row r="722">
      <c r="A722" s="366"/>
      <c r="B722" s="367"/>
      <c r="C722" s="368"/>
      <c r="D722" s="368"/>
      <c r="E722" s="368"/>
      <c r="F722" s="368"/>
      <c r="G722" s="369"/>
      <c r="H722" s="370"/>
      <c r="I722" s="370"/>
      <c r="J722" s="369"/>
      <c r="K722" s="62"/>
      <c r="L722" s="57"/>
      <c r="M722" s="62"/>
      <c r="N722" s="371"/>
      <c r="O722" s="57"/>
      <c r="P722" s="57"/>
      <c r="Q722" s="62"/>
      <c r="R722" s="372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</row>
    <row r="723">
      <c r="A723" s="366"/>
      <c r="B723" s="367"/>
      <c r="C723" s="368"/>
      <c r="D723" s="368"/>
      <c r="E723" s="368"/>
      <c r="F723" s="368"/>
      <c r="G723" s="369"/>
      <c r="H723" s="370"/>
      <c r="I723" s="370"/>
      <c r="J723" s="369"/>
      <c r="K723" s="62"/>
      <c r="L723" s="57"/>
      <c r="M723" s="62"/>
      <c r="N723" s="371"/>
      <c r="O723" s="57"/>
      <c r="P723" s="57"/>
      <c r="Q723" s="62"/>
      <c r="R723" s="372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</row>
    <row r="724">
      <c r="A724" s="366"/>
      <c r="B724" s="367"/>
      <c r="C724" s="368"/>
      <c r="D724" s="368"/>
      <c r="E724" s="368"/>
      <c r="F724" s="368"/>
      <c r="G724" s="369"/>
      <c r="H724" s="370"/>
      <c r="I724" s="370"/>
      <c r="J724" s="369"/>
      <c r="K724" s="62"/>
      <c r="L724" s="57"/>
      <c r="M724" s="62"/>
      <c r="N724" s="371"/>
      <c r="O724" s="57"/>
      <c r="P724" s="57"/>
      <c r="Q724" s="62"/>
      <c r="R724" s="372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</row>
    <row r="725">
      <c r="A725" s="366"/>
      <c r="B725" s="367"/>
      <c r="C725" s="368"/>
      <c r="D725" s="368"/>
      <c r="E725" s="368"/>
      <c r="F725" s="368"/>
      <c r="G725" s="369"/>
      <c r="H725" s="370"/>
      <c r="I725" s="370"/>
      <c r="J725" s="369"/>
      <c r="K725" s="62"/>
      <c r="L725" s="57"/>
      <c r="M725" s="62"/>
      <c r="N725" s="371"/>
      <c r="O725" s="57"/>
      <c r="P725" s="57"/>
      <c r="Q725" s="62"/>
      <c r="R725" s="372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</row>
    <row r="726">
      <c r="A726" s="366"/>
      <c r="B726" s="367"/>
      <c r="C726" s="368"/>
      <c r="D726" s="368"/>
      <c r="E726" s="368"/>
      <c r="F726" s="368"/>
      <c r="G726" s="369"/>
      <c r="H726" s="370"/>
      <c r="I726" s="370"/>
      <c r="J726" s="369"/>
      <c r="K726" s="62"/>
      <c r="L726" s="57"/>
      <c r="M726" s="62"/>
      <c r="N726" s="371"/>
      <c r="O726" s="57"/>
      <c r="P726" s="57"/>
      <c r="Q726" s="62"/>
      <c r="R726" s="372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</row>
    <row r="727">
      <c r="A727" s="366"/>
      <c r="B727" s="367"/>
      <c r="C727" s="368"/>
      <c r="D727" s="368"/>
      <c r="E727" s="368"/>
      <c r="F727" s="368"/>
      <c r="G727" s="369"/>
      <c r="H727" s="370"/>
      <c r="I727" s="370"/>
      <c r="J727" s="369"/>
      <c r="K727" s="62"/>
      <c r="L727" s="57"/>
      <c r="M727" s="62"/>
      <c r="N727" s="371"/>
      <c r="O727" s="57"/>
      <c r="P727" s="57"/>
      <c r="Q727" s="62"/>
      <c r="R727" s="372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</row>
    <row r="728">
      <c r="A728" s="366"/>
      <c r="B728" s="367"/>
      <c r="C728" s="368"/>
      <c r="D728" s="368"/>
      <c r="E728" s="368"/>
      <c r="F728" s="368"/>
      <c r="G728" s="369"/>
      <c r="H728" s="370"/>
      <c r="I728" s="370"/>
      <c r="J728" s="369"/>
      <c r="K728" s="62"/>
      <c r="L728" s="57"/>
      <c r="M728" s="62"/>
      <c r="N728" s="371"/>
      <c r="O728" s="57"/>
      <c r="P728" s="57"/>
      <c r="Q728" s="62"/>
      <c r="R728" s="372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</row>
    <row r="729">
      <c r="A729" s="366"/>
      <c r="B729" s="367"/>
      <c r="C729" s="368"/>
      <c r="D729" s="368"/>
      <c r="E729" s="368"/>
      <c r="F729" s="368"/>
      <c r="G729" s="369"/>
      <c r="H729" s="370"/>
      <c r="I729" s="370"/>
      <c r="J729" s="369"/>
      <c r="K729" s="62"/>
      <c r="L729" s="57"/>
      <c r="M729" s="62"/>
      <c r="N729" s="371"/>
      <c r="O729" s="57"/>
      <c r="P729" s="57"/>
      <c r="Q729" s="62"/>
      <c r="R729" s="372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</row>
    <row r="730">
      <c r="A730" s="366"/>
      <c r="B730" s="367"/>
      <c r="C730" s="368"/>
      <c r="D730" s="368"/>
      <c r="E730" s="368"/>
      <c r="F730" s="368"/>
      <c r="G730" s="369"/>
      <c r="H730" s="370"/>
      <c r="I730" s="370"/>
      <c r="J730" s="369"/>
      <c r="K730" s="62"/>
      <c r="L730" s="57"/>
      <c r="M730" s="62"/>
      <c r="N730" s="371"/>
      <c r="O730" s="57"/>
      <c r="P730" s="57"/>
      <c r="Q730" s="62"/>
      <c r="R730" s="372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</row>
    <row r="731">
      <c r="A731" s="366"/>
      <c r="B731" s="367"/>
      <c r="C731" s="368"/>
      <c r="D731" s="368"/>
      <c r="E731" s="368"/>
      <c r="F731" s="368"/>
      <c r="G731" s="369"/>
      <c r="H731" s="370"/>
      <c r="I731" s="370"/>
      <c r="J731" s="369"/>
      <c r="K731" s="62"/>
      <c r="L731" s="57"/>
      <c r="M731" s="62"/>
      <c r="N731" s="371"/>
      <c r="O731" s="57"/>
      <c r="P731" s="57"/>
      <c r="Q731" s="62"/>
      <c r="R731" s="372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</row>
    <row r="732">
      <c r="A732" s="366"/>
      <c r="B732" s="367"/>
      <c r="C732" s="368"/>
      <c r="D732" s="368"/>
      <c r="E732" s="368"/>
      <c r="F732" s="368"/>
      <c r="G732" s="369"/>
      <c r="H732" s="370"/>
      <c r="I732" s="370"/>
      <c r="J732" s="369"/>
      <c r="K732" s="62"/>
      <c r="L732" s="57"/>
      <c r="M732" s="62"/>
      <c r="N732" s="371"/>
      <c r="O732" s="57"/>
      <c r="P732" s="57"/>
      <c r="Q732" s="62"/>
      <c r="R732" s="372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</row>
    <row r="733">
      <c r="A733" s="366"/>
      <c r="B733" s="367"/>
      <c r="C733" s="368"/>
      <c r="D733" s="368"/>
      <c r="E733" s="368"/>
      <c r="F733" s="368"/>
      <c r="G733" s="369"/>
      <c r="H733" s="370"/>
      <c r="I733" s="370"/>
      <c r="J733" s="369"/>
      <c r="K733" s="62"/>
      <c r="L733" s="57"/>
      <c r="M733" s="62"/>
      <c r="N733" s="371"/>
      <c r="O733" s="57"/>
      <c r="P733" s="57"/>
      <c r="Q733" s="62"/>
      <c r="R733" s="372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</row>
    <row r="734">
      <c r="A734" s="366"/>
      <c r="B734" s="367"/>
      <c r="C734" s="368"/>
      <c r="D734" s="368"/>
      <c r="E734" s="368"/>
      <c r="F734" s="368"/>
      <c r="G734" s="369"/>
      <c r="H734" s="370"/>
      <c r="I734" s="370"/>
      <c r="J734" s="369"/>
      <c r="K734" s="62"/>
      <c r="L734" s="57"/>
      <c r="M734" s="62"/>
      <c r="N734" s="371"/>
      <c r="O734" s="57"/>
      <c r="P734" s="57"/>
      <c r="Q734" s="62"/>
      <c r="R734" s="372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</row>
    <row r="735">
      <c r="A735" s="366"/>
      <c r="B735" s="367"/>
      <c r="C735" s="368"/>
      <c r="D735" s="368"/>
      <c r="E735" s="368"/>
      <c r="F735" s="368"/>
      <c r="G735" s="369"/>
      <c r="H735" s="370"/>
      <c r="I735" s="370"/>
      <c r="J735" s="369"/>
      <c r="K735" s="62"/>
      <c r="L735" s="57"/>
      <c r="M735" s="62"/>
      <c r="N735" s="371"/>
      <c r="O735" s="57"/>
      <c r="P735" s="57"/>
      <c r="Q735" s="62"/>
      <c r="R735" s="372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</row>
    <row r="736">
      <c r="A736" s="366"/>
      <c r="B736" s="367"/>
      <c r="C736" s="368"/>
      <c r="D736" s="368"/>
      <c r="E736" s="368"/>
      <c r="F736" s="368"/>
      <c r="G736" s="369"/>
      <c r="H736" s="370"/>
      <c r="I736" s="370"/>
      <c r="J736" s="369"/>
      <c r="K736" s="62"/>
      <c r="L736" s="57"/>
      <c r="M736" s="62"/>
      <c r="N736" s="371"/>
      <c r="O736" s="57"/>
      <c r="P736" s="57"/>
      <c r="Q736" s="62"/>
      <c r="R736" s="372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</row>
    <row r="737">
      <c r="A737" s="366"/>
      <c r="B737" s="367"/>
      <c r="C737" s="368"/>
      <c r="D737" s="368"/>
      <c r="E737" s="368"/>
      <c r="F737" s="368"/>
      <c r="G737" s="369"/>
      <c r="H737" s="370"/>
      <c r="I737" s="370"/>
      <c r="J737" s="369"/>
      <c r="K737" s="62"/>
      <c r="L737" s="57"/>
      <c r="M737" s="62"/>
      <c r="N737" s="371"/>
      <c r="O737" s="57"/>
      <c r="P737" s="57"/>
      <c r="Q737" s="62"/>
      <c r="R737" s="372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</row>
    <row r="738">
      <c r="A738" s="366"/>
      <c r="B738" s="367"/>
      <c r="C738" s="368"/>
      <c r="D738" s="368"/>
      <c r="E738" s="368"/>
      <c r="F738" s="368"/>
      <c r="G738" s="369"/>
      <c r="H738" s="370"/>
      <c r="I738" s="370"/>
      <c r="J738" s="369"/>
      <c r="K738" s="62"/>
      <c r="L738" s="57"/>
      <c r="M738" s="62"/>
      <c r="N738" s="371"/>
      <c r="O738" s="57"/>
      <c r="P738" s="57"/>
      <c r="Q738" s="62"/>
      <c r="R738" s="372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</row>
    <row r="739">
      <c r="A739" s="366"/>
      <c r="B739" s="367"/>
      <c r="C739" s="368"/>
      <c r="D739" s="368"/>
      <c r="E739" s="368"/>
      <c r="F739" s="368"/>
      <c r="G739" s="369"/>
      <c r="H739" s="370"/>
      <c r="I739" s="370"/>
      <c r="J739" s="369"/>
      <c r="K739" s="62"/>
      <c r="L739" s="57"/>
      <c r="M739" s="62"/>
      <c r="N739" s="371"/>
      <c r="O739" s="57"/>
      <c r="P739" s="57"/>
      <c r="Q739" s="62"/>
      <c r="R739" s="372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</row>
    <row r="740">
      <c r="A740" s="366"/>
      <c r="B740" s="367"/>
      <c r="C740" s="368"/>
      <c r="D740" s="368"/>
      <c r="E740" s="368"/>
      <c r="F740" s="368"/>
      <c r="G740" s="369"/>
      <c r="H740" s="370"/>
      <c r="I740" s="370"/>
      <c r="J740" s="369"/>
      <c r="K740" s="62"/>
      <c r="L740" s="57"/>
      <c r="M740" s="62"/>
      <c r="N740" s="371"/>
      <c r="O740" s="57"/>
      <c r="P740" s="57"/>
      <c r="Q740" s="62"/>
      <c r="R740" s="372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</row>
    <row r="741">
      <c r="A741" s="366"/>
      <c r="B741" s="367"/>
      <c r="C741" s="368"/>
      <c r="D741" s="368"/>
      <c r="E741" s="368"/>
      <c r="F741" s="368"/>
      <c r="G741" s="369"/>
      <c r="H741" s="370"/>
      <c r="I741" s="370"/>
      <c r="J741" s="369"/>
      <c r="K741" s="62"/>
      <c r="L741" s="57"/>
      <c r="M741" s="62"/>
      <c r="N741" s="371"/>
      <c r="O741" s="57"/>
      <c r="P741" s="57"/>
      <c r="Q741" s="62"/>
      <c r="R741" s="372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</row>
    <row r="742">
      <c r="A742" s="366"/>
      <c r="B742" s="367"/>
      <c r="C742" s="368"/>
      <c r="D742" s="368"/>
      <c r="E742" s="368"/>
      <c r="F742" s="368"/>
      <c r="G742" s="369"/>
      <c r="H742" s="370"/>
      <c r="I742" s="370"/>
      <c r="J742" s="369"/>
      <c r="K742" s="62"/>
      <c r="L742" s="57"/>
      <c r="M742" s="62"/>
      <c r="N742" s="371"/>
      <c r="O742" s="57"/>
      <c r="P742" s="57"/>
      <c r="Q742" s="62"/>
      <c r="R742" s="372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</row>
    <row r="743">
      <c r="A743" s="366"/>
      <c r="B743" s="367"/>
      <c r="C743" s="368"/>
      <c r="D743" s="368"/>
      <c r="E743" s="368"/>
      <c r="F743" s="368"/>
      <c r="G743" s="369"/>
      <c r="H743" s="370"/>
      <c r="I743" s="370"/>
      <c r="J743" s="369"/>
      <c r="K743" s="62"/>
      <c r="L743" s="57"/>
      <c r="M743" s="62"/>
      <c r="N743" s="371"/>
      <c r="O743" s="57"/>
      <c r="P743" s="57"/>
      <c r="Q743" s="62"/>
      <c r="R743" s="372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</row>
    <row r="744">
      <c r="A744" s="366"/>
      <c r="B744" s="367"/>
      <c r="C744" s="368"/>
      <c r="D744" s="368"/>
      <c r="E744" s="368"/>
      <c r="F744" s="368"/>
      <c r="G744" s="369"/>
      <c r="H744" s="370"/>
      <c r="I744" s="370"/>
      <c r="J744" s="369"/>
      <c r="K744" s="62"/>
      <c r="L744" s="57"/>
      <c r="M744" s="62"/>
      <c r="N744" s="371"/>
      <c r="O744" s="57"/>
      <c r="P744" s="57"/>
      <c r="Q744" s="62"/>
      <c r="R744" s="372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</row>
    <row r="745">
      <c r="A745" s="366"/>
      <c r="B745" s="367"/>
      <c r="C745" s="368"/>
      <c r="D745" s="368"/>
      <c r="E745" s="368"/>
      <c r="F745" s="368"/>
      <c r="G745" s="369"/>
      <c r="H745" s="370"/>
      <c r="I745" s="370"/>
      <c r="J745" s="369"/>
      <c r="K745" s="62"/>
      <c r="L745" s="57"/>
      <c r="M745" s="62"/>
      <c r="N745" s="371"/>
      <c r="O745" s="57"/>
      <c r="P745" s="57"/>
      <c r="Q745" s="62"/>
      <c r="R745" s="372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</row>
    <row r="746">
      <c r="A746" s="366"/>
      <c r="B746" s="367"/>
      <c r="C746" s="368"/>
      <c r="D746" s="368"/>
      <c r="E746" s="368"/>
      <c r="F746" s="368"/>
      <c r="G746" s="369"/>
      <c r="H746" s="370"/>
      <c r="I746" s="370"/>
      <c r="J746" s="369"/>
      <c r="K746" s="62"/>
      <c r="L746" s="57"/>
      <c r="M746" s="62"/>
      <c r="N746" s="371"/>
      <c r="O746" s="57"/>
      <c r="P746" s="57"/>
      <c r="Q746" s="62"/>
      <c r="R746" s="372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</row>
    <row r="747">
      <c r="A747" s="366"/>
      <c r="B747" s="367"/>
      <c r="C747" s="368"/>
      <c r="D747" s="368"/>
      <c r="E747" s="368"/>
      <c r="F747" s="368"/>
      <c r="G747" s="369"/>
      <c r="H747" s="370"/>
      <c r="I747" s="370"/>
      <c r="J747" s="369"/>
      <c r="K747" s="62"/>
      <c r="L747" s="57"/>
      <c r="M747" s="62"/>
      <c r="N747" s="371"/>
      <c r="O747" s="57"/>
      <c r="P747" s="57"/>
      <c r="Q747" s="62"/>
      <c r="R747" s="372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</row>
    <row r="748">
      <c r="A748" s="366"/>
      <c r="B748" s="367"/>
      <c r="C748" s="368"/>
      <c r="D748" s="368"/>
      <c r="E748" s="368"/>
      <c r="F748" s="368"/>
      <c r="G748" s="369"/>
      <c r="H748" s="370"/>
      <c r="I748" s="370"/>
      <c r="J748" s="369"/>
      <c r="K748" s="62"/>
      <c r="L748" s="57"/>
      <c r="M748" s="62"/>
      <c r="N748" s="371"/>
      <c r="O748" s="57"/>
      <c r="P748" s="57"/>
      <c r="Q748" s="62"/>
      <c r="R748" s="372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</row>
    <row r="749">
      <c r="A749" s="366"/>
      <c r="B749" s="367"/>
      <c r="C749" s="368"/>
      <c r="D749" s="368"/>
      <c r="E749" s="368"/>
      <c r="F749" s="368"/>
      <c r="G749" s="369"/>
      <c r="H749" s="370"/>
      <c r="I749" s="370"/>
      <c r="J749" s="369"/>
      <c r="K749" s="62"/>
      <c r="L749" s="57"/>
      <c r="M749" s="62"/>
      <c r="N749" s="371"/>
      <c r="O749" s="57"/>
      <c r="P749" s="57"/>
      <c r="Q749" s="62"/>
      <c r="R749" s="372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</row>
    <row r="750">
      <c r="A750" s="366"/>
      <c r="B750" s="367"/>
      <c r="C750" s="368"/>
      <c r="D750" s="368"/>
      <c r="E750" s="368"/>
      <c r="F750" s="368"/>
      <c r="G750" s="369"/>
      <c r="H750" s="370"/>
      <c r="I750" s="370"/>
      <c r="J750" s="369"/>
      <c r="K750" s="62"/>
      <c r="L750" s="57"/>
      <c r="M750" s="62"/>
      <c r="N750" s="371"/>
      <c r="O750" s="57"/>
      <c r="P750" s="57"/>
      <c r="Q750" s="62"/>
      <c r="R750" s="372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</row>
    <row r="751">
      <c r="A751" s="366"/>
      <c r="B751" s="367"/>
      <c r="C751" s="368"/>
      <c r="D751" s="368"/>
      <c r="E751" s="368"/>
      <c r="F751" s="368"/>
      <c r="G751" s="369"/>
      <c r="H751" s="370"/>
      <c r="I751" s="370"/>
      <c r="J751" s="369"/>
      <c r="K751" s="62"/>
      <c r="L751" s="57"/>
      <c r="M751" s="62"/>
      <c r="N751" s="371"/>
      <c r="O751" s="57"/>
      <c r="P751" s="57"/>
      <c r="Q751" s="62"/>
      <c r="R751" s="372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</row>
    <row r="752">
      <c r="A752" s="366"/>
      <c r="B752" s="367"/>
      <c r="C752" s="368"/>
      <c r="D752" s="368"/>
      <c r="E752" s="368"/>
      <c r="F752" s="368"/>
      <c r="G752" s="369"/>
      <c r="H752" s="370"/>
      <c r="I752" s="370"/>
      <c r="J752" s="369"/>
      <c r="K752" s="62"/>
      <c r="L752" s="57"/>
      <c r="M752" s="62"/>
      <c r="N752" s="371"/>
      <c r="O752" s="57"/>
      <c r="P752" s="57"/>
      <c r="Q752" s="62"/>
      <c r="R752" s="372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</row>
    <row r="753">
      <c r="A753" s="366"/>
      <c r="B753" s="367"/>
      <c r="C753" s="368"/>
      <c r="D753" s="368"/>
      <c r="E753" s="368"/>
      <c r="F753" s="368"/>
      <c r="G753" s="369"/>
      <c r="H753" s="370"/>
      <c r="I753" s="370"/>
      <c r="J753" s="369"/>
      <c r="K753" s="62"/>
      <c r="L753" s="57"/>
      <c r="M753" s="62"/>
      <c r="N753" s="371"/>
      <c r="O753" s="57"/>
      <c r="P753" s="57"/>
      <c r="Q753" s="62"/>
      <c r="R753" s="372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</row>
    <row r="754">
      <c r="A754" s="366"/>
      <c r="B754" s="367"/>
      <c r="C754" s="368"/>
      <c r="D754" s="368"/>
      <c r="E754" s="368"/>
      <c r="F754" s="368"/>
      <c r="G754" s="369"/>
      <c r="H754" s="370"/>
      <c r="I754" s="370"/>
      <c r="J754" s="369"/>
      <c r="K754" s="62"/>
      <c r="L754" s="57"/>
      <c r="M754" s="62"/>
      <c r="N754" s="371"/>
      <c r="O754" s="57"/>
      <c r="P754" s="57"/>
      <c r="Q754" s="62"/>
      <c r="R754" s="372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</row>
    <row r="755">
      <c r="A755" s="366"/>
      <c r="B755" s="367"/>
      <c r="C755" s="368"/>
      <c r="D755" s="368"/>
      <c r="E755" s="368"/>
      <c r="F755" s="368"/>
      <c r="G755" s="369"/>
      <c r="H755" s="370"/>
      <c r="I755" s="370"/>
      <c r="J755" s="369"/>
      <c r="K755" s="62"/>
      <c r="L755" s="57"/>
      <c r="M755" s="62"/>
      <c r="N755" s="371"/>
      <c r="O755" s="57"/>
      <c r="P755" s="57"/>
      <c r="Q755" s="62"/>
      <c r="R755" s="372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</row>
    <row r="756">
      <c r="A756" s="366"/>
      <c r="B756" s="367"/>
      <c r="C756" s="368"/>
      <c r="D756" s="368"/>
      <c r="E756" s="368"/>
      <c r="F756" s="368"/>
      <c r="G756" s="369"/>
      <c r="H756" s="370"/>
      <c r="I756" s="370"/>
      <c r="J756" s="369"/>
      <c r="K756" s="62"/>
      <c r="L756" s="57"/>
      <c r="M756" s="62"/>
      <c r="N756" s="371"/>
      <c r="O756" s="57"/>
      <c r="P756" s="57"/>
      <c r="Q756" s="62"/>
      <c r="R756" s="372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</row>
    <row r="757">
      <c r="A757" s="366"/>
      <c r="B757" s="367"/>
      <c r="C757" s="368"/>
      <c r="D757" s="368"/>
      <c r="E757" s="368"/>
      <c r="F757" s="368"/>
      <c r="G757" s="369"/>
      <c r="H757" s="370"/>
      <c r="I757" s="370"/>
      <c r="J757" s="369"/>
      <c r="K757" s="62"/>
      <c r="L757" s="57"/>
      <c r="M757" s="62"/>
      <c r="N757" s="371"/>
      <c r="O757" s="57"/>
      <c r="P757" s="57"/>
      <c r="Q757" s="62"/>
      <c r="R757" s="372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</row>
    <row r="758">
      <c r="A758" s="366"/>
      <c r="B758" s="367"/>
      <c r="C758" s="368"/>
      <c r="D758" s="368"/>
      <c r="E758" s="368"/>
      <c r="F758" s="368"/>
      <c r="G758" s="369"/>
      <c r="H758" s="370"/>
      <c r="I758" s="370"/>
      <c r="J758" s="369"/>
      <c r="K758" s="62"/>
      <c r="L758" s="57"/>
      <c r="M758" s="62"/>
      <c r="N758" s="371"/>
      <c r="O758" s="57"/>
      <c r="P758" s="57"/>
      <c r="Q758" s="62"/>
      <c r="R758" s="372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</row>
    <row r="759">
      <c r="A759" s="366"/>
      <c r="B759" s="367"/>
      <c r="C759" s="368"/>
      <c r="D759" s="368"/>
      <c r="E759" s="368"/>
      <c r="F759" s="368"/>
      <c r="G759" s="369"/>
      <c r="H759" s="370"/>
      <c r="I759" s="370"/>
      <c r="J759" s="369"/>
      <c r="K759" s="62"/>
      <c r="L759" s="57"/>
      <c r="M759" s="62"/>
      <c r="N759" s="371"/>
      <c r="O759" s="57"/>
      <c r="P759" s="57"/>
      <c r="Q759" s="62"/>
      <c r="R759" s="372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</row>
    <row r="760">
      <c r="A760" s="366"/>
      <c r="B760" s="367"/>
      <c r="C760" s="368"/>
      <c r="D760" s="368"/>
      <c r="E760" s="368"/>
      <c r="F760" s="368"/>
      <c r="G760" s="369"/>
      <c r="H760" s="370"/>
      <c r="I760" s="370"/>
      <c r="J760" s="369"/>
      <c r="K760" s="62"/>
      <c r="L760" s="57"/>
      <c r="M760" s="62"/>
      <c r="N760" s="371"/>
      <c r="O760" s="57"/>
      <c r="P760" s="57"/>
      <c r="Q760" s="62"/>
      <c r="R760" s="372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</row>
    <row r="761">
      <c r="A761" s="366"/>
      <c r="B761" s="367"/>
      <c r="C761" s="368"/>
      <c r="D761" s="368"/>
      <c r="E761" s="368"/>
      <c r="F761" s="368"/>
      <c r="G761" s="369"/>
      <c r="H761" s="370"/>
      <c r="I761" s="370"/>
      <c r="J761" s="369"/>
      <c r="K761" s="62"/>
      <c r="L761" s="57"/>
      <c r="M761" s="62"/>
      <c r="N761" s="371"/>
      <c r="O761" s="57"/>
      <c r="P761" s="57"/>
      <c r="Q761" s="62"/>
      <c r="R761" s="372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</row>
    <row r="762">
      <c r="A762" s="366"/>
      <c r="B762" s="367"/>
      <c r="C762" s="368"/>
      <c r="D762" s="368"/>
      <c r="E762" s="368"/>
      <c r="F762" s="368"/>
      <c r="G762" s="369"/>
      <c r="H762" s="370"/>
      <c r="I762" s="370"/>
      <c r="J762" s="369"/>
      <c r="K762" s="62"/>
      <c r="L762" s="57"/>
      <c r="M762" s="62"/>
      <c r="N762" s="371"/>
      <c r="O762" s="57"/>
      <c r="P762" s="57"/>
      <c r="Q762" s="62"/>
      <c r="R762" s="372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</row>
    <row r="763">
      <c r="A763" s="366"/>
      <c r="B763" s="367"/>
      <c r="C763" s="368"/>
      <c r="D763" s="368"/>
      <c r="E763" s="368"/>
      <c r="F763" s="368"/>
      <c r="G763" s="369"/>
      <c r="H763" s="370"/>
      <c r="I763" s="370"/>
      <c r="J763" s="369"/>
      <c r="K763" s="62"/>
      <c r="L763" s="57"/>
      <c r="M763" s="62"/>
      <c r="N763" s="371"/>
      <c r="O763" s="57"/>
      <c r="P763" s="57"/>
      <c r="Q763" s="62"/>
      <c r="R763" s="372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</row>
    <row r="764">
      <c r="A764" s="366"/>
      <c r="B764" s="367"/>
      <c r="C764" s="368"/>
      <c r="D764" s="368"/>
      <c r="E764" s="368"/>
      <c r="F764" s="368"/>
      <c r="G764" s="369"/>
      <c r="H764" s="370"/>
      <c r="I764" s="370"/>
      <c r="J764" s="369"/>
      <c r="K764" s="62"/>
      <c r="L764" s="57"/>
      <c r="M764" s="62"/>
      <c r="N764" s="371"/>
      <c r="O764" s="57"/>
      <c r="P764" s="57"/>
      <c r="Q764" s="62"/>
      <c r="R764" s="372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</row>
    <row r="765">
      <c r="A765" s="366"/>
      <c r="B765" s="367"/>
      <c r="C765" s="368"/>
      <c r="D765" s="368"/>
      <c r="E765" s="368"/>
      <c r="F765" s="368"/>
      <c r="G765" s="369"/>
      <c r="H765" s="370"/>
      <c r="I765" s="370"/>
      <c r="J765" s="369"/>
      <c r="K765" s="62"/>
      <c r="L765" s="57"/>
      <c r="M765" s="62"/>
      <c r="N765" s="371"/>
      <c r="O765" s="57"/>
      <c r="P765" s="57"/>
      <c r="Q765" s="62"/>
      <c r="R765" s="372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</row>
    <row r="766">
      <c r="A766" s="366"/>
      <c r="B766" s="367"/>
      <c r="C766" s="368"/>
      <c r="D766" s="368"/>
      <c r="E766" s="368"/>
      <c r="F766" s="368"/>
      <c r="G766" s="369"/>
      <c r="H766" s="370"/>
      <c r="I766" s="370"/>
      <c r="J766" s="369"/>
      <c r="K766" s="62"/>
      <c r="L766" s="57"/>
      <c r="M766" s="62"/>
      <c r="N766" s="371"/>
      <c r="O766" s="57"/>
      <c r="P766" s="57"/>
      <c r="Q766" s="62"/>
      <c r="R766" s="372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</row>
    <row r="767">
      <c r="A767" s="366"/>
      <c r="B767" s="367"/>
      <c r="C767" s="368"/>
      <c r="D767" s="368"/>
      <c r="E767" s="368"/>
      <c r="F767" s="368"/>
      <c r="G767" s="369"/>
      <c r="H767" s="370"/>
      <c r="I767" s="370"/>
      <c r="J767" s="369"/>
      <c r="K767" s="62"/>
      <c r="L767" s="57"/>
      <c r="M767" s="62"/>
      <c r="N767" s="371"/>
      <c r="O767" s="57"/>
      <c r="P767" s="57"/>
      <c r="Q767" s="62"/>
      <c r="R767" s="372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</row>
    <row r="768">
      <c r="A768" s="366"/>
      <c r="B768" s="367"/>
      <c r="C768" s="368"/>
      <c r="D768" s="368"/>
      <c r="E768" s="368"/>
      <c r="F768" s="368"/>
      <c r="G768" s="369"/>
      <c r="H768" s="370"/>
      <c r="I768" s="370"/>
      <c r="J768" s="369"/>
      <c r="K768" s="62"/>
      <c r="L768" s="57"/>
      <c r="M768" s="62"/>
      <c r="N768" s="371"/>
      <c r="O768" s="57"/>
      <c r="P768" s="57"/>
      <c r="Q768" s="62"/>
      <c r="R768" s="372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</row>
    <row r="769">
      <c r="A769" s="366"/>
      <c r="B769" s="367"/>
      <c r="C769" s="368"/>
      <c r="D769" s="368"/>
      <c r="E769" s="368"/>
      <c r="F769" s="368"/>
      <c r="G769" s="369"/>
      <c r="H769" s="370"/>
      <c r="I769" s="370"/>
      <c r="J769" s="369"/>
      <c r="K769" s="62"/>
      <c r="L769" s="57"/>
      <c r="M769" s="62"/>
      <c r="N769" s="371"/>
      <c r="O769" s="57"/>
      <c r="P769" s="57"/>
      <c r="Q769" s="62"/>
      <c r="R769" s="372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</row>
    <row r="770">
      <c r="A770" s="366"/>
      <c r="B770" s="367"/>
      <c r="C770" s="368"/>
      <c r="D770" s="368"/>
      <c r="E770" s="368"/>
      <c r="F770" s="368"/>
      <c r="G770" s="369"/>
      <c r="H770" s="370"/>
      <c r="I770" s="370"/>
      <c r="J770" s="369"/>
      <c r="K770" s="62"/>
      <c r="L770" s="57"/>
      <c r="M770" s="62"/>
      <c r="N770" s="371"/>
      <c r="O770" s="57"/>
      <c r="P770" s="57"/>
      <c r="Q770" s="62"/>
      <c r="R770" s="372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</row>
    <row r="771">
      <c r="A771" s="366"/>
      <c r="B771" s="367"/>
      <c r="C771" s="368"/>
      <c r="D771" s="368"/>
      <c r="E771" s="368"/>
      <c r="F771" s="368"/>
      <c r="G771" s="369"/>
      <c r="H771" s="370"/>
      <c r="I771" s="370"/>
      <c r="J771" s="369"/>
      <c r="K771" s="62"/>
      <c r="L771" s="57"/>
      <c r="M771" s="62"/>
      <c r="N771" s="371"/>
      <c r="O771" s="57"/>
      <c r="P771" s="57"/>
      <c r="Q771" s="62"/>
      <c r="R771" s="372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</row>
    <row r="772">
      <c r="A772" s="366"/>
      <c r="B772" s="367"/>
      <c r="C772" s="368"/>
      <c r="D772" s="368"/>
      <c r="E772" s="368"/>
      <c r="F772" s="368"/>
      <c r="G772" s="369"/>
      <c r="H772" s="370"/>
      <c r="I772" s="370"/>
      <c r="J772" s="369"/>
      <c r="K772" s="62"/>
      <c r="L772" s="57"/>
      <c r="M772" s="62"/>
      <c r="N772" s="371"/>
      <c r="O772" s="57"/>
      <c r="P772" s="57"/>
      <c r="Q772" s="62"/>
      <c r="R772" s="372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</row>
    <row r="773">
      <c r="A773" s="366"/>
      <c r="B773" s="367"/>
      <c r="C773" s="368"/>
      <c r="D773" s="368"/>
      <c r="E773" s="368"/>
      <c r="F773" s="368"/>
      <c r="G773" s="369"/>
      <c r="H773" s="370"/>
      <c r="I773" s="370"/>
      <c r="J773" s="369"/>
      <c r="K773" s="62"/>
      <c r="L773" s="57"/>
      <c r="M773" s="62"/>
      <c r="N773" s="371"/>
      <c r="O773" s="57"/>
      <c r="P773" s="57"/>
      <c r="Q773" s="62"/>
      <c r="R773" s="372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</row>
    <row r="774">
      <c r="A774" s="366"/>
      <c r="B774" s="367"/>
      <c r="C774" s="368"/>
      <c r="D774" s="368"/>
      <c r="E774" s="368"/>
      <c r="F774" s="368"/>
      <c r="G774" s="369"/>
      <c r="H774" s="370"/>
      <c r="I774" s="370"/>
      <c r="J774" s="369"/>
      <c r="K774" s="62"/>
      <c r="L774" s="57"/>
      <c r="M774" s="62"/>
      <c r="N774" s="371"/>
      <c r="O774" s="57"/>
      <c r="P774" s="57"/>
      <c r="Q774" s="62"/>
      <c r="R774" s="372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</row>
    <row r="775">
      <c r="A775" s="366"/>
      <c r="B775" s="367"/>
      <c r="C775" s="368"/>
      <c r="D775" s="368"/>
      <c r="E775" s="368"/>
      <c r="F775" s="368"/>
      <c r="G775" s="369"/>
      <c r="H775" s="370"/>
      <c r="I775" s="370"/>
      <c r="J775" s="369"/>
      <c r="K775" s="62"/>
      <c r="L775" s="57"/>
      <c r="M775" s="62"/>
      <c r="N775" s="371"/>
      <c r="O775" s="57"/>
      <c r="P775" s="57"/>
      <c r="Q775" s="62"/>
      <c r="R775" s="372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</row>
    <row r="776">
      <c r="A776" s="366"/>
      <c r="B776" s="367"/>
      <c r="C776" s="368"/>
      <c r="D776" s="368"/>
      <c r="E776" s="368"/>
      <c r="F776" s="368"/>
      <c r="G776" s="369"/>
      <c r="H776" s="370"/>
      <c r="I776" s="370"/>
      <c r="J776" s="369"/>
      <c r="K776" s="62"/>
      <c r="L776" s="57"/>
      <c r="M776" s="62"/>
      <c r="N776" s="371"/>
      <c r="O776" s="57"/>
      <c r="P776" s="57"/>
      <c r="Q776" s="62"/>
      <c r="R776" s="372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</row>
    <row r="777">
      <c r="A777" s="366"/>
      <c r="B777" s="367"/>
      <c r="C777" s="368"/>
      <c r="D777" s="368"/>
      <c r="E777" s="368"/>
      <c r="F777" s="368"/>
      <c r="G777" s="369"/>
      <c r="H777" s="370"/>
      <c r="I777" s="370"/>
      <c r="J777" s="369"/>
      <c r="K777" s="62"/>
      <c r="L777" s="57"/>
      <c r="M777" s="62"/>
      <c r="N777" s="371"/>
      <c r="O777" s="57"/>
      <c r="P777" s="57"/>
      <c r="Q777" s="62"/>
      <c r="R777" s="372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</row>
    <row r="778">
      <c r="A778" s="366"/>
      <c r="B778" s="367"/>
      <c r="C778" s="368"/>
      <c r="D778" s="368"/>
      <c r="E778" s="368"/>
      <c r="F778" s="368"/>
      <c r="G778" s="369"/>
      <c r="H778" s="370"/>
      <c r="I778" s="370"/>
      <c r="J778" s="369"/>
      <c r="K778" s="62"/>
      <c r="L778" s="57"/>
      <c r="M778" s="62"/>
      <c r="N778" s="371"/>
      <c r="O778" s="57"/>
      <c r="P778" s="57"/>
      <c r="Q778" s="62"/>
      <c r="R778" s="372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</row>
    <row r="779">
      <c r="A779" s="366"/>
      <c r="B779" s="367"/>
      <c r="C779" s="368"/>
      <c r="D779" s="368"/>
      <c r="E779" s="368"/>
      <c r="F779" s="368"/>
      <c r="G779" s="369"/>
      <c r="H779" s="370"/>
      <c r="I779" s="370"/>
      <c r="J779" s="369"/>
      <c r="K779" s="62"/>
      <c r="L779" s="57"/>
      <c r="M779" s="62"/>
      <c r="N779" s="371"/>
      <c r="O779" s="57"/>
      <c r="P779" s="57"/>
      <c r="Q779" s="62"/>
      <c r="R779" s="372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</row>
    <row r="780">
      <c r="A780" s="366"/>
      <c r="B780" s="367"/>
      <c r="C780" s="368"/>
      <c r="D780" s="368"/>
      <c r="E780" s="368"/>
      <c r="F780" s="368"/>
      <c r="G780" s="369"/>
      <c r="H780" s="370"/>
      <c r="I780" s="370"/>
      <c r="J780" s="369"/>
      <c r="K780" s="62"/>
      <c r="L780" s="57"/>
      <c r="M780" s="62"/>
      <c r="N780" s="371"/>
      <c r="O780" s="57"/>
      <c r="P780" s="57"/>
      <c r="Q780" s="62"/>
      <c r="R780" s="372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</row>
    <row r="781">
      <c r="A781" s="366"/>
      <c r="B781" s="367"/>
      <c r="C781" s="368"/>
      <c r="D781" s="368"/>
      <c r="E781" s="368"/>
      <c r="F781" s="368"/>
      <c r="G781" s="369"/>
      <c r="H781" s="370"/>
      <c r="I781" s="370"/>
      <c r="J781" s="369"/>
      <c r="K781" s="62"/>
      <c r="L781" s="57"/>
      <c r="M781" s="62"/>
      <c r="N781" s="371"/>
      <c r="O781" s="57"/>
      <c r="P781" s="57"/>
      <c r="Q781" s="62"/>
      <c r="R781" s="372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</row>
    <row r="782">
      <c r="A782" s="366"/>
      <c r="B782" s="367"/>
      <c r="C782" s="368"/>
      <c r="D782" s="368"/>
      <c r="E782" s="368"/>
      <c r="F782" s="368"/>
      <c r="G782" s="369"/>
      <c r="H782" s="370"/>
      <c r="I782" s="370"/>
      <c r="J782" s="369"/>
      <c r="K782" s="62"/>
      <c r="L782" s="57"/>
      <c r="M782" s="62"/>
      <c r="N782" s="371"/>
      <c r="O782" s="57"/>
      <c r="P782" s="57"/>
      <c r="Q782" s="62"/>
      <c r="R782" s="372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</row>
    <row r="783">
      <c r="A783" s="366"/>
      <c r="B783" s="367"/>
      <c r="C783" s="368"/>
      <c r="D783" s="368"/>
      <c r="E783" s="368"/>
      <c r="F783" s="368"/>
      <c r="G783" s="369"/>
      <c r="H783" s="370"/>
      <c r="I783" s="370"/>
      <c r="J783" s="369"/>
      <c r="K783" s="62"/>
      <c r="L783" s="57"/>
      <c r="M783" s="62"/>
      <c r="N783" s="371"/>
      <c r="O783" s="57"/>
      <c r="P783" s="57"/>
      <c r="Q783" s="62"/>
      <c r="R783" s="372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</row>
    <row r="784">
      <c r="A784" s="366"/>
      <c r="B784" s="367"/>
      <c r="C784" s="368"/>
      <c r="D784" s="368"/>
      <c r="E784" s="368"/>
      <c r="F784" s="368"/>
      <c r="G784" s="369"/>
      <c r="H784" s="370"/>
      <c r="I784" s="370"/>
      <c r="J784" s="369"/>
      <c r="K784" s="62"/>
      <c r="L784" s="57"/>
      <c r="M784" s="62"/>
      <c r="N784" s="371"/>
      <c r="O784" s="57"/>
      <c r="P784" s="57"/>
      <c r="Q784" s="62"/>
      <c r="R784" s="372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</row>
    <row r="785">
      <c r="A785" s="366"/>
      <c r="B785" s="367"/>
      <c r="C785" s="368"/>
      <c r="D785" s="368"/>
      <c r="E785" s="368"/>
      <c r="F785" s="368"/>
      <c r="G785" s="369"/>
      <c r="H785" s="370"/>
      <c r="I785" s="370"/>
      <c r="J785" s="369"/>
      <c r="K785" s="62"/>
      <c r="L785" s="57"/>
      <c r="M785" s="62"/>
      <c r="N785" s="371"/>
      <c r="O785" s="57"/>
      <c r="P785" s="57"/>
      <c r="Q785" s="62"/>
      <c r="R785" s="372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</row>
    <row r="786">
      <c r="A786" s="366"/>
      <c r="B786" s="367"/>
      <c r="C786" s="368"/>
      <c r="D786" s="368"/>
      <c r="E786" s="368"/>
      <c r="F786" s="368"/>
      <c r="G786" s="369"/>
      <c r="H786" s="370"/>
      <c r="I786" s="370"/>
      <c r="J786" s="369"/>
      <c r="K786" s="62"/>
      <c r="L786" s="57"/>
      <c r="M786" s="62"/>
      <c r="N786" s="371"/>
      <c r="O786" s="57"/>
      <c r="P786" s="57"/>
      <c r="Q786" s="62"/>
      <c r="R786" s="372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</row>
    <row r="787">
      <c r="A787" s="366"/>
      <c r="B787" s="367"/>
      <c r="C787" s="368"/>
      <c r="D787" s="368"/>
      <c r="E787" s="368"/>
      <c r="F787" s="368"/>
      <c r="G787" s="369"/>
      <c r="H787" s="370"/>
      <c r="I787" s="370"/>
      <c r="J787" s="369"/>
      <c r="K787" s="62"/>
      <c r="L787" s="57"/>
      <c r="M787" s="62"/>
      <c r="N787" s="371"/>
      <c r="O787" s="57"/>
      <c r="P787" s="57"/>
      <c r="Q787" s="62"/>
      <c r="R787" s="372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</row>
    <row r="788">
      <c r="A788" s="366"/>
      <c r="B788" s="367"/>
      <c r="C788" s="368"/>
      <c r="D788" s="368"/>
      <c r="E788" s="368"/>
      <c r="F788" s="368"/>
      <c r="G788" s="369"/>
      <c r="H788" s="370"/>
      <c r="I788" s="370"/>
      <c r="J788" s="369"/>
      <c r="K788" s="62"/>
      <c r="L788" s="57"/>
      <c r="M788" s="62"/>
      <c r="N788" s="371"/>
      <c r="O788" s="57"/>
      <c r="P788" s="57"/>
      <c r="Q788" s="62"/>
      <c r="R788" s="372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</row>
    <row r="789">
      <c r="A789" s="366"/>
      <c r="B789" s="367"/>
      <c r="C789" s="368"/>
      <c r="D789" s="368"/>
      <c r="E789" s="368"/>
      <c r="F789" s="368"/>
      <c r="G789" s="369"/>
      <c r="H789" s="370"/>
      <c r="I789" s="370"/>
      <c r="J789" s="369"/>
      <c r="K789" s="62"/>
      <c r="L789" s="57"/>
      <c r="M789" s="62"/>
      <c r="N789" s="371"/>
      <c r="O789" s="57"/>
      <c r="P789" s="57"/>
      <c r="Q789" s="62"/>
      <c r="R789" s="372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</row>
    <row r="790">
      <c r="A790" s="366"/>
      <c r="B790" s="367"/>
      <c r="C790" s="368"/>
      <c r="D790" s="368"/>
      <c r="E790" s="368"/>
      <c r="F790" s="368"/>
      <c r="G790" s="369"/>
      <c r="H790" s="370"/>
      <c r="I790" s="370"/>
      <c r="J790" s="369"/>
      <c r="K790" s="62"/>
      <c r="L790" s="57"/>
      <c r="M790" s="62"/>
      <c r="N790" s="371"/>
      <c r="O790" s="57"/>
      <c r="P790" s="57"/>
      <c r="Q790" s="62"/>
      <c r="R790" s="372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</row>
    <row r="791">
      <c r="A791" s="366"/>
      <c r="B791" s="367"/>
      <c r="C791" s="368"/>
      <c r="D791" s="368"/>
      <c r="E791" s="368"/>
      <c r="F791" s="368"/>
      <c r="G791" s="369"/>
      <c r="H791" s="370"/>
      <c r="I791" s="370"/>
      <c r="J791" s="369"/>
      <c r="K791" s="62"/>
      <c r="L791" s="57"/>
      <c r="M791" s="62"/>
      <c r="N791" s="371"/>
      <c r="O791" s="57"/>
      <c r="P791" s="57"/>
      <c r="Q791" s="62"/>
      <c r="R791" s="372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</row>
    <row r="792">
      <c r="A792" s="366"/>
      <c r="B792" s="367"/>
      <c r="C792" s="368"/>
      <c r="D792" s="368"/>
      <c r="E792" s="368"/>
      <c r="F792" s="368"/>
      <c r="G792" s="369"/>
      <c r="H792" s="370"/>
      <c r="I792" s="370"/>
      <c r="J792" s="369"/>
      <c r="K792" s="62"/>
      <c r="L792" s="57"/>
      <c r="M792" s="62"/>
      <c r="N792" s="371"/>
      <c r="O792" s="57"/>
      <c r="P792" s="57"/>
      <c r="Q792" s="62"/>
      <c r="R792" s="372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</row>
    <row r="793">
      <c r="A793" s="366"/>
      <c r="B793" s="367"/>
      <c r="C793" s="368"/>
      <c r="D793" s="368"/>
      <c r="E793" s="368"/>
      <c r="F793" s="368"/>
      <c r="G793" s="369"/>
      <c r="H793" s="370"/>
      <c r="I793" s="370"/>
      <c r="J793" s="369"/>
      <c r="K793" s="62"/>
      <c r="L793" s="57"/>
      <c r="M793" s="62"/>
      <c r="N793" s="371"/>
      <c r="O793" s="57"/>
      <c r="P793" s="57"/>
      <c r="Q793" s="62"/>
      <c r="R793" s="372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</row>
    <row r="794">
      <c r="A794" s="366"/>
      <c r="B794" s="367"/>
      <c r="C794" s="368"/>
      <c r="D794" s="368"/>
      <c r="E794" s="368"/>
      <c r="F794" s="368"/>
      <c r="G794" s="369"/>
      <c r="H794" s="370"/>
      <c r="I794" s="370"/>
      <c r="J794" s="369"/>
      <c r="K794" s="62"/>
      <c r="L794" s="57"/>
      <c r="M794" s="62"/>
      <c r="N794" s="371"/>
      <c r="O794" s="57"/>
      <c r="P794" s="57"/>
      <c r="Q794" s="62"/>
      <c r="R794" s="372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</row>
    <row r="795">
      <c r="A795" s="366"/>
      <c r="B795" s="367"/>
      <c r="C795" s="368"/>
      <c r="D795" s="368"/>
      <c r="E795" s="368"/>
      <c r="F795" s="368"/>
      <c r="G795" s="369"/>
      <c r="H795" s="370"/>
      <c r="I795" s="370"/>
      <c r="J795" s="369"/>
      <c r="K795" s="62"/>
      <c r="L795" s="57"/>
      <c r="M795" s="62"/>
      <c r="N795" s="371"/>
      <c r="O795" s="57"/>
      <c r="P795" s="57"/>
      <c r="Q795" s="62"/>
      <c r="R795" s="372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</row>
    <row r="796">
      <c r="A796" s="366"/>
      <c r="B796" s="367"/>
      <c r="C796" s="368"/>
      <c r="D796" s="368"/>
      <c r="E796" s="368"/>
      <c r="F796" s="368"/>
      <c r="G796" s="369"/>
      <c r="H796" s="370"/>
      <c r="I796" s="370"/>
      <c r="J796" s="369"/>
      <c r="K796" s="62"/>
      <c r="L796" s="57"/>
      <c r="M796" s="62"/>
      <c r="N796" s="371"/>
      <c r="O796" s="57"/>
      <c r="P796" s="57"/>
      <c r="Q796" s="62"/>
      <c r="R796" s="372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</row>
    <row r="797">
      <c r="A797" s="366"/>
      <c r="B797" s="367"/>
      <c r="C797" s="368"/>
      <c r="D797" s="368"/>
      <c r="E797" s="368"/>
      <c r="F797" s="368"/>
      <c r="G797" s="369"/>
      <c r="H797" s="370"/>
      <c r="I797" s="370"/>
      <c r="J797" s="369"/>
      <c r="K797" s="62"/>
      <c r="L797" s="57"/>
      <c r="M797" s="62"/>
      <c r="N797" s="371"/>
      <c r="O797" s="57"/>
      <c r="P797" s="57"/>
      <c r="Q797" s="62"/>
      <c r="R797" s="372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</row>
    <row r="798">
      <c r="A798" s="366"/>
      <c r="B798" s="367"/>
      <c r="C798" s="368"/>
      <c r="D798" s="368"/>
      <c r="E798" s="368"/>
      <c r="F798" s="368"/>
      <c r="G798" s="369"/>
      <c r="H798" s="370"/>
      <c r="I798" s="370"/>
      <c r="J798" s="369"/>
      <c r="K798" s="62"/>
      <c r="L798" s="57"/>
      <c r="M798" s="62"/>
      <c r="N798" s="371"/>
      <c r="O798" s="57"/>
      <c r="P798" s="57"/>
      <c r="Q798" s="62"/>
      <c r="R798" s="372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</row>
    <row r="799">
      <c r="A799" s="366"/>
      <c r="B799" s="367"/>
      <c r="C799" s="368"/>
      <c r="D799" s="368"/>
      <c r="E799" s="368"/>
      <c r="F799" s="368"/>
      <c r="G799" s="369"/>
      <c r="H799" s="370"/>
      <c r="I799" s="370"/>
      <c r="J799" s="369"/>
      <c r="K799" s="62"/>
      <c r="L799" s="57"/>
      <c r="M799" s="62"/>
      <c r="N799" s="371"/>
      <c r="O799" s="57"/>
      <c r="P799" s="57"/>
      <c r="Q799" s="62"/>
      <c r="R799" s="372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</row>
    <row r="800">
      <c r="A800" s="366"/>
      <c r="B800" s="367"/>
      <c r="C800" s="368"/>
      <c r="D800" s="368"/>
      <c r="E800" s="368"/>
      <c r="F800" s="368"/>
      <c r="G800" s="369"/>
      <c r="H800" s="370"/>
      <c r="I800" s="370"/>
      <c r="J800" s="369"/>
      <c r="K800" s="62"/>
      <c r="L800" s="57"/>
      <c r="M800" s="62"/>
      <c r="N800" s="371"/>
      <c r="O800" s="57"/>
      <c r="P800" s="57"/>
      <c r="Q800" s="62"/>
      <c r="R800" s="372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</row>
    <row r="801">
      <c r="A801" s="366"/>
      <c r="B801" s="367"/>
      <c r="C801" s="368"/>
      <c r="D801" s="368"/>
      <c r="E801" s="368"/>
      <c r="F801" s="368"/>
      <c r="G801" s="369"/>
      <c r="H801" s="370"/>
      <c r="I801" s="370"/>
      <c r="J801" s="369"/>
      <c r="K801" s="62"/>
      <c r="L801" s="57"/>
      <c r="M801" s="62"/>
      <c r="N801" s="371"/>
      <c r="O801" s="57"/>
      <c r="P801" s="57"/>
      <c r="Q801" s="62"/>
      <c r="R801" s="372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</row>
    <row r="802">
      <c r="A802" s="366"/>
      <c r="B802" s="367"/>
      <c r="C802" s="368"/>
      <c r="D802" s="368"/>
      <c r="E802" s="368"/>
      <c r="F802" s="368"/>
      <c r="G802" s="369"/>
      <c r="H802" s="370"/>
      <c r="I802" s="370"/>
      <c r="J802" s="369"/>
      <c r="K802" s="62"/>
      <c r="L802" s="57"/>
      <c r="M802" s="62"/>
      <c r="N802" s="371"/>
      <c r="O802" s="57"/>
      <c r="P802" s="57"/>
      <c r="Q802" s="62"/>
      <c r="R802" s="372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</row>
    <row r="803">
      <c r="A803" s="366"/>
      <c r="B803" s="367"/>
      <c r="C803" s="368"/>
      <c r="D803" s="368"/>
      <c r="E803" s="368"/>
      <c r="F803" s="368"/>
      <c r="G803" s="369"/>
      <c r="H803" s="370"/>
      <c r="I803" s="370"/>
      <c r="J803" s="369"/>
      <c r="K803" s="62"/>
      <c r="L803" s="57"/>
      <c r="M803" s="62"/>
      <c r="N803" s="371"/>
      <c r="O803" s="57"/>
      <c r="P803" s="57"/>
      <c r="Q803" s="62"/>
      <c r="R803" s="372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</row>
    <row r="804">
      <c r="A804" s="366"/>
      <c r="B804" s="367"/>
      <c r="C804" s="368"/>
      <c r="D804" s="368"/>
      <c r="E804" s="368"/>
      <c r="F804" s="368"/>
      <c r="G804" s="369"/>
      <c r="H804" s="370"/>
      <c r="I804" s="370"/>
      <c r="J804" s="369"/>
      <c r="K804" s="62"/>
      <c r="L804" s="57"/>
      <c r="M804" s="62"/>
      <c r="N804" s="371"/>
      <c r="O804" s="57"/>
      <c r="P804" s="57"/>
      <c r="Q804" s="62"/>
      <c r="R804" s="372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</row>
    <row r="805">
      <c r="A805" s="366"/>
      <c r="B805" s="367"/>
      <c r="C805" s="368"/>
      <c r="D805" s="368"/>
      <c r="E805" s="368"/>
      <c r="F805" s="368"/>
      <c r="G805" s="369"/>
      <c r="H805" s="370"/>
      <c r="I805" s="370"/>
      <c r="J805" s="369"/>
      <c r="K805" s="62"/>
      <c r="L805" s="57"/>
      <c r="M805" s="62"/>
      <c r="N805" s="371"/>
      <c r="O805" s="57"/>
      <c r="P805" s="57"/>
      <c r="Q805" s="62"/>
      <c r="R805" s="372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</row>
    <row r="806">
      <c r="A806" s="366"/>
      <c r="B806" s="367"/>
      <c r="C806" s="368"/>
      <c r="D806" s="368"/>
      <c r="E806" s="368"/>
      <c r="F806" s="368"/>
      <c r="G806" s="369"/>
      <c r="H806" s="370"/>
      <c r="I806" s="370"/>
      <c r="J806" s="369"/>
      <c r="K806" s="62"/>
      <c r="L806" s="57"/>
      <c r="M806" s="62"/>
      <c r="N806" s="371"/>
      <c r="O806" s="57"/>
      <c r="P806" s="57"/>
      <c r="Q806" s="62"/>
      <c r="R806" s="372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</row>
    <row r="807">
      <c r="A807" s="366"/>
      <c r="B807" s="367"/>
      <c r="C807" s="368"/>
      <c r="D807" s="368"/>
      <c r="E807" s="368"/>
      <c r="F807" s="368"/>
      <c r="G807" s="369"/>
      <c r="H807" s="370"/>
      <c r="I807" s="370"/>
      <c r="J807" s="369"/>
      <c r="K807" s="62"/>
      <c r="L807" s="57"/>
      <c r="M807" s="62"/>
      <c r="N807" s="371"/>
      <c r="O807" s="57"/>
      <c r="P807" s="57"/>
      <c r="Q807" s="62"/>
      <c r="R807" s="372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</row>
    <row r="808">
      <c r="A808" s="366"/>
      <c r="B808" s="367"/>
      <c r="C808" s="368"/>
      <c r="D808" s="368"/>
      <c r="E808" s="368"/>
      <c r="F808" s="368"/>
      <c r="G808" s="369"/>
      <c r="H808" s="370"/>
      <c r="I808" s="370"/>
      <c r="J808" s="369"/>
      <c r="K808" s="62"/>
      <c r="L808" s="57"/>
      <c r="M808" s="62"/>
      <c r="N808" s="371"/>
      <c r="O808" s="57"/>
      <c r="P808" s="57"/>
      <c r="Q808" s="62"/>
      <c r="R808" s="372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</row>
    <row r="809">
      <c r="A809" s="366"/>
      <c r="B809" s="367"/>
      <c r="C809" s="368"/>
      <c r="D809" s="368"/>
      <c r="E809" s="368"/>
      <c r="F809" s="368"/>
      <c r="G809" s="369"/>
      <c r="H809" s="370"/>
      <c r="I809" s="370"/>
      <c r="J809" s="369"/>
      <c r="K809" s="62"/>
      <c r="L809" s="57"/>
      <c r="M809" s="62"/>
      <c r="N809" s="371"/>
      <c r="O809" s="57"/>
      <c r="P809" s="57"/>
      <c r="Q809" s="62"/>
      <c r="R809" s="372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</row>
    <row r="810">
      <c r="A810" s="366"/>
      <c r="B810" s="367"/>
      <c r="C810" s="368"/>
      <c r="D810" s="368"/>
      <c r="E810" s="368"/>
      <c r="F810" s="368"/>
      <c r="G810" s="369"/>
      <c r="H810" s="370"/>
      <c r="I810" s="370"/>
      <c r="J810" s="369"/>
      <c r="K810" s="62"/>
      <c r="L810" s="57"/>
      <c r="M810" s="62"/>
      <c r="N810" s="371"/>
      <c r="O810" s="57"/>
      <c r="P810" s="57"/>
      <c r="Q810" s="62"/>
      <c r="R810" s="372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</row>
    <row r="811">
      <c r="A811" s="366"/>
      <c r="B811" s="367"/>
      <c r="C811" s="368"/>
      <c r="D811" s="368"/>
      <c r="E811" s="368"/>
      <c r="F811" s="368"/>
      <c r="G811" s="369"/>
      <c r="H811" s="370"/>
      <c r="I811" s="370"/>
      <c r="J811" s="369"/>
      <c r="K811" s="62"/>
      <c r="L811" s="57"/>
      <c r="M811" s="62"/>
      <c r="N811" s="371"/>
      <c r="O811" s="57"/>
      <c r="P811" s="57"/>
      <c r="Q811" s="62"/>
      <c r="R811" s="372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</row>
    <row r="812">
      <c r="A812" s="366"/>
      <c r="B812" s="367"/>
      <c r="C812" s="368"/>
      <c r="D812" s="368"/>
      <c r="E812" s="368"/>
      <c r="F812" s="368"/>
      <c r="G812" s="369"/>
      <c r="H812" s="370"/>
      <c r="I812" s="370"/>
      <c r="J812" s="369"/>
      <c r="K812" s="62"/>
      <c r="L812" s="57"/>
      <c r="M812" s="62"/>
      <c r="N812" s="371"/>
      <c r="O812" s="57"/>
      <c r="P812" s="57"/>
      <c r="Q812" s="62"/>
      <c r="R812" s="372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</row>
    <row r="813">
      <c r="A813" s="366"/>
      <c r="B813" s="367"/>
      <c r="C813" s="368"/>
      <c r="D813" s="368"/>
      <c r="E813" s="368"/>
      <c r="F813" s="368"/>
      <c r="G813" s="369"/>
      <c r="H813" s="370"/>
      <c r="I813" s="370"/>
      <c r="J813" s="369"/>
      <c r="K813" s="62"/>
      <c r="L813" s="57"/>
      <c r="M813" s="62"/>
      <c r="N813" s="371"/>
      <c r="O813" s="57"/>
      <c r="P813" s="57"/>
      <c r="Q813" s="62"/>
      <c r="R813" s="372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</row>
    <row r="814">
      <c r="A814" s="366"/>
      <c r="B814" s="367"/>
      <c r="C814" s="368"/>
      <c r="D814" s="368"/>
      <c r="E814" s="368"/>
      <c r="F814" s="368"/>
      <c r="G814" s="369"/>
      <c r="H814" s="370"/>
      <c r="I814" s="370"/>
      <c r="J814" s="369"/>
      <c r="K814" s="62"/>
      <c r="L814" s="57"/>
      <c r="M814" s="62"/>
      <c r="N814" s="371"/>
      <c r="O814" s="57"/>
      <c r="P814" s="57"/>
      <c r="Q814" s="62"/>
      <c r="R814" s="372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</row>
    <row r="815">
      <c r="A815" s="366"/>
      <c r="B815" s="367"/>
      <c r="C815" s="368"/>
      <c r="D815" s="368"/>
      <c r="E815" s="368"/>
      <c r="F815" s="368"/>
      <c r="G815" s="369"/>
      <c r="H815" s="370"/>
      <c r="I815" s="370"/>
      <c r="J815" s="369"/>
      <c r="K815" s="62"/>
      <c r="L815" s="57"/>
      <c r="M815" s="62"/>
      <c r="N815" s="371"/>
      <c r="O815" s="57"/>
      <c r="P815" s="57"/>
      <c r="Q815" s="62"/>
      <c r="R815" s="372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</row>
    <row r="816">
      <c r="A816" s="366"/>
      <c r="B816" s="367"/>
      <c r="C816" s="368"/>
      <c r="D816" s="368"/>
      <c r="E816" s="368"/>
      <c r="F816" s="368"/>
      <c r="G816" s="369"/>
      <c r="H816" s="370"/>
      <c r="I816" s="370"/>
      <c r="J816" s="369"/>
      <c r="K816" s="62"/>
      <c r="L816" s="57"/>
      <c r="M816" s="62"/>
      <c r="N816" s="371"/>
      <c r="O816" s="57"/>
      <c r="P816" s="57"/>
      <c r="Q816" s="62"/>
      <c r="R816" s="372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</row>
    <row r="817">
      <c r="A817" s="366"/>
      <c r="B817" s="367"/>
      <c r="C817" s="368"/>
      <c r="D817" s="368"/>
      <c r="E817" s="368"/>
      <c r="F817" s="368"/>
      <c r="G817" s="369"/>
      <c r="H817" s="370"/>
      <c r="I817" s="370"/>
      <c r="J817" s="369"/>
      <c r="K817" s="62"/>
      <c r="L817" s="57"/>
      <c r="M817" s="62"/>
      <c r="N817" s="371"/>
      <c r="O817" s="57"/>
      <c r="P817" s="57"/>
      <c r="Q817" s="62"/>
      <c r="R817" s="372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</row>
    <row r="818">
      <c r="A818" s="366"/>
      <c r="B818" s="367"/>
      <c r="C818" s="368"/>
      <c r="D818" s="368"/>
      <c r="E818" s="368"/>
      <c r="F818" s="368"/>
      <c r="G818" s="369"/>
      <c r="H818" s="370"/>
      <c r="I818" s="370"/>
      <c r="J818" s="369"/>
      <c r="K818" s="62"/>
      <c r="L818" s="57"/>
      <c r="M818" s="62"/>
      <c r="N818" s="371"/>
      <c r="O818" s="57"/>
      <c r="P818" s="57"/>
      <c r="Q818" s="62"/>
      <c r="R818" s="372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</row>
    <row r="819">
      <c r="A819" s="366"/>
      <c r="B819" s="367"/>
      <c r="C819" s="368"/>
      <c r="D819" s="368"/>
      <c r="E819" s="368"/>
      <c r="F819" s="368"/>
      <c r="G819" s="369"/>
      <c r="H819" s="370"/>
      <c r="I819" s="370"/>
      <c r="J819" s="369"/>
      <c r="K819" s="62"/>
      <c r="L819" s="57"/>
      <c r="M819" s="62"/>
      <c r="N819" s="371"/>
      <c r="O819" s="57"/>
      <c r="P819" s="57"/>
      <c r="Q819" s="62"/>
      <c r="R819" s="372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</row>
    <row r="820">
      <c r="A820" s="366"/>
      <c r="B820" s="367"/>
      <c r="C820" s="368"/>
      <c r="D820" s="368"/>
      <c r="E820" s="368"/>
      <c r="F820" s="368"/>
      <c r="G820" s="369"/>
      <c r="H820" s="370"/>
      <c r="I820" s="370"/>
      <c r="J820" s="369"/>
      <c r="K820" s="62"/>
      <c r="L820" s="57"/>
      <c r="M820" s="62"/>
      <c r="N820" s="371"/>
      <c r="O820" s="57"/>
      <c r="P820" s="57"/>
      <c r="Q820" s="62"/>
      <c r="R820" s="372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</row>
    <row r="821">
      <c r="A821" s="366"/>
      <c r="B821" s="367"/>
      <c r="C821" s="368"/>
      <c r="D821" s="368"/>
      <c r="E821" s="368"/>
      <c r="F821" s="368"/>
      <c r="G821" s="369"/>
      <c r="H821" s="370"/>
      <c r="I821" s="370"/>
      <c r="J821" s="369"/>
      <c r="K821" s="62"/>
      <c r="L821" s="57"/>
      <c r="M821" s="62"/>
      <c r="N821" s="371"/>
      <c r="O821" s="57"/>
      <c r="P821" s="57"/>
      <c r="Q821" s="62"/>
      <c r="R821" s="372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</row>
    <row r="822">
      <c r="A822" s="366"/>
      <c r="B822" s="367"/>
      <c r="C822" s="368"/>
      <c r="D822" s="368"/>
      <c r="E822" s="368"/>
      <c r="F822" s="368"/>
      <c r="G822" s="369"/>
      <c r="H822" s="370"/>
      <c r="I822" s="370"/>
      <c r="J822" s="369"/>
      <c r="K822" s="62"/>
      <c r="L822" s="57"/>
      <c r="M822" s="62"/>
      <c r="N822" s="371"/>
      <c r="O822" s="57"/>
      <c r="P822" s="57"/>
      <c r="Q822" s="62"/>
      <c r="R822" s="372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</row>
    <row r="823">
      <c r="A823" s="366"/>
      <c r="B823" s="367"/>
      <c r="C823" s="368"/>
      <c r="D823" s="368"/>
      <c r="E823" s="368"/>
      <c r="F823" s="368"/>
      <c r="G823" s="369"/>
      <c r="H823" s="370"/>
      <c r="I823" s="370"/>
      <c r="J823" s="369"/>
      <c r="K823" s="62"/>
      <c r="L823" s="57"/>
      <c r="M823" s="62"/>
      <c r="N823" s="371"/>
      <c r="O823" s="57"/>
      <c r="P823" s="57"/>
      <c r="Q823" s="62"/>
      <c r="R823" s="372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</row>
    <row r="824">
      <c r="A824" s="366"/>
      <c r="B824" s="367"/>
      <c r="C824" s="368"/>
      <c r="D824" s="368"/>
      <c r="E824" s="368"/>
      <c r="F824" s="368"/>
      <c r="G824" s="369"/>
      <c r="H824" s="370"/>
      <c r="I824" s="370"/>
      <c r="J824" s="369"/>
      <c r="K824" s="62"/>
      <c r="L824" s="57"/>
      <c r="M824" s="62"/>
      <c r="N824" s="371"/>
      <c r="O824" s="57"/>
      <c r="P824" s="57"/>
      <c r="Q824" s="62"/>
      <c r="R824" s="372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</row>
    <row r="825">
      <c r="A825" s="366"/>
      <c r="B825" s="367"/>
      <c r="C825" s="368"/>
      <c r="D825" s="368"/>
      <c r="E825" s="368"/>
      <c r="F825" s="368"/>
      <c r="G825" s="369"/>
      <c r="H825" s="370"/>
      <c r="I825" s="370"/>
      <c r="J825" s="369"/>
      <c r="K825" s="62"/>
      <c r="L825" s="57"/>
      <c r="M825" s="62"/>
      <c r="N825" s="371"/>
      <c r="O825" s="57"/>
      <c r="P825" s="57"/>
      <c r="Q825" s="62"/>
      <c r="R825" s="372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</row>
    <row r="826">
      <c r="A826" s="366"/>
      <c r="B826" s="367"/>
      <c r="C826" s="368"/>
      <c r="D826" s="368"/>
      <c r="E826" s="368"/>
      <c r="F826" s="368"/>
      <c r="G826" s="369"/>
      <c r="H826" s="370"/>
      <c r="I826" s="370"/>
      <c r="J826" s="369"/>
      <c r="K826" s="62"/>
      <c r="L826" s="57"/>
      <c r="M826" s="62"/>
      <c r="N826" s="371"/>
      <c r="O826" s="57"/>
      <c r="P826" s="57"/>
      <c r="Q826" s="62"/>
      <c r="R826" s="372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</row>
    <row r="827">
      <c r="A827" s="366"/>
      <c r="B827" s="367"/>
      <c r="C827" s="368"/>
      <c r="D827" s="368"/>
      <c r="E827" s="368"/>
      <c r="F827" s="368"/>
      <c r="G827" s="369"/>
      <c r="H827" s="370"/>
      <c r="I827" s="370"/>
      <c r="J827" s="369"/>
      <c r="K827" s="62"/>
      <c r="L827" s="57"/>
      <c r="M827" s="62"/>
      <c r="N827" s="371"/>
      <c r="O827" s="57"/>
      <c r="P827" s="57"/>
      <c r="Q827" s="62"/>
      <c r="R827" s="372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</row>
    <row r="828">
      <c r="A828" s="366"/>
      <c r="B828" s="367"/>
      <c r="C828" s="368"/>
      <c r="D828" s="368"/>
      <c r="E828" s="368"/>
      <c r="F828" s="368"/>
      <c r="G828" s="369"/>
      <c r="H828" s="370"/>
      <c r="I828" s="370"/>
      <c r="J828" s="369"/>
      <c r="K828" s="62"/>
      <c r="L828" s="57"/>
      <c r="M828" s="62"/>
      <c r="N828" s="371"/>
      <c r="O828" s="57"/>
      <c r="P828" s="57"/>
      <c r="Q828" s="62"/>
      <c r="R828" s="372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</row>
    <row r="829">
      <c r="A829" s="366"/>
      <c r="B829" s="367"/>
      <c r="C829" s="368"/>
      <c r="D829" s="368"/>
      <c r="E829" s="368"/>
      <c r="F829" s="368"/>
      <c r="G829" s="369"/>
      <c r="H829" s="370"/>
      <c r="I829" s="370"/>
      <c r="J829" s="369"/>
      <c r="K829" s="62"/>
      <c r="L829" s="57"/>
      <c r="M829" s="62"/>
      <c r="N829" s="371"/>
      <c r="O829" s="57"/>
      <c r="P829" s="57"/>
      <c r="Q829" s="62"/>
      <c r="R829" s="372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</row>
    <row r="830">
      <c r="A830" s="366"/>
      <c r="B830" s="367"/>
      <c r="C830" s="368"/>
      <c r="D830" s="368"/>
      <c r="E830" s="368"/>
      <c r="F830" s="368"/>
      <c r="G830" s="369"/>
      <c r="H830" s="370"/>
      <c r="I830" s="370"/>
      <c r="J830" s="369"/>
      <c r="K830" s="62"/>
      <c r="L830" s="57"/>
      <c r="M830" s="62"/>
      <c r="N830" s="371"/>
      <c r="O830" s="57"/>
      <c r="P830" s="57"/>
      <c r="Q830" s="62"/>
      <c r="R830" s="372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</row>
    <row r="831">
      <c r="A831" s="366"/>
      <c r="B831" s="367"/>
      <c r="C831" s="368"/>
      <c r="D831" s="368"/>
      <c r="E831" s="368"/>
      <c r="F831" s="368"/>
      <c r="G831" s="369"/>
      <c r="H831" s="370"/>
      <c r="I831" s="370"/>
      <c r="J831" s="369"/>
      <c r="K831" s="62"/>
      <c r="L831" s="57"/>
      <c r="M831" s="62"/>
      <c r="N831" s="371"/>
      <c r="O831" s="57"/>
      <c r="P831" s="57"/>
      <c r="Q831" s="62"/>
      <c r="R831" s="372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</row>
    <row r="832">
      <c r="A832" s="366"/>
      <c r="B832" s="367"/>
      <c r="C832" s="368"/>
      <c r="D832" s="368"/>
      <c r="E832" s="368"/>
      <c r="F832" s="368"/>
      <c r="G832" s="369"/>
      <c r="H832" s="370"/>
      <c r="I832" s="370"/>
      <c r="J832" s="369"/>
      <c r="K832" s="62"/>
      <c r="L832" s="57"/>
      <c r="M832" s="62"/>
      <c r="N832" s="371"/>
      <c r="O832" s="57"/>
      <c r="P832" s="57"/>
      <c r="Q832" s="62"/>
      <c r="R832" s="372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</row>
    <row r="833">
      <c r="A833" s="366"/>
      <c r="B833" s="367"/>
      <c r="C833" s="368"/>
      <c r="D833" s="368"/>
      <c r="E833" s="368"/>
      <c r="F833" s="368"/>
      <c r="G833" s="369"/>
      <c r="H833" s="370"/>
      <c r="I833" s="370"/>
      <c r="J833" s="369"/>
      <c r="K833" s="62"/>
      <c r="L833" s="57"/>
      <c r="M833" s="62"/>
      <c r="N833" s="371"/>
      <c r="O833" s="57"/>
      <c r="P833" s="57"/>
      <c r="Q833" s="62"/>
      <c r="R833" s="372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</row>
    <row r="834">
      <c r="A834" s="366"/>
      <c r="B834" s="367"/>
      <c r="C834" s="368"/>
      <c r="D834" s="368"/>
      <c r="E834" s="368"/>
      <c r="F834" s="368"/>
      <c r="G834" s="369"/>
      <c r="H834" s="370"/>
      <c r="I834" s="370"/>
      <c r="J834" s="369"/>
      <c r="K834" s="62"/>
      <c r="L834" s="57"/>
      <c r="M834" s="62"/>
      <c r="N834" s="371"/>
      <c r="O834" s="57"/>
      <c r="P834" s="57"/>
      <c r="Q834" s="62"/>
      <c r="R834" s="372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</row>
    <row r="835">
      <c r="A835" s="366"/>
      <c r="B835" s="367"/>
      <c r="C835" s="368"/>
      <c r="D835" s="368"/>
      <c r="E835" s="368"/>
      <c r="F835" s="368"/>
      <c r="G835" s="369"/>
      <c r="H835" s="370"/>
      <c r="I835" s="370"/>
      <c r="J835" s="369"/>
      <c r="K835" s="62"/>
      <c r="L835" s="57"/>
      <c r="M835" s="62"/>
      <c r="N835" s="371"/>
      <c r="O835" s="57"/>
      <c r="P835" s="57"/>
      <c r="Q835" s="62"/>
      <c r="R835" s="372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</row>
    <row r="836">
      <c r="A836" s="366"/>
      <c r="B836" s="367"/>
      <c r="C836" s="368"/>
      <c r="D836" s="368"/>
      <c r="E836" s="368"/>
      <c r="F836" s="368"/>
      <c r="G836" s="369"/>
      <c r="H836" s="370"/>
      <c r="I836" s="370"/>
      <c r="J836" s="369"/>
      <c r="K836" s="62"/>
      <c r="L836" s="57"/>
      <c r="M836" s="62"/>
      <c r="N836" s="371"/>
      <c r="O836" s="57"/>
      <c r="P836" s="57"/>
      <c r="Q836" s="62"/>
      <c r="R836" s="372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</row>
    <row r="837">
      <c r="A837" s="366"/>
      <c r="B837" s="367"/>
      <c r="C837" s="368"/>
      <c r="D837" s="368"/>
      <c r="E837" s="368"/>
      <c r="F837" s="368"/>
      <c r="G837" s="369"/>
      <c r="H837" s="370"/>
      <c r="I837" s="370"/>
      <c r="J837" s="369"/>
      <c r="K837" s="62"/>
      <c r="L837" s="57"/>
      <c r="M837" s="62"/>
      <c r="N837" s="371"/>
      <c r="O837" s="57"/>
      <c r="P837" s="57"/>
      <c r="Q837" s="62"/>
      <c r="R837" s="372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</row>
    <row r="838">
      <c r="A838" s="366"/>
      <c r="B838" s="367"/>
      <c r="C838" s="368"/>
      <c r="D838" s="368"/>
      <c r="E838" s="368"/>
      <c r="F838" s="368"/>
      <c r="G838" s="369"/>
      <c r="H838" s="370"/>
      <c r="I838" s="370"/>
      <c r="J838" s="369"/>
      <c r="K838" s="62"/>
      <c r="L838" s="57"/>
      <c r="M838" s="62"/>
      <c r="N838" s="371"/>
      <c r="O838" s="57"/>
      <c r="P838" s="57"/>
      <c r="Q838" s="62"/>
      <c r="R838" s="372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</row>
    <row r="839">
      <c r="A839" s="366"/>
      <c r="B839" s="367"/>
      <c r="C839" s="368"/>
      <c r="D839" s="368"/>
      <c r="E839" s="368"/>
      <c r="F839" s="368"/>
      <c r="G839" s="369"/>
      <c r="H839" s="370"/>
      <c r="I839" s="370"/>
      <c r="J839" s="369"/>
      <c r="K839" s="62"/>
      <c r="L839" s="57"/>
      <c r="M839" s="62"/>
      <c r="N839" s="371"/>
      <c r="O839" s="57"/>
      <c r="P839" s="57"/>
      <c r="Q839" s="62"/>
      <c r="R839" s="372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</row>
    <row r="840">
      <c r="A840" s="366"/>
      <c r="B840" s="367"/>
      <c r="C840" s="368"/>
      <c r="D840" s="368"/>
      <c r="E840" s="368"/>
      <c r="F840" s="368"/>
      <c r="G840" s="369"/>
      <c r="H840" s="370"/>
      <c r="I840" s="370"/>
      <c r="J840" s="369"/>
      <c r="K840" s="62"/>
      <c r="L840" s="57"/>
      <c r="M840" s="62"/>
      <c r="N840" s="371"/>
      <c r="O840" s="57"/>
      <c r="P840" s="57"/>
      <c r="Q840" s="62"/>
      <c r="R840" s="372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</row>
    <row r="841">
      <c r="A841" s="366"/>
      <c r="B841" s="367"/>
      <c r="C841" s="368"/>
      <c r="D841" s="368"/>
      <c r="E841" s="368"/>
      <c r="F841" s="368"/>
      <c r="G841" s="369"/>
      <c r="H841" s="370"/>
      <c r="I841" s="370"/>
      <c r="J841" s="369"/>
      <c r="K841" s="62"/>
      <c r="L841" s="57"/>
      <c r="M841" s="62"/>
      <c r="N841" s="371"/>
      <c r="O841" s="57"/>
      <c r="P841" s="57"/>
      <c r="Q841" s="62"/>
      <c r="R841" s="372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</row>
    <row r="842">
      <c r="A842" s="366"/>
      <c r="B842" s="367"/>
      <c r="C842" s="368"/>
      <c r="D842" s="368"/>
      <c r="E842" s="368"/>
      <c r="F842" s="368"/>
      <c r="G842" s="369"/>
      <c r="H842" s="370"/>
      <c r="I842" s="370"/>
      <c r="J842" s="369"/>
      <c r="K842" s="62"/>
      <c r="L842" s="57"/>
      <c r="M842" s="62"/>
      <c r="N842" s="371"/>
      <c r="O842" s="57"/>
      <c r="P842" s="57"/>
      <c r="Q842" s="62"/>
      <c r="R842" s="372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</row>
    <row r="843">
      <c r="A843" s="366"/>
      <c r="B843" s="367"/>
      <c r="C843" s="368"/>
      <c r="D843" s="368"/>
      <c r="E843" s="368"/>
      <c r="F843" s="368"/>
      <c r="G843" s="369"/>
      <c r="H843" s="370"/>
      <c r="I843" s="370"/>
      <c r="J843" s="369"/>
      <c r="K843" s="62"/>
      <c r="L843" s="57"/>
      <c r="M843" s="62"/>
      <c r="N843" s="371"/>
      <c r="O843" s="57"/>
      <c r="P843" s="57"/>
      <c r="Q843" s="62"/>
      <c r="R843" s="372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</row>
    <row r="844">
      <c r="A844" s="366"/>
      <c r="B844" s="367"/>
      <c r="C844" s="368"/>
      <c r="D844" s="368"/>
      <c r="E844" s="368"/>
      <c r="F844" s="368"/>
      <c r="G844" s="369"/>
      <c r="H844" s="370"/>
      <c r="I844" s="370"/>
      <c r="J844" s="369"/>
      <c r="K844" s="62"/>
      <c r="L844" s="57"/>
      <c r="M844" s="62"/>
      <c r="N844" s="371"/>
      <c r="O844" s="57"/>
      <c r="P844" s="57"/>
      <c r="Q844" s="62"/>
      <c r="R844" s="372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</row>
    <row r="845">
      <c r="A845" s="366"/>
      <c r="B845" s="367"/>
      <c r="C845" s="368"/>
      <c r="D845" s="368"/>
      <c r="E845" s="368"/>
      <c r="F845" s="368"/>
      <c r="G845" s="369"/>
      <c r="H845" s="370"/>
      <c r="I845" s="370"/>
      <c r="J845" s="369"/>
      <c r="K845" s="62"/>
      <c r="L845" s="57"/>
      <c r="M845" s="62"/>
      <c r="N845" s="371"/>
      <c r="O845" s="57"/>
      <c r="P845" s="57"/>
      <c r="Q845" s="62"/>
      <c r="R845" s="372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</row>
    <row r="846">
      <c r="A846" s="366"/>
      <c r="B846" s="367"/>
      <c r="C846" s="368"/>
      <c r="D846" s="368"/>
      <c r="E846" s="368"/>
      <c r="F846" s="368"/>
      <c r="G846" s="369"/>
      <c r="H846" s="370"/>
      <c r="I846" s="370"/>
      <c r="J846" s="369"/>
      <c r="K846" s="62"/>
      <c r="L846" s="57"/>
      <c r="M846" s="62"/>
      <c r="N846" s="371"/>
      <c r="O846" s="57"/>
      <c r="P846" s="57"/>
      <c r="Q846" s="62"/>
      <c r="R846" s="372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</row>
    <row r="847">
      <c r="A847" s="366"/>
      <c r="B847" s="367"/>
      <c r="C847" s="368"/>
      <c r="D847" s="368"/>
      <c r="E847" s="368"/>
      <c r="F847" s="368"/>
      <c r="G847" s="369"/>
      <c r="H847" s="370"/>
      <c r="I847" s="370"/>
      <c r="J847" s="369"/>
      <c r="K847" s="62"/>
      <c r="L847" s="57"/>
      <c r="M847" s="62"/>
      <c r="N847" s="371"/>
      <c r="O847" s="57"/>
      <c r="P847" s="57"/>
      <c r="Q847" s="62"/>
      <c r="R847" s="372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</row>
    <row r="848">
      <c r="A848" s="366"/>
      <c r="B848" s="367"/>
      <c r="C848" s="368"/>
      <c r="D848" s="368"/>
      <c r="E848" s="368"/>
      <c r="F848" s="368"/>
      <c r="G848" s="369"/>
      <c r="H848" s="370"/>
      <c r="I848" s="370"/>
      <c r="J848" s="369"/>
      <c r="K848" s="62"/>
      <c r="L848" s="57"/>
      <c r="M848" s="62"/>
      <c r="N848" s="371"/>
      <c r="O848" s="57"/>
      <c r="P848" s="57"/>
      <c r="Q848" s="62"/>
      <c r="R848" s="372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</row>
    <row r="849">
      <c r="A849" s="366"/>
      <c r="B849" s="367"/>
      <c r="C849" s="368"/>
      <c r="D849" s="368"/>
      <c r="E849" s="368"/>
      <c r="F849" s="368"/>
      <c r="G849" s="369"/>
      <c r="H849" s="370"/>
      <c r="I849" s="370"/>
      <c r="J849" s="369"/>
      <c r="K849" s="62"/>
      <c r="L849" s="57"/>
      <c r="M849" s="62"/>
      <c r="N849" s="371"/>
      <c r="O849" s="57"/>
      <c r="P849" s="57"/>
      <c r="Q849" s="62"/>
      <c r="R849" s="372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</row>
    <row r="850">
      <c r="A850" s="366"/>
      <c r="B850" s="367"/>
      <c r="C850" s="368"/>
      <c r="D850" s="368"/>
      <c r="E850" s="368"/>
      <c r="F850" s="368"/>
      <c r="G850" s="369"/>
      <c r="H850" s="370"/>
      <c r="I850" s="370"/>
      <c r="J850" s="369"/>
      <c r="K850" s="62"/>
      <c r="L850" s="57"/>
      <c r="M850" s="62"/>
      <c r="N850" s="371"/>
      <c r="O850" s="57"/>
      <c r="P850" s="57"/>
      <c r="Q850" s="62"/>
      <c r="R850" s="372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</row>
    <row r="851">
      <c r="A851" s="366"/>
      <c r="B851" s="367"/>
      <c r="C851" s="368"/>
      <c r="D851" s="368"/>
      <c r="E851" s="368"/>
      <c r="F851" s="368"/>
      <c r="G851" s="369"/>
      <c r="H851" s="370"/>
      <c r="I851" s="370"/>
      <c r="J851" s="369"/>
      <c r="K851" s="62"/>
      <c r="L851" s="57"/>
      <c r="M851" s="62"/>
      <c r="N851" s="371"/>
      <c r="O851" s="57"/>
      <c r="P851" s="57"/>
      <c r="Q851" s="62"/>
      <c r="R851" s="372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</row>
    <row r="852">
      <c r="A852" s="366"/>
      <c r="B852" s="367"/>
      <c r="C852" s="368"/>
      <c r="D852" s="368"/>
      <c r="E852" s="368"/>
      <c r="F852" s="368"/>
      <c r="G852" s="369"/>
      <c r="H852" s="370"/>
      <c r="I852" s="370"/>
      <c r="J852" s="369"/>
      <c r="K852" s="62"/>
      <c r="L852" s="57"/>
      <c r="M852" s="62"/>
      <c r="N852" s="371"/>
      <c r="O852" s="57"/>
      <c r="P852" s="57"/>
      <c r="Q852" s="62"/>
      <c r="R852" s="372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</row>
    <row r="853">
      <c r="A853" s="366"/>
      <c r="B853" s="367"/>
      <c r="C853" s="368"/>
      <c r="D853" s="368"/>
      <c r="E853" s="368"/>
      <c r="F853" s="368"/>
      <c r="G853" s="369"/>
      <c r="H853" s="370"/>
      <c r="I853" s="370"/>
      <c r="J853" s="369"/>
      <c r="K853" s="62"/>
      <c r="L853" s="57"/>
      <c r="M853" s="62"/>
      <c r="N853" s="371"/>
      <c r="O853" s="57"/>
      <c r="P853" s="57"/>
      <c r="Q853" s="62"/>
      <c r="R853" s="372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</row>
    <row r="854">
      <c r="A854" s="366"/>
      <c r="B854" s="367"/>
      <c r="C854" s="368"/>
      <c r="D854" s="368"/>
      <c r="E854" s="368"/>
      <c r="F854" s="368"/>
      <c r="G854" s="369"/>
      <c r="H854" s="370"/>
      <c r="I854" s="370"/>
      <c r="J854" s="369"/>
      <c r="K854" s="62"/>
      <c r="L854" s="57"/>
      <c r="M854" s="62"/>
      <c r="N854" s="371"/>
      <c r="O854" s="57"/>
      <c r="P854" s="57"/>
      <c r="Q854" s="62"/>
      <c r="R854" s="372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</row>
    <row r="855">
      <c r="A855" s="366"/>
      <c r="B855" s="367"/>
      <c r="C855" s="368"/>
      <c r="D855" s="368"/>
      <c r="E855" s="368"/>
      <c r="F855" s="368"/>
      <c r="G855" s="369"/>
      <c r="H855" s="370"/>
      <c r="I855" s="370"/>
      <c r="J855" s="369"/>
      <c r="K855" s="62"/>
      <c r="L855" s="57"/>
      <c r="M855" s="62"/>
      <c r="N855" s="371"/>
      <c r="O855" s="57"/>
      <c r="P855" s="57"/>
      <c r="Q855" s="62"/>
      <c r="R855" s="372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</row>
    <row r="856">
      <c r="A856" s="366"/>
      <c r="B856" s="367"/>
      <c r="C856" s="368"/>
      <c r="D856" s="368"/>
      <c r="E856" s="368"/>
      <c r="F856" s="368"/>
      <c r="G856" s="369"/>
      <c r="H856" s="370"/>
      <c r="I856" s="370"/>
      <c r="J856" s="369"/>
      <c r="K856" s="62"/>
      <c r="L856" s="57"/>
      <c r="M856" s="62"/>
      <c r="N856" s="371"/>
      <c r="O856" s="57"/>
      <c r="P856" s="57"/>
      <c r="Q856" s="62"/>
      <c r="R856" s="372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</row>
    <row r="857">
      <c r="A857" s="366"/>
      <c r="B857" s="367"/>
      <c r="C857" s="368"/>
      <c r="D857" s="368"/>
      <c r="E857" s="368"/>
      <c r="F857" s="368"/>
      <c r="G857" s="369"/>
      <c r="H857" s="370"/>
      <c r="I857" s="370"/>
      <c r="J857" s="369"/>
      <c r="K857" s="62"/>
      <c r="L857" s="57"/>
      <c r="M857" s="62"/>
      <c r="N857" s="371"/>
      <c r="O857" s="57"/>
      <c r="P857" s="57"/>
      <c r="Q857" s="62"/>
      <c r="R857" s="372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</row>
    <row r="858">
      <c r="A858" s="366"/>
      <c r="B858" s="367"/>
      <c r="C858" s="368"/>
      <c r="D858" s="368"/>
      <c r="E858" s="368"/>
      <c r="F858" s="368"/>
      <c r="G858" s="369"/>
      <c r="H858" s="370"/>
      <c r="I858" s="370"/>
      <c r="J858" s="369"/>
      <c r="K858" s="62"/>
      <c r="L858" s="57"/>
      <c r="M858" s="62"/>
      <c r="N858" s="371"/>
      <c r="O858" s="57"/>
      <c r="P858" s="57"/>
      <c r="Q858" s="62"/>
      <c r="R858" s="372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</row>
    <row r="859">
      <c r="A859" s="366"/>
      <c r="B859" s="367"/>
      <c r="C859" s="368"/>
      <c r="D859" s="368"/>
      <c r="E859" s="368"/>
      <c r="F859" s="368"/>
      <c r="G859" s="369"/>
      <c r="H859" s="370"/>
      <c r="I859" s="370"/>
      <c r="J859" s="369"/>
      <c r="K859" s="62"/>
      <c r="L859" s="57"/>
      <c r="M859" s="62"/>
      <c r="N859" s="371"/>
      <c r="O859" s="57"/>
      <c r="P859" s="57"/>
      <c r="Q859" s="62"/>
      <c r="R859" s="372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</row>
    <row r="860">
      <c r="A860" s="366"/>
      <c r="B860" s="367"/>
      <c r="C860" s="368"/>
      <c r="D860" s="368"/>
      <c r="E860" s="368"/>
      <c r="F860" s="368"/>
      <c r="G860" s="369"/>
      <c r="H860" s="370"/>
      <c r="I860" s="370"/>
      <c r="J860" s="369"/>
      <c r="K860" s="62"/>
      <c r="L860" s="57"/>
      <c r="M860" s="62"/>
      <c r="N860" s="371"/>
      <c r="O860" s="57"/>
      <c r="P860" s="57"/>
      <c r="Q860" s="62"/>
      <c r="R860" s="372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</row>
    <row r="861">
      <c r="A861" s="366"/>
      <c r="B861" s="367"/>
      <c r="C861" s="368"/>
      <c r="D861" s="368"/>
      <c r="E861" s="368"/>
      <c r="F861" s="368"/>
      <c r="G861" s="369"/>
      <c r="H861" s="370"/>
      <c r="I861" s="370"/>
      <c r="J861" s="369"/>
      <c r="K861" s="62"/>
      <c r="L861" s="57"/>
      <c r="M861" s="62"/>
      <c r="N861" s="371"/>
      <c r="O861" s="57"/>
      <c r="P861" s="57"/>
      <c r="Q861" s="62"/>
      <c r="R861" s="372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</row>
    <row r="862">
      <c r="A862" s="366"/>
      <c r="B862" s="367"/>
      <c r="C862" s="368"/>
      <c r="D862" s="368"/>
      <c r="E862" s="368"/>
      <c r="F862" s="368"/>
      <c r="G862" s="369"/>
      <c r="H862" s="370"/>
      <c r="I862" s="370"/>
      <c r="J862" s="369"/>
      <c r="K862" s="62"/>
      <c r="L862" s="57"/>
      <c r="M862" s="62"/>
      <c r="N862" s="371"/>
      <c r="O862" s="57"/>
      <c r="P862" s="57"/>
      <c r="Q862" s="62"/>
      <c r="R862" s="372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</row>
    <row r="863">
      <c r="A863" s="366"/>
      <c r="B863" s="367"/>
      <c r="C863" s="368"/>
      <c r="D863" s="368"/>
      <c r="E863" s="368"/>
      <c r="F863" s="368"/>
      <c r="G863" s="369"/>
      <c r="H863" s="370"/>
      <c r="I863" s="370"/>
      <c r="J863" s="369"/>
      <c r="K863" s="62"/>
      <c r="L863" s="57"/>
      <c r="M863" s="62"/>
      <c r="N863" s="371"/>
      <c r="O863" s="57"/>
      <c r="P863" s="57"/>
      <c r="Q863" s="62"/>
      <c r="R863" s="372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</row>
    <row r="864">
      <c r="A864" s="366"/>
      <c r="B864" s="367"/>
      <c r="C864" s="368"/>
      <c r="D864" s="368"/>
      <c r="E864" s="368"/>
      <c r="F864" s="368"/>
      <c r="G864" s="369"/>
      <c r="H864" s="370"/>
      <c r="I864" s="370"/>
      <c r="J864" s="369"/>
      <c r="K864" s="62"/>
      <c r="L864" s="57"/>
      <c r="M864" s="62"/>
      <c r="N864" s="371"/>
      <c r="O864" s="57"/>
      <c r="P864" s="57"/>
      <c r="Q864" s="62"/>
      <c r="R864" s="372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</row>
    <row r="865">
      <c r="A865" s="366"/>
      <c r="B865" s="367"/>
      <c r="C865" s="368"/>
      <c r="D865" s="368"/>
      <c r="E865" s="368"/>
      <c r="F865" s="368"/>
      <c r="G865" s="369"/>
      <c r="H865" s="370"/>
      <c r="I865" s="370"/>
      <c r="J865" s="369"/>
      <c r="K865" s="62"/>
      <c r="L865" s="57"/>
      <c r="M865" s="62"/>
      <c r="N865" s="371"/>
      <c r="O865" s="57"/>
      <c r="P865" s="57"/>
      <c r="Q865" s="62"/>
      <c r="R865" s="372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</row>
    <row r="866">
      <c r="A866" s="366"/>
      <c r="B866" s="367"/>
      <c r="C866" s="368"/>
      <c r="D866" s="368"/>
      <c r="E866" s="368"/>
      <c r="F866" s="368"/>
      <c r="G866" s="369"/>
      <c r="H866" s="370"/>
      <c r="I866" s="370"/>
      <c r="J866" s="369"/>
      <c r="K866" s="62"/>
      <c r="L866" s="57"/>
      <c r="M866" s="62"/>
      <c r="N866" s="371"/>
      <c r="O866" s="57"/>
      <c r="P866" s="57"/>
      <c r="Q866" s="62"/>
      <c r="R866" s="372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</row>
    <row r="867">
      <c r="A867" s="366"/>
      <c r="B867" s="367"/>
      <c r="C867" s="368"/>
      <c r="D867" s="368"/>
      <c r="E867" s="368"/>
      <c r="F867" s="368"/>
      <c r="G867" s="369"/>
      <c r="H867" s="370"/>
      <c r="I867" s="370"/>
      <c r="J867" s="369"/>
      <c r="K867" s="62"/>
      <c r="L867" s="57"/>
      <c r="M867" s="62"/>
      <c r="N867" s="371"/>
      <c r="O867" s="57"/>
      <c r="P867" s="57"/>
      <c r="Q867" s="62"/>
      <c r="R867" s="372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</row>
    <row r="868">
      <c r="A868" s="366"/>
      <c r="B868" s="367"/>
      <c r="C868" s="368"/>
      <c r="D868" s="368"/>
      <c r="E868" s="368"/>
      <c r="F868" s="368"/>
      <c r="G868" s="369"/>
      <c r="H868" s="370"/>
      <c r="I868" s="370"/>
      <c r="J868" s="369"/>
      <c r="K868" s="62"/>
      <c r="L868" s="57"/>
      <c r="M868" s="62"/>
      <c r="N868" s="371"/>
      <c r="O868" s="57"/>
      <c r="P868" s="57"/>
      <c r="Q868" s="62"/>
      <c r="R868" s="372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</row>
    <row r="869">
      <c r="A869" s="366"/>
      <c r="B869" s="367"/>
      <c r="C869" s="368"/>
      <c r="D869" s="368"/>
      <c r="E869" s="368"/>
      <c r="F869" s="368"/>
      <c r="G869" s="369"/>
      <c r="H869" s="370"/>
      <c r="I869" s="370"/>
      <c r="J869" s="369"/>
      <c r="K869" s="62"/>
      <c r="L869" s="57"/>
      <c r="M869" s="62"/>
      <c r="N869" s="371"/>
      <c r="O869" s="57"/>
      <c r="P869" s="57"/>
      <c r="Q869" s="62"/>
      <c r="R869" s="372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</row>
    <row r="870">
      <c r="A870" s="366"/>
      <c r="B870" s="367"/>
      <c r="C870" s="368"/>
      <c r="D870" s="368"/>
      <c r="E870" s="368"/>
      <c r="F870" s="368"/>
      <c r="G870" s="369"/>
      <c r="H870" s="370"/>
      <c r="I870" s="370"/>
      <c r="J870" s="369"/>
      <c r="K870" s="62"/>
      <c r="L870" s="57"/>
      <c r="M870" s="62"/>
      <c r="N870" s="371"/>
      <c r="O870" s="57"/>
      <c r="P870" s="57"/>
      <c r="Q870" s="62"/>
      <c r="R870" s="372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</row>
    <row r="871">
      <c r="A871" s="366"/>
      <c r="B871" s="367"/>
      <c r="C871" s="368"/>
      <c r="D871" s="368"/>
      <c r="E871" s="368"/>
      <c r="F871" s="368"/>
      <c r="G871" s="369"/>
      <c r="H871" s="370"/>
      <c r="I871" s="370"/>
      <c r="J871" s="369"/>
      <c r="K871" s="62"/>
      <c r="L871" s="57"/>
      <c r="M871" s="62"/>
      <c r="N871" s="371"/>
      <c r="O871" s="57"/>
      <c r="P871" s="57"/>
      <c r="Q871" s="62"/>
      <c r="R871" s="372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</row>
    <row r="872">
      <c r="A872" s="366"/>
      <c r="B872" s="367"/>
      <c r="C872" s="368"/>
      <c r="D872" s="368"/>
      <c r="E872" s="368"/>
      <c r="F872" s="368"/>
      <c r="G872" s="369"/>
      <c r="H872" s="370"/>
      <c r="I872" s="370"/>
      <c r="J872" s="369"/>
      <c r="K872" s="62"/>
      <c r="L872" s="57"/>
      <c r="M872" s="62"/>
      <c r="N872" s="371"/>
      <c r="O872" s="57"/>
      <c r="P872" s="57"/>
      <c r="Q872" s="62"/>
      <c r="R872" s="372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</row>
    <row r="873">
      <c r="A873" s="366"/>
      <c r="B873" s="367"/>
      <c r="C873" s="368"/>
      <c r="D873" s="368"/>
      <c r="E873" s="368"/>
      <c r="F873" s="368"/>
      <c r="G873" s="369"/>
      <c r="H873" s="370"/>
      <c r="I873" s="370"/>
      <c r="J873" s="369"/>
      <c r="K873" s="62"/>
      <c r="L873" s="57"/>
      <c r="M873" s="62"/>
      <c r="N873" s="371"/>
      <c r="O873" s="57"/>
      <c r="P873" s="57"/>
      <c r="Q873" s="62"/>
      <c r="R873" s="372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</row>
    <row r="874">
      <c r="A874" s="366"/>
      <c r="B874" s="367"/>
      <c r="C874" s="368"/>
      <c r="D874" s="368"/>
      <c r="E874" s="368"/>
      <c r="F874" s="368"/>
      <c r="G874" s="369"/>
      <c r="H874" s="370"/>
      <c r="I874" s="370"/>
      <c r="J874" s="369"/>
      <c r="K874" s="62"/>
      <c r="L874" s="57"/>
      <c r="M874" s="62"/>
      <c r="N874" s="371"/>
      <c r="O874" s="57"/>
      <c r="P874" s="57"/>
      <c r="Q874" s="62"/>
      <c r="R874" s="372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</row>
    <row r="875">
      <c r="A875" s="366"/>
      <c r="B875" s="367"/>
      <c r="C875" s="368"/>
      <c r="D875" s="368"/>
      <c r="E875" s="368"/>
      <c r="F875" s="368"/>
      <c r="G875" s="369"/>
      <c r="H875" s="370"/>
      <c r="I875" s="370"/>
      <c r="J875" s="369"/>
      <c r="K875" s="62"/>
      <c r="L875" s="57"/>
      <c r="M875" s="62"/>
      <c r="N875" s="371"/>
      <c r="O875" s="57"/>
      <c r="P875" s="57"/>
      <c r="Q875" s="62"/>
      <c r="R875" s="372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</row>
    <row r="876">
      <c r="A876" s="366"/>
      <c r="B876" s="367"/>
      <c r="C876" s="368"/>
      <c r="D876" s="368"/>
      <c r="E876" s="368"/>
      <c r="F876" s="368"/>
      <c r="G876" s="369"/>
      <c r="H876" s="370"/>
      <c r="I876" s="370"/>
      <c r="J876" s="369"/>
      <c r="K876" s="62"/>
      <c r="L876" s="57"/>
      <c r="M876" s="62"/>
      <c r="N876" s="371"/>
      <c r="O876" s="57"/>
      <c r="P876" s="57"/>
      <c r="Q876" s="62"/>
      <c r="R876" s="372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</row>
    <row r="877">
      <c r="A877" s="366"/>
      <c r="B877" s="367"/>
      <c r="C877" s="368"/>
      <c r="D877" s="368"/>
      <c r="E877" s="368"/>
      <c r="F877" s="368"/>
      <c r="G877" s="369"/>
      <c r="H877" s="370"/>
      <c r="I877" s="370"/>
      <c r="J877" s="369"/>
      <c r="K877" s="62"/>
      <c r="L877" s="57"/>
      <c r="M877" s="62"/>
      <c r="N877" s="371"/>
      <c r="O877" s="57"/>
      <c r="P877" s="57"/>
      <c r="Q877" s="62"/>
      <c r="R877" s="372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</row>
    <row r="878">
      <c r="A878" s="366"/>
      <c r="B878" s="367"/>
      <c r="C878" s="368"/>
      <c r="D878" s="368"/>
      <c r="E878" s="368"/>
      <c r="F878" s="368"/>
      <c r="G878" s="369"/>
      <c r="H878" s="370"/>
      <c r="I878" s="370"/>
      <c r="J878" s="369"/>
      <c r="K878" s="62"/>
      <c r="L878" s="57"/>
      <c r="M878" s="62"/>
      <c r="N878" s="371"/>
      <c r="O878" s="57"/>
      <c r="P878" s="57"/>
      <c r="Q878" s="62"/>
      <c r="R878" s="372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</row>
    <row r="879">
      <c r="A879" s="366"/>
      <c r="B879" s="367"/>
      <c r="C879" s="368"/>
      <c r="D879" s="368"/>
      <c r="E879" s="368"/>
      <c r="F879" s="368"/>
      <c r="G879" s="369"/>
      <c r="H879" s="370"/>
      <c r="I879" s="370"/>
      <c r="J879" s="369"/>
      <c r="K879" s="62"/>
      <c r="L879" s="57"/>
      <c r="M879" s="62"/>
      <c r="N879" s="371"/>
      <c r="O879" s="57"/>
      <c r="P879" s="57"/>
      <c r="Q879" s="62"/>
      <c r="R879" s="372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</row>
    <row r="880">
      <c r="A880" s="366"/>
      <c r="B880" s="367"/>
      <c r="C880" s="368"/>
      <c r="D880" s="368"/>
      <c r="E880" s="368"/>
      <c r="F880" s="368"/>
      <c r="G880" s="369"/>
      <c r="H880" s="370"/>
      <c r="I880" s="370"/>
      <c r="J880" s="369"/>
      <c r="K880" s="62"/>
      <c r="L880" s="57"/>
      <c r="M880" s="62"/>
      <c r="N880" s="371"/>
      <c r="O880" s="57"/>
      <c r="P880" s="57"/>
      <c r="Q880" s="62"/>
      <c r="R880" s="372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</row>
    <row r="881">
      <c r="A881" s="366"/>
      <c r="B881" s="367"/>
      <c r="C881" s="368"/>
      <c r="D881" s="368"/>
      <c r="E881" s="368"/>
      <c r="F881" s="368"/>
      <c r="G881" s="369"/>
      <c r="H881" s="370"/>
      <c r="I881" s="370"/>
      <c r="J881" s="369"/>
      <c r="K881" s="62"/>
      <c r="L881" s="57"/>
      <c r="M881" s="62"/>
      <c r="N881" s="371"/>
      <c r="O881" s="57"/>
      <c r="P881" s="57"/>
      <c r="Q881" s="62"/>
      <c r="R881" s="372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</row>
    <row r="882">
      <c r="A882" s="366"/>
      <c r="B882" s="367"/>
      <c r="C882" s="368"/>
      <c r="D882" s="368"/>
      <c r="E882" s="368"/>
      <c r="F882" s="368"/>
      <c r="G882" s="369"/>
      <c r="H882" s="370"/>
      <c r="I882" s="370"/>
      <c r="J882" s="369"/>
      <c r="K882" s="62"/>
      <c r="L882" s="57"/>
      <c r="M882" s="62"/>
      <c r="N882" s="371"/>
      <c r="O882" s="57"/>
      <c r="P882" s="57"/>
      <c r="Q882" s="62"/>
      <c r="R882" s="372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</row>
    <row r="883">
      <c r="A883" s="366"/>
      <c r="B883" s="367"/>
      <c r="C883" s="368"/>
      <c r="D883" s="368"/>
      <c r="E883" s="368"/>
      <c r="F883" s="368"/>
      <c r="G883" s="369"/>
      <c r="H883" s="370"/>
      <c r="I883" s="370"/>
      <c r="J883" s="369"/>
      <c r="K883" s="62"/>
      <c r="L883" s="57"/>
      <c r="M883" s="62"/>
      <c r="N883" s="371"/>
      <c r="O883" s="57"/>
      <c r="P883" s="57"/>
      <c r="Q883" s="62"/>
      <c r="R883" s="372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</row>
    <row r="884">
      <c r="A884" s="366"/>
      <c r="B884" s="367"/>
      <c r="C884" s="368"/>
      <c r="D884" s="368"/>
      <c r="E884" s="368"/>
      <c r="F884" s="368"/>
      <c r="G884" s="369"/>
      <c r="H884" s="370"/>
      <c r="I884" s="370"/>
      <c r="J884" s="369"/>
      <c r="K884" s="62"/>
      <c r="L884" s="57"/>
      <c r="M884" s="62"/>
      <c r="N884" s="371"/>
      <c r="O884" s="57"/>
      <c r="P884" s="57"/>
      <c r="Q884" s="62"/>
      <c r="R884" s="372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</row>
    <row r="885">
      <c r="A885" s="366"/>
      <c r="B885" s="367"/>
      <c r="C885" s="368"/>
      <c r="D885" s="368"/>
      <c r="E885" s="368"/>
      <c r="F885" s="368"/>
      <c r="G885" s="369"/>
      <c r="H885" s="370"/>
      <c r="I885" s="370"/>
      <c r="J885" s="369"/>
      <c r="K885" s="62"/>
      <c r="L885" s="57"/>
      <c r="M885" s="62"/>
      <c r="N885" s="371"/>
      <c r="O885" s="57"/>
      <c r="P885" s="57"/>
      <c r="Q885" s="62"/>
      <c r="R885" s="372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</row>
    <row r="886">
      <c r="A886" s="366"/>
      <c r="B886" s="367"/>
      <c r="C886" s="368"/>
      <c r="D886" s="368"/>
      <c r="E886" s="368"/>
      <c r="F886" s="368"/>
      <c r="G886" s="369"/>
      <c r="H886" s="370"/>
      <c r="I886" s="370"/>
      <c r="J886" s="369"/>
      <c r="K886" s="62"/>
      <c r="L886" s="57"/>
      <c r="M886" s="62"/>
      <c r="N886" s="371"/>
      <c r="O886" s="57"/>
      <c r="P886" s="57"/>
      <c r="Q886" s="62"/>
      <c r="R886" s="372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</row>
    <row r="887">
      <c r="A887" s="366"/>
      <c r="B887" s="367"/>
      <c r="C887" s="368"/>
      <c r="D887" s="368"/>
      <c r="E887" s="368"/>
      <c r="F887" s="368"/>
      <c r="G887" s="369"/>
      <c r="H887" s="370"/>
      <c r="I887" s="370"/>
      <c r="J887" s="369"/>
      <c r="K887" s="62"/>
      <c r="L887" s="57"/>
      <c r="M887" s="62"/>
      <c r="N887" s="371"/>
      <c r="O887" s="57"/>
      <c r="P887" s="57"/>
      <c r="Q887" s="62"/>
      <c r="R887" s="372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</row>
    <row r="888">
      <c r="A888" s="366"/>
      <c r="B888" s="367"/>
      <c r="C888" s="368"/>
      <c r="D888" s="368"/>
      <c r="E888" s="368"/>
      <c r="F888" s="368"/>
      <c r="G888" s="369"/>
      <c r="H888" s="370"/>
      <c r="I888" s="370"/>
      <c r="J888" s="369"/>
      <c r="K888" s="62"/>
      <c r="L888" s="57"/>
      <c r="M888" s="62"/>
      <c r="N888" s="371"/>
      <c r="O888" s="57"/>
      <c r="P888" s="57"/>
      <c r="Q888" s="62"/>
      <c r="R888" s="372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</row>
    <row r="889">
      <c r="A889" s="366"/>
      <c r="B889" s="367"/>
      <c r="C889" s="368"/>
      <c r="D889" s="368"/>
      <c r="E889" s="368"/>
      <c r="F889" s="368"/>
      <c r="G889" s="369"/>
      <c r="H889" s="370"/>
      <c r="I889" s="370"/>
      <c r="J889" s="369"/>
      <c r="K889" s="62"/>
      <c r="L889" s="57"/>
      <c r="M889" s="62"/>
      <c r="N889" s="371"/>
      <c r="O889" s="57"/>
      <c r="P889" s="57"/>
      <c r="Q889" s="62"/>
      <c r="R889" s="372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</row>
    <row r="890">
      <c r="A890" s="366"/>
      <c r="B890" s="367"/>
      <c r="C890" s="368"/>
      <c r="D890" s="368"/>
      <c r="E890" s="368"/>
      <c r="F890" s="368"/>
      <c r="G890" s="369"/>
      <c r="H890" s="370"/>
      <c r="I890" s="370"/>
      <c r="J890" s="369"/>
      <c r="K890" s="62"/>
      <c r="L890" s="57"/>
      <c r="M890" s="62"/>
      <c r="N890" s="371"/>
      <c r="O890" s="57"/>
      <c r="P890" s="57"/>
      <c r="Q890" s="62"/>
      <c r="R890" s="372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</row>
    <row r="891">
      <c r="A891" s="366"/>
      <c r="B891" s="367"/>
      <c r="C891" s="368"/>
      <c r="D891" s="368"/>
      <c r="E891" s="368"/>
      <c r="F891" s="368"/>
      <c r="G891" s="369"/>
      <c r="H891" s="370"/>
      <c r="I891" s="370"/>
      <c r="J891" s="369"/>
      <c r="K891" s="62"/>
      <c r="L891" s="57"/>
      <c r="M891" s="62"/>
      <c r="N891" s="371"/>
      <c r="O891" s="57"/>
      <c r="P891" s="57"/>
      <c r="Q891" s="62"/>
      <c r="R891" s="372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</row>
    <row r="892">
      <c r="A892" s="366"/>
      <c r="B892" s="367"/>
      <c r="C892" s="368"/>
      <c r="D892" s="368"/>
      <c r="E892" s="368"/>
      <c r="F892" s="368"/>
      <c r="G892" s="369"/>
      <c r="H892" s="370"/>
      <c r="I892" s="370"/>
      <c r="J892" s="369"/>
      <c r="K892" s="62"/>
      <c r="L892" s="57"/>
      <c r="M892" s="62"/>
      <c r="N892" s="371"/>
      <c r="O892" s="57"/>
      <c r="P892" s="57"/>
      <c r="Q892" s="62"/>
      <c r="R892" s="372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</row>
    <row r="893">
      <c r="A893" s="366"/>
      <c r="B893" s="367"/>
      <c r="C893" s="368"/>
      <c r="D893" s="368"/>
      <c r="E893" s="368"/>
      <c r="F893" s="368"/>
      <c r="G893" s="369"/>
      <c r="H893" s="370"/>
      <c r="I893" s="370"/>
      <c r="J893" s="369"/>
      <c r="K893" s="62"/>
      <c r="L893" s="57"/>
      <c r="M893" s="62"/>
      <c r="N893" s="371"/>
      <c r="O893" s="57"/>
      <c r="P893" s="57"/>
      <c r="Q893" s="62"/>
      <c r="R893" s="372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</row>
    <row r="894">
      <c r="A894" s="366"/>
      <c r="B894" s="367"/>
      <c r="C894" s="368"/>
      <c r="D894" s="368"/>
      <c r="E894" s="368"/>
      <c r="F894" s="368"/>
      <c r="G894" s="369"/>
      <c r="H894" s="370"/>
      <c r="I894" s="370"/>
      <c r="J894" s="369"/>
      <c r="K894" s="62"/>
      <c r="L894" s="57"/>
      <c r="M894" s="62"/>
      <c r="N894" s="371"/>
      <c r="O894" s="57"/>
      <c r="P894" s="57"/>
      <c r="Q894" s="62"/>
      <c r="R894" s="372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</row>
    <row r="895">
      <c r="A895" s="366"/>
      <c r="B895" s="367"/>
      <c r="C895" s="368"/>
      <c r="D895" s="368"/>
      <c r="E895" s="368"/>
      <c r="F895" s="368"/>
      <c r="G895" s="369"/>
      <c r="H895" s="370"/>
      <c r="I895" s="370"/>
      <c r="J895" s="369"/>
      <c r="K895" s="62"/>
      <c r="L895" s="57"/>
      <c r="M895" s="62"/>
      <c r="N895" s="371"/>
      <c r="O895" s="57"/>
      <c r="P895" s="57"/>
      <c r="Q895" s="62"/>
      <c r="R895" s="372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</row>
    <row r="896">
      <c r="A896" s="366"/>
      <c r="B896" s="367"/>
      <c r="C896" s="368"/>
      <c r="D896" s="368"/>
      <c r="E896" s="368"/>
      <c r="F896" s="368"/>
      <c r="G896" s="369"/>
      <c r="H896" s="370"/>
      <c r="I896" s="370"/>
      <c r="J896" s="369"/>
      <c r="K896" s="62"/>
      <c r="L896" s="57"/>
      <c r="M896" s="62"/>
      <c r="N896" s="371"/>
      <c r="O896" s="57"/>
      <c r="P896" s="57"/>
      <c r="Q896" s="62"/>
      <c r="R896" s="372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</row>
    <row r="897">
      <c r="A897" s="366"/>
      <c r="B897" s="367"/>
      <c r="C897" s="368"/>
      <c r="D897" s="368"/>
      <c r="E897" s="368"/>
      <c r="F897" s="368"/>
      <c r="G897" s="369"/>
      <c r="H897" s="370"/>
      <c r="I897" s="370"/>
      <c r="J897" s="369"/>
      <c r="K897" s="62"/>
      <c r="L897" s="57"/>
      <c r="M897" s="62"/>
      <c r="N897" s="371"/>
      <c r="O897" s="57"/>
      <c r="P897" s="57"/>
      <c r="Q897" s="62"/>
      <c r="R897" s="372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</row>
    <row r="898">
      <c r="A898" s="366"/>
      <c r="B898" s="367"/>
      <c r="C898" s="368"/>
      <c r="D898" s="368"/>
      <c r="E898" s="368"/>
      <c r="F898" s="368"/>
      <c r="G898" s="369"/>
      <c r="H898" s="370"/>
      <c r="I898" s="370"/>
      <c r="J898" s="369"/>
      <c r="K898" s="62"/>
      <c r="L898" s="57"/>
      <c r="M898" s="62"/>
      <c r="N898" s="371"/>
      <c r="O898" s="57"/>
      <c r="P898" s="57"/>
      <c r="Q898" s="62"/>
      <c r="R898" s="372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</row>
    <row r="899">
      <c r="A899" s="366"/>
      <c r="B899" s="367"/>
      <c r="C899" s="368"/>
      <c r="D899" s="368"/>
      <c r="E899" s="368"/>
      <c r="F899" s="368"/>
      <c r="G899" s="369"/>
      <c r="H899" s="370"/>
      <c r="I899" s="370"/>
      <c r="J899" s="369"/>
      <c r="K899" s="62"/>
      <c r="L899" s="57"/>
      <c r="M899" s="62"/>
      <c r="N899" s="371"/>
      <c r="O899" s="57"/>
      <c r="P899" s="57"/>
      <c r="Q899" s="62"/>
      <c r="R899" s="372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</row>
    <row r="900">
      <c r="A900" s="366"/>
      <c r="B900" s="367"/>
      <c r="C900" s="368"/>
      <c r="D900" s="368"/>
      <c r="E900" s="368"/>
      <c r="F900" s="368"/>
      <c r="G900" s="369"/>
      <c r="H900" s="370"/>
      <c r="I900" s="370"/>
      <c r="J900" s="369"/>
      <c r="K900" s="62"/>
      <c r="L900" s="57"/>
      <c r="M900" s="62"/>
      <c r="N900" s="371"/>
      <c r="O900" s="57"/>
      <c r="P900" s="57"/>
      <c r="Q900" s="62"/>
      <c r="R900" s="372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</row>
    <row r="901">
      <c r="A901" s="366"/>
      <c r="B901" s="367"/>
      <c r="C901" s="368"/>
      <c r="D901" s="368"/>
      <c r="E901" s="368"/>
      <c r="F901" s="368"/>
      <c r="G901" s="369"/>
      <c r="H901" s="370"/>
      <c r="I901" s="370"/>
      <c r="J901" s="369"/>
      <c r="K901" s="62"/>
      <c r="L901" s="57"/>
      <c r="M901" s="62"/>
      <c r="N901" s="371"/>
      <c r="O901" s="57"/>
      <c r="P901" s="57"/>
      <c r="Q901" s="62"/>
      <c r="R901" s="372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</row>
    <row r="902">
      <c r="A902" s="366"/>
      <c r="B902" s="367"/>
      <c r="C902" s="368"/>
      <c r="D902" s="368"/>
      <c r="E902" s="368"/>
      <c r="F902" s="368"/>
      <c r="G902" s="369"/>
      <c r="H902" s="370"/>
      <c r="I902" s="370"/>
      <c r="J902" s="369"/>
      <c r="K902" s="62"/>
      <c r="L902" s="57"/>
      <c r="M902" s="62"/>
      <c r="N902" s="371"/>
      <c r="O902" s="57"/>
      <c r="P902" s="57"/>
      <c r="Q902" s="62"/>
      <c r="R902" s="372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</row>
    <row r="903">
      <c r="A903" s="366"/>
      <c r="B903" s="367"/>
      <c r="C903" s="368"/>
      <c r="D903" s="368"/>
      <c r="E903" s="368"/>
      <c r="F903" s="368"/>
      <c r="G903" s="369"/>
      <c r="H903" s="370"/>
      <c r="I903" s="370"/>
      <c r="J903" s="369"/>
      <c r="K903" s="62"/>
      <c r="L903" s="57"/>
      <c r="M903" s="62"/>
      <c r="N903" s="371"/>
      <c r="O903" s="57"/>
      <c r="P903" s="57"/>
      <c r="Q903" s="62"/>
      <c r="R903" s="372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</row>
    <row r="904">
      <c r="A904" s="366"/>
      <c r="B904" s="367"/>
      <c r="C904" s="368"/>
      <c r="D904" s="368"/>
      <c r="E904" s="368"/>
      <c r="F904" s="368"/>
      <c r="G904" s="369"/>
      <c r="H904" s="370"/>
      <c r="I904" s="370"/>
      <c r="J904" s="369"/>
      <c r="K904" s="62"/>
      <c r="L904" s="57"/>
      <c r="M904" s="62"/>
      <c r="N904" s="371"/>
      <c r="O904" s="57"/>
      <c r="P904" s="57"/>
      <c r="Q904" s="62"/>
      <c r="R904" s="372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</row>
    <row r="905">
      <c r="A905" s="366"/>
      <c r="B905" s="367"/>
      <c r="C905" s="368"/>
      <c r="D905" s="368"/>
      <c r="E905" s="368"/>
      <c r="F905" s="368"/>
      <c r="G905" s="369"/>
      <c r="H905" s="370"/>
      <c r="I905" s="370"/>
      <c r="J905" s="369"/>
      <c r="K905" s="62"/>
      <c r="L905" s="57"/>
      <c r="M905" s="62"/>
      <c r="N905" s="371"/>
      <c r="O905" s="57"/>
      <c r="P905" s="57"/>
      <c r="Q905" s="62"/>
      <c r="R905" s="372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</row>
    <row r="906">
      <c r="A906" s="366"/>
      <c r="B906" s="367"/>
      <c r="C906" s="368"/>
      <c r="D906" s="368"/>
      <c r="E906" s="368"/>
      <c r="F906" s="368"/>
      <c r="G906" s="369"/>
      <c r="H906" s="370"/>
      <c r="I906" s="370"/>
      <c r="J906" s="369"/>
      <c r="K906" s="62"/>
      <c r="L906" s="57"/>
      <c r="M906" s="62"/>
      <c r="N906" s="371"/>
      <c r="O906" s="57"/>
      <c r="P906" s="57"/>
      <c r="Q906" s="62"/>
      <c r="R906" s="372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</row>
    <row r="907">
      <c r="A907" s="366"/>
      <c r="B907" s="367"/>
      <c r="C907" s="368"/>
      <c r="D907" s="368"/>
      <c r="E907" s="368"/>
      <c r="F907" s="368"/>
      <c r="G907" s="369"/>
      <c r="H907" s="370"/>
      <c r="I907" s="370"/>
      <c r="J907" s="369"/>
      <c r="K907" s="62"/>
      <c r="L907" s="57"/>
      <c r="M907" s="62"/>
      <c r="N907" s="371"/>
      <c r="O907" s="57"/>
      <c r="P907" s="57"/>
      <c r="Q907" s="62"/>
      <c r="R907" s="372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</row>
    <row r="908">
      <c r="A908" s="366"/>
      <c r="B908" s="367"/>
      <c r="C908" s="368"/>
      <c r="D908" s="368"/>
      <c r="E908" s="368"/>
      <c r="F908" s="368"/>
      <c r="G908" s="369"/>
      <c r="H908" s="370"/>
      <c r="I908" s="370"/>
      <c r="J908" s="369"/>
      <c r="K908" s="62"/>
      <c r="L908" s="57"/>
      <c r="M908" s="62"/>
      <c r="N908" s="371"/>
      <c r="O908" s="57"/>
      <c r="P908" s="57"/>
      <c r="Q908" s="62"/>
      <c r="R908" s="372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</row>
    <row r="909">
      <c r="A909" s="366"/>
      <c r="B909" s="367"/>
      <c r="C909" s="368"/>
      <c r="D909" s="368"/>
      <c r="E909" s="368"/>
      <c r="F909" s="368"/>
      <c r="G909" s="369"/>
      <c r="H909" s="370"/>
      <c r="I909" s="370"/>
      <c r="J909" s="369"/>
      <c r="K909" s="62"/>
      <c r="L909" s="57"/>
      <c r="M909" s="62"/>
      <c r="N909" s="371"/>
      <c r="O909" s="57"/>
      <c r="P909" s="57"/>
      <c r="Q909" s="62"/>
      <c r="R909" s="372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</row>
    <row r="910">
      <c r="A910" s="366"/>
      <c r="B910" s="367"/>
      <c r="C910" s="368"/>
      <c r="D910" s="368"/>
      <c r="E910" s="368"/>
      <c r="F910" s="368"/>
      <c r="G910" s="369"/>
      <c r="H910" s="370"/>
      <c r="I910" s="370"/>
      <c r="J910" s="369"/>
      <c r="K910" s="62"/>
      <c r="L910" s="57"/>
      <c r="M910" s="62"/>
      <c r="N910" s="371"/>
      <c r="O910" s="57"/>
      <c r="P910" s="57"/>
      <c r="Q910" s="62"/>
      <c r="R910" s="372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</row>
    <row r="911">
      <c r="A911" s="366"/>
      <c r="B911" s="367"/>
      <c r="C911" s="368"/>
      <c r="D911" s="368"/>
      <c r="E911" s="368"/>
      <c r="F911" s="368"/>
      <c r="G911" s="369"/>
      <c r="H911" s="370"/>
      <c r="I911" s="370"/>
      <c r="J911" s="369"/>
      <c r="K911" s="62"/>
      <c r="L911" s="57"/>
      <c r="M911" s="62"/>
      <c r="N911" s="371"/>
      <c r="O911" s="57"/>
      <c r="P911" s="57"/>
      <c r="Q911" s="62"/>
      <c r="R911" s="372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</row>
    <row r="912">
      <c r="A912" s="366"/>
      <c r="B912" s="367"/>
      <c r="C912" s="368"/>
      <c r="D912" s="368"/>
      <c r="E912" s="368"/>
      <c r="F912" s="368"/>
      <c r="G912" s="369"/>
      <c r="H912" s="370"/>
      <c r="I912" s="370"/>
      <c r="J912" s="369"/>
      <c r="K912" s="62"/>
      <c r="L912" s="57"/>
      <c r="M912" s="62"/>
      <c r="N912" s="371"/>
      <c r="O912" s="57"/>
      <c r="P912" s="57"/>
      <c r="Q912" s="62"/>
      <c r="R912" s="372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</row>
    <row r="913">
      <c r="A913" s="366"/>
      <c r="B913" s="367"/>
      <c r="C913" s="368"/>
      <c r="D913" s="368"/>
      <c r="E913" s="368"/>
      <c r="F913" s="368"/>
      <c r="G913" s="369"/>
      <c r="H913" s="370"/>
      <c r="I913" s="370"/>
      <c r="J913" s="369"/>
      <c r="K913" s="62"/>
      <c r="L913" s="57"/>
      <c r="M913" s="62"/>
      <c r="N913" s="371"/>
      <c r="O913" s="57"/>
      <c r="P913" s="57"/>
      <c r="Q913" s="62"/>
      <c r="R913" s="372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</row>
    <row r="914">
      <c r="A914" s="366"/>
      <c r="B914" s="367"/>
      <c r="C914" s="368"/>
      <c r="D914" s="368"/>
      <c r="E914" s="368"/>
      <c r="F914" s="368"/>
      <c r="G914" s="369"/>
      <c r="H914" s="370"/>
      <c r="I914" s="370"/>
      <c r="J914" s="369"/>
      <c r="K914" s="62"/>
      <c r="L914" s="57"/>
      <c r="M914" s="62"/>
      <c r="N914" s="371"/>
      <c r="O914" s="57"/>
      <c r="P914" s="57"/>
      <c r="Q914" s="62"/>
      <c r="R914" s="372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</row>
    <row r="915">
      <c r="A915" s="366"/>
      <c r="B915" s="367"/>
      <c r="C915" s="368"/>
      <c r="D915" s="368"/>
      <c r="E915" s="368"/>
      <c r="F915" s="368"/>
      <c r="G915" s="369"/>
      <c r="H915" s="370"/>
      <c r="I915" s="370"/>
      <c r="J915" s="369"/>
      <c r="K915" s="62"/>
      <c r="L915" s="57"/>
      <c r="M915" s="62"/>
      <c r="N915" s="371"/>
      <c r="O915" s="57"/>
      <c r="P915" s="57"/>
      <c r="Q915" s="62"/>
      <c r="R915" s="372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</row>
    <row r="916">
      <c r="A916" s="366"/>
      <c r="B916" s="367"/>
      <c r="C916" s="368"/>
      <c r="D916" s="368"/>
      <c r="E916" s="368"/>
      <c r="F916" s="368"/>
      <c r="G916" s="369"/>
      <c r="H916" s="370"/>
      <c r="I916" s="370"/>
      <c r="J916" s="369"/>
      <c r="K916" s="62"/>
      <c r="L916" s="57"/>
      <c r="M916" s="62"/>
      <c r="N916" s="371"/>
      <c r="O916" s="57"/>
      <c r="P916" s="57"/>
      <c r="Q916" s="62"/>
      <c r="R916" s="372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</row>
    <row r="917">
      <c r="A917" s="366"/>
      <c r="B917" s="367"/>
      <c r="C917" s="368"/>
      <c r="D917" s="368"/>
      <c r="E917" s="368"/>
      <c r="F917" s="368"/>
      <c r="G917" s="369"/>
      <c r="H917" s="370"/>
      <c r="I917" s="370"/>
      <c r="J917" s="369"/>
      <c r="K917" s="62"/>
      <c r="L917" s="57"/>
      <c r="M917" s="62"/>
      <c r="N917" s="371"/>
      <c r="O917" s="57"/>
      <c r="P917" s="57"/>
      <c r="Q917" s="62"/>
      <c r="R917" s="372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</row>
    <row r="918">
      <c r="A918" s="367"/>
      <c r="B918" s="367"/>
      <c r="C918" s="368"/>
      <c r="D918" s="368"/>
      <c r="E918" s="368"/>
      <c r="F918" s="368"/>
      <c r="G918" s="369"/>
      <c r="H918" s="370"/>
      <c r="I918" s="370"/>
      <c r="J918" s="369"/>
      <c r="K918" s="62"/>
      <c r="L918" s="57"/>
      <c r="M918" s="62"/>
      <c r="N918" s="371"/>
      <c r="O918" s="57"/>
      <c r="P918" s="57"/>
      <c r="Q918" s="62"/>
      <c r="R918" s="372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</row>
    <row r="919">
      <c r="A919" s="367"/>
      <c r="B919" s="367"/>
      <c r="C919" s="368"/>
      <c r="D919" s="368"/>
      <c r="E919" s="368"/>
      <c r="F919" s="368"/>
      <c r="G919" s="369"/>
      <c r="H919" s="370"/>
      <c r="I919" s="370"/>
      <c r="J919" s="369"/>
      <c r="K919" s="62"/>
      <c r="L919" s="57"/>
      <c r="M919" s="62"/>
      <c r="N919" s="371"/>
      <c r="O919" s="57"/>
      <c r="P919" s="57"/>
      <c r="Q919" s="62"/>
      <c r="R919" s="372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</row>
    <row r="920">
      <c r="A920" s="367"/>
      <c r="B920" s="367"/>
      <c r="C920" s="368"/>
      <c r="D920" s="368"/>
      <c r="E920" s="368"/>
      <c r="F920" s="368"/>
      <c r="G920" s="369"/>
      <c r="H920" s="370"/>
      <c r="I920" s="370"/>
      <c r="J920" s="369"/>
      <c r="K920" s="62"/>
      <c r="L920" s="57"/>
      <c r="M920" s="62"/>
      <c r="N920" s="371"/>
      <c r="O920" s="57"/>
      <c r="P920" s="57"/>
      <c r="Q920" s="62"/>
      <c r="R920" s="372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</row>
    <row r="921">
      <c r="A921" s="367"/>
      <c r="B921" s="367"/>
      <c r="C921" s="368"/>
      <c r="D921" s="368"/>
      <c r="E921" s="368"/>
      <c r="F921" s="368"/>
      <c r="G921" s="369"/>
      <c r="H921" s="370"/>
      <c r="I921" s="370"/>
      <c r="J921" s="369"/>
      <c r="K921" s="62"/>
      <c r="L921" s="57"/>
      <c r="M921" s="62"/>
      <c r="N921" s="371"/>
      <c r="O921" s="57"/>
      <c r="P921" s="57"/>
      <c r="Q921" s="62"/>
      <c r="R921" s="372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</row>
    <row r="922">
      <c r="A922" s="367"/>
      <c r="B922" s="367"/>
      <c r="C922" s="368"/>
      <c r="D922" s="368"/>
      <c r="E922" s="368"/>
      <c r="F922" s="368"/>
      <c r="G922" s="369"/>
      <c r="H922" s="370"/>
      <c r="I922" s="370"/>
      <c r="J922" s="369"/>
      <c r="K922" s="62"/>
      <c r="L922" s="57"/>
      <c r="M922" s="62"/>
      <c r="N922" s="371"/>
      <c r="O922" s="57"/>
      <c r="P922" s="57"/>
      <c r="Q922" s="62"/>
      <c r="R922" s="372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</row>
    <row r="923">
      <c r="A923" s="391"/>
      <c r="B923" s="391"/>
      <c r="C923" s="392"/>
      <c r="D923" s="392"/>
      <c r="E923" s="368"/>
      <c r="F923" s="392"/>
      <c r="G923" s="393"/>
      <c r="H923" s="394"/>
      <c r="I923" s="394"/>
      <c r="J923" s="393"/>
      <c r="K923" s="62"/>
      <c r="L923" s="57"/>
      <c r="M923" s="62"/>
      <c r="N923" s="371"/>
      <c r="O923" s="57"/>
      <c r="P923" s="57"/>
      <c r="Q923" s="395"/>
      <c r="R923" s="372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</row>
  </sheetData>
  <conditionalFormatting sqref="A2:N923 O2:O253">
    <cfRule type="expression" dxfId="5" priority="1">
      <formula>AND($B2&lt;&gt;"", $K2="")</formula>
    </cfRule>
  </conditionalFormatting>
  <drawing r:id="rId1"/>
  <tableParts count="32"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8.63"/>
    <col customWidth="1" min="3" max="3" width="16.88"/>
    <col customWidth="1" min="4" max="4" width="7.75"/>
    <col customWidth="1" min="5" max="5" width="35.38"/>
    <col customWidth="1" min="6" max="6" width="26.75"/>
    <col customWidth="1" min="7" max="7" width="8.0"/>
    <col customWidth="1" min="8" max="8" width="13.0"/>
    <col customWidth="1" min="9" max="9" width="9.13"/>
    <col customWidth="1" min="10" max="10" width="11.5"/>
    <col customWidth="1" min="11" max="11" width="14.25"/>
    <col customWidth="1" min="12" max="12" width="8.63"/>
    <col customWidth="1" min="13" max="13" width="10.25"/>
    <col customWidth="1" min="14" max="14" width="7.0"/>
    <col customWidth="1" min="15" max="15" width="11.25"/>
    <col customWidth="1" min="16" max="16" width="29.13"/>
    <col customWidth="1" min="17" max="17" width="12.75"/>
    <col customWidth="1" min="18" max="18" width="16.63"/>
    <col customWidth="1" min="19" max="19" width="12.63"/>
    <col customWidth="1" min="20" max="20" width="9.38"/>
  </cols>
  <sheetData>
    <row r="1" ht="15.0" customHeight="1">
      <c r="A1" s="172"/>
      <c r="B1" s="102" t="s">
        <v>2</v>
      </c>
      <c r="C1" s="173" t="s">
        <v>3</v>
      </c>
      <c r="D1" s="102" t="s">
        <v>535</v>
      </c>
      <c r="E1" s="172" t="s">
        <v>1999</v>
      </c>
      <c r="F1" s="102" t="s">
        <v>22</v>
      </c>
      <c r="G1" s="102" t="s">
        <v>5</v>
      </c>
      <c r="H1" s="102" t="s">
        <v>537</v>
      </c>
      <c r="I1" s="102" t="s">
        <v>538</v>
      </c>
      <c r="J1" s="102" t="s">
        <v>9</v>
      </c>
      <c r="K1" s="175" t="s">
        <v>23</v>
      </c>
      <c r="L1" s="175" t="s">
        <v>25</v>
      </c>
      <c r="M1" s="175" t="s">
        <v>26</v>
      </c>
      <c r="N1" s="176" t="s">
        <v>27</v>
      </c>
      <c r="O1" s="178" t="s">
        <v>28</v>
      </c>
      <c r="P1" s="175" t="s">
        <v>539</v>
      </c>
      <c r="Q1" s="102" t="s">
        <v>12</v>
      </c>
      <c r="R1" s="102" t="s">
        <v>29</v>
      </c>
      <c r="S1" s="179" t="s">
        <v>17</v>
      </c>
      <c r="T1" s="179" t="s">
        <v>19</v>
      </c>
      <c r="U1" s="174"/>
      <c r="V1" s="174"/>
      <c r="W1" s="174"/>
      <c r="X1" s="174"/>
      <c r="Y1" s="174"/>
      <c r="Z1" s="174"/>
      <c r="AA1" s="174"/>
      <c r="AB1" s="174"/>
      <c r="AC1" s="174"/>
      <c r="AD1" s="174"/>
    </row>
    <row r="2">
      <c r="A2" s="185" t="str">
        <f t="shared" ref="A2:A393" si="1">if(isblank(B2)=true,"", TEXT(H2,"YYYYMMDD")&amp;"-"&amp;UPPER(BASE(MOD(SUMPRODUCT(CODE(MID(UPPER(B2&amp;C2&amp;D2&amp;E2),ROW(INDIRECT("1:"&amp;LEN(B2&amp;C2&amp;D2&amp;E2))),1))*ROW(INDIRECT("1:"&amp;LEN(B2&amp;C2&amp;D2&amp;E2)))),1679616),36)))</f>
        <v>20251001-RT2</v>
      </c>
      <c r="B2" s="185" t="s">
        <v>53</v>
      </c>
      <c r="C2" s="186"/>
      <c r="D2" s="186">
        <v>1.0</v>
      </c>
      <c r="E2" s="186" t="s">
        <v>1894</v>
      </c>
      <c r="F2" s="186" t="s">
        <v>2287</v>
      </c>
      <c r="G2" s="189"/>
      <c r="H2" s="190">
        <v>45931.0</v>
      </c>
      <c r="I2" s="48"/>
      <c r="J2" s="189"/>
      <c r="K2" s="191">
        <v>45931.0</v>
      </c>
      <c r="L2" s="193" t="s">
        <v>347</v>
      </c>
      <c r="M2" s="194" t="s">
        <v>2289</v>
      </c>
      <c r="N2" s="195">
        <v>0.0</v>
      </c>
      <c r="O2" s="196"/>
      <c r="P2" s="197"/>
      <c r="Q2" s="117"/>
      <c r="R2" s="189" t="str">
        <f t="shared" ref="R2:R3" si="2">if(or(LOWER(B2)="name",LOWER(B2)="stock")=true,"Y","")</f>
        <v>Y</v>
      </c>
      <c r="S2" s="198"/>
      <c r="T2" s="141"/>
      <c r="U2" s="57"/>
      <c r="V2" s="57"/>
      <c r="W2" s="57"/>
      <c r="X2" s="57"/>
      <c r="Y2" s="57"/>
      <c r="Z2" s="57"/>
      <c r="AA2" s="57"/>
      <c r="AB2" s="57"/>
    </row>
    <row r="3">
      <c r="A3" s="185" t="str">
        <f t="shared" si="1"/>
        <v>20251001-IMJ</v>
      </c>
      <c r="B3" s="185" t="s">
        <v>53</v>
      </c>
      <c r="C3" s="186"/>
      <c r="D3" s="199">
        <v>1.0</v>
      </c>
      <c r="E3" s="200" t="s">
        <v>1840</v>
      </c>
      <c r="F3" s="186" t="s">
        <v>2287</v>
      </c>
      <c r="G3" s="189"/>
      <c r="H3" s="190">
        <v>45931.0</v>
      </c>
      <c r="I3" s="48"/>
      <c r="J3" s="189"/>
      <c r="K3" s="191">
        <v>45931.0</v>
      </c>
      <c r="L3" s="193" t="s">
        <v>347</v>
      </c>
      <c r="M3" s="194" t="s">
        <v>2289</v>
      </c>
      <c r="N3" s="195">
        <v>0.0</v>
      </c>
      <c r="O3" s="201">
        <v>7401807.0</v>
      </c>
      <c r="P3" s="193" t="s">
        <v>2291</v>
      </c>
      <c r="Q3" s="117"/>
      <c r="R3" s="189" t="str">
        <f t="shared" si="2"/>
        <v>Y</v>
      </c>
      <c r="S3" s="141"/>
      <c r="T3" s="141"/>
      <c r="U3" s="57"/>
      <c r="V3" s="57"/>
      <c r="W3" s="57"/>
      <c r="X3" s="57"/>
      <c r="Y3" s="57"/>
      <c r="Z3" s="57"/>
      <c r="AA3" s="57"/>
      <c r="AB3" s="57"/>
    </row>
    <row r="4">
      <c r="A4" s="185" t="str">
        <f t="shared" si="1"/>
        <v>20251006-RFT</v>
      </c>
      <c r="B4" s="185" t="s">
        <v>2293</v>
      </c>
      <c r="C4" s="186"/>
      <c r="D4" s="199">
        <v>1.0</v>
      </c>
      <c r="E4" s="200" t="s">
        <v>1896</v>
      </c>
      <c r="F4" s="186"/>
      <c r="G4" s="189"/>
      <c r="H4" s="202">
        <v>45936.0</v>
      </c>
      <c r="I4" s="48"/>
      <c r="J4" s="189"/>
      <c r="K4" s="203">
        <v>45936.0</v>
      </c>
      <c r="L4" s="193" t="s">
        <v>38</v>
      </c>
      <c r="M4" s="194">
        <v>490203.0</v>
      </c>
      <c r="N4" s="195">
        <v>132.15</v>
      </c>
      <c r="O4" s="201">
        <v>629770.0</v>
      </c>
      <c r="P4" s="197"/>
      <c r="Q4" s="186" t="s">
        <v>2294</v>
      </c>
      <c r="R4" s="204" t="s">
        <v>43</v>
      </c>
      <c r="S4" s="141"/>
      <c r="T4" s="141"/>
      <c r="U4" s="57"/>
      <c r="V4" s="57"/>
      <c r="W4" s="57"/>
      <c r="X4" s="57"/>
      <c r="Y4" s="57"/>
      <c r="Z4" s="57"/>
      <c r="AA4" s="57"/>
      <c r="AB4" s="57"/>
    </row>
    <row r="5">
      <c r="A5" s="185" t="str">
        <f t="shared" si="1"/>
        <v>20251006-160P</v>
      </c>
      <c r="B5" s="185" t="s">
        <v>698</v>
      </c>
      <c r="C5" s="186" t="s">
        <v>2301</v>
      </c>
      <c r="D5" s="186">
        <v>1.0</v>
      </c>
      <c r="E5" s="186" t="s">
        <v>1896</v>
      </c>
      <c r="F5" s="186" t="s">
        <v>2303</v>
      </c>
      <c r="G5" s="189"/>
      <c r="H5" s="190">
        <v>45936.0</v>
      </c>
      <c r="I5" s="48"/>
      <c r="J5" s="189"/>
      <c r="K5" s="191">
        <v>45936.0</v>
      </c>
      <c r="L5" s="193" t="s">
        <v>38</v>
      </c>
      <c r="M5" s="194">
        <v>490203.0</v>
      </c>
      <c r="N5" s="195">
        <v>132.15</v>
      </c>
      <c r="O5" s="201">
        <v>629770.0</v>
      </c>
      <c r="P5" s="197"/>
      <c r="Q5" s="186" t="s">
        <v>2294</v>
      </c>
      <c r="R5" s="204" t="s">
        <v>43</v>
      </c>
      <c r="S5" s="141"/>
      <c r="T5" s="141"/>
      <c r="U5" s="57"/>
      <c r="V5" s="57"/>
      <c r="W5" s="57"/>
      <c r="X5" s="57"/>
      <c r="Y5" s="57"/>
      <c r="Z5" s="57"/>
      <c r="AA5" s="57"/>
      <c r="AB5" s="57"/>
    </row>
    <row r="6">
      <c r="A6" s="185" t="str">
        <f t="shared" si="1"/>
        <v>20251006-1MBX</v>
      </c>
      <c r="B6" s="185" t="s">
        <v>2306</v>
      </c>
      <c r="C6" s="186" t="s">
        <v>2307</v>
      </c>
      <c r="D6" s="186">
        <v>1.0</v>
      </c>
      <c r="E6" s="186" t="s">
        <v>2002</v>
      </c>
      <c r="F6" s="117"/>
      <c r="G6" s="189"/>
      <c r="H6" s="202">
        <v>45936.0</v>
      </c>
      <c r="I6" s="48"/>
      <c r="J6" s="189"/>
      <c r="K6" s="203">
        <v>45936.0</v>
      </c>
      <c r="L6" s="193" t="s">
        <v>38</v>
      </c>
      <c r="M6" s="194">
        <v>490203.0</v>
      </c>
      <c r="N6" s="195">
        <v>42.47</v>
      </c>
      <c r="O6" s="201">
        <v>629770.0</v>
      </c>
      <c r="P6" s="197"/>
      <c r="Q6" s="186" t="s">
        <v>2294</v>
      </c>
      <c r="R6" s="189" t="str">
        <f t="shared" ref="R6:R7" si="3">if(or(LOWER(B6)="name",LOWER(B6)="stock")=true,"Y","")</f>
        <v/>
      </c>
      <c r="S6" s="141"/>
      <c r="T6" s="141"/>
      <c r="U6" s="57"/>
      <c r="V6" s="57"/>
      <c r="W6" s="57"/>
      <c r="X6" s="57"/>
      <c r="Y6" s="57"/>
      <c r="Z6" s="57"/>
      <c r="AA6" s="57"/>
      <c r="AB6" s="57"/>
    </row>
    <row r="7">
      <c r="A7" s="185" t="str">
        <f t="shared" si="1"/>
        <v>20251006-2HK9</v>
      </c>
      <c r="B7" s="185" t="s">
        <v>2314</v>
      </c>
      <c r="C7" s="186" t="s">
        <v>2316</v>
      </c>
      <c r="D7" s="186">
        <v>1.0</v>
      </c>
      <c r="E7" s="186" t="s">
        <v>2004</v>
      </c>
      <c r="F7" s="186" t="s">
        <v>35</v>
      </c>
      <c r="G7" s="189"/>
      <c r="H7" s="202">
        <v>45936.0</v>
      </c>
      <c r="I7" s="48"/>
      <c r="J7" s="189"/>
      <c r="K7" s="203">
        <v>45936.0</v>
      </c>
      <c r="L7" s="193" t="s">
        <v>38</v>
      </c>
      <c r="M7" s="194">
        <v>490203.0</v>
      </c>
      <c r="N7" s="195">
        <v>50.11</v>
      </c>
      <c r="O7" s="201">
        <v>629770.0</v>
      </c>
      <c r="P7" s="197"/>
      <c r="Q7" s="186" t="s">
        <v>2294</v>
      </c>
      <c r="R7" s="189" t="str">
        <f t="shared" si="3"/>
        <v/>
      </c>
      <c r="S7" s="141"/>
      <c r="T7" s="141"/>
      <c r="U7" s="57"/>
      <c r="V7" s="57"/>
      <c r="W7" s="57"/>
      <c r="X7" s="57"/>
      <c r="Y7" s="57"/>
      <c r="Z7" s="57"/>
      <c r="AA7" s="57"/>
      <c r="AB7" s="57"/>
    </row>
    <row r="8">
      <c r="A8" s="185" t="str">
        <f t="shared" si="1"/>
        <v>20251006-1IG5</v>
      </c>
      <c r="B8" s="185" t="s">
        <v>2322</v>
      </c>
      <c r="C8" s="186" t="s">
        <v>2323</v>
      </c>
      <c r="D8" s="186">
        <v>1.0</v>
      </c>
      <c r="E8" s="186" t="s">
        <v>1813</v>
      </c>
      <c r="F8" s="117"/>
      <c r="G8" s="189"/>
      <c r="H8" s="202">
        <v>45936.0</v>
      </c>
      <c r="I8" s="48"/>
      <c r="J8" s="189"/>
      <c r="K8" s="203">
        <v>45936.0</v>
      </c>
      <c r="L8" s="193" t="s">
        <v>38</v>
      </c>
      <c r="M8" s="194">
        <v>490203.0</v>
      </c>
      <c r="N8" s="195">
        <v>132.15</v>
      </c>
      <c r="O8" s="201">
        <v>629770.0</v>
      </c>
      <c r="P8" s="197"/>
      <c r="Q8" s="186" t="s">
        <v>2294</v>
      </c>
      <c r="R8" s="204" t="s">
        <v>43</v>
      </c>
      <c r="S8" s="141"/>
      <c r="T8" s="141"/>
      <c r="U8" s="57"/>
      <c r="V8" s="57"/>
      <c r="W8" s="57"/>
      <c r="X8" s="57"/>
      <c r="Y8" s="57"/>
      <c r="Z8" s="57"/>
      <c r="AA8" s="57"/>
      <c r="AB8" s="57"/>
    </row>
    <row r="9">
      <c r="A9" s="185" t="str">
        <f t="shared" si="1"/>
        <v>20251006-2UUY</v>
      </c>
      <c r="B9" s="185" t="s">
        <v>2331</v>
      </c>
      <c r="C9" s="186" t="s">
        <v>2333</v>
      </c>
      <c r="D9" s="186">
        <v>1.0</v>
      </c>
      <c r="E9" s="186" t="s">
        <v>2006</v>
      </c>
      <c r="F9" s="186" t="s">
        <v>1191</v>
      </c>
      <c r="G9" s="189"/>
      <c r="H9" s="202">
        <v>45936.0</v>
      </c>
      <c r="I9" s="48"/>
      <c r="J9" s="189"/>
      <c r="K9" s="203">
        <v>45936.0</v>
      </c>
      <c r="L9" s="193" t="s">
        <v>38</v>
      </c>
      <c r="M9" s="194">
        <v>490203.0</v>
      </c>
      <c r="N9" s="195">
        <v>50.11</v>
      </c>
      <c r="O9" s="201">
        <v>629770.0</v>
      </c>
      <c r="P9" s="197"/>
      <c r="Q9" s="186" t="s">
        <v>2294</v>
      </c>
      <c r="R9" s="204" t="s">
        <v>43</v>
      </c>
      <c r="S9" s="141"/>
      <c r="T9" s="141"/>
      <c r="U9" s="57"/>
      <c r="V9" s="57"/>
      <c r="W9" s="57"/>
      <c r="X9" s="57"/>
      <c r="Y9" s="57"/>
      <c r="Z9" s="57"/>
      <c r="AA9" s="57"/>
      <c r="AB9" s="57"/>
    </row>
    <row r="10">
      <c r="A10" s="185" t="str">
        <f t="shared" si="1"/>
        <v>20251006-2ZI5</v>
      </c>
      <c r="B10" s="185" t="s">
        <v>2340</v>
      </c>
      <c r="C10" s="186" t="s">
        <v>2341</v>
      </c>
      <c r="D10" s="186">
        <v>1.0</v>
      </c>
      <c r="E10" s="186" t="s">
        <v>2007</v>
      </c>
      <c r="F10" s="186" t="s">
        <v>2343</v>
      </c>
      <c r="G10" s="189"/>
      <c r="H10" s="190">
        <v>45936.0</v>
      </c>
      <c r="I10" s="48"/>
      <c r="J10" s="189"/>
      <c r="K10" s="191">
        <v>45936.0</v>
      </c>
      <c r="L10" s="193" t="s">
        <v>38</v>
      </c>
      <c r="M10" s="194">
        <v>490203.0</v>
      </c>
      <c r="N10" s="195">
        <v>50.11</v>
      </c>
      <c r="O10" s="201">
        <v>629770.0</v>
      </c>
      <c r="P10" s="197"/>
      <c r="Q10" s="117"/>
      <c r="R10" s="189" t="str">
        <f>if(or(LOWER(B10)="name",LOWER(B10)="stock")=true,"Y","")</f>
        <v/>
      </c>
      <c r="S10" s="141"/>
      <c r="T10" s="141"/>
      <c r="U10" s="57"/>
      <c r="V10" s="57"/>
      <c r="W10" s="57"/>
      <c r="X10" s="57"/>
      <c r="Y10" s="57"/>
      <c r="Z10" s="57"/>
      <c r="AA10" s="57"/>
      <c r="AB10" s="57"/>
    </row>
    <row r="11">
      <c r="A11" s="185" t="str">
        <f t="shared" si="1"/>
        <v>20251006-1LWH</v>
      </c>
      <c r="B11" s="185" t="s">
        <v>1519</v>
      </c>
      <c r="C11" s="186" t="s">
        <v>2352</v>
      </c>
      <c r="D11" s="186">
        <v>1.0</v>
      </c>
      <c r="E11" s="186" t="s">
        <v>1004</v>
      </c>
      <c r="F11" s="186" t="s">
        <v>2355</v>
      </c>
      <c r="G11" s="189"/>
      <c r="H11" s="190">
        <v>45936.0</v>
      </c>
      <c r="I11" s="48"/>
      <c r="J11" s="189"/>
      <c r="K11" s="191">
        <v>45936.0</v>
      </c>
      <c r="L11" s="193" t="s">
        <v>38</v>
      </c>
      <c r="M11" s="194">
        <v>490203.0</v>
      </c>
      <c r="N11" s="195">
        <v>95.62</v>
      </c>
      <c r="O11" s="201">
        <v>629770.0</v>
      </c>
      <c r="P11" s="197"/>
      <c r="Q11" s="186" t="s">
        <v>2294</v>
      </c>
      <c r="R11" s="204" t="s">
        <v>43</v>
      </c>
      <c r="S11" s="141"/>
      <c r="T11" s="141"/>
      <c r="U11" s="57"/>
      <c r="V11" s="57"/>
      <c r="W11" s="57"/>
      <c r="X11" s="57"/>
      <c r="Y11" s="57"/>
      <c r="Z11" s="57"/>
      <c r="AA11" s="57"/>
      <c r="AB11" s="57"/>
    </row>
    <row r="12">
      <c r="A12" s="185" t="str">
        <f t="shared" si="1"/>
        <v>20251006-121T</v>
      </c>
      <c r="B12" s="185" t="s">
        <v>788</v>
      </c>
      <c r="C12" s="186"/>
      <c r="D12" s="186">
        <v>1.0</v>
      </c>
      <c r="E12" s="186" t="s">
        <v>1835</v>
      </c>
      <c r="F12" s="117"/>
      <c r="G12" s="189"/>
      <c r="H12" s="202">
        <v>45936.0</v>
      </c>
      <c r="I12" s="48"/>
      <c r="J12" s="189"/>
      <c r="K12" s="203">
        <v>45936.0</v>
      </c>
      <c r="L12" s="193" t="s">
        <v>38</v>
      </c>
      <c r="M12" s="194">
        <v>490203.0</v>
      </c>
      <c r="N12" s="195">
        <v>154.33</v>
      </c>
      <c r="O12" s="201">
        <v>629770.0</v>
      </c>
      <c r="P12" s="197"/>
      <c r="Q12" s="117"/>
      <c r="R12" s="204" t="s">
        <v>43</v>
      </c>
      <c r="S12" s="141"/>
      <c r="T12" s="141"/>
      <c r="U12" s="57"/>
      <c r="V12" s="57"/>
      <c r="W12" s="57"/>
      <c r="X12" s="57"/>
      <c r="Y12" s="57"/>
      <c r="Z12" s="57"/>
      <c r="AA12" s="57"/>
      <c r="AB12" s="57"/>
    </row>
    <row r="13">
      <c r="A13" s="185" t="str">
        <f t="shared" si="1"/>
        <v>20251006-20AP</v>
      </c>
      <c r="B13" s="185" t="s">
        <v>2376</v>
      </c>
      <c r="C13" s="186" t="s">
        <v>2377</v>
      </c>
      <c r="D13" s="186">
        <v>1.0</v>
      </c>
      <c r="E13" s="186" t="s">
        <v>1772</v>
      </c>
      <c r="F13" s="186" t="s">
        <v>2379</v>
      </c>
      <c r="G13" s="189"/>
      <c r="H13" s="190">
        <v>45936.0</v>
      </c>
      <c r="I13" s="48"/>
      <c r="J13" s="189"/>
      <c r="K13" s="191">
        <v>45936.0</v>
      </c>
      <c r="L13" s="193" t="s">
        <v>38</v>
      </c>
      <c r="M13" s="194">
        <v>490203.0</v>
      </c>
      <c r="N13" s="195">
        <v>132.15</v>
      </c>
      <c r="O13" s="201">
        <v>629770.0</v>
      </c>
      <c r="P13" s="197"/>
      <c r="Q13" s="186" t="s">
        <v>2294</v>
      </c>
      <c r="R13" s="204" t="s">
        <v>43</v>
      </c>
      <c r="S13" s="141"/>
      <c r="T13" s="141"/>
      <c r="U13" s="57"/>
      <c r="V13" s="57"/>
      <c r="W13" s="57"/>
      <c r="X13" s="57"/>
      <c r="Y13" s="57"/>
      <c r="Z13" s="57"/>
      <c r="AA13" s="57"/>
      <c r="AB13" s="57"/>
    </row>
    <row r="14">
      <c r="A14" s="185" t="str">
        <f t="shared" si="1"/>
        <v>20251006-D2I</v>
      </c>
      <c r="B14" s="185" t="s">
        <v>53</v>
      </c>
      <c r="C14" s="186"/>
      <c r="D14" s="186">
        <v>4.0</v>
      </c>
      <c r="E14" s="186" t="s">
        <v>1936</v>
      </c>
      <c r="F14" s="117"/>
      <c r="G14" s="189"/>
      <c r="H14" s="190">
        <v>45936.0</v>
      </c>
      <c r="I14" s="48"/>
      <c r="J14" s="189"/>
      <c r="K14" s="218">
        <v>45936.0</v>
      </c>
      <c r="L14" s="219" t="s">
        <v>38</v>
      </c>
      <c r="M14" s="194">
        <v>490203.0</v>
      </c>
      <c r="N14" s="195">
        <v>9.41</v>
      </c>
      <c r="O14" s="201">
        <v>629770.0</v>
      </c>
      <c r="P14" s="220"/>
      <c r="Q14" s="117"/>
      <c r="R14" s="189" t="str">
        <f>if(or(LOWER(B14)="name",LOWER(B14)="stock")=true,"Y","")</f>
        <v>Y</v>
      </c>
      <c r="S14" s="141"/>
      <c r="T14" s="141"/>
      <c r="U14" s="57"/>
      <c r="V14" s="57"/>
      <c r="W14" s="57"/>
      <c r="X14" s="57"/>
      <c r="Y14" s="57"/>
      <c r="Z14" s="57"/>
      <c r="AA14" s="57"/>
      <c r="AB14" s="57"/>
    </row>
    <row r="15">
      <c r="A15" s="185" t="str">
        <f t="shared" si="1"/>
        <v>20251006-OM4</v>
      </c>
      <c r="B15" s="185" t="s">
        <v>829</v>
      </c>
      <c r="C15" s="117"/>
      <c r="D15" s="186">
        <v>1.0</v>
      </c>
      <c r="E15" s="186" t="s">
        <v>1936</v>
      </c>
      <c r="F15" s="117"/>
      <c r="G15" s="189"/>
      <c r="H15" s="202">
        <v>45936.0</v>
      </c>
      <c r="I15" s="48"/>
      <c r="J15" s="189"/>
      <c r="K15" s="221">
        <v>45936.0</v>
      </c>
      <c r="L15" s="219" t="s">
        <v>38</v>
      </c>
      <c r="M15" s="194">
        <v>490203.0</v>
      </c>
      <c r="N15" s="195">
        <v>9.41</v>
      </c>
      <c r="O15" s="201">
        <v>629770.0</v>
      </c>
      <c r="P15" s="220"/>
      <c r="Q15" s="186" t="s">
        <v>2294</v>
      </c>
      <c r="R15" s="204" t="s">
        <v>43</v>
      </c>
      <c r="S15" s="141"/>
      <c r="T15" s="141"/>
      <c r="U15" s="57"/>
      <c r="V15" s="57"/>
      <c r="W15" s="57"/>
      <c r="X15" s="57"/>
      <c r="Y15" s="57"/>
      <c r="Z15" s="57"/>
      <c r="AA15" s="57"/>
      <c r="AB15" s="57"/>
    </row>
    <row r="16">
      <c r="A16" s="185" t="str">
        <f t="shared" si="1"/>
        <v>20251006-1ADU</v>
      </c>
      <c r="B16" s="185" t="s">
        <v>2408</v>
      </c>
      <c r="C16" s="186" t="s">
        <v>2409</v>
      </c>
      <c r="D16" s="186">
        <v>1.0</v>
      </c>
      <c r="E16" s="186" t="s">
        <v>2008</v>
      </c>
      <c r="F16" s="186" t="s">
        <v>2410</v>
      </c>
      <c r="G16" s="189"/>
      <c r="H16" s="202">
        <v>45936.0</v>
      </c>
      <c r="I16" s="48"/>
      <c r="J16" s="189"/>
      <c r="K16" s="203">
        <v>45936.0</v>
      </c>
      <c r="L16" s="193" t="s">
        <v>38</v>
      </c>
      <c r="M16" s="194">
        <v>490203.0</v>
      </c>
      <c r="N16" s="195">
        <v>42.47</v>
      </c>
      <c r="O16" s="201">
        <v>629770.0</v>
      </c>
      <c r="P16" s="197"/>
      <c r="Q16" s="186" t="s">
        <v>2294</v>
      </c>
      <c r="R16" s="189" t="str">
        <f t="shared" ref="R16:R22" si="4">if(or(LOWER(B16)="name",LOWER(B16)="stock")=true,"Y","")</f>
        <v/>
      </c>
      <c r="S16" s="141"/>
      <c r="T16" s="141"/>
      <c r="U16" s="57"/>
      <c r="V16" s="57"/>
      <c r="W16" s="57"/>
      <c r="X16" s="57"/>
      <c r="Y16" s="57"/>
      <c r="Z16" s="57"/>
      <c r="AA16" s="57"/>
      <c r="AB16" s="57"/>
    </row>
    <row r="17">
      <c r="A17" s="185" t="str">
        <f t="shared" si="1"/>
        <v>20251007-Q5D</v>
      </c>
      <c r="B17" s="185" t="s">
        <v>53</v>
      </c>
      <c r="C17" s="117"/>
      <c r="D17" s="186">
        <v>1.0</v>
      </c>
      <c r="E17" s="186" t="s">
        <v>2009</v>
      </c>
      <c r="F17" s="186" t="s">
        <v>2420</v>
      </c>
      <c r="G17" s="189"/>
      <c r="H17" s="202">
        <v>45937.0</v>
      </c>
      <c r="I17" s="48"/>
      <c r="J17" s="189"/>
      <c r="K17" s="203">
        <v>45937.0</v>
      </c>
      <c r="L17" s="193" t="s">
        <v>347</v>
      </c>
      <c r="M17" s="194" t="s">
        <v>2421</v>
      </c>
      <c r="N17" s="195">
        <v>95.4</v>
      </c>
      <c r="O17" s="201">
        <v>7400097.0</v>
      </c>
      <c r="P17" s="197"/>
      <c r="Q17" s="117"/>
      <c r="R17" s="189" t="str">
        <f t="shared" si="4"/>
        <v>Y</v>
      </c>
      <c r="S17" s="141"/>
      <c r="T17" s="141"/>
      <c r="U17" s="57"/>
      <c r="V17" s="57"/>
      <c r="W17" s="57"/>
      <c r="X17" s="57"/>
      <c r="Y17" s="57"/>
      <c r="Z17" s="57"/>
      <c r="AA17" s="57"/>
      <c r="AB17" s="57"/>
    </row>
    <row r="18">
      <c r="A18" s="185" t="str">
        <f t="shared" si="1"/>
        <v>20251008-16KE</v>
      </c>
      <c r="B18" s="185" t="s">
        <v>53</v>
      </c>
      <c r="C18" s="117"/>
      <c r="D18" s="186">
        <v>1.0</v>
      </c>
      <c r="E18" s="186" t="s">
        <v>2010</v>
      </c>
      <c r="F18" s="117"/>
      <c r="G18" s="189"/>
      <c r="H18" s="202">
        <v>45938.0</v>
      </c>
      <c r="I18" s="48"/>
      <c r="J18" s="189"/>
      <c r="K18" s="203">
        <v>45938.0</v>
      </c>
      <c r="L18" s="193" t="s">
        <v>38</v>
      </c>
      <c r="M18" s="194">
        <v>490758.0</v>
      </c>
      <c r="N18" s="195">
        <v>42.47</v>
      </c>
      <c r="O18" s="201">
        <v>630525.0</v>
      </c>
      <c r="P18" s="197"/>
      <c r="Q18" s="117"/>
      <c r="R18" s="189" t="str">
        <f t="shared" si="4"/>
        <v>Y</v>
      </c>
      <c r="S18" s="141"/>
      <c r="T18" s="141"/>
      <c r="U18" s="57"/>
      <c r="V18" s="57"/>
      <c r="W18" s="57"/>
      <c r="X18" s="57"/>
      <c r="Y18" s="57"/>
      <c r="Z18" s="57"/>
      <c r="AA18" s="57"/>
      <c r="AB18" s="57"/>
    </row>
    <row r="19">
      <c r="A19" s="185" t="str">
        <f t="shared" si="1"/>
        <v>20251008-13KQ</v>
      </c>
      <c r="B19" s="185" t="s">
        <v>53</v>
      </c>
      <c r="C19" s="117"/>
      <c r="D19" s="186">
        <v>1.0</v>
      </c>
      <c r="E19" s="186" t="s">
        <v>2011</v>
      </c>
      <c r="F19" s="117"/>
      <c r="G19" s="189"/>
      <c r="H19" s="202">
        <v>45938.0</v>
      </c>
      <c r="I19" s="48"/>
      <c r="J19" s="189"/>
      <c r="K19" s="203">
        <v>45938.0</v>
      </c>
      <c r="L19" s="193" t="s">
        <v>38</v>
      </c>
      <c r="M19" s="194">
        <v>490758.0</v>
      </c>
      <c r="N19" s="195">
        <v>42.47</v>
      </c>
      <c r="O19" s="201">
        <v>630525.0</v>
      </c>
      <c r="P19" s="197"/>
      <c r="Q19" s="117"/>
      <c r="R19" s="189" t="str">
        <f t="shared" si="4"/>
        <v>Y</v>
      </c>
      <c r="S19" s="141"/>
      <c r="T19" s="141"/>
      <c r="U19" s="57"/>
      <c r="V19" s="57"/>
      <c r="W19" s="57"/>
      <c r="X19" s="57"/>
      <c r="Y19" s="57"/>
      <c r="Z19" s="57"/>
      <c r="AA19" s="57"/>
      <c r="AB19" s="57"/>
    </row>
    <row r="20">
      <c r="A20" s="185" t="str">
        <f t="shared" si="1"/>
        <v>20251008-16MI</v>
      </c>
      <c r="B20" s="185" t="s">
        <v>53</v>
      </c>
      <c r="C20" s="117"/>
      <c r="D20" s="186">
        <v>1.0</v>
      </c>
      <c r="E20" s="186" t="s">
        <v>2012</v>
      </c>
      <c r="F20" s="117"/>
      <c r="G20" s="189"/>
      <c r="H20" s="202">
        <v>45938.0</v>
      </c>
      <c r="I20" s="48"/>
      <c r="J20" s="189"/>
      <c r="K20" s="203">
        <v>45938.0</v>
      </c>
      <c r="L20" s="193" t="s">
        <v>38</v>
      </c>
      <c r="M20" s="194">
        <v>490758.0</v>
      </c>
      <c r="N20" s="195">
        <v>42.47</v>
      </c>
      <c r="O20" s="201">
        <v>630525.0</v>
      </c>
      <c r="P20" s="197"/>
      <c r="Q20" s="117"/>
      <c r="R20" s="189" t="str">
        <f t="shared" si="4"/>
        <v>Y</v>
      </c>
      <c r="S20" s="141"/>
      <c r="T20" s="141"/>
      <c r="U20" s="57"/>
      <c r="V20" s="57"/>
      <c r="W20" s="57"/>
      <c r="X20" s="57"/>
      <c r="Y20" s="57"/>
      <c r="Z20" s="57"/>
      <c r="AA20" s="57"/>
      <c r="AB20" s="57"/>
    </row>
    <row r="21">
      <c r="A21" s="185" t="str">
        <f t="shared" si="1"/>
        <v>20251008-13MU</v>
      </c>
      <c r="B21" s="185" t="s">
        <v>53</v>
      </c>
      <c r="C21" s="117"/>
      <c r="D21" s="186">
        <v>1.0</v>
      </c>
      <c r="E21" s="186" t="s">
        <v>2013</v>
      </c>
      <c r="F21" s="117"/>
      <c r="G21" s="189"/>
      <c r="H21" s="202">
        <v>45938.0</v>
      </c>
      <c r="I21" s="48"/>
      <c r="J21" s="189"/>
      <c r="K21" s="203">
        <v>45938.0</v>
      </c>
      <c r="L21" s="193" t="s">
        <v>38</v>
      </c>
      <c r="M21" s="194">
        <v>490758.0</v>
      </c>
      <c r="N21" s="195">
        <v>42.47</v>
      </c>
      <c r="O21" s="201">
        <v>630525.0</v>
      </c>
      <c r="P21" s="197"/>
      <c r="Q21" s="117"/>
      <c r="R21" s="189" t="str">
        <f t="shared" si="4"/>
        <v>Y</v>
      </c>
      <c r="S21" s="141"/>
      <c r="T21" s="141"/>
      <c r="U21" s="57"/>
      <c r="V21" s="57"/>
      <c r="W21" s="57"/>
      <c r="X21" s="57"/>
      <c r="Y21" s="57"/>
      <c r="Z21" s="57"/>
      <c r="AA21" s="57"/>
      <c r="AB21" s="57"/>
    </row>
    <row r="22">
      <c r="A22" s="185" t="str">
        <f t="shared" si="1"/>
        <v>20251008-VY0</v>
      </c>
      <c r="B22" s="185" t="s">
        <v>53</v>
      </c>
      <c r="C22" s="117"/>
      <c r="D22" s="186">
        <v>1.0</v>
      </c>
      <c r="E22" s="186" t="s">
        <v>2014</v>
      </c>
      <c r="F22" s="117"/>
      <c r="G22" s="189"/>
      <c r="H22" s="202">
        <v>45938.0</v>
      </c>
      <c r="I22" s="48"/>
      <c r="J22" s="189"/>
      <c r="K22" s="203">
        <v>45938.0</v>
      </c>
      <c r="L22" s="193" t="s">
        <v>38</v>
      </c>
      <c r="M22" s="194">
        <v>490758.0</v>
      </c>
      <c r="N22" s="195">
        <v>42.47</v>
      </c>
      <c r="O22" s="201">
        <v>630525.0</v>
      </c>
      <c r="P22" s="197"/>
      <c r="Q22" s="117"/>
      <c r="R22" s="189" t="str">
        <f t="shared" si="4"/>
        <v>Y</v>
      </c>
      <c r="S22" s="141"/>
      <c r="T22" s="141"/>
      <c r="U22" s="57"/>
      <c r="V22" s="57"/>
      <c r="W22" s="57"/>
      <c r="X22" s="57"/>
      <c r="Y22" s="57"/>
      <c r="Z22" s="57"/>
      <c r="AA22" s="57"/>
      <c r="AB22" s="57"/>
    </row>
    <row r="23">
      <c r="A23" s="185" t="str">
        <f t="shared" si="1"/>
        <v>20251008-1HNH</v>
      </c>
      <c r="B23" s="185" t="s">
        <v>2447</v>
      </c>
      <c r="C23" s="117"/>
      <c r="D23" s="186">
        <v>1.0</v>
      </c>
      <c r="E23" s="186" t="s">
        <v>2015</v>
      </c>
      <c r="F23" s="117"/>
      <c r="G23" s="189"/>
      <c r="H23" s="202">
        <v>45938.0</v>
      </c>
      <c r="I23" s="48"/>
      <c r="J23" s="189"/>
      <c r="K23" s="203">
        <v>45938.0</v>
      </c>
      <c r="L23" s="193" t="s">
        <v>38</v>
      </c>
      <c r="M23" s="194">
        <v>490758.0</v>
      </c>
      <c r="N23" s="195">
        <v>42.47</v>
      </c>
      <c r="O23" s="201">
        <v>630525.0</v>
      </c>
      <c r="P23" s="197"/>
      <c r="Q23" s="186" t="s">
        <v>2294</v>
      </c>
      <c r="R23" s="204" t="s">
        <v>43</v>
      </c>
      <c r="S23" s="141"/>
      <c r="T23" s="141"/>
      <c r="U23" s="57"/>
      <c r="V23" s="57"/>
      <c r="W23" s="57"/>
      <c r="X23" s="57"/>
      <c r="Y23" s="57"/>
      <c r="Z23" s="57"/>
      <c r="AA23" s="57"/>
      <c r="AB23" s="57"/>
    </row>
    <row r="24">
      <c r="A24" s="185" t="str">
        <f t="shared" si="1"/>
        <v>20251008-YRG</v>
      </c>
      <c r="B24" s="185" t="s">
        <v>53</v>
      </c>
      <c r="C24" s="117"/>
      <c r="D24" s="186">
        <v>1.0</v>
      </c>
      <c r="E24" s="186" t="s">
        <v>1804</v>
      </c>
      <c r="F24" s="117"/>
      <c r="G24" s="189"/>
      <c r="H24" s="202">
        <v>45938.0</v>
      </c>
      <c r="I24" s="48"/>
      <c r="J24" s="189"/>
      <c r="K24" s="203">
        <v>45938.0</v>
      </c>
      <c r="L24" s="193" t="s">
        <v>38</v>
      </c>
      <c r="M24" s="194">
        <v>490758.0</v>
      </c>
      <c r="N24" s="195">
        <v>42.47</v>
      </c>
      <c r="O24" s="201">
        <v>630525.0</v>
      </c>
      <c r="P24" s="197"/>
      <c r="Q24" s="117"/>
      <c r="R24" s="189" t="str">
        <f t="shared" ref="R24:R29" si="5">if(or(LOWER(B24)="name",LOWER(B24)="stock")=true,"Y","")</f>
        <v>Y</v>
      </c>
      <c r="S24" s="141"/>
      <c r="T24" s="141"/>
      <c r="U24" s="57"/>
      <c r="V24" s="57"/>
      <c r="W24" s="57"/>
      <c r="X24" s="57"/>
      <c r="Y24" s="57"/>
      <c r="Z24" s="57"/>
      <c r="AA24" s="57"/>
      <c r="AB24" s="57"/>
    </row>
    <row r="25">
      <c r="A25" s="185" t="str">
        <f t="shared" si="1"/>
        <v>20251008-VZY</v>
      </c>
      <c r="B25" s="185" t="s">
        <v>53</v>
      </c>
      <c r="C25" s="117"/>
      <c r="D25" s="186">
        <v>1.0</v>
      </c>
      <c r="E25" s="186" t="s">
        <v>2016</v>
      </c>
      <c r="F25" s="117"/>
      <c r="G25" s="189"/>
      <c r="H25" s="202">
        <v>45938.0</v>
      </c>
      <c r="I25" s="48"/>
      <c r="J25" s="189"/>
      <c r="K25" s="203">
        <v>45938.0</v>
      </c>
      <c r="L25" s="193" t="s">
        <v>38</v>
      </c>
      <c r="M25" s="194">
        <v>490758.0</v>
      </c>
      <c r="N25" s="195">
        <v>42.47</v>
      </c>
      <c r="O25" s="201">
        <v>630525.0</v>
      </c>
      <c r="P25" s="197"/>
      <c r="Q25" s="117"/>
      <c r="R25" s="189" t="str">
        <f t="shared" si="5"/>
        <v>Y</v>
      </c>
      <c r="S25" s="141"/>
      <c r="T25" s="141"/>
      <c r="U25" s="57"/>
      <c r="V25" s="57"/>
      <c r="W25" s="57"/>
      <c r="X25" s="57"/>
      <c r="Y25" s="57"/>
      <c r="Z25" s="57"/>
      <c r="AA25" s="57"/>
      <c r="AB25" s="57"/>
    </row>
    <row r="26">
      <c r="A26" s="185" t="str">
        <f t="shared" si="1"/>
        <v>20251008-W13</v>
      </c>
      <c r="B26" s="185" t="s">
        <v>53</v>
      </c>
      <c r="C26" s="117"/>
      <c r="D26" s="186">
        <v>2.0</v>
      </c>
      <c r="E26" s="186" t="s">
        <v>2017</v>
      </c>
      <c r="F26" s="117"/>
      <c r="G26" s="189"/>
      <c r="H26" s="202">
        <v>45938.0</v>
      </c>
      <c r="I26" s="48"/>
      <c r="J26" s="189"/>
      <c r="K26" s="203">
        <v>45938.0</v>
      </c>
      <c r="L26" s="193" t="s">
        <v>38</v>
      </c>
      <c r="M26" s="194">
        <v>490758.0</v>
      </c>
      <c r="N26" s="195">
        <v>42.47</v>
      </c>
      <c r="O26" s="201">
        <v>630525.0</v>
      </c>
      <c r="P26" s="197"/>
      <c r="Q26" s="117"/>
      <c r="R26" s="189" t="str">
        <f t="shared" si="5"/>
        <v>Y</v>
      </c>
      <c r="S26" s="141"/>
      <c r="T26" s="141"/>
      <c r="U26" s="57"/>
      <c r="V26" s="57"/>
      <c r="W26" s="57"/>
      <c r="X26" s="57"/>
      <c r="Y26" s="57"/>
      <c r="Z26" s="57"/>
      <c r="AA26" s="57"/>
      <c r="AB26" s="57"/>
    </row>
    <row r="27">
      <c r="A27" s="185" t="str">
        <f t="shared" si="1"/>
        <v>20251008-1A65</v>
      </c>
      <c r="B27" s="185" t="s">
        <v>53</v>
      </c>
      <c r="C27" s="117"/>
      <c r="D27" s="186">
        <v>1.0</v>
      </c>
      <c r="E27" s="186" t="s">
        <v>1893</v>
      </c>
      <c r="F27" s="117"/>
      <c r="G27" s="189"/>
      <c r="H27" s="202">
        <v>45938.0</v>
      </c>
      <c r="I27" s="48"/>
      <c r="J27" s="189"/>
      <c r="K27" s="203">
        <v>45938.0</v>
      </c>
      <c r="L27" s="193" t="s">
        <v>38</v>
      </c>
      <c r="M27" s="194">
        <v>490758.0</v>
      </c>
      <c r="N27" s="195">
        <v>152.81</v>
      </c>
      <c r="O27" s="201">
        <v>630525.0</v>
      </c>
      <c r="P27" s="197"/>
      <c r="Q27" s="117"/>
      <c r="R27" s="189" t="str">
        <f t="shared" si="5"/>
        <v>Y</v>
      </c>
      <c r="S27" s="141"/>
      <c r="T27" s="141"/>
      <c r="U27" s="57"/>
      <c r="V27" s="57"/>
      <c r="W27" s="57"/>
      <c r="X27" s="57"/>
      <c r="Y27" s="57"/>
      <c r="Z27" s="57"/>
      <c r="AA27" s="57"/>
      <c r="AB27" s="57"/>
    </row>
    <row r="28">
      <c r="A28" s="185" t="str">
        <f t="shared" si="1"/>
        <v>20251008-MPJ</v>
      </c>
      <c r="B28" s="185" t="s">
        <v>53</v>
      </c>
      <c r="C28" s="117"/>
      <c r="D28" s="186">
        <v>1.0</v>
      </c>
      <c r="E28" s="186" t="s">
        <v>1066</v>
      </c>
      <c r="F28" s="117"/>
      <c r="G28" s="189"/>
      <c r="H28" s="202">
        <v>45938.0</v>
      </c>
      <c r="I28" s="48"/>
      <c r="J28" s="189"/>
      <c r="K28" s="203">
        <v>45938.0</v>
      </c>
      <c r="L28" s="193" t="s">
        <v>38</v>
      </c>
      <c r="M28" s="194">
        <v>490758.0</v>
      </c>
      <c r="N28" s="195">
        <v>114.0</v>
      </c>
      <c r="O28" s="201">
        <v>630525.0</v>
      </c>
      <c r="P28" s="197"/>
      <c r="Q28" s="117"/>
      <c r="R28" s="189" t="str">
        <f t="shared" si="5"/>
        <v>Y</v>
      </c>
      <c r="S28" s="141"/>
      <c r="T28" s="141"/>
      <c r="U28" s="57"/>
      <c r="V28" s="57"/>
      <c r="W28" s="57"/>
      <c r="X28" s="57"/>
      <c r="Y28" s="57"/>
      <c r="Z28" s="57"/>
      <c r="AA28" s="57"/>
      <c r="AB28" s="57"/>
    </row>
    <row r="29">
      <c r="A29" s="185" t="str">
        <f t="shared" si="1"/>
        <v>20251008-GRL</v>
      </c>
      <c r="B29" s="185" t="s">
        <v>53</v>
      </c>
      <c r="C29" s="117"/>
      <c r="D29" s="186">
        <v>1.0</v>
      </c>
      <c r="E29" s="186" t="s">
        <v>1896</v>
      </c>
      <c r="F29" s="117"/>
      <c r="G29" s="189"/>
      <c r="H29" s="202">
        <v>45938.0</v>
      </c>
      <c r="I29" s="48"/>
      <c r="J29" s="189"/>
      <c r="K29" s="203">
        <v>45938.0</v>
      </c>
      <c r="L29" s="193" t="s">
        <v>38</v>
      </c>
      <c r="M29" s="194">
        <v>490758.0</v>
      </c>
      <c r="N29" s="195">
        <v>132.15</v>
      </c>
      <c r="O29" s="201">
        <v>630525.0</v>
      </c>
      <c r="P29" s="197"/>
      <c r="Q29" s="117"/>
      <c r="R29" s="189" t="str">
        <f t="shared" si="5"/>
        <v>Y</v>
      </c>
      <c r="S29" s="141"/>
      <c r="T29" s="141"/>
      <c r="U29" s="57"/>
      <c r="V29" s="57"/>
      <c r="W29" s="57"/>
      <c r="X29" s="57"/>
      <c r="Y29" s="57"/>
      <c r="Z29" s="57"/>
      <c r="AA29" s="57"/>
      <c r="AB29" s="57"/>
    </row>
    <row r="30">
      <c r="A30" s="185" t="str">
        <f t="shared" si="1"/>
        <v>20251008-153L</v>
      </c>
      <c r="B30" s="185" t="s">
        <v>2466</v>
      </c>
      <c r="C30" s="117"/>
      <c r="D30" s="186">
        <v>1.0</v>
      </c>
      <c r="E30" s="186" t="s">
        <v>2019</v>
      </c>
      <c r="F30" s="117"/>
      <c r="G30" s="189"/>
      <c r="H30" s="202">
        <v>45938.0</v>
      </c>
      <c r="I30" s="48"/>
      <c r="J30" s="189"/>
      <c r="K30" s="203">
        <v>45938.0</v>
      </c>
      <c r="L30" s="193" t="s">
        <v>38</v>
      </c>
      <c r="M30" s="194">
        <v>490758.0</v>
      </c>
      <c r="N30" s="195">
        <v>156.51</v>
      </c>
      <c r="O30" s="201">
        <v>630525.0</v>
      </c>
      <c r="P30" s="193" t="s">
        <v>1231</v>
      </c>
      <c r="Q30" s="186" t="s">
        <v>2294</v>
      </c>
      <c r="R30" s="204" t="s">
        <v>43</v>
      </c>
      <c r="S30" s="141"/>
      <c r="T30" s="141"/>
      <c r="U30" s="57"/>
      <c r="V30" s="57"/>
      <c r="W30" s="57"/>
      <c r="X30" s="57"/>
      <c r="Y30" s="57"/>
      <c r="Z30" s="57"/>
      <c r="AA30" s="57"/>
      <c r="AB30" s="57"/>
    </row>
    <row r="31">
      <c r="A31" s="185" t="str">
        <f t="shared" si="1"/>
        <v>20251008-1G1Y</v>
      </c>
      <c r="B31" s="185" t="s">
        <v>2471</v>
      </c>
      <c r="C31" s="117"/>
      <c r="D31" s="186">
        <v>1.0</v>
      </c>
      <c r="E31" s="186" t="s">
        <v>2021</v>
      </c>
      <c r="F31" s="186" t="s">
        <v>35</v>
      </c>
      <c r="G31" s="189"/>
      <c r="H31" s="202">
        <v>45938.0</v>
      </c>
      <c r="I31" s="48"/>
      <c r="J31" s="189"/>
      <c r="K31" s="203">
        <v>45938.0</v>
      </c>
      <c r="L31" s="193" t="s">
        <v>38</v>
      </c>
      <c r="M31" s="194">
        <v>490758.0</v>
      </c>
      <c r="N31" s="195">
        <v>101.7</v>
      </c>
      <c r="O31" s="201">
        <v>630525.0</v>
      </c>
      <c r="P31" s="197"/>
      <c r="Q31" s="186" t="s">
        <v>2294</v>
      </c>
      <c r="R31" s="204" t="s">
        <v>43</v>
      </c>
      <c r="S31" s="141"/>
      <c r="T31" s="141"/>
      <c r="U31" s="57"/>
      <c r="V31" s="57"/>
      <c r="W31" s="57"/>
      <c r="X31" s="57"/>
      <c r="Y31" s="57"/>
      <c r="Z31" s="57"/>
      <c r="AA31" s="57"/>
      <c r="AB31" s="57"/>
    </row>
    <row r="32">
      <c r="A32" s="185" t="str">
        <f t="shared" si="1"/>
        <v>20251008-1XNF</v>
      </c>
      <c r="B32" s="185" t="s">
        <v>2476</v>
      </c>
      <c r="C32" s="186" t="s">
        <v>2478</v>
      </c>
      <c r="D32" s="186">
        <v>1.0</v>
      </c>
      <c r="E32" s="186" t="s">
        <v>2022</v>
      </c>
      <c r="F32" s="186" t="s">
        <v>2479</v>
      </c>
      <c r="G32" s="189"/>
      <c r="H32" s="202">
        <v>45938.0</v>
      </c>
      <c r="I32" s="48"/>
      <c r="J32" s="189"/>
      <c r="K32" s="203">
        <v>45938.0</v>
      </c>
      <c r="L32" s="193" t="s">
        <v>38</v>
      </c>
      <c r="M32" s="194">
        <v>490758.0</v>
      </c>
      <c r="N32" s="195">
        <v>122.41</v>
      </c>
      <c r="O32" s="201">
        <v>630525.0</v>
      </c>
      <c r="P32" s="197"/>
      <c r="Q32" s="186" t="s">
        <v>2294</v>
      </c>
      <c r="R32" s="204" t="s">
        <v>43</v>
      </c>
      <c r="S32" s="141"/>
      <c r="T32" s="141"/>
      <c r="U32" s="57"/>
      <c r="V32" s="57"/>
      <c r="W32" s="57"/>
      <c r="X32" s="57"/>
      <c r="Y32" s="57"/>
      <c r="Z32" s="57"/>
      <c r="AA32" s="57"/>
      <c r="AB32" s="57"/>
    </row>
    <row r="33">
      <c r="A33" s="185" t="str">
        <f t="shared" si="1"/>
        <v>20251008-2PR6</v>
      </c>
      <c r="B33" s="185" t="s">
        <v>2485</v>
      </c>
      <c r="C33" s="186" t="s">
        <v>2307</v>
      </c>
      <c r="D33" s="186">
        <v>1.0</v>
      </c>
      <c r="E33" s="186" t="s">
        <v>2023</v>
      </c>
      <c r="F33" s="186" t="s">
        <v>2487</v>
      </c>
      <c r="G33" s="189"/>
      <c r="H33" s="202">
        <v>45938.0</v>
      </c>
      <c r="I33" s="48"/>
      <c r="J33" s="189"/>
      <c r="K33" s="203">
        <v>45938.0</v>
      </c>
      <c r="L33" s="193" t="s">
        <v>38</v>
      </c>
      <c r="M33" s="194">
        <v>490758.0</v>
      </c>
      <c r="N33" s="195">
        <v>70.16</v>
      </c>
      <c r="O33" s="201">
        <v>630525.0</v>
      </c>
      <c r="P33" s="197"/>
      <c r="Q33" s="186" t="s">
        <v>2294</v>
      </c>
      <c r="R33" s="204" t="s">
        <v>43</v>
      </c>
      <c r="S33" s="141"/>
      <c r="T33" s="141"/>
      <c r="U33" s="57"/>
      <c r="V33" s="57"/>
      <c r="W33" s="57"/>
      <c r="X33" s="57"/>
      <c r="Y33" s="57"/>
      <c r="Z33" s="57"/>
      <c r="AA33" s="57"/>
      <c r="AB33" s="57"/>
    </row>
    <row r="34">
      <c r="A34" s="185" t="str">
        <f t="shared" si="1"/>
        <v>20251008-B4L</v>
      </c>
      <c r="B34" s="185" t="s">
        <v>53</v>
      </c>
      <c r="C34" s="117"/>
      <c r="D34" s="186">
        <v>2.0</v>
      </c>
      <c r="E34" s="186" t="s">
        <v>2024</v>
      </c>
      <c r="F34" s="117"/>
      <c r="G34" s="189"/>
      <c r="H34" s="202">
        <v>45938.0</v>
      </c>
      <c r="I34" s="48"/>
      <c r="J34" s="189"/>
      <c r="K34" s="203">
        <v>45938.0</v>
      </c>
      <c r="L34" s="193" t="s">
        <v>38</v>
      </c>
      <c r="M34" s="194">
        <v>490758.0</v>
      </c>
      <c r="N34" s="195">
        <v>13.3</v>
      </c>
      <c r="O34" s="201">
        <v>630525.0</v>
      </c>
      <c r="P34" s="197"/>
      <c r="Q34" s="117"/>
      <c r="R34" s="189" t="str">
        <f t="shared" ref="R34:R38" si="6">if(or(LOWER(B34)="name",LOWER(B34)="stock")=true,"Y","")</f>
        <v>Y</v>
      </c>
      <c r="S34" s="141"/>
      <c r="T34" s="141"/>
      <c r="U34" s="57"/>
      <c r="V34" s="57"/>
      <c r="W34" s="57"/>
      <c r="X34" s="57"/>
      <c r="Y34" s="57"/>
      <c r="Z34" s="57"/>
      <c r="AA34" s="57"/>
      <c r="AB34" s="57"/>
    </row>
    <row r="35">
      <c r="A35" s="185" t="str">
        <f t="shared" si="1"/>
        <v>20251008-B50</v>
      </c>
      <c r="B35" s="185" t="s">
        <v>53</v>
      </c>
      <c r="C35" s="117"/>
      <c r="D35" s="186">
        <v>2.0</v>
      </c>
      <c r="E35" s="186" t="s">
        <v>2025</v>
      </c>
      <c r="F35" s="117"/>
      <c r="G35" s="189"/>
      <c r="H35" s="202">
        <v>45938.0</v>
      </c>
      <c r="I35" s="48"/>
      <c r="J35" s="189"/>
      <c r="K35" s="203">
        <v>45938.0</v>
      </c>
      <c r="L35" s="193" t="s">
        <v>38</v>
      </c>
      <c r="M35" s="194">
        <v>490758.0</v>
      </c>
      <c r="N35" s="195">
        <v>14.25</v>
      </c>
      <c r="O35" s="201">
        <v>630525.0</v>
      </c>
      <c r="P35" s="197"/>
      <c r="Q35" s="117"/>
      <c r="R35" s="189" t="str">
        <f t="shared" si="6"/>
        <v>Y</v>
      </c>
      <c r="S35" s="141"/>
      <c r="T35" s="141"/>
      <c r="U35" s="57"/>
      <c r="V35" s="57"/>
      <c r="W35" s="57"/>
      <c r="X35" s="57"/>
      <c r="Y35" s="57"/>
      <c r="Z35" s="57"/>
      <c r="AA35" s="57"/>
      <c r="AB35" s="57"/>
    </row>
    <row r="36">
      <c r="A36" s="185" t="str">
        <f t="shared" si="1"/>
        <v>20251008-FEP</v>
      </c>
      <c r="B36" s="185" t="s">
        <v>53</v>
      </c>
      <c r="C36" s="117"/>
      <c r="D36" s="186">
        <v>1.0</v>
      </c>
      <c r="E36" s="186" t="s">
        <v>2026</v>
      </c>
      <c r="F36" s="117"/>
      <c r="G36" s="189"/>
      <c r="H36" s="202">
        <v>45938.0</v>
      </c>
      <c r="I36" s="48"/>
      <c r="J36" s="189"/>
      <c r="K36" s="203">
        <v>45938.0</v>
      </c>
      <c r="L36" s="193" t="s">
        <v>38</v>
      </c>
      <c r="M36" s="194">
        <v>490758.0</v>
      </c>
      <c r="N36" s="195">
        <v>14.25</v>
      </c>
      <c r="O36" s="201">
        <v>630525.0</v>
      </c>
      <c r="P36" s="197"/>
      <c r="Q36" s="117"/>
      <c r="R36" s="189" t="str">
        <f t="shared" si="6"/>
        <v>Y</v>
      </c>
      <c r="S36" s="141"/>
      <c r="T36" s="141"/>
      <c r="U36" s="57"/>
      <c r="V36" s="57"/>
      <c r="W36" s="57"/>
      <c r="X36" s="57"/>
      <c r="Y36" s="57"/>
      <c r="Z36" s="57"/>
      <c r="AA36" s="57"/>
      <c r="AB36" s="57"/>
    </row>
    <row r="37">
      <c r="A37" s="185" t="str">
        <f t="shared" si="1"/>
        <v>20251008-FF5</v>
      </c>
      <c r="B37" s="185" t="s">
        <v>53</v>
      </c>
      <c r="C37" s="117"/>
      <c r="D37" s="186">
        <v>1.0</v>
      </c>
      <c r="E37" s="186" t="s">
        <v>2027</v>
      </c>
      <c r="F37" s="117"/>
      <c r="G37" s="189"/>
      <c r="H37" s="202">
        <v>45938.0</v>
      </c>
      <c r="I37" s="48"/>
      <c r="J37" s="189"/>
      <c r="K37" s="203">
        <v>45938.0</v>
      </c>
      <c r="L37" s="193" t="s">
        <v>38</v>
      </c>
      <c r="M37" s="194">
        <v>490758.0</v>
      </c>
      <c r="N37" s="195">
        <v>15.2</v>
      </c>
      <c r="O37" s="201">
        <v>630525.0</v>
      </c>
      <c r="P37" s="197"/>
      <c r="Q37" s="117"/>
      <c r="R37" s="189" t="str">
        <f t="shared" si="6"/>
        <v>Y</v>
      </c>
      <c r="S37" s="141"/>
      <c r="T37" s="141"/>
      <c r="U37" s="57"/>
      <c r="V37" s="57"/>
      <c r="W37" s="57"/>
      <c r="X37" s="57"/>
      <c r="Y37" s="57"/>
      <c r="Z37" s="57"/>
      <c r="AA37" s="57"/>
      <c r="AB37" s="57"/>
    </row>
    <row r="38">
      <c r="A38" s="185" t="str">
        <f t="shared" si="1"/>
        <v>20251008-BX5</v>
      </c>
      <c r="B38" s="185" t="s">
        <v>53</v>
      </c>
      <c r="C38" s="117"/>
      <c r="D38" s="186">
        <v>1.0</v>
      </c>
      <c r="E38" s="186" t="s">
        <v>427</v>
      </c>
      <c r="F38" s="117"/>
      <c r="G38" s="189"/>
      <c r="H38" s="202">
        <v>45938.0</v>
      </c>
      <c r="I38" s="48"/>
      <c r="J38" s="189"/>
      <c r="K38" s="203">
        <v>45938.0</v>
      </c>
      <c r="L38" s="193" t="s">
        <v>38</v>
      </c>
      <c r="M38" s="194">
        <v>490758.0</v>
      </c>
      <c r="N38" s="195">
        <v>13.3</v>
      </c>
      <c r="O38" s="201">
        <v>630525.0</v>
      </c>
      <c r="P38" s="197"/>
      <c r="Q38" s="117"/>
      <c r="R38" s="189" t="str">
        <f t="shared" si="6"/>
        <v>Y</v>
      </c>
      <c r="S38" s="141"/>
      <c r="T38" s="141"/>
      <c r="U38" s="57"/>
      <c r="V38" s="57"/>
      <c r="W38" s="57"/>
      <c r="X38" s="57"/>
      <c r="Y38" s="57"/>
      <c r="Z38" s="57"/>
      <c r="AA38" s="57"/>
      <c r="AB38" s="57"/>
    </row>
    <row r="39">
      <c r="A39" s="185" t="str">
        <f t="shared" si="1"/>
        <v>20251008-NEZ</v>
      </c>
      <c r="B39" s="185" t="s">
        <v>2531</v>
      </c>
      <c r="C39" s="117"/>
      <c r="D39" s="186">
        <v>1.0</v>
      </c>
      <c r="E39" s="186" t="s">
        <v>2028</v>
      </c>
      <c r="F39" s="117"/>
      <c r="G39" s="189"/>
      <c r="H39" s="202">
        <v>45938.0</v>
      </c>
      <c r="I39" s="48"/>
      <c r="J39" s="189"/>
      <c r="K39" s="203">
        <v>45938.0</v>
      </c>
      <c r="L39" s="193" t="s">
        <v>38</v>
      </c>
      <c r="M39" s="194">
        <v>490758.0</v>
      </c>
      <c r="N39" s="195">
        <v>142.83</v>
      </c>
      <c r="O39" s="201">
        <v>630525.0</v>
      </c>
      <c r="P39" s="197"/>
      <c r="Q39" s="186" t="s">
        <v>2294</v>
      </c>
      <c r="R39" s="204" t="s">
        <v>43</v>
      </c>
      <c r="S39" s="141"/>
      <c r="T39" s="141"/>
      <c r="U39" s="57"/>
      <c r="V39" s="57"/>
      <c r="W39" s="57"/>
      <c r="X39" s="57"/>
      <c r="Y39" s="57"/>
      <c r="Z39" s="57"/>
      <c r="AA39" s="57"/>
      <c r="AB39" s="57"/>
    </row>
    <row r="40">
      <c r="A40" s="185" t="str">
        <f t="shared" si="1"/>
        <v>20251010-13KC</v>
      </c>
      <c r="B40" s="185" t="s">
        <v>578</v>
      </c>
      <c r="C40" s="117"/>
      <c r="D40" s="186">
        <v>1.0</v>
      </c>
      <c r="E40" s="200" t="s">
        <v>2029</v>
      </c>
      <c r="F40" s="117"/>
      <c r="G40" s="189"/>
      <c r="H40" s="202">
        <v>45940.0</v>
      </c>
      <c r="I40" s="48"/>
      <c r="J40" s="189"/>
      <c r="K40" s="203">
        <v>45940.0</v>
      </c>
      <c r="L40" s="193" t="s">
        <v>38</v>
      </c>
      <c r="M40" s="194">
        <v>491397.0</v>
      </c>
      <c r="N40" s="195">
        <v>131.43</v>
      </c>
      <c r="O40" s="196"/>
      <c r="P40" s="197"/>
      <c r="Q40" s="186" t="s">
        <v>2294</v>
      </c>
      <c r="R40" s="204" t="s">
        <v>43</v>
      </c>
      <c r="S40" s="141"/>
      <c r="T40" s="141"/>
      <c r="U40" s="57"/>
      <c r="V40" s="57"/>
      <c r="W40" s="57"/>
      <c r="X40" s="57"/>
      <c r="Y40" s="57"/>
      <c r="Z40" s="57"/>
      <c r="AA40" s="57"/>
      <c r="AB40" s="57"/>
    </row>
    <row r="41">
      <c r="A41" s="185" t="str">
        <f t="shared" si="1"/>
        <v>20251010-I3T</v>
      </c>
      <c r="B41" s="185" t="s">
        <v>53</v>
      </c>
      <c r="C41" s="117"/>
      <c r="D41" s="186">
        <v>50.0</v>
      </c>
      <c r="E41" s="200" t="s">
        <v>564</v>
      </c>
      <c r="F41" s="117"/>
      <c r="G41" s="189"/>
      <c r="H41" s="202">
        <v>45940.0</v>
      </c>
      <c r="I41" s="48"/>
      <c r="J41" s="189"/>
      <c r="K41" s="203">
        <v>45940.0</v>
      </c>
      <c r="L41" s="193" t="s">
        <v>38</v>
      </c>
      <c r="M41" s="194">
        <v>491397.0</v>
      </c>
      <c r="N41" s="195">
        <v>8.12</v>
      </c>
      <c r="O41" s="196"/>
      <c r="P41" s="197"/>
      <c r="Q41" s="117"/>
      <c r="R41" s="189" t="str">
        <f t="shared" ref="R41:R43" si="7">if(or(LOWER(B41)="name",LOWER(B41)="stock")=true,"Y","")</f>
        <v>Y</v>
      </c>
      <c r="S41" s="141"/>
      <c r="T41" s="141"/>
      <c r="U41" s="57"/>
      <c r="V41" s="57"/>
      <c r="W41" s="57"/>
      <c r="X41" s="57"/>
      <c r="Y41" s="57"/>
      <c r="Z41" s="57"/>
      <c r="AA41" s="57"/>
      <c r="AB41" s="57"/>
    </row>
    <row r="42">
      <c r="A42" s="185" t="str">
        <f t="shared" si="1"/>
        <v>20251010-FOV</v>
      </c>
      <c r="B42" s="185" t="s">
        <v>53</v>
      </c>
      <c r="C42" s="117"/>
      <c r="D42" s="186">
        <v>10.0</v>
      </c>
      <c r="E42" s="200" t="s">
        <v>2030</v>
      </c>
      <c r="F42" s="117"/>
      <c r="G42" s="189"/>
      <c r="H42" s="202">
        <v>45940.0</v>
      </c>
      <c r="I42" s="48"/>
      <c r="J42" s="189"/>
      <c r="K42" s="203">
        <v>45940.0</v>
      </c>
      <c r="L42" s="193" t="s">
        <v>38</v>
      </c>
      <c r="M42" s="194">
        <v>491397.0</v>
      </c>
      <c r="N42" s="195">
        <v>14.25</v>
      </c>
      <c r="O42" s="196"/>
      <c r="P42" s="197"/>
      <c r="Q42" s="117"/>
      <c r="R42" s="189" t="str">
        <f t="shared" si="7"/>
        <v>Y</v>
      </c>
      <c r="S42" s="141"/>
      <c r="T42" s="141"/>
      <c r="U42" s="57"/>
      <c r="V42" s="57"/>
      <c r="W42" s="57"/>
      <c r="X42" s="57"/>
      <c r="Y42" s="57"/>
      <c r="Z42" s="57"/>
      <c r="AA42" s="57"/>
      <c r="AB42" s="57"/>
    </row>
    <row r="43">
      <c r="A43" s="185" t="str">
        <f t="shared" si="1"/>
        <v>20251010-G9Y</v>
      </c>
      <c r="B43" s="185" t="s">
        <v>53</v>
      </c>
      <c r="C43" s="117"/>
      <c r="D43" s="186">
        <v>10.0</v>
      </c>
      <c r="E43" s="186" t="s">
        <v>2031</v>
      </c>
      <c r="F43" s="117"/>
      <c r="G43" s="189"/>
      <c r="H43" s="202">
        <v>45940.0</v>
      </c>
      <c r="I43" s="48"/>
      <c r="J43" s="189"/>
      <c r="K43" s="203">
        <v>45940.0</v>
      </c>
      <c r="L43" s="193" t="s">
        <v>38</v>
      </c>
      <c r="M43" s="194">
        <v>491397.0</v>
      </c>
      <c r="N43" s="195">
        <v>9.12</v>
      </c>
      <c r="O43" s="196"/>
      <c r="P43" s="197"/>
      <c r="Q43" s="117"/>
      <c r="R43" s="189" t="str">
        <f t="shared" si="7"/>
        <v>Y</v>
      </c>
      <c r="S43" s="141"/>
      <c r="T43" s="141"/>
      <c r="U43" s="57"/>
      <c r="V43" s="57"/>
      <c r="W43" s="57"/>
      <c r="X43" s="57"/>
      <c r="Y43" s="57"/>
      <c r="Z43" s="57"/>
      <c r="AA43" s="57"/>
      <c r="AB43" s="57"/>
    </row>
    <row r="44">
      <c r="A44" s="185" t="str">
        <f t="shared" si="1"/>
        <v>20251010-2W53</v>
      </c>
      <c r="B44" s="185" t="s">
        <v>2565</v>
      </c>
      <c r="C44" s="186" t="s">
        <v>2566</v>
      </c>
      <c r="D44" s="186">
        <v>1.0</v>
      </c>
      <c r="E44" s="186" t="s">
        <v>2032</v>
      </c>
      <c r="F44" s="186" t="s">
        <v>2567</v>
      </c>
      <c r="G44" s="189"/>
      <c r="H44" s="202">
        <v>45940.0</v>
      </c>
      <c r="I44" s="48"/>
      <c r="J44" s="189"/>
      <c r="K44" s="203">
        <v>45940.0</v>
      </c>
      <c r="L44" s="193" t="s">
        <v>38</v>
      </c>
      <c r="M44" s="194">
        <v>491397.0</v>
      </c>
      <c r="N44" s="195">
        <v>34.87</v>
      </c>
      <c r="O44" s="196"/>
      <c r="P44" s="193" t="s">
        <v>1231</v>
      </c>
      <c r="Q44" s="186" t="s">
        <v>59</v>
      </c>
      <c r="R44" s="204" t="s">
        <v>43</v>
      </c>
      <c r="S44" s="141"/>
      <c r="T44" s="141"/>
      <c r="U44" s="57"/>
      <c r="V44" s="57"/>
      <c r="W44" s="57"/>
      <c r="X44" s="57"/>
      <c r="Y44" s="57"/>
      <c r="Z44" s="57"/>
      <c r="AA44" s="57"/>
      <c r="AB44" s="57"/>
    </row>
    <row r="45">
      <c r="A45" s="185" t="str">
        <f t="shared" si="1"/>
        <v>20251010-BV2</v>
      </c>
      <c r="B45" s="185" t="s">
        <v>53</v>
      </c>
      <c r="C45" s="117"/>
      <c r="D45" s="186">
        <v>2.0</v>
      </c>
      <c r="E45" s="186" t="s">
        <v>2033</v>
      </c>
      <c r="F45" s="117"/>
      <c r="G45" s="189"/>
      <c r="H45" s="202">
        <v>45940.0</v>
      </c>
      <c r="I45" s="48"/>
      <c r="J45" s="189"/>
      <c r="K45" s="203">
        <v>45940.0</v>
      </c>
      <c r="L45" s="193" t="s">
        <v>38</v>
      </c>
      <c r="M45" s="194">
        <v>491397.0</v>
      </c>
      <c r="N45" s="195">
        <v>3.75</v>
      </c>
      <c r="O45" s="196"/>
      <c r="P45" s="197"/>
      <c r="Q45" s="117"/>
      <c r="R45" s="189" t="str">
        <f t="shared" ref="R45:R58" si="8">if(or(LOWER(B45)="name",LOWER(B45)="stock")=true,"Y","")</f>
        <v>Y</v>
      </c>
      <c r="S45" s="141"/>
      <c r="T45" s="141"/>
      <c r="U45" s="57"/>
      <c r="V45" s="57"/>
      <c r="W45" s="57"/>
      <c r="X45" s="57"/>
      <c r="Y45" s="57"/>
      <c r="Z45" s="57"/>
      <c r="AA45" s="57"/>
      <c r="AB45" s="57"/>
    </row>
    <row r="46">
      <c r="A46" s="185" t="str">
        <f t="shared" si="1"/>
        <v>20251014-13JO</v>
      </c>
      <c r="B46" s="185" t="s">
        <v>53</v>
      </c>
      <c r="C46" s="117"/>
      <c r="D46" s="186">
        <v>1.0</v>
      </c>
      <c r="E46" s="186" t="s">
        <v>2034</v>
      </c>
      <c r="F46" s="117"/>
      <c r="G46" s="189"/>
      <c r="H46" s="202">
        <v>45944.0</v>
      </c>
      <c r="I46" s="48"/>
      <c r="J46" s="189"/>
      <c r="K46" s="203">
        <v>45944.0</v>
      </c>
      <c r="L46" s="193" t="s">
        <v>38</v>
      </c>
      <c r="M46" s="194">
        <v>492124.0</v>
      </c>
      <c r="N46" s="195">
        <v>42.47</v>
      </c>
      <c r="O46" s="201">
        <v>632116.0</v>
      </c>
      <c r="P46" s="197"/>
      <c r="Q46" s="117"/>
      <c r="R46" s="189" t="str">
        <f t="shared" si="8"/>
        <v>Y</v>
      </c>
      <c r="S46" s="141"/>
      <c r="T46" s="141"/>
      <c r="U46" s="57"/>
      <c r="V46" s="57"/>
      <c r="W46" s="57"/>
      <c r="X46" s="57"/>
      <c r="Y46" s="57"/>
      <c r="Z46" s="57"/>
      <c r="AA46" s="57"/>
      <c r="AB46" s="57"/>
    </row>
    <row r="47">
      <c r="A47" s="185" t="str">
        <f t="shared" si="1"/>
        <v>20251014-16KE</v>
      </c>
      <c r="B47" s="185" t="s">
        <v>53</v>
      </c>
      <c r="C47" s="117"/>
      <c r="D47" s="186">
        <v>1.0</v>
      </c>
      <c r="E47" s="186" t="s">
        <v>2010</v>
      </c>
      <c r="F47" s="117"/>
      <c r="G47" s="189"/>
      <c r="H47" s="202">
        <v>45944.0</v>
      </c>
      <c r="I47" s="48"/>
      <c r="J47" s="189"/>
      <c r="K47" s="203">
        <v>45944.0</v>
      </c>
      <c r="L47" s="193" t="s">
        <v>38</v>
      </c>
      <c r="M47" s="194">
        <v>492124.0</v>
      </c>
      <c r="N47" s="195">
        <v>42.47</v>
      </c>
      <c r="O47" s="196"/>
      <c r="P47" s="197"/>
      <c r="Q47" s="117"/>
      <c r="R47" s="189" t="str">
        <f t="shared" si="8"/>
        <v>Y</v>
      </c>
      <c r="S47" s="141"/>
      <c r="T47" s="141"/>
      <c r="U47" s="57"/>
      <c r="V47" s="57"/>
      <c r="W47" s="57"/>
      <c r="X47" s="57"/>
      <c r="Y47" s="57"/>
      <c r="Z47" s="57"/>
      <c r="AA47" s="57"/>
      <c r="AB47" s="57"/>
    </row>
    <row r="48">
      <c r="A48" s="185" t="str">
        <f t="shared" si="1"/>
        <v>20251014-13KQ</v>
      </c>
      <c r="B48" s="185" t="s">
        <v>53</v>
      </c>
      <c r="C48" s="117"/>
      <c r="D48" s="186">
        <v>1.0</v>
      </c>
      <c r="E48" s="186" t="s">
        <v>2011</v>
      </c>
      <c r="F48" s="117"/>
      <c r="G48" s="189"/>
      <c r="H48" s="202">
        <v>45944.0</v>
      </c>
      <c r="I48" s="48"/>
      <c r="J48" s="189"/>
      <c r="K48" s="203">
        <v>45944.0</v>
      </c>
      <c r="L48" s="193" t="s">
        <v>38</v>
      </c>
      <c r="M48" s="194">
        <v>492124.0</v>
      </c>
      <c r="N48" s="195">
        <v>42.47</v>
      </c>
      <c r="O48" s="196"/>
      <c r="P48" s="197"/>
      <c r="Q48" s="117"/>
      <c r="R48" s="189" t="str">
        <f t="shared" si="8"/>
        <v>Y</v>
      </c>
      <c r="S48" s="141"/>
      <c r="T48" s="141"/>
      <c r="U48" s="57"/>
      <c r="V48" s="57"/>
      <c r="W48" s="57"/>
      <c r="X48" s="57"/>
      <c r="Y48" s="57"/>
      <c r="Z48" s="57"/>
      <c r="AA48" s="57"/>
      <c r="AB48" s="57"/>
    </row>
    <row r="49">
      <c r="A49" s="185" t="str">
        <f t="shared" si="1"/>
        <v>20251014-16LG</v>
      </c>
      <c r="B49" s="185" t="s">
        <v>53</v>
      </c>
      <c r="C49" s="117"/>
      <c r="D49" s="186">
        <v>1.0</v>
      </c>
      <c r="E49" s="186" t="s">
        <v>1948</v>
      </c>
      <c r="F49" s="117"/>
      <c r="G49" s="189"/>
      <c r="H49" s="202">
        <v>45944.0</v>
      </c>
      <c r="I49" s="48"/>
      <c r="J49" s="189"/>
      <c r="K49" s="203">
        <v>45944.0</v>
      </c>
      <c r="L49" s="193" t="s">
        <v>38</v>
      </c>
      <c r="M49" s="194">
        <v>492124.0</v>
      </c>
      <c r="N49" s="195">
        <v>42.47</v>
      </c>
      <c r="O49" s="196"/>
      <c r="P49" s="197"/>
      <c r="Q49" s="117"/>
      <c r="R49" s="189" t="str">
        <f t="shared" si="8"/>
        <v>Y</v>
      </c>
      <c r="S49" s="141"/>
      <c r="T49" s="141"/>
      <c r="U49" s="57"/>
      <c r="V49" s="57"/>
      <c r="W49" s="57"/>
      <c r="X49" s="57"/>
      <c r="Y49" s="57"/>
      <c r="Z49" s="57"/>
      <c r="AA49" s="57"/>
      <c r="AB49" s="57"/>
    </row>
    <row r="50">
      <c r="A50" s="185" t="str">
        <f t="shared" si="1"/>
        <v>20251014-13LS</v>
      </c>
      <c r="B50" s="185" t="s">
        <v>53</v>
      </c>
      <c r="C50" s="117"/>
      <c r="D50" s="186">
        <v>1.0</v>
      </c>
      <c r="E50" s="186" t="s">
        <v>1974</v>
      </c>
      <c r="F50" s="117"/>
      <c r="G50" s="189"/>
      <c r="H50" s="202">
        <v>45944.0</v>
      </c>
      <c r="I50" s="48"/>
      <c r="J50" s="189"/>
      <c r="K50" s="203">
        <v>45944.0</v>
      </c>
      <c r="L50" s="193" t="s">
        <v>38</v>
      </c>
      <c r="M50" s="194">
        <v>492124.0</v>
      </c>
      <c r="N50" s="195">
        <v>42.47</v>
      </c>
      <c r="O50" s="196"/>
      <c r="P50" s="197"/>
      <c r="Q50" s="117"/>
      <c r="R50" s="189" t="str">
        <f t="shared" si="8"/>
        <v>Y</v>
      </c>
      <c r="S50" s="141"/>
      <c r="T50" s="141"/>
      <c r="U50" s="57"/>
      <c r="V50" s="57"/>
      <c r="W50" s="57"/>
      <c r="X50" s="57"/>
      <c r="Y50" s="57"/>
      <c r="Z50" s="57"/>
      <c r="AA50" s="57"/>
      <c r="AB50" s="57"/>
    </row>
    <row r="51">
      <c r="A51" s="185" t="str">
        <f t="shared" si="1"/>
        <v>20251014-16MI</v>
      </c>
      <c r="B51" s="185" t="s">
        <v>53</v>
      </c>
      <c r="C51" s="117"/>
      <c r="D51" s="186">
        <v>1.0</v>
      </c>
      <c r="E51" s="186" t="s">
        <v>2037</v>
      </c>
      <c r="F51" s="117"/>
      <c r="G51" s="189"/>
      <c r="H51" s="202">
        <v>45944.0</v>
      </c>
      <c r="I51" s="48"/>
      <c r="J51" s="189"/>
      <c r="K51" s="203">
        <v>45944.0</v>
      </c>
      <c r="L51" s="193" t="s">
        <v>38</v>
      </c>
      <c r="M51" s="194">
        <v>492124.0</v>
      </c>
      <c r="N51" s="195">
        <v>42.47</v>
      </c>
      <c r="O51" s="196"/>
      <c r="P51" s="197"/>
      <c r="Q51" s="117"/>
      <c r="R51" s="189" t="str">
        <f t="shared" si="8"/>
        <v>Y</v>
      </c>
      <c r="S51" s="141"/>
      <c r="T51" s="141"/>
      <c r="U51" s="57"/>
      <c r="V51" s="57"/>
      <c r="W51" s="57"/>
      <c r="X51" s="57"/>
      <c r="Y51" s="57"/>
      <c r="Z51" s="57"/>
      <c r="AA51" s="57"/>
      <c r="AB51" s="57"/>
    </row>
    <row r="52">
      <c r="A52" s="185" t="str">
        <f t="shared" si="1"/>
        <v>20251014-13MU</v>
      </c>
      <c r="B52" s="185" t="s">
        <v>53</v>
      </c>
      <c r="C52" s="117"/>
      <c r="D52" s="186">
        <v>1.0</v>
      </c>
      <c r="E52" s="186" t="s">
        <v>2013</v>
      </c>
      <c r="F52" s="117"/>
      <c r="G52" s="189"/>
      <c r="H52" s="202">
        <v>45944.0</v>
      </c>
      <c r="I52" s="48"/>
      <c r="J52" s="189"/>
      <c r="K52" s="203">
        <v>45944.0</v>
      </c>
      <c r="L52" s="193" t="s">
        <v>38</v>
      </c>
      <c r="M52" s="194">
        <v>492124.0</v>
      </c>
      <c r="N52" s="195">
        <v>42.47</v>
      </c>
      <c r="O52" s="196"/>
      <c r="P52" s="197"/>
      <c r="Q52" s="117"/>
      <c r="R52" s="189" t="str">
        <f t="shared" si="8"/>
        <v>Y</v>
      </c>
      <c r="S52" s="141"/>
      <c r="T52" s="141"/>
      <c r="U52" s="57"/>
      <c r="V52" s="57"/>
      <c r="W52" s="57"/>
      <c r="X52" s="57"/>
      <c r="Y52" s="57"/>
      <c r="Z52" s="57"/>
      <c r="AA52" s="57"/>
      <c r="AB52" s="57"/>
    </row>
    <row r="53">
      <c r="A53" s="185" t="str">
        <f t="shared" si="1"/>
        <v>20251014-VY0</v>
      </c>
      <c r="B53" s="185" t="s">
        <v>53</v>
      </c>
      <c r="C53" s="117"/>
      <c r="D53" s="186">
        <v>1.0</v>
      </c>
      <c r="E53" s="186" t="s">
        <v>2014</v>
      </c>
      <c r="F53" s="117"/>
      <c r="G53" s="189"/>
      <c r="H53" s="202">
        <v>45944.0</v>
      </c>
      <c r="I53" s="48"/>
      <c r="J53" s="189"/>
      <c r="K53" s="203">
        <v>45944.0</v>
      </c>
      <c r="L53" s="193" t="s">
        <v>38</v>
      </c>
      <c r="M53" s="194">
        <v>492124.0</v>
      </c>
      <c r="N53" s="195">
        <v>42.47</v>
      </c>
      <c r="O53" s="196"/>
      <c r="P53" s="197"/>
      <c r="Q53" s="117"/>
      <c r="R53" s="189" t="str">
        <f t="shared" si="8"/>
        <v>Y</v>
      </c>
      <c r="S53" s="141"/>
      <c r="T53" s="141"/>
      <c r="U53" s="57"/>
      <c r="V53" s="57"/>
      <c r="W53" s="57"/>
      <c r="X53" s="57"/>
      <c r="Y53" s="57"/>
      <c r="Z53" s="57"/>
      <c r="AA53" s="57"/>
      <c r="AB53" s="57"/>
    </row>
    <row r="54">
      <c r="A54" s="185" t="str">
        <f t="shared" si="1"/>
        <v>20251014-YQH</v>
      </c>
      <c r="B54" s="185" t="s">
        <v>53</v>
      </c>
      <c r="C54" s="117"/>
      <c r="D54" s="186">
        <v>1.0</v>
      </c>
      <c r="E54" s="186" t="s">
        <v>1996</v>
      </c>
      <c r="F54" s="117"/>
      <c r="G54" s="189"/>
      <c r="H54" s="202">
        <v>45944.0</v>
      </c>
      <c r="I54" s="48"/>
      <c r="J54" s="189"/>
      <c r="K54" s="203">
        <v>45944.0</v>
      </c>
      <c r="L54" s="193" t="s">
        <v>38</v>
      </c>
      <c r="M54" s="194">
        <v>492124.0</v>
      </c>
      <c r="N54" s="195">
        <v>42.47</v>
      </c>
      <c r="O54" s="196"/>
      <c r="P54" s="197"/>
      <c r="Q54" s="117"/>
      <c r="R54" s="189" t="str">
        <f t="shared" si="8"/>
        <v>Y</v>
      </c>
      <c r="S54" s="141"/>
      <c r="T54" s="141"/>
      <c r="U54" s="57"/>
      <c r="V54" s="57"/>
      <c r="W54" s="57"/>
      <c r="X54" s="57"/>
      <c r="Y54" s="57"/>
      <c r="Z54" s="57"/>
      <c r="AA54" s="57"/>
      <c r="AB54" s="57"/>
    </row>
    <row r="55">
      <c r="A55" s="185" t="str">
        <f t="shared" si="1"/>
        <v>20251014-VZY</v>
      </c>
      <c r="B55" s="185" t="s">
        <v>53</v>
      </c>
      <c r="C55" s="117"/>
      <c r="D55" s="186">
        <v>1.0</v>
      </c>
      <c r="E55" s="186" t="s">
        <v>2016</v>
      </c>
      <c r="F55" s="117"/>
      <c r="G55" s="189"/>
      <c r="H55" s="202">
        <v>45944.0</v>
      </c>
      <c r="I55" s="48"/>
      <c r="J55" s="189"/>
      <c r="K55" s="203">
        <v>45944.0</v>
      </c>
      <c r="L55" s="193" t="s">
        <v>38</v>
      </c>
      <c r="M55" s="194">
        <v>492124.0</v>
      </c>
      <c r="N55" s="195">
        <v>42.47</v>
      </c>
      <c r="O55" s="196"/>
      <c r="P55" s="197"/>
      <c r="Q55" s="117"/>
      <c r="R55" s="189" t="str">
        <f t="shared" si="8"/>
        <v>Y</v>
      </c>
      <c r="S55" s="141"/>
      <c r="T55" s="141"/>
      <c r="U55" s="57"/>
      <c r="V55" s="57"/>
      <c r="W55" s="57"/>
      <c r="X55" s="57"/>
      <c r="Y55" s="57"/>
      <c r="Z55" s="57"/>
      <c r="AA55" s="57"/>
      <c r="AB55" s="57"/>
    </row>
    <row r="56">
      <c r="A56" s="185" t="str">
        <f t="shared" si="1"/>
        <v>20251014-IGV</v>
      </c>
      <c r="B56" s="185" t="s">
        <v>53</v>
      </c>
      <c r="C56" s="117"/>
      <c r="D56" s="186">
        <v>1.0</v>
      </c>
      <c r="E56" s="186" t="s">
        <v>814</v>
      </c>
      <c r="F56" s="117"/>
      <c r="G56" s="189"/>
      <c r="H56" s="202">
        <v>45944.0</v>
      </c>
      <c r="I56" s="48"/>
      <c r="J56" s="189"/>
      <c r="K56" s="203">
        <v>45944.0</v>
      </c>
      <c r="L56" s="193" t="s">
        <v>38</v>
      </c>
      <c r="M56" s="194">
        <v>492124.0</v>
      </c>
      <c r="N56" s="195">
        <v>101.7</v>
      </c>
      <c r="O56" s="196"/>
      <c r="P56" s="197"/>
      <c r="Q56" s="117"/>
      <c r="R56" s="189" t="str">
        <f t="shared" si="8"/>
        <v>Y</v>
      </c>
      <c r="S56" s="141"/>
      <c r="T56" s="141"/>
      <c r="U56" s="57"/>
      <c r="V56" s="57"/>
      <c r="W56" s="57"/>
      <c r="X56" s="57"/>
      <c r="Y56" s="57"/>
      <c r="Z56" s="57"/>
      <c r="AA56" s="57"/>
      <c r="AB56" s="57"/>
    </row>
    <row r="57">
      <c r="A57" s="185" t="str">
        <f t="shared" si="1"/>
        <v>20251014-LKV</v>
      </c>
      <c r="B57" s="185" t="s">
        <v>53</v>
      </c>
      <c r="C57" s="117"/>
      <c r="D57" s="186">
        <v>1.0</v>
      </c>
      <c r="E57" s="186" t="s">
        <v>1809</v>
      </c>
      <c r="F57" s="117"/>
      <c r="G57" s="189"/>
      <c r="H57" s="202">
        <v>45944.0</v>
      </c>
      <c r="I57" s="48"/>
      <c r="J57" s="189"/>
      <c r="K57" s="203">
        <v>45944.0</v>
      </c>
      <c r="L57" s="193" t="s">
        <v>38</v>
      </c>
      <c r="M57" s="194">
        <v>492124.0</v>
      </c>
      <c r="N57" s="195">
        <v>131.43</v>
      </c>
      <c r="O57" s="196"/>
      <c r="P57" s="197"/>
      <c r="Q57" s="117"/>
      <c r="R57" s="189" t="str">
        <f t="shared" si="8"/>
        <v>Y</v>
      </c>
      <c r="S57" s="141"/>
      <c r="T57" s="141"/>
      <c r="U57" s="57"/>
      <c r="V57" s="57"/>
      <c r="W57" s="57"/>
      <c r="X57" s="57"/>
      <c r="Y57" s="57"/>
      <c r="Z57" s="57"/>
      <c r="AA57" s="57"/>
      <c r="AB57" s="57"/>
    </row>
    <row r="58">
      <c r="A58" s="185" t="str">
        <f t="shared" si="1"/>
        <v>20251014-GRL</v>
      </c>
      <c r="B58" s="185" t="s">
        <v>53</v>
      </c>
      <c r="C58" s="117"/>
      <c r="D58" s="186">
        <v>1.0</v>
      </c>
      <c r="E58" s="186" t="s">
        <v>1896</v>
      </c>
      <c r="F58" s="117"/>
      <c r="G58" s="189"/>
      <c r="H58" s="202">
        <v>45944.0</v>
      </c>
      <c r="I58" s="48"/>
      <c r="J58" s="189"/>
      <c r="K58" s="203">
        <v>45944.0</v>
      </c>
      <c r="L58" s="193" t="s">
        <v>38</v>
      </c>
      <c r="M58" s="194">
        <v>492124.0</v>
      </c>
      <c r="N58" s="195">
        <v>132.15</v>
      </c>
      <c r="O58" s="196"/>
      <c r="P58" s="197"/>
      <c r="Q58" s="117"/>
      <c r="R58" s="189" t="str">
        <f t="shared" si="8"/>
        <v>Y</v>
      </c>
      <c r="S58" s="141"/>
      <c r="T58" s="141"/>
      <c r="U58" s="57"/>
      <c r="V58" s="57"/>
      <c r="W58" s="57"/>
      <c r="X58" s="57"/>
      <c r="Y58" s="57"/>
      <c r="Z58" s="57"/>
      <c r="AA58" s="57"/>
      <c r="AB58" s="57"/>
    </row>
    <row r="59">
      <c r="A59" s="185" t="str">
        <f t="shared" si="1"/>
        <v>20251014-1PYG</v>
      </c>
      <c r="B59" s="185" t="s">
        <v>163</v>
      </c>
      <c r="C59" s="186" t="s">
        <v>2585</v>
      </c>
      <c r="D59" s="186">
        <v>1.0</v>
      </c>
      <c r="E59" s="186" t="s">
        <v>2038</v>
      </c>
      <c r="F59" s="186" t="s">
        <v>2586</v>
      </c>
      <c r="G59" s="189"/>
      <c r="H59" s="202">
        <v>45944.0</v>
      </c>
      <c r="I59" s="48"/>
      <c r="J59" s="189"/>
      <c r="K59" s="203">
        <v>45944.0</v>
      </c>
      <c r="L59" s="193" t="s">
        <v>38</v>
      </c>
      <c r="M59" s="194">
        <v>492124.0</v>
      </c>
      <c r="N59" s="195">
        <v>150.58</v>
      </c>
      <c r="O59" s="196"/>
      <c r="P59" s="197"/>
      <c r="Q59" s="186" t="s">
        <v>2294</v>
      </c>
      <c r="R59" s="204" t="s">
        <v>43</v>
      </c>
      <c r="S59" s="141"/>
      <c r="T59" s="141"/>
      <c r="U59" s="57"/>
      <c r="V59" s="57"/>
      <c r="W59" s="57"/>
      <c r="X59" s="57"/>
      <c r="Y59" s="57"/>
      <c r="Z59" s="57"/>
      <c r="AA59" s="57"/>
      <c r="AB59" s="57"/>
    </row>
    <row r="60">
      <c r="A60" s="185" t="str">
        <f t="shared" si="1"/>
        <v>20251014-1ZMV</v>
      </c>
      <c r="B60" s="185" t="s">
        <v>2587</v>
      </c>
      <c r="C60" s="186" t="s">
        <v>2588</v>
      </c>
      <c r="D60" s="186">
        <v>1.0</v>
      </c>
      <c r="E60" s="186" t="s">
        <v>2039</v>
      </c>
      <c r="F60" s="186" t="s">
        <v>2589</v>
      </c>
      <c r="G60" s="189"/>
      <c r="H60" s="202">
        <v>45944.0</v>
      </c>
      <c r="I60" s="48"/>
      <c r="J60" s="189"/>
      <c r="K60" s="203">
        <v>45944.0</v>
      </c>
      <c r="L60" s="193" t="s">
        <v>38</v>
      </c>
      <c r="M60" s="194">
        <v>492124.0</v>
      </c>
      <c r="N60" s="195">
        <v>77.43</v>
      </c>
      <c r="O60" s="196"/>
      <c r="P60" s="197"/>
      <c r="Q60" s="186" t="s">
        <v>2294</v>
      </c>
      <c r="R60" s="204" t="s">
        <v>43</v>
      </c>
      <c r="S60" s="141"/>
      <c r="T60" s="141"/>
      <c r="U60" s="57"/>
      <c r="V60" s="57"/>
      <c r="W60" s="57"/>
      <c r="X60" s="57"/>
      <c r="Y60" s="57"/>
      <c r="Z60" s="57"/>
      <c r="AA60" s="57"/>
      <c r="AB60" s="57"/>
    </row>
    <row r="61">
      <c r="A61" s="185" t="str">
        <f t="shared" si="1"/>
        <v>20251014-2LTQ</v>
      </c>
      <c r="B61" s="278" t="s">
        <v>2592</v>
      </c>
      <c r="C61" s="280" t="s">
        <v>2594</v>
      </c>
      <c r="D61" s="186">
        <v>1.0</v>
      </c>
      <c r="E61" s="186" t="s">
        <v>2040</v>
      </c>
      <c r="F61" s="186" t="s">
        <v>2595</v>
      </c>
      <c r="G61" s="189"/>
      <c r="H61" s="202">
        <v>45944.0</v>
      </c>
      <c r="I61" s="48"/>
      <c r="J61" s="189"/>
      <c r="K61" s="203">
        <v>45944.0</v>
      </c>
      <c r="L61" s="193" t="s">
        <v>38</v>
      </c>
      <c r="M61" s="194">
        <v>492124.0</v>
      </c>
      <c r="N61" s="195">
        <v>70.16</v>
      </c>
      <c r="O61" s="196"/>
      <c r="P61" s="197"/>
      <c r="Q61" s="186" t="s">
        <v>2294</v>
      </c>
      <c r="R61" s="204" t="s">
        <v>43</v>
      </c>
      <c r="S61" s="141"/>
      <c r="T61" s="141"/>
      <c r="U61" s="57"/>
      <c r="V61" s="57"/>
      <c r="W61" s="57"/>
      <c r="X61" s="57"/>
      <c r="Y61" s="57"/>
      <c r="Z61" s="57"/>
      <c r="AA61" s="57"/>
      <c r="AB61" s="57"/>
    </row>
    <row r="62">
      <c r="A62" s="185" t="str">
        <f t="shared" si="1"/>
        <v>20251014-2TAM</v>
      </c>
      <c r="B62" s="185" t="s">
        <v>2598</v>
      </c>
      <c r="C62" s="186" t="s">
        <v>2599</v>
      </c>
      <c r="D62" s="186">
        <v>1.0</v>
      </c>
      <c r="E62" s="186" t="s">
        <v>2041</v>
      </c>
      <c r="F62" s="117"/>
      <c r="G62" s="189"/>
      <c r="H62" s="202">
        <v>45944.0</v>
      </c>
      <c r="I62" s="48"/>
      <c r="J62" s="189"/>
      <c r="K62" s="203">
        <v>45944.0</v>
      </c>
      <c r="L62" s="193" t="s">
        <v>38</v>
      </c>
      <c r="M62" s="194">
        <v>492124.0</v>
      </c>
      <c r="N62" s="195">
        <v>50.11</v>
      </c>
      <c r="O62" s="196"/>
      <c r="P62" s="197"/>
      <c r="Q62" s="186" t="s">
        <v>2294</v>
      </c>
      <c r="R62" s="204" t="s">
        <v>43</v>
      </c>
      <c r="S62" s="141"/>
      <c r="T62" s="141"/>
      <c r="U62" s="57"/>
      <c r="V62" s="57"/>
      <c r="W62" s="57"/>
      <c r="X62" s="57"/>
      <c r="Y62" s="57"/>
      <c r="Z62" s="57"/>
      <c r="AA62" s="57"/>
      <c r="AB62" s="57"/>
    </row>
    <row r="63">
      <c r="A63" s="185" t="str">
        <f t="shared" si="1"/>
        <v>20251014-P44</v>
      </c>
      <c r="B63" s="185" t="s">
        <v>53</v>
      </c>
      <c r="C63" s="117"/>
      <c r="D63" s="186">
        <v>1.0</v>
      </c>
      <c r="E63" s="186" t="s">
        <v>2043</v>
      </c>
      <c r="F63" s="186" t="s">
        <v>35</v>
      </c>
      <c r="G63" s="189"/>
      <c r="H63" s="202">
        <v>45944.0</v>
      </c>
      <c r="I63" s="48"/>
      <c r="J63" s="189"/>
      <c r="K63" s="203">
        <v>45944.0</v>
      </c>
      <c r="L63" s="193" t="s">
        <v>38</v>
      </c>
      <c r="M63" s="194">
        <v>492124.0</v>
      </c>
      <c r="N63" s="195">
        <v>159.46</v>
      </c>
      <c r="O63" s="196"/>
      <c r="P63" s="197"/>
      <c r="Q63" s="117"/>
      <c r="R63" s="189" t="str">
        <f>if(or(LOWER(B63)="name",LOWER(B63)="stock")=true,"Y","")</f>
        <v>Y</v>
      </c>
      <c r="S63" s="141"/>
      <c r="T63" s="141"/>
      <c r="U63" s="57"/>
      <c r="V63" s="57"/>
      <c r="W63" s="57"/>
      <c r="X63" s="57"/>
      <c r="Y63" s="57"/>
      <c r="Z63" s="57"/>
      <c r="AA63" s="57"/>
      <c r="AB63" s="57"/>
    </row>
    <row r="64">
      <c r="A64" s="185" t="str">
        <f t="shared" si="1"/>
        <v>20251014-18CM</v>
      </c>
      <c r="B64" s="185" t="s">
        <v>73</v>
      </c>
      <c r="C64" s="117"/>
      <c r="D64" s="186">
        <v>1.0</v>
      </c>
      <c r="E64" s="186" t="s">
        <v>2043</v>
      </c>
      <c r="F64" s="186" t="s">
        <v>35</v>
      </c>
      <c r="G64" s="189"/>
      <c r="H64" s="202">
        <v>45944.0</v>
      </c>
      <c r="I64" s="48"/>
      <c r="J64" s="189"/>
      <c r="K64" s="203">
        <v>45944.0</v>
      </c>
      <c r="L64" s="193" t="s">
        <v>38</v>
      </c>
      <c r="M64" s="194">
        <v>492124.0</v>
      </c>
      <c r="N64" s="195">
        <v>159.46</v>
      </c>
      <c r="O64" s="196"/>
      <c r="P64" s="197"/>
      <c r="Q64" s="186" t="s">
        <v>2294</v>
      </c>
      <c r="R64" s="204" t="s">
        <v>43</v>
      </c>
      <c r="S64" s="141"/>
      <c r="T64" s="141"/>
      <c r="U64" s="57"/>
      <c r="V64" s="57"/>
      <c r="W64" s="57"/>
      <c r="X64" s="57"/>
      <c r="Y64" s="57"/>
      <c r="Z64" s="57"/>
      <c r="AA64" s="57"/>
      <c r="AB64" s="57"/>
    </row>
    <row r="65">
      <c r="A65" s="185" t="str">
        <f t="shared" si="1"/>
        <v>02251014-153L</v>
      </c>
      <c r="B65" s="185" t="s">
        <v>2466</v>
      </c>
      <c r="C65" s="117"/>
      <c r="D65" s="186">
        <v>1.0</v>
      </c>
      <c r="E65" s="186" t="s">
        <v>2019</v>
      </c>
      <c r="F65" s="186" t="s">
        <v>35</v>
      </c>
      <c r="G65" s="189"/>
      <c r="H65" s="202" t="s">
        <v>2044</v>
      </c>
      <c r="I65" s="48"/>
      <c r="J65" s="189"/>
      <c r="K65" s="203" t="s">
        <v>2044</v>
      </c>
      <c r="L65" s="193" t="s">
        <v>347</v>
      </c>
      <c r="M65" s="194" t="s">
        <v>2601</v>
      </c>
      <c r="N65" s="195">
        <v>95.4</v>
      </c>
      <c r="O65" s="196"/>
      <c r="P65" s="197"/>
      <c r="Q65" s="186" t="s">
        <v>59</v>
      </c>
      <c r="R65" s="204" t="s">
        <v>43</v>
      </c>
      <c r="S65" s="141"/>
      <c r="T65" s="141"/>
      <c r="U65" s="57"/>
      <c r="V65" s="57"/>
      <c r="W65" s="57"/>
      <c r="X65" s="57"/>
      <c r="Y65" s="57"/>
      <c r="Z65" s="57"/>
      <c r="AA65" s="57"/>
      <c r="AB65" s="57"/>
    </row>
    <row r="66">
      <c r="A66" s="185" t="str">
        <f t="shared" si="1"/>
        <v>20251016-GTQ</v>
      </c>
      <c r="B66" s="185" t="s">
        <v>53</v>
      </c>
      <c r="C66" s="117"/>
      <c r="D66" s="186">
        <v>4.0</v>
      </c>
      <c r="E66" s="186" t="s">
        <v>885</v>
      </c>
      <c r="F66" s="117"/>
      <c r="G66" s="189"/>
      <c r="H66" s="202">
        <v>45946.0</v>
      </c>
      <c r="I66" s="48"/>
      <c r="J66" s="189"/>
      <c r="K66" s="203">
        <v>45946.0</v>
      </c>
      <c r="L66" s="193" t="s">
        <v>69</v>
      </c>
      <c r="M66" s="194">
        <v>5.00260677E8</v>
      </c>
      <c r="N66" s="195">
        <v>99.0</v>
      </c>
      <c r="O66" s="196"/>
      <c r="P66" s="197"/>
      <c r="Q66" s="117"/>
      <c r="R66" s="189" t="str">
        <f t="shared" ref="R66:R71" si="9">if(or(LOWER(B66)="name",LOWER(B66)="stock")=true,"Y","")</f>
        <v>Y</v>
      </c>
      <c r="S66" s="141"/>
      <c r="T66" s="141"/>
      <c r="U66" s="57"/>
      <c r="V66" s="57"/>
      <c r="W66" s="57"/>
      <c r="X66" s="57"/>
      <c r="Y66" s="57"/>
      <c r="Z66" s="57"/>
      <c r="AA66" s="57"/>
      <c r="AB66" s="57"/>
    </row>
    <row r="67">
      <c r="A67" s="185" t="str">
        <f t="shared" si="1"/>
        <v>20251016-I3H</v>
      </c>
      <c r="B67" s="185" t="s">
        <v>53</v>
      </c>
      <c r="C67" s="117"/>
      <c r="D67" s="186">
        <v>30.0</v>
      </c>
      <c r="E67" s="186" t="s">
        <v>564</v>
      </c>
      <c r="F67" s="117"/>
      <c r="G67" s="189"/>
      <c r="H67" s="202">
        <v>45946.0</v>
      </c>
      <c r="I67" s="48"/>
      <c r="J67" s="189"/>
      <c r="K67" s="203">
        <v>45946.0</v>
      </c>
      <c r="L67" s="193" t="s">
        <v>69</v>
      </c>
      <c r="M67" s="194">
        <v>5.00260677E8</v>
      </c>
      <c r="N67" s="195">
        <v>8.04</v>
      </c>
      <c r="O67" s="196"/>
      <c r="P67" s="197"/>
      <c r="Q67" s="117"/>
      <c r="R67" s="189" t="str">
        <f t="shared" si="9"/>
        <v>Y</v>
      </c>
      <c r="S67" s="141"/>
      <c r="T67" s="141"/>
      <c r="U67" s="57"/>
      <c r="V67" s="57"/>
      <c r="W67" s="57"/>
      <c r="X67" s="57"/>
      <c r="Y67" s="57"/>
      <c r="Z67" s="57"/>
      <c r="AA67" s="57"/>
      <c r="AB67" s="57"/>
    </row>
    <row r="68">
      <c r="A68" s="185" t="str">
        <f t="shared" si="1"/>
        <v>20251016-F1J</v>
      </c>
      <c r="B68" s="185" t="s">
        <v>53</v>
      </c>
      <c r="C68" s="117"/>
      <c r="D68" s="186">
        <v>3.0</v>
      </c>
      <c r="E68" s="186" t="s">
        <v>1065</v>
      </c>
      <c r="F68" s="117"/>
      <c r="G68" s="189"/>
      <c r="H68" s="202">
        <v>45946.0</v>
      </c>
      <c r="I68" s="48"/>
      <c r="J68" s="189"/>
      <c r="K68" s="203">
        <v>45946.0</v>
      </c>
      <c r="L68" s="193" t="s">
        <v>38</v>
      </c>
      <c r="M68" s="194">
        <v>492740.0</v>
      </c>
      <c r="N68" s="195">
        <v>10.4</v>
      </c>
      <c r="O68" s="201">
        <v>633106.0</v>
      </c>
      <c r="P68" s="197"/>
      <c r="Q68" s="117"/>
      <c r="R68" s="189" t="str">
        <f t="shared" si="9"/>
        <v>Y</v>
      </c>
      <c r="S68" s="141"/>
      <c r="T68" s="141"/>
      <c r="U68" s="57"/>
      <c r="V68" s="57"/>
      <c r="W68" s="57"/>
      <c r="X68" s="57"/>
      <c r="Y68" s="57"/>
      <c r="Z68" s="57"/>
      <c r="AA68" s="57"/>
      <c r="AB68" s="57"/>
    </row>
    <row r="69">
      <c r="A69" s="185" t="str">
        <f t="shared" si="1"/>
        <v>20251016-NOW</v>
      </c>
      <c r="B69" s="185" t="s">
        <v>53</v>
      </c>
      <c r="C69" s="117"/>
      <c r="D69" s="186">
        <v>1.0</v>
      </c>
      <c r="E69" s="186" t="s">
        <v>2046</v>
      </c>
      <c r="F69" s="117"/>
      <c r="G69" s="189"/>
      <c r="H69" s="202">
        <v>45946.0</v>
      </c>
      <c r="I69" s="48"/>
      <c r="J69" s="189"/>
      <c r="K69" s="203">
        <v>45946.0</v>
      </c>
      <c r="L69" s="193" t="s">
        <v>38</v>
      </c>
      <c r="M69" s="194">
        <v>492740.0</v>
      </c>
      <c r="N69" s="195">
        <v>10.4</v>
      </c>
      <c r="O69" s="201">
        <v>633106.0</v>
      </c>
      <c r="P69" s="197"/>
      <c r="Q69" s="117"/>
      <c r="R69" s="189" t="str">
        <f t="shared" si="9"/>
        <v>Y</v>
      </c>
      <c r="S69" s="141"/>
      <c r="T69" s="141"/>
      <c r="U69" s="57"/>
      <c r="V69" s="57"/>
      <c r="W69" s="57"/>
      <c r="X69" s="57"/>
      <c r="Y69" s="57"/>
      <c r="Z69" s="57"/>
      <c r="AA69" s="57"/>
      <c r="AB69" s="57"/>
    </row>
    <row r="70">
      <c r="A70" s="185" t="str">
        <f t="shared" si="1"/>
        <v>20251016-VNW</v>
      </c>
      <c r="B70" s="185" t="s">
        <v>53</v>
      </c>
      <c r="C70" s="117"/>
      <c r="D70" s="186">
        <v>2.0</v>
      </c>
      <c r="E70" s="186" t="s">
        <v>2047</v>
      </c>
      <c r="F70" s="117"/>
      <c r="G70" s="189"/>
      <c r="H70" s="202">
        <v>45946.0</v>
      </c>
      <c r="I70" s="48"/>
      <c r="J70" s="189"/>
      <c r="K70" s="203">
        <v>45946.0</v>
      </c>
      <c r="L70" s="193" t="s">
        <v>38</v>
      </c>
      <c r="M70" s="194">
        <v>492740.0</v>
      </c>
      <c r="N70" s="195">
        <v>8.17</v>
      </c>
      <c r="O70" s="201">
        <v>633106.0</v>
      </c>
      <c r="P70" s="197"/>
      <c r="Q70" s="117"/>
      <c r="R70" s="189" t="str">
        <f t="shared" si="9"/>
        <v>Y</v>
      </c>
      <c r="S70" s="141"/>
      <c r="T70" s="141"/>
      <c r="U70" s="57"/>
      <c r="V70" s="57"/>
      <c r="W70" s="57"/>
      <c r="X70" s="57"/>
      <c r="Y70" s="57"/>
      <c r="Z70" s="57"/>
      <c r="AA70" s="57"/>
      <c r="AB70" s="57"/>
    </row>
    <row r="71">
      <c r="A71" s="185" t="str">
        <f t="shared" si="1"/>
        <v>20251016-F4N</v>
      </c>
      <c r="B71" s="185" t="s">
        <v>53</v>
      </c>
      <c r="C71" s="117"/>
      <c r="D71" s="186">
        <v>1.0</v>
      </c>
      <c r="E71" s="186" t="s">
        <v>2048</v>
      </c>
      <c r="F71" s="117"/>
      <c r="G71" s="189"/>
      <c r="H71" s="202">
        <v>45946.0</v>
      </c>
      <c r="I71" s="48"/>
      <c r="J71" s="189"/>
      <c r="K71" s="203">
        <v>45946.0</v>
      </c>
      <c r="L71" s="193" t="s">
        <v>38</v>
      </c>
      <c r="M71" s="194">
        <v>492740.0</v>
      </c>
      <c r="N71" s="195">
        <v>9.03</v>
      </c>
      <c r="O71" s="201">
        <v>633106.0</v>
      </c>
      <c r="P71" s="197"/>
      <c r="Q71" s="117"/>
      <c r="R71" s="189" t="str">
        <f t="shared" si="9"/>
        <v>Y</v>
      </c>
      <c r="S71" s="141"/>
      <c r="T71" s="141"/>
      <c r="U71" s="57"/>
      <c r="V71" s="57"/>
      <c r="W71" s="57"/>
      <c r="X71" s="57"/>
      <c r="Y71" s="57"/>
      <c r="Z71" s="57"/>
      <c r="AA71" s="57"/>
      <c r="AB71" s="57"/>
    </row>
    <row r="72">
      <c r="A72" s="185" t="str">
        <f t="shared" si="1"/>
        <v>20251016-132N</v>
      </c>
      <c r="B72" s="185" t="s">
        <v>2602</v>
      </c>
      <c r="C72" s="117"/>
      <c r="D72" s="186">
        <v>1.0</v>
      </c>
      <c r="E72" s="186" t="s">
        <v>1938</v>
      </c>
      <c r="F72" s="186" t="s">
        <v>2603</v>
      </c>
      <c r="G72" s="189"/>
      <c r="H72" s="202">
        <v>45946.0</v>
      </c>
      <c r="I72" s="48"/>
      <c r="J72" s="189"/>
      <c r="K72" s="203">
        <v>45946.0</v>
      </c>
      <c r="L72" s="193" t="s">
        <v>38</v>
      </c>
      <c r="M72" s="194">
        <v>492740.0</v>
      </c>
      <c r="N72" s="195">
        <v>156.51</v>
      </c>
      <c r="O72" s="201">
        <v>633106.0</v>
      </c>
      <c r="P72" s="197"/>
      <c r="Q72" s="186" t="s">
        <v>2294</v>
      </c>
      <c r="R72" s="204" t="s">
        <v>43</v>
      </c>
      <c r="S72" s="141"/>
      <c r="T72" s="141"/>
      <c r="U72" s="57"/>
      <c r="V72" s="57"/>
      <c r="W72" s="57"/>
      <c r="X72" s="57"/>
      <c r="Y72" s="57"/>
      <c r="Z72" s="57"/>
      <c r="AA72" s="57"/>
      <c r="AB72" s="57"/>
    </row>
    <row r="73">
      <c r="A73" s="185" t="str">
        <f t="shared" si="1"/>
        <v>20251016-RT2</v>
      </c>
      <c r="B73" s="185" t="s">
        <v>53</v>
      </c>
      <c r="C73" s="117"/>
      <c r="D73" s="186">
        <v>1.0</v>
      </c>
      <c r="E73" s="186" t="s">
        <v>1894</v>
      </c>
      <c r="F73" s="117"/>
      <c r="G73" s="189"/>
      <c r="H73" s="202">
        <v>45946.0</v>
      </c>
      <c r="I73" s="48"/>
      <c r="J73" s="189"/>
      <c r="K73" s="203">
        <v>45946.0</v>
      </c>
      <c r="L73" s="193" t="s">
        <v>38</v>
      </c>
      <c r="M73" s="194">
        <v>492740.0</v>
      </c>
      <c r="N73" s="195">
        <v>156.51</v>
      </c>
      <c r="O73" s="201">
        <v>633106.0</v>
      </c>
      <c r="P73" s="197"/>
      <c r="Q73" s="117"/>
      <c r="R73" s="189" t="str">
        <f t="shared" ref="R73:R85" si="10">if(or(LOWER(B73)="name",LOWER(B73)="stock")=true,"Y","")</f>
        <v>Y</v>
      </c>
      <c r="S73" s="141"/>
      <c r="T73" s="141"/>
      <c r="U73" s="57"/>
      <c r="V73" s="57"/>
      <c r="W73" s="57"/>
      <c r="X73" s="57"/>
      <c r="Y73" s="57"/>
      <c r="Z73" s="57"/>
      <c r="AA73" s="57"/>
      <c r="AB73" s="57"/>
    </row>
    <row r="74">
      <c r="A74" s="185" t="str">
        <f t="shared" si="1"/>
        <v>20251016-UGT</v>
      </c>
      <c r="B74" s="185" t="s">
        <v>53</v>
      </c>
      <c r="C74" s="117"/>
      <c r="D74" s="186">
        <v>1.0</v>
      </c>
      <c r="E74" s="186" t="s">
        <v>1779</v>
      </c>
      <c r="F74" s="117"/>
      <c r="G74" s="189"/>
      <c r="H74" s="202">
        <v>45946.0</v>
      </c>
      <c r="I74" s="48"/>
      <c r="J74" s="189"/>
      <c r="K74" s="203">
        <v>45946.0</v>
      </c>
      <c r="L74" s="193" t="s">
        <v>38</v>
      </c>
      <c r="M74" s="194">
        <v>492740.0</v>
      </c>
      <c r="N74" s="195">
        <v>42.27</v>
      </c>
      <c r="O74" s="201">
        <v>633106.0</v>
      </c>
      <c r="P74" s="197"/>
      <c r="Q74" s="117"/>
      <c r="R74" s="189" t="str">
        <f t="shared" si="10"/>
        <v>Y</v>
      </c>
      <c r="S74" s="141"/>
      <c r="T74" s="141"/>
      <c r="U74" s="57"/>
      <c r="V74" s="57"/>
      <c r="W74" s="57"/>
      <c r="X74" s="57"/>
      <c r="Y74" s="57"/>
      <c r="Z74" s="57"/>
      <c r="AA74" s="57"/>
      <c r="AB74" s="57"/>
    </row>
    <row r="75">
      <c r="A75" s="185" t="str">
        <f t="shared" si="1"/>
        <v>20251016-1SYL</v>
      </c>
      <c r="B75" s="185" t="s">
        <v>2604</v>
      </c>
      <c r="C75" s="186" t="s">
        <v>2605</v>
      </c>
      <c r="D75" s="186">
        <v>1.0</v>
      </c>
      <c r="E75" s="186" t="s">
        <v>2049</v>
      </c>
      <c r="F75" s="186" t="s">
        <v>1231</v>
      </c>
      <c r="G75" s="189"/>
      <c r="H75" s="202">
        <v>45946.0</v>
      </c>
      <c r="I75" s="48"/>
      <c r="J75" s="189"/>
      <c r="K75" s="203">
        <v>45946.0</v>
      </c>
      <c r="L75" s="193" t="s">
        <v>38</v>
      </c>
      <c r="M75" s="194">
        <v>492740.0</v>
      </c>
      <c r="N75" s="195">
        <v>40.0</v>
      </c>
      <c r="O75" s="201">
        <v>633106.0</v>
      </c>
      <c r="P75" s="193" t="s">
        <v>1231</v>
      </c>
      <c r="Q75" s="117"/>
      <c r="R75" s="189" t="str">
        <f t="shared" si="10"/>
        <v/>
      </c>
      <c r="S75" s="141"/>
      <c r="T75" s="141"/>
      <c r="U75" s="57"/>
      <c r="V75" s="57"/>
      <c r="W75" s="57"/>
      <c r="X75" s="57"/>
      <c r="Y75" s="57"/>
      <c r="Z75" s="57"/>
      <c r="AA75" s="57"/>
      <c r="AB75" s="57"/>
    </row>
    <row r="76">
      <c r="A76" s="185" t="str">
        <f t="shared" si="1"/>
        <v>20251016-2I2J</v>
      </c>
      <c r="B76" s="185" t="s">
        <v>2606</v>
      </c>
      <c r="C76" s="186" t="s">
        <v>2607</v>
      </c>
      <c r="D76" s="186">
        <v>1.0</v>
      </c>
      <c r="E76" s="186" t="s">
        <v>2050</v>
      </c>
      <c r="F76" s="117"/>
      <c r="G76" s="189"/>
      <c r="H76" s="202">
        <v>45946.0</v>
      </c>
      <c r="I76" s="48"/>
      <c r="J76" s="189"/>
      <c r="K76" s="203">
        <v>45946.0</v>
      </c>
      <c r="L76" s="193" t="s">
        <v>38</v>
      </c>
      <c r="M76" s="194">
        <v>492740.0</v>
      </c>
      <c r="N76" s="195">
        <v>50.07</v>
      </c>
      <c r="O76" s="201">
        <v>633106.0</v>
      </c>
      <c r="P76" s="197"/>
      <c r="Q76" s="186" t="s">
        <v>2294</v>
      </c>
      <c r="R76" s="189" t="str">
        <f t="shared" si="10"/>
        <v/>
      </c>
      <c r="S76" s="141"/>
      <c r="T76" s="141"/>
      <c r="U76" s="57"/>
      <c r="V76" s="57"/>
      <c r="W76" s="57"/>
      <c r="X76" s="57"/>
      <c r="Y76" s="57"/>
      <c r="Z76" s="57"/>
      <c r="AA76" s="57"/>
      <c r="AB76" s="57"/>
    </row>
    <row r="77">
      <c r="A77" s="185" t="str">
        <f t="shared" si="1"/>
        <v>20251016-GY4</v>
      </c>
      <c r="B77" s="185" t="s">
        <v>53</v>
      </c>
      <c r="C77" s="117"/>
      <c r="D77" s="186">
        <v>8.0</v>
      </c>
      <c r="E77" s="186" t="s">
        <v>663</v>
      </c>
      <c r="F77" s="117"/>
      <c r="G77" s="189"/>
      <c r="H77" s="202">
        <v>45946.0</v>
      </c>
      <c r="I77" s="48"/>
      <c r="J77" s="189"/>
      <c r="K77" s="203">
        <v>45946.0</v>
      </c>
      <c r="L77" s="193" t="s">
        <v>38</v>
      </c>
      <c r="M77" s="194">
        <v>492740.0</v>
      </c>
      <c r="N77" s="195">
        <v>5.56</v>
      </c>
      <c r="O77" s="201">
        <v>633106.0</v>
      </c>
      <c r="P77" s="197"/>
      <c r="Q77" s="117"/>
      <c r="R77" s="189" t="str">
        <f t="shared" si="10"/>
        <v>Y</v>
      </c>
      <c r="S77" s="141"/>
      <c r="T77" s="141"/>
      <c r="U77" s="57"/>
      <c r="V77" s="57"/>
      <c r="W77" s="57"/>
      <c r="X77" s="57"/>
      <c r="Y77" s="57"/>
      <c r="Z77" s="57"/>
      <c r="AA77" s="57"/>
      <c r="AB77" s="57"/>
    </row>
    <row r="78">
      <c r="A78" s="185" t="str">
        <f t="shared" si="1"/>
        <v>20251016-14RS</v>
      </c>
      <c r="B78" s="185" t="s">
        <v>53</v>
      </c>
      <c r="C78" s="117"/>
      <c r="D78" s="186">
        <v>20.0</v>
      </c>
      <c r="E78" s="186" t="s">
        <v>2052</v>
      </c>
      <c r="F78" s="117"/>
      <c r="G78" s="189"/>
      <c r="H78" s="202">
        <v>45946.0</v>
      </c>
      <c r="I78" s="48"/>
      <c r="J78" s="189"/>
      <c r="K78" s="221">
        <v>45946.0</v>
      </c>
      <c r="L78" s="219" t="s">
        <v>38</v>
      </c>
      <c r="M78" s="194">
        <v>492740.0</v>
      </c>
      <c r="N78" s="195">
        <v>3.04</v>
      </c>
      <c r="O78" s="201">
        <v>633106.0</v>
      </c>
      <c r="P78" s="220"/>
      <c r="Q78" s="117"/>
      <c r="R78" s="189" t="str">
        <f t="shared" si="10"/>
        <v>Y</v>
      </c>
      <c r="S78" s="141"/>
      <c r="T78" s="141"/>
      <c r="U78" s="57"/>
      <c r="V78" s="57"/>
      <c r="W78" s="57"/>
      <c r="X78" s="57"/>
      <c r="Y78" s="57"/>
      <c r="Z78" s="57"/>
      <c r="AA78" s="57"/>
      <c r="AB78" s="57"/>
    </row>
    <row r="79">
      <c r="A79" s="185" t="str">
        <f t="shared" si="1"/>
        <v>20251017-IGV</v>
      </c>
      <c r="B79" s="185" t="s">
        <v>53</v>
      </c>
      <c r="C79" s="117"/>
      <c r="D79" s="186">
        <v>1.0</v>
      </c>
      <c r="E79" s="186" t="s">
        <v>814</v>
      </c>
      <c r="F79" s="186" t="s">
        <v>2608</v>
      </c>
      <c r="G79" s="189"/>
      <c r="H79" s="202">
        <v>45947.0</v>
      </c>
      <c r="I79" s="48"/>
      <c r="J79" s="189"/>
      <c r="K79" s="203">
        <v>45947.0</v>
      </c>
      <c r="L79" s="193" t="s">
        <v>347</v>
      </c>
      <c r="M79" s="285"/>
      <c r="N79" s="195">
        <v>0.0</v>
      </c>
      <c r="O79" s="196"/>
      <c r="P79" s="197"/>
      <c r="Q79" s="117"/>
      <c r="R79" s="189" t="str">
        <f t="shared" si="10"/>
        <v>Y</v>
      </c>
      <c r="S79" s="141"/>
      <c r="T79" s="141"/>
      <c r="U79" s="57"/>
      <c r="V79" s="57"/>
      <c r="W79" s="57"/>
      <c r="X79" s="57"/>
      <c r="Y79" s="57"/>
      <c r="Z79" s="57"/>
      <c r="AA79" s="57"/>
      <c r="AB79" s="57"/>
    </row>
    <row r="80">
      <c r="A80" s="185" t="str">
        <f t="shared" si="1"/>
        <v>20251018-Q5B</v>
      </c>
      <c r="B80" s="185" t="s">
        <v>53</v>
      </c>
      <c r="C80" s="117"/>
      <c r="D80" s="186">
        <v>1.0</v>
      </c>
      <c r="E80" s="186" t="s">
        <v>2054</v>
      </c>
      <c r="F80" s="186" t="s">
        <v>2608</v>
      </c>
      <c r="G80" s="189"/>
      <c r="H80" s="202">
        <v>45948.0</v>
      </c>
      <c r="I80" s="48"/>
      <c r="J80" s="189"/>
      <c r="K80" s="203">
        <v>45948.0</v>
      </c>
      <c r="L80" s="193" t="s">
        <v>347</v>
      </c>
      <c r="M80" s="285"/>
      <c r="N80" s="195">
        <v>0.0</v>
      </c>
      <c r="O80" s="196"/>
      <c r="P80" s="197"/>
      <c r="Q80" s="117"/>
      <c r="R80" s="189" t="str">
        <f t="shared" si="10"/>
        <v>Y</v>
      </c>
      <c r="S80" s="141"/>
      <c r="T80" s="141"/>
      <c r="U80" s="57"/>
      <c r="V80" s="57"/>
      <c r="W80" s="57"/>
      <c r="X80" s="57"/>
      <c r="Y80" s="57"/>
      <c r="Z80" s="57"/>
      <c r="AA80" s="57"/>
      <c r="AB80" s="57"/>
    </row>
    <row r="81">
      <c r="A81" s="185" t="str">
        <f t="shared" si="1"/>
        <v>20251018-Q5B</v>
      </c>
      <c r="B81" s="185" t="s">
        <v>53</v>
      </c>
      <c r="C81" s="117"/>
      <c r="D81" s="186">
        <v>1.0</v>
      </c>
      <c r="E81" s="186" t="s">
        <v>2054</v>
      </c>
      <c r="F81" s="186" t="s">
        <v>2420</v>
      </c>
      <c r="G81" s="189"/>
      <c r="H81" s="202">
        <v>45948.0</v>
      </c>
      <c r="I81" s="48"/>
      <c r="J81" s="189"/>
      <c r="K81" s="203">
        <v>45948.0</v>
      </c>
      <c r="L81" s="193" t="s">
        <v>347</v>
      </c>
      <c r="M81" s="285"/>
      <c r="N81" s="286"/>
      <c r="O81" s="196"/>
      <c r="P81" s="197"/>
      <c r="Q81" s="117"/>
      <c r="R81" s="189" t="str">
        <f t="shared" si="10"/>
        <v>Y</v>
      </c>
      <c r="S81" s="141"/>
      <c r="T81" s="141"/>
      <c r="U81" s="57"/>
      <c r="V81" s="57"/>
      <c r="W81" s="57"/>
      <c r="X81" s="57"/>
      <c r="Y81" s="57"/>
      <c r="Z81" s="57"/>
      <c r="AA81" s="57"/>
      <c r="AB81" s="57"/>
    </row>
    <row r="82">
      <c r="A82" s="185" t="str">
        <f t="shared" si="1"/>
        <v>20251020-6F4</v>
      </c>
      <c r="B82" s="185" t="s">
        <v>53</v>
      </c>
      <c r="C82" s="117"/>
      <c r="D82" s="186">
        <v>5.0</v>
      </c>
      <c r="E82" s="186" t="s">
        <v>68</v>
      </c>
      <c r="F82" s="117"/>
      <c r="G82" s="189"/>
      <c r="H82" s="202">
        <v>45950.0</v>
      </c>
      <c r="I82" s="48"/>
      <c r="J82" s="189"/>
      <c r="K82" s="203">
        <v>45950.0</v>
      </c>
      <c r="L82" s="193" t="s">
        <v>38</v>
      </c>
      <c r="M82" s="194">
        <v>493495.0</v>
      </c>
      <c r="N82" s="195">
        <v>1.0</v>
      </c>
      <c r="O82" s="201">
        <v>633907.0</v>
      </c>
      <c r="P82" s="197"/>
      <c r="Q82" s="117"/>
      <c r="R82" s="189" t="str">
        <f t="shared" si="10"/>
        <v>Y</v>
      </c>
      <c r="S82" s="141"/>
      <c r="T82" s="141"/>
      <c r="U82" s="57"/>
      <c r="V82" s="57"/>
      <c r="W82" s="57"/>
      <c r="X82" s="57"/>
      <c r="Y82" s="57"/>
      <c r="Z82" s="57"/>
      <c r="AA82" s="57"/>
      <c r="AB82" s="57"/>
    </row>
    <row r="83">
      <c r="A83" s="185" t="str">
        <f t="shared" si="1"/>
        <v>20251020-8CU</v>
      </c>
      <c r="B83" s="185" t="s">
        <v>53</v>
      </c>
      <c r="C83" s="117"/>
      <c r="D83" s="186">
        <v>5.0</v>
      </c>
      <c r="E83" s="186" t="s">
        <v>2055</v>
      </c>
      <c r="F83" s="117"/>
      <c r="G83" s="189"/>
      <c r="H83" s="202">
        <v>45950.0</v>
      </c>
      <c r="I83" s="48"/>
      <c r="J83" s="189"/>
      <c r="K83" s="203">
        <v>45950.0</v>
      </c>
      <c r="L83" s="193" t="s">
        <v>38</v>
      </c>
      <c r="M83" s="194">
        <v>493495.0</v>
      </c>
      <c r="N83" s="195">
        <v>1.0</v>
      </c>
      <c r="O83" s="201">
        <v>633907.0</v>
      </c>
      <c r="P83" s="197"/>
      <c r="Q83" s="117"/>
      <c r="R83" s="189" t="str">
        <f t="shared" si="10"/>
        <v>Y</v>
      </c>
      <c r="S83" s="141"/>
      <c r="T83" s="141"/>
      <c r="U83" s="57"/>
      <c r="V83" s="57"/>
      <c r="W83" s="57"/>
      <c r="X83" s="57"/>
      <c r="Y83" s="57"/>
      <c r="Z83" s="57"/>
      <c r="AA83" s="57"/>
      <c r="AB83" s="57"/>
    </row>
    <row r="84">
      <c r="A84" s="185" t="str">
        <f t="shared" si="1"/>
        <v>20251020-8A5</v>
      </c>
      <c r="B84" s="185" t="s">
        <v>53</v>
      </c>
      <c r="C84" s="117"/>
      <c r="D84" s="186">
        <v>4.0</v>
      </c>
      <c r="E84" s="186" t="s">
        <v>2056</v>
      </c>
      <c r="F84" s="117"/>
      <c r="G84" s="189"/>
      <c r="H84" s="202">
        <v>45950.0</v>
      </c>
      <c r="I84" s="48"/>
      <c r="J84" s="189"/>
      <c r="K84" s="203">
        <v>45950.0</v>
      </c>
      <c r="L84" s="193" t="s">
        <v>38</v>
      </c>
      <c r="M84" s="194">
        <v>493495.0</v>
      </c>
      <c r="N84" s="195">
        <v>1.0</v>
      </c>
      <c r="O84" s="201">
        <v>633907.0</v>
      </c>
      <c r="P84" s="197"/>
      <c r="Q84" s="117"/>
      <c r="R84" s="189" t="str">
        <f t="shared" si="10"/>
        <v>Y</v>
      </c>
      <c r="S84" s="141"/>
      <c r="T84" s="141"/>
      <c r="U84" s="57"/>
      <c r="V84" s="57"/>
      <c r="W84" s="57"/>
      <c r="X84" s="57"/>
      <c r="Y84" s="57"/>
      <c r="Z84" s="57"/>
      <c r="AA84" s="57"/>
      <c r="AB84" s="57"/>
    </row>
    <row r="85">
      <c r="A85" s="185" t="str">
        <f t="shared" si="1"/>
        <v>20251020-NW4</v>
      </c>
      <c r="B85" s="185" t="s">
        <v>53</v>
      </c>
      <c r="C85" s="117"/>
      <c r="D85" s="186">
        <v>2.0</v>
      </c>
      <c r="E85" s="186" t="s">
        <v>2057</v>
      </c>
      <c r="F85" s="117"/>
      <c r="G85" s="189"/>
      <c r="H85" s="202">
        <v>45950.0</v>
      </c>
      <c r="I85" s="48"/>
      <c r="J85" s="189"/>
      <c r="K85" s="203">
        <v>45950.0</v>
      </c>
      <c r="L85" s="193" t="s">
        <v>38</v>
      </c>
      <c r="M85" s="194">
        <v>493495.0</v>
      </c>
      <c r="N85" s="195">
        <v>20.9</v>
      </c>
      <c r="O85" s="201">
        <v>633907.0</v>
      </c>
      <c r="P85" s="197"/>
      <c r="Q85" s="117"/>
      <c r="R85" s="189" t="str">
        <f t="shared" si="10"/>
        <v>Y</v>
      </c>
      <c r="S85" s="141"/>
      <c r="T85" s="141"/>
      <c r="U85" s="57"/>
      <c r="V85" s="57"/>
      <c r="W85" s="57"/>
      <c r="X85" s="57"/>
      <c r="Y85" s="57"/>
      <c r="Z85" s="57"/>
      <c r="AA85" s="57"/>
      <c r="AB85" s="57"/>
    </row>
    <row r="86">
      <c r="A86" s="185" t="str">
        <f t="shared" si="1"/>
        <v>20251020-2W6U</v>
      </c>
      <c r="B86" s="185" t="s">
        <v>2565</v>
      </c>
      <c r="C86" s="186" t="s">
        <v>2566</v>
      </c>
      <c r="D86" s="186">
        <v>1.0</v>
      </c>
      <c r="E86" s="186" t="s">
        <v>2058</v>
      </c>
      <c r="F86" s="186" t="s">
        <v>2567</v>
      </c>
      <c r="G86" s="189"/>
      <c r="H86" s="202">
        <v>45950.0</v>
      </c>
      <c r="I86" s="48"/>
      <c r="J86" s="189"/>
      <c r="K86" s="203">
        <v>45950.0</v>
      </c>
      <c r="L86" s="193" t="s">
        <v>38</v>
      </c>
      <c r="M86" s="194">
        <v>493495.0</v>
      </c>
      <c r="N86" s="195">
        <v>34.87</v>
      </c>
      <c r="O86" s="201">
        <v>633907.0</v>
      </c>
      <c r="P86" s="197"/>
      <c r="Q86" s="186" t="s">
        <v>2294</v>
      </c>
      <c r="R86" s="204" t="s">
        <v>43</v>
      </c>
      <c r="S86" s="141"/>
      <c r="T86" s="141"/>
      <c r="U86" s="57"/>
      <c r="V86" s="57"/>
      <c r="W86" s="57"/>
      <c r="X86" s="57"/>
      <c r="Y86" s="57"/>
      <c r="Z86" s="57"/>
      <c r="AA86" s="57"/>
      <c r="AB86" s="57"/>
    </row>
    <row r="87">
      <c r="A87" s="185" t="str">
        <f t="shared" si="1"/>
        <v>20251020-R65</v>
      </c>
      <c r="B87" s="185" t="s">
        <v>2614</v>
      </c>
      <c r="C87" s="117"/>
      <c r="D87" s="186">
        <v>1.0</v>
      </c>
      <c r="E87" s="186" t="s">
        <v>618</v>
      </c>
      <c r="F87" s="186" t="s">
        <v>35</v>
      </c>
      <c r="G87" s="189"/>
      <c r="H87" s="202">
        <v>45950.0</v>
      </c>
      <c r="I87" s="48"/>
      <c r="J87" s="189"/>
      <c r="K87" s="203">
        <v>45950.0</v>
      </c>
      <c r="L87" s="193" t="s">
        <v>38</v>
      </c>
      <c r="M87" s="194">
        <v>493495.0</v>
      </c>
      <c r="N87" s="195">
        <v>104.03</v>
      </c>
      <c r="O87" s="201">
        <v>633907.0</v>
      </c>
      <c r="P87" s="197"/>
      <c r="Q87" s="186" t="s">
        <v>2294</v>
      </c>
      <c r="R87" s="204" t="s">
        <v>43</v>
      </c>
      <c r="S87" s="141"/>
      <c r="T87" s="141"/>
      <c r="U87" s="57"/>
      <c r="V87" s="57"/>
      <c r="W87" s="57"/>
      <c r="X87" s="57"/>
      <c r="Y87" s="57"/>
      <c r="Z87" s="57"/>
      <c r="AA87" s="57"/>
      <c r="AB87" s="57"/>
    </row>
    <row r="88">
      <c r="A88" s="185" t="str">
        <f t="shared" si="1"/>
        <v>20251020-1UD8</v>
      </c>
      <c r="B88" s="185" t="s">
        <v>2616</v>
      </c>
      <c r="C88" s="186" t="s">
        <v>2617</v>
      </c>
      <c r="D88" s="186">
        <v>1.0</v>
      </c>
      <c r="E88" s="186" t="s">
        <v>2059</v>
      </c>
      <c r="F88" s="117"/>
      <c r="G88" s="189"/>
      <c r="H88" s="202">
        <v>45950.0</v>
      </c>
      <c r="I88" s="48"/>
      <c r="J88" s="189"/>
      <c r="K88" s="203">
        <v>45950.0</v>
      </c>
      <c r="L88" s="193" t="s">
        <v>38</v>
      </c>
      <c r="M88" s="194">
        <v>493495.0</v>
      </c>
      <c r="N88" s="195">
        <v>132.15</v>
      </c>
      <c r="O88" s="201">
        <v>633907.0</v>
      </c>
      <c r="P88" s="197"/>
      <c r="Q88" s="186" t="s">
        <v>2294</v>
      </c>
      <c r="R88" s="204" t="s">
        <v>43</v>
      </c>
      <c r="S88" s="141"/>
      <c r="T88" s="141"/>
      <c r="U88" s="57"/>
      <c r="V88" s="57"/>
      <c r="W88" s="57"/>
      <c r="X88" s="57"/>
      <c r="Y88" s="57"/>
      <c r="Z88" s="57"/>
      <c r="AA88" s="57"/>
      <c r="AB88" s="57"/>
    </row>
    <row r="89">
      <c r="A89" s="185" t="str">
        <f t="shared" si="1"/>
        <v>20251020-1TYN</v>
      </c>
      <c r="B89" s="185" t="s">
        <v>2618</v>
      </c>
      <c r="C89" s="186" t="s">
        <v>2619</v>
      </c>
      <c r="D89" s="186">
        <v>1.0</v>
      </c>
      <c r="E89" s="186" t="s">
        <v>2019</v>
      </c>
      <c r="F89" s="117"/>
      <c r="G89" s="189"/>
      <c r="H89" s="202">
        <v>45950.0</v>
      </c>
      <c r="I89" s="48"/>
      <c r="J89" s="189"/>
      <c r="K89" s="203">
        <v>45950.0</v>
      </c>
      <c r="L89" s="193" t="s">
        <v>38</v>
      </c>
      <c r="M89" s="194">
        <v>493495.0</v>
      </c>
      <c r="N89" s="195">
        <v>156.51</v>
      </c>
      <c r="O89" s="201">
        <v>633907.0</v>
      </c>
      <c r="P89" s="197"/>
      <c r="Q89" s="186" t="s">
        <v>2294</v>
      </c>
      <c r="R89" s="204" t="s">
        <v>43</v>
      </c>
      <c r="S89" s="141"/>
      <c r="T89" s="141"/>
      <c r="U89" s="57"/>
      <c r="V89" s="57"/>
      <c r="W89" s="57"/>
      <c r="X89" s="57"/>
      <c r="Y89" s="57"/>
      <c r="Z89" s="57"/>
      <c r="AA89" s="57"/>
      <c r="AB89" s="57"/>
    </row>
    <row r="90">
      <c r="A90" s="185" t="str">
        <f t="shared" si="1"/>
        <v>20251020-P44</v>
      </c>
      <c r="B90" s="185" t="s">
        <v>53</v>
      </c>
      <c r="C90" s="117"/>
      <c r="D90" s="186">
        <v>1.0</v>
      </c>
      <c r="E90" s="186" t="s">
        <v>2043</v>
      </c>
      <c r="F90" s="117"/>
      <c r="G90" s="189"/>
      <c r="H90" s="202">
        <v>45950.0</v>
      </c>
      <c r="I90" s="48"/>
      <c r="J90" s="189"/>
      <c r="K90" s="203">
        <v>45950.0</v>
      </c>
      <c r="L90" s="193" t="s">
        <v>38</v>
      </c>
      <c r="M90" s="194">
        <v>493495.0</v>
      </c>
      <c r="N90" s="195">
        <v>159.46</v>
      </c>
      <c r="O90" s="201">
        <v>633907.0</v>
      </c>
      <c r="P90" s="197"/>
      <c r="Q90" s="117"/>
      <c r="R90" s="189" t="str">
        <f t="shared" ref="R90:R94" si="11">if(or(LOWER(B90)="name",LOWER(B90)="stock")=true,"Y","")</f>
        <v>Y</v>
      </c>
      <c r="S90" s="141"/>
      <c r="T90" s="141"/>
      <c r="U90" s="57"/>
      <c r="V90" s="57"/>
      <c r="W90" s="57"/>
      <c r="X90" s="57"/>
      <c r="Y90" s="57"/>
      <c r="Z90" s="57"/>
      <c r="AA90" s="57"/>
      <c r="AB90" s="57"/>
    </row>
    <row r="91">
      <c r="A91" s="185" t="str">
        <f t="shared" si="1"/>
        <v>20251020-OSH</v>
      </c>
      <c r="B91" s="185" t="s">
        <v>53</v>
      </c>
      <c r="C91" s="117"/>
      <c r="D91" s="186">
        <v>1.0</v>
      </c>
      <c r="E91" s="186" t="s">
        <v>294</v>
      </c>
      <c r="F91" s="117"/>
      <c r="G91" s="189"/>
      <c r="H91" s="202">
        <v>45950.0</v>
      </c>
      <c r="I91" s="48"/>
      <c r="J91" s="189"/>
      <c r="K91" s="203">
        <v>45950.0</v>
      </c>
      <c r="L91" s="193" t="s">
        <v>38</v>
      </c>
      <c r="M91" s="194">
        <v>493495.0</v>
      </c>
      <c r="N91" s="195">
        <v>42.47</v>
      </c>
      <c r="O91" s="201">
        <v>633907.0</v>
      </c>
      <c r="P91" s="197"/>
      <c r="Q91" s="117"/>
      <c r="R91" s="189" t="str">
        <f t="shared" si="11"/>
        <v>Y</v>
      </c>
      <c r="S91" s="141"/>
      <c r="T91" s="141"/>
      <c r="U91" s="57"/>
      <c r="V91" s="57"/>
      <c r="W91" s="57"/>
      <c r="X91" s="57"/>
      <c r="Y91" s="57"/>
      <c r="Z91" s="57"/>
      <c r="AA91" s="57"/>
      <c r="AB91" s="57"/>
    </row>
    <row r="92">
      <c r="A92" s="185" t="str">
        <f t="shared" si="1"/>
        <v>20251020-MHB</v>
      </c>
      <c r="B92" s="185" t="s">
        <v>53</v>
      </c>
      <c r="C92" s="117"/>
      <c r="D92" s="186">
        <v>1.0</v>
      </c>
      <c r="E92" s="186" t="s">
        <v>61</v>
      </c>
      <c r="F92" s="117"/>
      <c r="G92" s="189"/>
      <c r="H92" s="202">
        <v>45950.0</v>
      </c>
      <c r="I92" s="48"/>
      <c r="J92" s="189"/>
      <c r="K92" s="203">
        <v>45950.0</v>
      </c>
      <c r="L92" s="193" t="s">
        <v>38</v>
      </c>
      <c r="M92" s="194">
        <v>493495.0</v>
      </c>
      <c r="N92" s="195">
        <v>42.47</v>
      </c>
      <c r="O92" s="201">
        <v>633907.0</v>
      </c>
      <c r="P92" s="197"/>
      <c r="Q92" s="117"/>
      <c r="R92" s="189" t="str">
        <f t="shared" si="11"/>
        <v>Y</v>
      </c>
      <c r="S92" s="141"/>
      <c r="T92" s="141"/>
      <c r="U92" s="57"/>
      <c r="V92" s="57"/>
      <c r="W92" s="57"/>
      <c r="X92" s="57"/>
      <c r="Y92" s="57"/>
      <c r="Z92" s="57"/>
      <c r="AA92" s="57"/>
      <c r="AB92" s="57"/>
    </row>
    <row r="93">
      <c r="A93" s="185" t="str">
        <f t="shared" si="1"/>
        <v>20251020-11G8</v>
      </c>
      <c r="B93" s="185" t="s">
        <v>53</v>
      </c>
      <c r="C93" s="117"/>
      <c r="D93" s="186">
        <v>1.0</v>
      </c>
      <c r="E93" s="186" t="s">
        <v>2062</v>
      </c>
      <c r="F93" s="290"/>
      <c r="G93" s="189"/>
      <c r="H93" s="202">
        <v>45950.0</v>
      </c>
      <c r="I93" s="48"/>
      <c r="J93" s="189"/>
      <c r="K93" s="203">
        <v>45950.0</v>
      </c>
      <c r="L93" s="193" t="s">
        <v>38</v>
      </c>
      <c r="M93" s="194">
        <v>493495.0</v>
      </c>
      <c r="N93" s="195">
        <v>42.47</v>
      </c>
      <c r="O93" s="201">
        <v>633907.0</v>
      </c>
      <c r="P93" s="197"/>
      <c r="Q93" s="117"/>
      <c r="R93" s="189" t="str">
        <f t="shared" si="11"/>
        <v>Y</v>
      </c>
      <c r="S93" s="141"/>
      <c r="T93" s="141"/>
      <c r="U93" s="57"/>
      <c r="V93" s="57"/>
      <c r="W93" s="57"/>
      <c r="X93" s="57"/>
      <c r="Y93" s="57"/>
      <c r="Z93" s="57"/>
      <c r="AA93" s="57"/>
      <c r="AB93" s="57"/>
    </row>
    <row r="94">
      <c r="A94" s="185" t="str">
        <f t="shared" si="1"/>
        <v>20251020-11IA</v>
      </c>
      <c r="B94" s="185" t="s">
        <v>53</v>
      </c>
      <c r="C94" s="117"/>
      <c r="D94" s="186">
        <v>1.0</v>
      </c>
      <c r="E94" s="186" t="s">
        <v>2063</v>
      </c>
      <c r="F94" s="117"/>
      <c r="G94" s="189"/>
      <c r="H94" s="202">
        <v>45950.0</v>
      </c>
      <c r="I94" s="48"/>
      <c r="J94" s="189"/>
      <c r="K94" s="203">
        <v>45950.0</v>
      </c>
      <c r="L94" s="193" t="s">
        <v>38</v>
      </c>
      <c r="M94" s="194">
        <v>493495.0</v>
      </c>
      <c r="N94" s="195">
        <v>42.47</v>
      </c>
      <c r="O94" s="201">
        <v>633907.0</v>
      </c>
      <c r="P94" s="197"/>
      <c r="Q94" s="117"/>
      <c r="R94" s="189" t="str">
        <f t="shared" si="11"/>
        <v>Y</v>
      </c>
      <c r="S94" s="141"/>
      <c r="T94" s="141"/>
      <c r="U94" s="57"/>
      <c r="V94" s="57"/>
      <c r="W94" s="57"/>
      <c r="X94" s="57"/>
      <c r="Y94" s="57"/>
      <c r="Z94" s="57"/>
      <c r="AA94" s="57"/>
      <c r="AB94" s="57"/>
    </row>
    <row r="95">
      <c r="A95" s="185" t="str">
        <f t="shared" si="1"/>
        <v>20251020-16MV</v>
      </c>
      <c r="B95" s="185" t="s">
        <v>513</v>
      </c>
      <c r="C95" s="117"/>
      <c r="D95" s="186">
        <v>1.0</v>
      </c>
      <c r="E95" s="186" t="s">
        <v>2064</v>
      </c>
      <c r="F95" s="117"/>
      <c r="G95" s="189"/>
      <c r="H95" s="202">
        <v>45950.0</v>
      </c>
      <c r="I95" s="48"/>
      <c r="J95" s="189"/>
      <c r="K95" s="203">
        <v>45950.0</v>
      </c>
      <c r="L95" s="193" t="s">
        <v>38</v>
      </c>
      <c r="M95" s="194">
        <v>493495.0</v>
      </c>
      <c r="N95" s="195">
        <v>11.88</v>
      </c>
      <c r="O95" s="201">
        <v>633907.0</v>
      </c>
      <c r="P95" s="197"/>
      <c r="Q95" s="186" t="s">
        <v>2294</v>
      </c>
      <c r="R95" s="204" t="s">
        <v>43</v>
      </c>
      <c r="S95" s="141"/>
      <c r="T95" s="141"/>
      <c r="U95" s="57"/>
      <c r="V95" s="57"/>
      <c r="W95" s="57"/>
      <c r="X95" s="57"/>
      <c r="Y95" s="57"/>
      <c r="Z95" s="57"/>
      <c r="AA95" s="57"/>
      <c r="AB95" s="57"/>
    </row>
    <row r="96">
      <c r="A96" s="185" t="str">
        <f t="shared" si="1"/>
        <v>20251020-2F3Z</v>
      </c>
      <c r="B96" s="185" t="s">
        <v>2632</v>
      </c>
      <c r="C96" s="186" t="s">
        <v>2633</v>
      </c>
      <c r="D96" s="186">
        <v>1.0</v>
      </c>
      <c r="E96" s="186" t="s">
        <v>2065</v>
      </c>
      <c r="F96" s="117"/>
      <c r="G96" s="189"/>
      <c r="H96" s="202">
        <v>45950.0</v>
      </c>
      <c r="I96" s="48"/>
      <c r="J96" s="189"/>
      <c r="K96" s="203">
        <v>45950.0</v>
      </c>
      <c r="L96" s="193" t="s">
        <v>38</v>
      </c>
      <c r="M96" s="194">
        <v>493495.0</v>
      </c>
      <c r="N96" s="195">
        <v>20.81</v>
      </c>
      <c r="O96" s="201">
        <v>672666.0</v>
      </c>
      <c r="P96" s="197"/>
      <c r="Q96" s="117"/>
      <c r="R96" s="189" t="str">
        <f>if(or(LOWER(B96)="name",LOWER(B96)="stock")=true,"Y","")</f>
        <v/>
      </c>
      <c r="S96" s="141"/>
      <c r="T96" s="141"/>
      <c r="U96" s="57"/>
      <c r="V96" s="57"/>
      <c r="W96" s="57"/>
      <c r="X96" s="57"/>
      <c r="Y96" s="57"/>
      <c r="Z96" s="57"/>
      <c r="AA96" s="57"/>
      <c r="AB96" s="57"/>
    </row>
    <row r="97">
      <c r="A97" s="185" t="str">
        <f t="shared" si="1"/>
        <v>20251020-1C3H</v>
      </c>
      <c r="B97" s="185" t="s">
        <v>2634</v>
      </c>
      <c r="C97" s="117"/>
      <c r="D97" s="186">
        <v>1.0</v>
      </c>
      <c r="E97" s="186" t="s">
        <v>2066</v>
      </c>
      <c r="F97" s="117"/>
      <c r="G97" s="189"/>
      <c r="H97" s="202">
        <v>45950.0</v>
      </c>
      <c r="I97" s="48"/>
      <c r="J97" s="189"/>
      <c r="K97" s="203">
        <v>45950.0</v>
      </c>
      <c r="L97" s="193" t="s">
        <v>38</v>
      </c>
      <c r="M97" s="194">
        <v>493502.0</v>
      </c>
      <c r="N97" s="195">
        <v>50.11</v>
      </c>
      <c r="O97" s="201">
        <v>633934.0</v>
      </c>
      <c r="P97" s="197"/>
      <c r="Q97" s="186" t="s">
        <v>2294</v>
      </c>
      <c r="R97" s="204" t="s">
        <v>43</v>
      </c>
      <c r="S97" s="141"/>
      <c r="T97" s="141"/>
      <c r="U97" s="57"/>
      <c r="V97" s="57"/>
      <c r="W97" s="57"/>
      <c r="X97" s="57"/>
      <c r="Y97" s="57"/>
      <c r="Z97" s="57"/>
      <c r="AA97" s="57"/>
      <c r="AB97" s="57"/>
    </row>
    <row r="98">
      <c r="A98" s="185" t="str">
        <f t="shared" si="1"/>
        <v>20251022-NJJ</v>
      </c>
      <c r="B98" s="185" t="s">
        <v>53</v>
      </c>
      <c r="C98" s="117"/>
      <c r="D98" s="186">
        <v>2.0</v>
      </c>
      <c r="E98" s="186" t="s">
        <v>2067</v>
      </c>
      <c r="F98" s="117"/>
      <c r="G98" s="189"/>
      <c r="H98" s="202">
        <v>45952.0</v>
      </c>
      <c r="I98" s="48"/>
      <c r="J98" s="189"/>
      <c r="K98" s="203">
        <v>45952.0</v>
      </c>
      <c r="L98" s="193" t="s">
        <v>38</v>
      </c>
      <c r="M98" s="194" t="s">
        <v>2635</v>
      </c>
      <c r="N98" s="195">
        <v>90.0</v>
      </c>
      <c r="O98" s="201" t="s">
        <v>2635</v>
      </c>
      <c r="P98" s="193" t="s">
        <v>2636</v>
      </c>
      <c r="Q98" s="117"/>
      <c r="R98" s="189" t="str">
        <f t="shared" ref="R98:R101" si="12">if(or(LOWER(B98)="name",LOWER(B98)="stock")=true,"Y","")</f>
        <v>Y</v>
      </c>
      <c r="S98" s="141"/>
      <c r="T98" s="141"/>
      <c r="U98" s="57"/>
      <c r="V98" s="57"/>
      <c r="W98" s="57"/>
      <c r="X98" s="57"/>
      <c r="Y98" s="57"/>
      <c r="Z98" s="57"/>
      <c r="AA98" s="57"/>
      <c r="AB98" s="57"/>
    </row>
    <row r="99">
      <c r="A99" s="185" t="str">
        <f t="shared" si="1"/>
        <v>20251022-Q5H</v>
      </c>
      <c r="B99" s="185" t="s">
        <v>53</v>
      </c>
      <c r="C99" s="117"/>
      <c r="D99" s="186">
        <v>2.0</v>
      </c>
      <c r="E99" s="186" t="s">
        <v>2054</v>
      </c>
      <c r="F99" s="117"/>
      <c r="G99" s="189"/>
      <c r="H99" s="202">
        <v>45952.0</v>
      </c>
      <c r="I99" s="48"/>
      <c r="J99" s="189"/>
      <c r="K99" s="203">
        <v>45952.0</v>
      </c>
      <c r="L99" s="193" t="s">
        <v>38</v>
      </c>
      <c r="M99" s="194" t="s">
        <v>2635</v>
      </c>
      <c r="N99" s="195">
        <v>90.0</v>
      </c>
      <c r="O99" s="201" t="s">
        <v>2635</v>
      </c>
      <c r="P99" s="193" t="s">
        <v>2636</v>
      </c>
      <c r="Q99" s="117"/>
      <c r="R99" s="189" t="str">
        <f t="shared" si="12"/>
        <v>Y</v>
      </c>
      <c r="S99" s="141"/>
      <c r="T99" s="141"/>
      <c r="U99" s="57"/>
      <c r="V99" s="57"/>
      <c r="W99" s="57"/>
      <c r="X99" s="57"/>
      <c r="Y99" s="57"/>
      <c r="Z99" s="57"/>
      <c r="AA99" s="57"/>
      <c r="AB99" s="57"/>
    </row>
    <row r="100">
      <c r="A100" s="185" t="str">
        <f t="shared" si="1"/>
        <v>20251022-JFK</v>
      </c>
      <c r="B100" s="185" t="s">
        <v>53</v>
      </c>
      <c r="C100" s="117"/>
      <c r="D100" s="186">
        <v>2.0</v>
      </c>
      <c r="E100" s="186" t="s">
        <v>2069</v>
      </c>
      <c r="F100" s="117"/>
      <c r="G100" s="189"/>
      <c r="H100" s="202">
        <v>45952.0</v>
      </c>
      <c r="I100" s="48"/>
      <c r="J100" s="189"/>
      <c r="K100" s="203">
        <v>45952.0</v>
      </c>
      <c r="L100" s="193" t="s">
        <v>38</v>
      </c>
      <c r="M100" s="194" t="s">
        <v>2635</v>
      </c>
      <c r="N100" s="195">
        <v>90.0</v>
      </c>
      <c r="O100" s="201" t="s">
        <v>2635</v>
      </c>
      <c r="P100" s="193" t="s">
        <v>2636</v>
      </c>
      <c r="Q100" s="117"/>
      <c r="R100" s="189" t="str">
        <f t="shared" si="12"/>
        <v>Y</v>
      </c>
      <c r="S100" s="141"/>
      <c r="T100" s="141"/>
      <c r="U100" s="57"/>
      <c r="V100" s="57"/>
      <c r="W100" s="57"/>
      <c r="X100" s="57"/>
      <c r="Y100" s="57"/>
      <c r="Z100" s="57"/>
      <c r="AA100" s="57"/>
      <c r="AB100" s="57"/>
    </row>
    <row r="101">
      <c r="A101" s="185" t="str">
        <f t="shared" si="1"/>
        <v>20251022-UBE</v>
      </c>
      <c r="B101" s="185" t="s">
        <v>53</v>
      </c>
      <c r="C101" s="117"/>
      <c r="D101" s="186">
        <v>2.0</v>
      </c>
      <c r="E101" s="186" t="s">
        <v>2070</v>
      </c>
      <c r="F101" s="117"/>
      <c r="G101" s="189"/>
      <c r="H101" s="202">
        <v>45952.0</v>
      </c>
      <c r="I101" s="48"/>
      <c r="J101" s="189"/>
      <c r="K101" s="203">
        <v>45952.0</v>
      </c>
      <c r="L101" s="193" t="s">
        <v>38</v>
      </c>
      <c r="M101" s="194" t="s">
        <v>2635</v>
      </c>
      <c r="N101" s="195">
        <v>90.0</v>
      </c>
      <c r="O101" s="201" t="s">
        <v>2635</v>
      </c>
      <c r="P101" s="193" t="s">
        <v>2636</v>
      </c>
      <c r="Q101" s="117"/>
      <c r="R101" s="189" t="str">
        <f t="shared" si="12"/>
        <v>Y</v>
      </c>
      <c r="S101" s="141"/>
      <c r="T101" s="141"/>
      <c r="U101" s="57"/>
      <c r="V101" s="57"/>
      <c r="W101" s="57"/>
      <c r="X101" s="57"/>
      <c r="Y101" s="57"/>
      <c r="Z101" s="57"/>
      <c r="AA101" s="57"/>
      <c r="AB101" s="57"/>
    </row>
    <row r="102">
      <c r="A102" s="185" t="str">
        <f t="shared" si="1"/>
        <v>20251022-1C0Y</v>
      </c>
      <c r="B102" s="185" t="s">
        <v>428</v>
      </c>
      <c r="C102" s="117"/>
      <c r="D102" s="186">
        <v>1.0</v>
      </c>
      <c r="E102" s="186" t="s">
        <v>471</v>
      </c>
      <c r="F102" s="117"/>
      <c r="G102" s="189"/>
      <c r="H102" s="202">
        <v>45952.0</v>
      </c>
      <c r="I102" s="48"/>
      <c r="J102" s="189"/>
      <c r="K102" s="203">
        <v>45952.0</v>
      </c>
      <c r="L102" s="193" t="s">
        <v>38</v>
      </c>
      <c r="M102" s="194" t="s">
        <v>2635</v>
      </c>
      <c r="N102" s="195">
        <v>125.0</v>
      </c>
      <c r="O102" s="201">
        <v>7403021.0</v>
      </c>
      <c r="P102" s="193" t="s">
        <v>2636</v>
      </c>
      <c r="Q102" s="186" t="s">
        <v>2294</v>
      </c>
      <c r="R102" s="204" t="s">
        <v>43</v>
      </c>
      <c r="S102" s="141"/>
      <c r="T102" s="141"/>
      <c r="U102" s="57"/>
      <c r="V102" s="57"/>
      <c r="W102" s="57"/>
      <c r="X102" s="57"/>
      <c r="Y102" s="57"/>
      <c r="Z102" s="57"/>
      <c r="AA102" s="57"/>
      <c r="AB102" s="57"/>
    </row>
    <row r="103">
      <c r="A103" s="185" t="str">
        <f t="shared" si="1"/>
        <v>20251117-VIW</v>
      </c>
      <c r="B103" s="185" t="s">
        <v>2638</v>
      </c>
      <c r="C103" s="186"/>
      <c r="D103" s="186">
        <v>1.0</v>
      </c>
      <c r="E103" s="186" t="s">
        <v>471</v>
      </c>
      <c r="F103" s="117"/>
      <c r="G103" s="204" t="s">
        <v>35</v>
      </c>
      <c r="H103" s="292">
        <v>45978.0</v>
      </c>
      <c r="I103" s="48"/>
      <c r="J103" s="204" t="s">
        <v>801</v>
      </c>
      <c r="K103" s="203">
        <v>45952.0</v>
      </c>
      <c r="L103" s="193" t="s">
        <v>38</v>
      </c>
      <c r="M103" s="194" t="s">
        <v>2635</v>
      </c>
      <c r="N103" s="195">
        <v>125.0</v>
      </c>
      <c r="O103" s="201">
        <v>7403021.0</v>
      </c>
      <c r="P103" s="193" t="s">
        <v>2636</v>
      </c>
      <c r="Q103" s="117"/>
      <c r="R103" s="189" t="str">
        <f t="shared" ref="R103:R122" si="13">if(or(LOWER(B103)="name",LOWER(B103)="stock")=true,"Y","")</f>
        <v/>
      </c>
      <c r="S103" s="141"/>
      <c r="T103" s="141"/>
      <c r="U103" s="57"/>
      <c r="V103" s="57"/>
      <c r="W103" s="57"/>
      <c r="X103" s="57"/>
      <c r="Y103" s="57"/>
      <c r="Z103" s="57"/>
      <c r="AA103" s="57"/>
      <c r="AB103" s="57"/>
    </row>
    <row r="104">
      <c r="A104" s="185" t="str">
        <f t="shared" si="1"/>
        <v>20251022-VCH</v>
      </c>
      <c r="B104" s="185" t="s">
        <v>53</v>
      </c>
      <c r="C104" s="117"/>
      <c r="D104" s="186">
        <v>1.0</v>
      </c>
      <c r="E104" s="186" t="s">
        <v>335</v>
      </c>
      <c r="F104" s="117"/>
      <c r="G104" s="189"/>
      <c r="H104" s="202">
        <v>45952.0</v>
      </c>
      <c r="I104" s="48"/>
      <c r="J104" s="189"/>
      <c r="K104" s="203">
        <v>45952.0</v>
      </c>
      <c r="L104" s="193" t="s">
        <v>38</v>
      </c>
      <c r="M104" s="194" t="s">
        <v>2635</v>
      </c>
      <c r="N104" s="195">
        <v>125.0</v>
      </c>
      <c r="O104" s="201">
        <v>7403021.0</v>
      </c>
      <c r="P104" s="193" t="s">
        <v>2636</v>
      </c>
      <c r="Q104" s="117"/>
      <c r="R104" s="189" t="str">
        <f t="shared" si="13"/>
        <v>Y</v>
      </c>
      <c r="S104" s="141"/>
      <c r="T104" s="141"/>
      <c r="U104" s="57"/>
      <c r="V104" s="57"/>
      <c r="W104" s="57"/>
      <c r="X104" s="57"/>
      <c r="Y104" s="57"/>
      <c r="Z104" s="57"/>
      <c r="AA104" s="57"/>
      <c r="AB104" s="57"/>
    </row>
    <row r="105">
      <c r="A105" s="185" t="str">
        <f t="shared" si="1"/>
        <v>20251022-VCH</v>
      </c>
      <c r="B105" s="185" t="s">
        <v>53</v>
      </c>
      <c r="C105" s="117"/>
      <c r="D105" s="186">
        <v>1.0</v>
      </c>
      <c r="E105" s="186" t="s">
        <v>335</v>
      </c>
      <c r="F105" s="117"/>
      <c r="G105" s="189"/>
      <c r="H105" s="202">
        <v>45952.0</v>
      </c>
      <c r="I105" s="48"/>
      <c r="J105" s="189"/>
      <c r="K105" s="203">
        <v>45952.0</v>
      </c>
      <c r="L105" s="193" t="s">
        <v>38</v>
      </c>
      <c r="M105" s="194" t="s">
        <v>2635</v>
      </c>
      <c r="N105" s="195">
        <v>125.0</v>
      </c>
      <c r="O105" s="201">
        <v>7403021.0</v>
      </c>
      <c r="P105" s="193" t="s">
        <v>2636</v>
      </c>
      <c r="Q105" s="117"/>
      <c r="R105" s="189" t="str">
        <f t="shared" si="13"/>
        <v>Y</v>
      </c>
      <c r="S105" s="141"/>
      <c r="T105" s="141"/>
      <c r="U105" s="57"/>
      <c r="V105" s="57"/>
      <c r="W105" s="57"/>
      <c r="X105" s="57"/>
      <c r="Y105" s="57"/>
      <c r="Z105" s="57"/>
      <c r="AA105" s="57"/>
      <c r="AB105" s="57"/>
    </row>
    <row r="106">
      <c r="A106" s="185" t="str">
        <f t="shared" si="1"/>
        <v>20251022-RT8</v>
      </c>
      <c r="B106" s="185" t="s">
        <v>53</v>
      </c>
      <c r="C106" s="117"/>
      <c r="D106" s="186">
        <v>2.0</v>
      </c>
      <c r="E106" s="186" t="s">
        <v>1894</v>
      </c>
      <c r="F106" s="186" t="s">
        <v>1262</v>
      </c>
      <c r="G106" s="189"/>
      <c r="H106" s="202">
        <v>45952.0</v>
      </c>
      <c r="I106" s="48"/>
      <c r="J106" s="189"/>
      <c r="K106" s="203">
        <v>45952.0</v>
      </c>
      <c r="L106" s="193" t="s">
        <v>38</v>
      </c>
      <c r="M106" s="194" t="s">
        <v>2635</v>
      </c>
      <c r="N106" s="195">
        <v>156.51</v>
      </c>
      <c r="O106" s="201">
        <v>635711.0</v>
      </c>
      <c r="P106" s="193" t="s">
        <v>2636</v>
      </c>
      <c r="Q106" s="117"/>
      <c r="R106" s="189" t="str">
        <f t="shared" si="13"/>
        <v>Y</v>
      </c>
      <c r="S106" s="141"/>
      <c r="T106" s="141"/>
      <c r="U106" s="57"/>
      <c r="V106" s="57"/>
      <c r="W106" s="57"/>
      <c r="X106" s="57"/>
      <c r="Y106" s="57"/>
      <c r="Z106" s="57"/>
      <c r="AA106" s="57"/>
      <c r="AB106" s="57"/>
    </row>
    <row r="107">
      <c r="A107" s="185" t="str">
        <f t="shared" si="1"/>
        <v>20251022-OAM</v>
      </c>
      <c r="B107" s="185" t="s">
        <v>53</v>
      </c>
      <c r="C107" s="117"/>
      <c r="D107" s="186">
        <v>1.0</v>
      </c>
      <c r="E107" s="186" t="s">
        <v>2019</v>
      </c>
      <c r="F107" s="186" t="s">
        <v>1262</v>
      </c>
      <c r="G107" s="189"/>
      <c r="H107" s="202">
        <v>45952.0</v>
      </c>
      <c r="I107" s="48"/>
      <c r="J107" s="189"/>
      <c r="K107" s="203">
        <v>45952.0</v>
      </c>
      <c r="L107" s="193" t="s">
        <v>38</v>
      </c>
      <c r="M107" s="194" t="s">
        <v>2635</v>
      </c>
      <c r="N107" s="195">
        <v>156.51</v>
      </c>
      <c r="O107" s="201">
        <v>635711.0</v>
      </c>
      <c r="P107" s="193" t="s">
        <v>2636</v>
      </c>
      <c r="Q107" s="117"/>
      <c r="R107" s="189" t="str">
        <f t="shared" si="13"/>
        <v>Y</v>
      </c>
      <c r="S107" s="141"/>
      <c r="T107" s="141"/>
      <c r="U107" s="57"/>
      <c r="V107" s="57"/>
      <c r="W107" s="57"/>
      <c r="X107" s="57"/>
      <c r="Y107" s="57"/>
      <c r="Z107" s="57"/>
      <c r="AA107" s="57"/>
      <c r="AB107" s="57"/>
    </row>
    <row r="108">
      <c r="A108" s="185" t="str">
        <f t="shared" si="1"/>
        <v>20251022-IUA</v>
      </c>
      <c r="B108" s="185" t="s">
        <v>53</v>
      </c>
      <c r="C108" s="117"/>
      <c r="D108" s="186">
        <v>1.0</v>
      </c>
      <c r="E108" s="186" t="s">
        <v>2071</v>
      </c>
      <c r="F108" s="186" t="s">
        <v>1268</v>
      </c>
      <c r="G108" s="189"/>
      <c r="H108" s="202">
        <v>45952.0</v>
      </c>
      <c r="I108" s="48"/>
      <c r="J108" s="189"/>
      <c r="K108" s="203">
        <v>45952.0</v>
      </c>
      <c r="L108" s="193" t="s">
        <v>38</v>
      </c>
      <c r="M108" s="194" t="s">
        <v>2635</v>
      </c>
      <c r="N108" s="195">
        <v>119.99</v>
      </c>
      <c r="O108" s="201">
        <v>635711.0</v>
      </c>
      <c r="P108" s="193" t="s">
        <v>2636</v>
      </c>
      <c r="Q108" s="117"/>
      <c r="R108" s="189" t="str">
        <f t="shared" si="13"/>
        <v>Y</v>
      </c>
      <c r="S108" s="141"/>
      <c r="T108" s="141"/>
      <c r="U108" s="57"/>
      <c r="V108" s="57"/>
      <c r="W108" s="57"/>
      <c r="X108" s="57"/>
      <c r="Y108" s="57"/>
      <c r="Z108" s="57"/>
      <c r="AA108" s="57"/>
      <c r="AB108" s="57"/>
    </row>
    <row r="109">
      <c r="A109" s="185" t="str">
        <f t="shared" si="1"/>
        <v>20251022-10BU</v>
      </c>
      <c r="B109" s="185" t="s">
        <v>53</v>
      </c>
      <c r="C109" s="117"/>
      <c r="D109" s="186">
        <v>4.0</v>
      </c>
      <c r="E109" s="186" t="s">
        <v>2072</v>
      </c>
      <c r="F109" s="186" t="s">
        <v>1268</v>
      </c>
      <c r="G109" s="189"/>
      <c r="H109" s="202">
        <v>45952.0</v>
      </c>
      <c r="I109" s="48"/>
      <c r="J109" s="189"/>
      <c r="K109" s="203">
        <v>45952.0</v>
      </c>
      <c r="L109" s="193" t="s">
        <v>38</v>
      </c>
      <c r="M109" s="194" t="s">
        <v>2635</v>
      </c>
      <c r="N109" s="195">
        <v>132.15</v>
      </c>
      <c r="O109" s="201">
        <v>635711.0</v>
      </c>
      <c r="P109" s="193" t="s">
        <v>2636</v>
      </c>
      <c r="Q109" s="117"/>
      <c r="R109" s="189" t="str">
        <f t="shared" si="13"/>
        <v>Y</v>
      </c>
      <c r="S109" s="141"/>
      <c r="T109" s="141"/>
      <c r="U109" s="57"/>
      <c r="V109" s="57"/>
      <c r="W109" s="57"/>
      <c r="X109" s="57"/>
      <c r="Y109" s="57"/>
      <c r="Z109" s="57"/>
      <c r="AA109" s="57"/>
      <c r="AB109" s="57"/>
    </row>
    <row r="110">
      <c r="A110" s="185" t="str">
        <f t="shared" si="1"/>
        <v>20251022-1ICJ</v>
      </c>
      <c r="B110" s="185" t="s">
        <v>53</v>
      </c>
      <c r="C110" s="117"/>
      <c r="D110" s="186">
        <v>3.0</v>
      </c>
      <c r="E110" s="186" t="s">
        <v>2073</v>
      </c>
      <c r="F110" s="117"/>
      <c r="G110" s="189"/>
      <c r="H110" s="202">
        <v>45952.0</v>
      </c>
      <c r="I110" s="48"/>
      <c r="J110" s="189"/>
      <c r="K110" s="203">
        <v>45952.0</v>
      </c>
      <c r="L110" s="193" t="s">
        <v>38</v>
      </c>
      <c r="M110" s="194" t="s">
        <v>2635</v>
      </c>
      <c r="N110" s="195">
        <v>91.2</v>
      </c>
      <c r="O110" s="201">
        <v>635711.0</v>
      </c>
      <c r="P110" s="193" t="s">
        <v>2636</v>
      </c>
      <c r="Q110" s="117"/>
      <c r="R110" s="189" t="str">
        <f t="shared" si="13"/>
        <v>Y</v>
      </c>
      <c r="S110" s="141"/>
      <c r="T110" s="141"/>
      <c r="U110" s="57"/>
      <c r="V110" s="57"/>
      <c r="W110" s="57"/>
      <c r="X110" s="57"/>
      <c r="Y110" s="57"/>
      <c r="Z110" s="57"/>
      <c r="AA110" s="57"/>
      <c r="AB110" s="57"/>
    </row>
    <row r="111">
      <c r="A111" s="185" t="str">
        <f t="shared" si="1"/>
        <v>20251022-1IUN</v>
      </c>
      <c r="B111" s="185" t="s">
        <v>53</v>
      </c>
      <c r="C111" s="117"/>
      <c r="D111" s="186">
        <v>1.0</v>
      </c>
      <c r="E111" s="186" t="s">
        <v>2074</v>
      </c>
      <c r="F111" s="117"/>
      <c r="G111" s="189"/>
      <c r="H111" s="202">
        <v>45952.0</v>
      </c>
      <c r="I111" s="48"/>
      <c r="J111" s="189"/>
      <c r="K111" s="203">
        <v>45952.0</v>
      </c>
      <c r="L111" s="193" t="s">
        <v>38</v>
      </c>
      <c r="M111" s="194" t="s">
        <v>2635</v>
      </c>
      <c r="N111" s="195">
        <v>91.2</v>
      </c>
      <c r="O111" s="201">
        <v>635711.0</v>
      </c>
      <c r="P111" s="193" t="s">
        <v>2636</v>
      </c>
      <c r="Q111" s="117"/>
      <c r="R111" s="189" t="str">
        <f t="shared" si="13"/>
        <v>Y</v>
      </c>
      <c r="S111" s="141"/>
      <c r="T111" s="141"/>
      <c r="U111" s="57"/>
      <c r="V111" s="57"/>
      <c r="W111" s="57"/>
      <c r="X111" s="57"/>
      <c r="Y111" s="57"/>
      <c r="Z111" s="57"/>
      <c r="AA111" s="57"/>
      <c r="AB111" s="57"/>
    </row>
    <row r="112">
      <c r="A112" s="185" t="str">
        <f t="shared" si="1"/>
        <v>20251022-JEW</v>
      </c>
      <c r="B112" s="185" t="s">
        <v>53</v>
      </c>
      <c r="C112" s="117"/>
      <c r="D112" s="186">
        <v>2.0</v>
      </c>
      <c r="E112" s="186" t="s">
        <v>1165</v>
      </c>
      <c r="F112" s="117"/>
      <c r="G112" s="189"/>
      <c r="H112" s="202">
        <v>45952.0</v>
      </c>
      <c r="I112" s="48"/>
      <c r="J112" s="189"/>
      <c r="K112" s="203">
        <v>45952.0</v>
      </c>
      <c r="L112" s="193" t="s">
        <v>38</v>
      </c>
      <c r="M112" s="194" t="s">
        <v>2635</v>
      </c>
      <c r="N112" s="195">
        <v>4.47</v>
      </c>
      <c r="O112" s="201">
        <v>637895.0</v>
      </c>
      <c r="P112" s="193" t="s">
        <v>2636</v>
      </c>
      <c r="Q112" s="117"/>
      <c r="R112" s="189" t="str">
        <f t="shared" si="13"/>
        <v>Y</v>
      </c>
      <c r="S112" s="141"/>
      <c r="T112" s="141"/>
      <c r="U112" s="57"/>
      <c r="V112" s="57"/>
      <c r="W112" s="57"/>
      <c r="X112" s="57"/>
      <c r="Y112" s="57"/>
      <c r="Z112" s="57"/>
      <c r="AA112" s="57"/>
      <c r="AB112" s="57"/>
    </row>
    <row r="113">
      <c r="A113" s="185" t="str">
        <f t="shared" si="1"/>
        <v>20251022-13FC</v>
      </c>
      <c r="B113" s="185" t="s">
        <v>53</v>
      </c>
      <c r="C113" s="117"/>
      <c r="D113" s="186">
        <v>5.0</v>
      </c>
      <c r="E113" s="186" t="s">
        <v>2075</v>
      </c>
      <c r="F113" s="117"/>
      <c r="G113" s="189"/>
      <c r="H113" s="202">
        <v>45952.0</v>
      </c>
      <c r="I113" s="48"/>
      <c r="J113" s="189"/>
      <c r="K113" s="203">
        <v>45952.0</v>
      </c>
      <c r="L113" s="193" t="s">
        <v>38</v>
      </c>
      <c r="M113" s="194" t="s">
        <v>2635</v>
      </c>
      <c r="N113" s="195">
        <v>5.94</v>
      </c>
      <c r="O113" s="201">
        <v>635711.0</v>
      </c>
      <c r="P113" s="193" t="s">
        <v>2636</v>
      </c>
      <c r="Q113" s="117"/>
      <c r="R113" s="189" t="str">
        <f t="shared" si="13"/>
        <v>Y</v>
      </c>
      <c r="S113" s="141"/>
      <c r="T113" s="141"/>
      <c r="U113" s="57"/>
      <c r="V113" s="57"/>
      <c r="W113" s="57"/>
      <c r="X113" s="57"/>
      <c r="Y113" s="57"/>
      <c r="Z113" s="57"/>
      <c r="AA113" s="57"/>
      <c r="AB113" s="57"/>
    </row>
    <row r="114">
      <c r="A114" s="185" t="str">
        <f t="shared" si="1"/>
        <v>20251022-SFU</v>
      </c>
      <c r="B114" s="185" t="s">
        <v>53</v>
      </c>
      <c r="C114" s="117"/>
      <c r="D114" s="186">
        <v>10.0</v>
      </c>
      <c r="E114" s="186" t="s">
        <v>2076</v>
      </c>
      <c r="F114" s="117"/>
      <c r="G114" s="189"/>
      <c r="H114" s="202">
        <v>45952.0</v>
      </c>
      <c r="I114" s="48"/>
      <c r="J114" s="189"/>
      <c r="K114" s="203">
        <v>45952.0</v>
      </c>
      <c r="L114" s="193" t="s">
        <v>38</v>
      </c>
      <c r="M114" s="194" t="s">
        <v>2635</v>
      </c>
      <c r="N114" s="195">
        <v>7.46</v>
      </c>
      <c r="O114" s="201">
        <v>635711.0</v>
      </c>
      <c r="P114" s="193" t="s">
        <v>2636</v>
      </c>
      <c r="Q114" s="117"/>
      <c r="R114" s="189" t="str">
        <f t="shared" si="13"/>
        <v>Y</v>
      </c>
      <c r="S114" s="141"/>
      <c r="T114" s="141"/>
      <c r="U114" s="57"/>
      <c r="V114" s="57"/>
      <c r="W114" s="57"/>
      <c r="X114" s="57"/>
      <c r="Y114" s="57"/>
      <c r="Z114" s="57"/>
      <c r="AA114" s="57"/>
      <c r="AB114" s="57"/>
    </row>
    <row r="115">
      <c r="A115" s="185" t="str">
        <f t="shared" si="1"/>
        <v>20251022-IRO</v>
      </c>
      <c r="B115" s="185" t="s">
        <v>53</v>
      </c>
      <c r="C115" s="117"/>
      <c r="D115" s="186">
        <v>12.0</v>
      </c>
      <c r="E115" s="186" t="s">
        <v>2077</v>
      </c>
      <c r="F115" s="117"/>
      <c r="G115" s="189"/>
      <c r="H115" s="202">
        <v>45952.0</v>
      </c>
      <c r="I115" s="48"/>
      <c r="J115" s="189"/>
      <c r="K115" s="203">
        <v>45952.0</v>
      </c>
      <c r="L115" s="193" t="s">
        <v>38</v>
      </c>
      <c r="M115" s="194" t="s">
        <v>2635</v>
      </c>
      <c r="N115" s="195">
        <v>1.52</v>
      </c>
      <c r="O115" s="201" t="s">
        <v>2639</v>
      </c>
      <c r="P115" s="193" t="s">
        <v>2640</v>
      </c>
      <c r="Q115" s="117"/>
      <c r="R115" s="189" t="str">
        <f t="shared" si="13"/>
        <v>Y</v>
      </c>
      <c r="S115" s="141"/>
      <c r="T115" s="141"/>
      <c r="U115" s="57"/>
      <c r="V115" s="57"/>
      <c r="W115" s="57"/>
      <c r="X115" s="57"/>
      <c r="Y115" s="57"/>
      <c r="Z115" s="57"/>
      <c r="AA115" s="57"/>
      <c r="AB115" s="57"/>
    </row>
    <row r="116">
      <c r="A116" s="185" t="str">
        <f t="shared" si="1"/>
        <v>20251022-JN1</v>
      </c>
      <c r="B116" s="185" t="s">
        <v>53</v>
      </c>
      <c r="C116" s="117"/>
      <c r="D116" s="186">
        <v>5.0</v>
      </c>
      <c r="E116" s="186" t="s">
        <v>968</v>
      </c>
      <c r="F116" s="117"/>
      <c r="G116" s="189"/>
      <c r="H116" s="202">
        <v>45952.0</v>
      </c>
      <c r="I116" s="48"/>
      <c r="J116" s="189"/>
      <c r="K116" s="203">
        <v>45952.0</v>
      </c>
      <c r="L116" s="193" t="s">
        <v>38</v>
      </c>
      <c r="M116" s="194" t="s">
        <v>2635</v>
      </c>
      <c r="N116" s="195">
        <v>6.03</v>
      </c>
      <c r="O116" s="201">
        <v>637895.0</v>
      </c>
      <c r="P116" s="193" t="s">
        <v>2636</v>
      </c>
      <c r="Q116" s="117"/>
      <c r="R116" s="189" t="str">
        <f t="shared" si="13"/>
        <v>Y</v>
      </c>
      <c r="S116" s="141"/>
      <c r="T116" s="141"/>
      <c r="U116" s="57"/>
      <c r="V116" s="57"/>
      <c r="W116" s="57"/>
      <c r="X116" s="57"/>
      <c r="Y116" s="57"/>
      <c r="Z116" s="57"/>
      <c r="AA116" s="57"/>
      <c r="AB116" s="57"/>
    </row>
    <row r="117">
      <c r="A117" s="185" t="str">
        <f t="shared" si="1"/>
        <v>20251023-JZK</v>
      </c>
      <c r="B117" s="185" t="s">
        <v>53</v>
      </c>
      <c r="C117" s="117"/>
      <c r="D117" s="186">
        <v>1.0</v>
      </c>
      <c r="E117" s="186" t="s">
        <v>2079</v>
      </c>
      <c r="F117" s="117"/>
      <c r="G117" s="189"/>
      <c r="H117" s="202">
        <v>45953.0</v>
      </c>
      <c r="I117" s="48"/>
      <c r="J117" s="189"/>
      <c r="K117" s="203">
        <v>45953.0</v>
      </c>
      <c r="L117" s="193" t="s">
        <v>38</v>
      </c>
      <c r="M117" s="194">
        <v>494203.0</v>
      </c>
      <c r="N117" s="195">
        <v>50.11</v>
      </c>
      <c r="O117" s="201">
        <v>634879.0</v>
      </c>
      <c r="P117" s="197"/>
      <c r="Q117" s="186" t="s">
        <v>2294</v>
      </c>
      <c r="R117" s="189" t="str">
        <f t="shared" si="13"/>
        <v>Y</v>
      </c>
      <c r="S117" s="141"/>
      <c r="T117" s="141"/>
      <c r="U117" s="57"/>
      <c r="V117" s="57"/>
      <c r="W117" s="57"/>
      <c r="X117" s="57"/>
      <c r="Y117" s="57"/>
      <c r="Z117" s="57"/>
      <c r="AA117" s="57"/>
      <c r="AB117" s="57"/>
    </row>
    <row r="118">
      <c r="A118" s="185" t="str">
        <f t="shared" si="1"/>
        <v>20251023-GKY</v>
      </c>
      <c r="B118" s="185" t="s">
        <v>53</v>
      </c>
      <c r="C118" s="117"/>
      <c r="D118" s="186">
        <v>1.0</v>
      </c>
      <c r="E118" s="186" t="s">
        <v>2080</v>
      </c>
      <c r="F118" s="186" t="s">
        <v>41</v>
      </c>
      <c r="G118" s="189"/>
      <c r="H118" s="202">
        <v>45953.0</v>
      </c>
      <c r="I118" s="48"/>
      <c r="J118" s="189"/>
      <c r="K118" s="203">
        <v>45953.0</v>
      </c>
      <c r="L118" s="193" t="s">
        <v>38</v>
      </c>
      <c r="M118" s="194">
        <v>494203.0</v>
      </c>
      <c r="N118" s="195">
        <v>42.47</v>
      </c>
      <c r="O118" s="201">
        <v>634879.0</v>
      </c>
      <c r="P118" s="197"/>
      <c r="Q118" s="117"/>
      <c r="R118" s="189" t="str">
        <f t="shared" si="13"/>
        <v>Y</v>
      </c>
      <c r="S118" s="141"/>
      <c r="T118" s="141"/>
      <c r="U118" s="57"/>
      <c r="V118" s="57"/>
      <c r="W118" s="57"/>
      <c r="X118" s="57"/>
      <c r="Y118" s="57"/>
      <c r="Z118" s="57"/>
      <c r="AA118" s="57"/>
      <c r="AB118" s="57"/>
    </row>
    <row r="119">
      <c r="A119" s="185" t="str">
        <f t="shared" si="1"/>
        <v>20251023-GLL</v>
      </c>
      <c r="B119" s="185" t="s">
        <v>53</v>
      </c>
      <c r="C119" s="117"/>
      <c r="D119" s="186">
        <v>1.0</v>
      </c>
      <c r="E119" s="186" t="s">
        <v>2081</v>
      </c>
      <c r="F119" s="186" t="s">
        <v>41</v>
      </c>
      <c r="G119" s="189"/>
      <c r="H119" s="202">
        <v>45953.0</v>
      </c>
      <c r="I119" s="48"/>
      <c r="J119" s="189"/>
      <c r="K119" s="203">
        <v>45953.0</v>
      </c>
      <c r="L119" s="193" t="s">
        <v>38</v>
      </c>
      <c r="M119" s="194">
        <v>494203.0</v>
      </c>
      <c r="N119" s="195">
        <v>42.47</v>
      </c>
      <c r="O119" s="201">
        <v>634879.0</v>
      </c>
      <c r="P119" s="197"/>
      <c r="Q119" s="117"/>
      <c r="R119" s="189" t="str">
        <f t="shared" si="13"/>
        <v>Y</v>
      </c>
      <c r="S119" s="141"/>
      <c r="T119" s="141"/>
      <c r="U119" s="57"/>
      <c r="V119" s="57"/>
      <c r="W119" s="57"/>
      <c r="X119" s="57"/>
      <c r="Y119" s="57"/>
      <c r="Z119" s="57"/>
      <c r="AA119" s="57"/>
      <c r="AB119" s="57"/>
    </row>
    <row r="120">
      <c r="A120" s="185" t="str">
        <f t="shared" si="1"/>
        <v>20251023-GKY</v>
      </c>
      <c r="B120" s="185" t="s">
        <v>53</v>
      </c>
      <c r="C120" s="117"/>
      <c r="D120" s="186">
        <v>1.0</v>
      </c>
      <c r="E120" s="186" t="s">
        <v>2080</v>
      </c>
      <c r="F120" s="186" t="s">
        <v>35</v>
      </c>
      <c r="G120" s="189"/>
      <c r="H120" s="202">
        <v>45953.0</v>
      </c>
      <c r="I120" s="48"/>
      <c r="J120" s="189"/>
      <c r="K120" s="203">
        <v>45953.0</v>
      </c>
      <c r="L120" s="193" t="s">
        <v>38</v>
      </c>
      <c r="M120" s="194">
        <v>494203.0</v>
      </c>
      <c r="N120" s="195">
        <v>42.47</v>
      </c>
      <c r="O120" s="201">
        <v>634879.0</v>
      </c>
      <c r="P120" s="197"/>
      <c r="Q120" s="117"/>
      <c r="R120" s="189" t="str">
        <f t="shared" si="13"/>
        <v>Y</v>
      </c>
      <c r="S120" s="141"/>
      <c r="T120" s="141"/>
      <c r="U120" s="57"/>
      <c r="V120" s="57"/>
      <c r="W120" s="57"/>
      <c r="X120" s="57"/>
      <c r="Y120" s="57"/>
      <c r="Z120" s="57"/>
      <c r="AA120" s="57"/>
      <c r="AB120" s="57"/>
    </row>
    <row r="121">
      <c r="A121" s="185" t="str">
        <f t="shared" si="1"/>
        <v>20251023-7ZB</v>
      </c>
      <c r="B121" s="185" t="s">
        <v>53</v>
      </c>
      <c r="C121" s="117"/>
      <c r="D121" s="186">
        <v>10.0</v>
      </c>
      <c r="E121" s="186" t="s">
        <v>2082</v>
      </c>
      <c r="F121" s="117"/>
      <c r="G121" s="189"/>
      <c r="H121" s="202">
        <v>45953.0</v>
      </c>
      <c r="I121" s="48"/>
      <c r="J121" s="189"/>
      <c r="K121" s="203">
        <v>45953.0</v>
      </c>
      <c r="L121" s="193" t="s">
        <v>38</v>
      </c>
      <c r="M121" s="194">
        <v>494203.0</v>
      </c>
      <c r="N121" s="195">
        <v>1.0</v>
      </c>
      <c r="O121" s="201">
        <v>634879.0</v>
      </c>
      <c r="P121" s="197"/>
      <c r="Q121" s="117"/>
      <c r="R121" s="189" t="str">
        <f t="shared" si="13"/>
        <v>Y</v>
      </c>
      <c r="S121" s="141"/>
      <c r="T121" s="141"/>
      <c r="U121" s="57"/>
      <c r="V121" s="57"/>
      <c r="W121" s="57"/>
      <c r="X121" s="57"/>
      <c r="Y121" s="57"/>
      <c r="Z121" s="57"/>
      <c r="AA121" s="57"/>
      <c r="AB121" s="57"/>
    </row>
    <row r="122">
      <c r="A122" s="185" t="str">
        <f t="shared" si="1"/>
        <v>20251023-AX4</v>
      </c>
      <c r="B122" s="185" t="s">
        <v>53</v>
      </c>
      <c r="C122" s="117"/>
      <c r="D122" s="186">
        <v>3.0</v>
      </c>
      <c r="E122" s="186" t="s">
        <v>2084</v>
      </c>
      <c r="F122" s="117"/>
      <c r="G122" s="189"/>
      <c r="H122" s="202">
        <v>45953.0</v>
      </c>
      <c r="I122" s="48"/>
      <c r="J122" s="189"/>
      <c r="K122" s="203">
        <v>45953.0</v>
      </c>
      <c r="L122" s="193" t="s">
        <v>38</v>
      </c>
      <c r="M122" s="194">
        <v>494203.0</v>
      </c>
      <c r="N122" s="195">
        <v>1.19</v>
      </c>
      <c r="O122" s="201">
        <v>634879.0</v>
      </c>
      <c r="P122" s="197"/>
      <c r="Q122" s="117"/>
      <c r="R122" s="189" t="str">
        <f t="shared" si="13"/>
        <v>Y</v>
      </c>
      <c r="S122" s="141"/>
      <c r="T122" s="141"/>
      <c r="U122" s="57"/>
      <c r="V122" s="57"/>
      <c r="W122" s="57"/>
      <c r="X122" s="57"/>
      <c r="Y122" s="57"/>
      <c r="Z122" s="57"/>
      <c r="AA122" s="57"/>
      <c r="AB122" s="57"/>
    </row>
    <row r="123">
      <c r="A123" s="185" t="str">
        <f t="shared" si="1"/>
        <v>20251023-144Y</v>
      </c>
      <c r="B123" s="185" t="s">
        <v>137</v>
      </c>
      <c r="C123" s="117"/>
      <c r="D123" s="186">
        <v>1.0</v>
      </c>
      <c r="E123" s="186" t="s">
        <v>2085</v>
      </c>
      <c r="F123" s="117"/>
      <c r="G123" s="189"/>
      <c r="H123" s="202">
        <v>45953.0</v>
      </c>
      <c r="I123" s="48"/>
      <c r="J123" s="189"/>
      <c r="K123" s="203">
        <v>45953.0</v>
      </c>
      <c r="L123" s="193" t="s">
        <v>38</v>
      </c>
      <c r="M123" s="194">
        <v>494203.0</v>
      </c>
      <c r="N123" s="195">
        <v>159.46</v>
      </c>
      <c r="O123" s="201">
        <v>634879.0</v>
      </c>
      <c r="P123" s="197"/>
      <c r="Q123" s="186" t="s">
        <v>2294</v>
      </c>
      <c r="R123" s="204" t="s">
        <v>43</v>
      </c>
      <c r="S123" s="141"/>
      <c r="T123" s="141"/>
      <c r="U123" s="57"/>
      <c r="V123" s="57"/>
      <c r="W123" s="57"/>
      <c r="X123" s="57"/>
      <c r="Y123" s="57"/>
      <c r="Z123" s="57"/>
      <c r="AA123" s="57"/>
      <c r="AB123" s="57"/>
    </row>
    <row r="124">
      <c r="A124" s="185" t="str">
        <f t="shared" si="1"/>
        <v>20251023-RKR</v>
      </c>
      <c r="B124" s="185" t="s">
        <v>53</v>
      </c>
      <c r="C124" s="117"/>
      <c r="D124" s="186">
        <v>1.0</v>
      </c>
      <c r="E124" s="186" t="s">
        <v>1068</v>
      </c>
      <c r="F124" s="186" t="s">
        <v>35</v>
      </c>
      <c r="G124" s="189"/>
      <c r="H124" s="202">
        <v>45953.0</v>
      </c>
      <c r="I124" s="48"/>
      <c r="J124" s="189"/>
      <c r="K124" s="203">
        <v>45953.0</v>
      </c>
      <c r="L124" s="193" t="s">
        <v>38</v>
      </c>
      <c r="M124" s="194">
        <v>494203.0</v>
      </c>
      <c r="N124" s="195">
        <v>95.62</v>
      </c>
      <c r="O124" s="201">
        <v>634879.0</v>
      </c>
      <c r="P124" s="197"/>
      <c r="Q124" s="117"/>
      <c r="R124" s="189" t="str">
        <f>if(or(LOWER(B124)="name",LOWER(B124)="stock")=true,"Y","")</f>
        <v>Y</v>
      </c>
      <c r="S124" s="141"/>
      <c r="T124" s="141"/>
      <c r="U124" s="57"/>
      <c r="V124" s="57"/>
      <c r="W124" s="57"/>
      <c r="X124" s="57"/>
      <c r="Y124" s="57"/>
      <c r="Z124" s="57"/>
      <c r="AA124" s="57"/>
      <c r="AB124" s="57"/>
    </row>
    <row r="125">
      <c r="A125" s="185" t="str">
        <f t="shared" si="1"/>
        <v>20251023-25QQ</v>
      </c>
      <c r="B125" s="185" t="s">
        <v>2643</v>
      </c>
      <c r="C125" s="186" t="s">
        <v>2644</v>
      </c>
      <c r="D125" s="186">
        <v>1.0</v>
      </c>
      <c r="E125" s="186" t="s">
        <v>2086</v>
      </c>
      <c r="F125" s="186" t="s">
        <v>35</v>
      </c>
      <c r="G125" s="189"/>
      <c r="H125" s="202">
        <v>45953.0</v>
      </c>
      <c r="I125" s="48"/>
      <c r="J125" s="189"/>
      <c r="K125" s="203">
        <v>45953.0</v>
      </c>
      <c r="L125" s="193" t="s">
        <v>38</v>
      </c>
      <c r="M125" s="194">
        <v>494203.0</v>
      </c>
      <c r="N125" s="195">
        <v>38.95</v>
      </c>
      <c r="O125" s="201">
        <v>634879.0</v>
      </c>
      <c r="P125" s="197"/>
      <c r="Q125" s="186" t="s">
        <v>2294</v>
      </c>
      <c r="R125" s="204" t="s">
        <v>43</v>
      </c>
      <c r="S125" s="141"/>
      <c r="T125" s="141"/>
      <c r="U125" s="57"/>
      <c r="V125" s="57"/>
      <c r="W125" s="57"/>
      <c r="X125" s="57"/>
      <c r="Y125" s="57"/>
      <c r="Z125" s="57"/>
      <c r="AA125" s="57"/>
      <c r="AB125" s="57"/>
    </row>
    <row r="126">
      <c r="A126" s="185" t="str">
        <f t="shared" si="1"/>
        <v>20251023-1TG8</v>
      </c>
      <c r="B126" s="185" t="s">
        <v>2645</v>
      </c>
      <c r="C126" s="186" t="s">
        <v>2646</v>
      </c>
      <c r="D126" s="186">
        <v>1.0</v>
      </c>
      <c r="E126" s="186" t="s">
        <v>2087</v>
      </c>
      <c r="F126" s="186" t="s">
        <v>35</v>
      </c>
      <c r="G126" s="189"/>
      <c r="H126" s="202">
        <v>45953.0</v>
      </c>
      <c r="I126" s="48"/>
      <c r="J126" s="189"/>
      <c r="K126" s="203">
        <v>45953.0</v>
      </c>
      <c r="L126" s="193" t="s">
        <v>38</v>
      </c>
      <c r="M126" s="194">
        <v>494203.0</v>
      </c>
      <c r="N126" s="195">
        <v>50.11</v>
      </c>
      <c r="O126" s="201">
        <v>634879.0</v>
      </c>
      <c r="P126" s="197"/>
      <c r="Q126" s="186" t="s">
        <v>2294</v>
      </c>
      <c r="R126" s="204" t="s">
        <v>43</v>
      </c>
      <c r="S126" s="141"/>
      <c r="T126" s="141"/>
      <c r="U126" s="57"/>
      <c r="V126" s="57"/>
      <c r="W126" s="57"/>
      <c r="X126" s="57"/>
      <c r="Y126" s="57"/>
      <c r="Z126" s="57"/>
      <c r="AA126" s="57"/>
      <c r="AB126" s="57"/>
    </row>
    <row r="127">
      <c r="A127" s="185" t="str">
        <f t="shared" si="1"/>
        <v>20251027-1TKV</v>
      </c>
      <c r="B127" s="185" t="s">
        <v>2649</v>
      </c>
      <c r="C127" s="117"/>
      <c r="D127" s="186">
        <v>1.0</v>
      </c>
      <c r="E127" s="186" t="s">
        <v>2088</v>
      </c>
      <c r="F127" s="117"/>
      <c r="G127" s="189"/>
      <c r="H127" s="202">
        <v>45957.0</v>
      </c>
      <c r="I127" s="48"/>
      <c r="J127" s="189"/>
      <c r="K127" s="203">
        <v>45957.0</v>
      </c>
      <c r="L127" s="193" t="s">
        <v>38</v>
      </c>
      <c r="M127" s="194">
        <v>494909.0</v>
      </c>
      <c r="N127" s="195">
        <v>163.4</v>
      </c>
      <c r="O127" s="201">
        <v>635809.0</v>
      </c>
      <c r="P127" s="197"/>
      <c r="Q127" s="186" t="s">
        <v>2294</v>
      </c>
      <c r="R127" s="204" t="s">
        <v>43</v>
      </c>
      <c r="S127" s="141"/>
      <c r="T127" s="141"/>
      <c r="U127" s="57"/>
      <c r="V127" s="57"/>
      <c r="W127" s="57"/>
      <c r="X127" s="57"/>
      <c r="Y127" s="57"/>
      <c r="Z127" s="57"/>
      <c r="AA127" s="57"/>
      <c r="AB127" s="57"/>
    </row>
    <row r="128">
      <c r="A128" s="185" t="str">
        <f t="shared" si="1"/>
        <v>20251027-18NV</v>
      </c>
      <c r="B128" s="185" t="s">
        <v>1120</v>
      </c>
      <c r="C128" s="117"/>
      <c r="D128" s="186">
        <v>1.0</v>
      </c>
      <c r="E128" s="186" t="s">
        <v>2089</v>
      </c>
      <c r="F128" s="117"/>
      <c r="G128" s="189"/>
      <c r="H128" s="202">
        <v>45957.0</v>
      </c>
      <c r="I128" s="48"/>
      <c r="J128" s="189"/>
      <c r="K128" s="203">
        <v>45957.0</v>
      </c>
      <c r="L128" s="193" t="s">
        <v>38</v>
      </c>
      <c r="M128" s="194">
        <v>494909.0</v>
      </c>
      <c r="N128" s="195">
        <v>130.63</v>
      </c>
      <c r="O128" s="201">
        <v>635809.0</v>
      </c>
      <c r="P128" s="197"/>
      <c r="Q128" s="186" t="s">
        <v>2294</v>
      </c>
      <c r="R128" s="204" t="s">
        <v>43</v>
      </c>
      <c r="S128" s="141"/>
      <c r="T128" s="141"/>
      <c r="U128" s="57"/>
      <c r="V128" s="57"/>
      <c r="W128" s="57"/>
      <c r="X128" s="57"/>
      <c r="Y128" s="57"/>
      <c r="Z128" s="57"/>
      <c r="AA128" s="57"/>
      <c r="AB128" s="57"/>
    </row>
    <row r="129">
      <c r="A129" s="185" t="str">
        <f t="shared" si="1"/>
        <v>20251027-1WSI</v>
      </c>
      <c r="B129" s="185" t="s">
        <v>459</v>
      </c>
      <c r="C129" s="117"/>
      <c r="D129" s="186">
        <v>2.0</v>
      </c>
      <c r="E129" s="186" t="s">
        <v>2090</v>
      </c>
      <c r="F129" s="117"/>
      <c r="G129" s="189"/>
      <c r="H129" s="202">
        <v>45957.0</v>
      </c>
      <c r="I129" s="48"/>
      <c r="J129" s="189"/>
      <c r="K129" s="203">
        <v>45957.0</v>
      </c>
      <c r="L129" s="193" t="s">
        <v>38</v>
      </c>
      <c r="M129" s="194">
        <v>494909.0</v>
      </c>
      <c r="N129" s="195">
        <v>8.84</v>
      </c>
      <c r="O129" s="201">
        <v>635809.0</v>
      </c>
      <c r="P129" s="197"/>
      <c r="Q129" s="186" t="s">
        <v>2294</v>
      </c>
      <c r="R129" s="204" t="s">
        <v>43</v>
      </c>
      <c r="S129" s="141"/>
      <c r="T129" s="141"/>
      <c r="U129" s="57"/>
      <c r="V129" s="57"/>
      <c r="W129" s="57"/>
      <c r="X129" s="57"/>
      <c r="Y129" s="57"/>
      <c r="Z129" s="57"/>
      <c r="AA129" s="57"/>
      <c r="AB129" s="57"/>
    </row>
    <row r="130">
      <c r="A130" s="185" t="str">
        <f t="shared" si="1"/>
        <v>20251027-GBZ</v>
      </c>
      <c r="B130" s="185" t="s">
        <v>53</v>
      </c>
      <c r="C130" s="117"/>
      <c r="D130" s="186">
        <v>2.0</v>
      </c>
      <c r="E130" s="186" t="s">
        <v>2091</v>
      </c>
      <c r="F130" s="117"/>
      <c r="G130" s="189"/>
      <c r="H130" s="202">
        <v>45957.0</v>
      </c>
      <c r="I130" s="48"/>
      <c r="J130" s="189"/>
      <c r="K130" s="203">
        <v>45957.0</v>
      </c>
      <c r="L130" s="193" t="s">
        <v>38</v>
      </c>
      <c r="M130" s="194">
        <v>494909.0</v>
      </c>
      <c r="N130" s="195">
        <v>1.19</v>
      </c>
      <c r="O130" s="201">
        <v>635809.0</v>
      </c>
      <c r="P130" s="193" t="s">
        <v>2653</v>
      </c>
      <c r="Q130" s="117"/>
      <c r="R130" s="189" t="str">
        <f t="shared" ref="R130:R131" si="14">if(or(LOWER(B130)="name",LOWER(B130)="stock")=true,"Y","")</f>
        <v>Y</v>
      </c>
      <c r="S130" s="141"/>
      <c r="T130" s="141"/>
      <c r="U130" s="57"/>
      <c r="V130" s="57"/>
      <c r="W130" s="57"/>
      <c r="X130" s="57"/>
      <c r="Y130" s="57"/>
      <c r="Z130" s="57"/>
      <c r="AA130" s="57"/>
      <c r="AB130" s="57"/>
    </row>
    <row r="131">
      <c r="A131" s="185" t="str">
        <f t="shared" si="1"/>
        <v>20251027-EWN</v>
      </c>
      <c r="B131" s="185" t="s">
        <v>53</v>
      </c>
      <c r="C131" s="117"/>
      <c r="D131" s="186">
        <v>4.0</v>
      </c>
      <c r="E131" s="186" t="s">
        <v>330</v>
      </c>
      <c r="F131" s="117"/>
      <c r="G131" s="189"/>
      <c r="H131" s="202">
        <v>45957.0</v>
      </c>
      <c r="I131" s="48"/>
      <c r="J131" s="189"/>
      <c r="K131" s="203">
        <v>45957.0</v>
      </c>
      <c r="L131" s="193" t="s">
        <v>38</v>
      </c>
      <c r="M131" s="194">
        <v>494909.0</v>
      </c>
      <c r="N131" s="195">
        <v>2.38</v>
      </c>
      <c r="O131" s="201">
        <v>635809.0</v>
      </c>
      <c r="P131" s="197"/>
      <c r="Q131" s="117"/>
      <c r="R131" s="189" t="str">
        <f t="shared" si="14"/>
        <v>Y</v>
      </c>
      <c r="S131" s="141"/>
      <c r="T131" s="141"/>
      <c r="U131" s="57"/>
      <c r="V131" s="57"/>
      <c r="W131" s="57"/>
      <c r="X131" s="57"/>
      <c r="Y131" s="57"/>
      <c r="Z131" s="57"/>
      <c r="AA131" s="57"/>
      <c r="AB131" s="57"/>
    </row>
    <row r="132">
      <c r="A132" s="185" t="str">
        <f t="shared" si="1"/>
        <v>20251027-U7J</v>
      </c>
      <c r="B132" s="185" t="s">
        <v>73</v>
      </c>
      <c r="C132" s="117"/>
      <c r="D132" s="186">
        <v>1.0</v>
      </c>
      <c r="E132" s="186" t="s">
        <v>330</v>
      </c>
      <c r="F132" s="117"/>
      <c r="G132" s="189"/>
      <c r="H132" s="202">
        <v>45957.0</v>
      </c>
      <c r="I132" s="48"/>
      <c r="J132" s="189"/>
      <c r="K132" s="203">
        <v>45957.0</v>
      </c>
      <c r="L132" s="193" t="s">
        <v>38</v>
      </c>
      <c r="M132" s="194">
        <v>494909.0</v>
      </c>
      <c r="N132" s="195">
        <v>2.38</v>
      </c>
      <c r="O132" s="201">
        <v>635809.0</v>
      </c>
      <c r="P132" s="197"/>
      <c r="Q132" s="186" t="s">
        <v>2294</v>
      </c>
      <c r="R132" s="204" t="s">
        <v>43</v>
      </c>
      <c r="S132" s="141"/>
      <c r="T132" s="141"/>
      <c r="U132" s="57"/>
      <c r="V132" s="57"/>
      <c r="W132" s="57"/>
      <c r="X132" s="57"/>
      <c r="Y132" s="57"/>
      <c r="Z132" s="57"/>
      <c r="AA132" s="57"/>
      <c r="AB132" s="57"/>
    </row>
    <row r="133">
      <c r="A133" s="185" t="str">
        <f t="shared" si="1"/>
        <v>20251027-HYO</v>
      </c>
      <c r="B133" s="185" t="s">
        <v>53</v>
      </c>
      <c r="C133" s="117"/>
      <c r="D133" s="186">
        <v>1.0</v>
      </c>
      <c r="E133" s="186" t="s">
        <v>2093</v>
      </c>
      <c r="F133" s="117"/>
      <c r="G133" s="189"/>
      <c r="H133" s="202">
        <v>45957.0</v>
      </c>
      <c r="I133" s="48"/>
      <c r="J133" s="189"/>
      <c r="K133" s="203">
        <v>45957.0</v>
      </c>
      <c r="L133" s="193" t="s">
        <v>38</v>
      </c>
      <c r="M133" s="194">
        <v>494909.0</v>
      </c>
      <c r="N133" s="195">
        <v>14.82</v>
      </c>
      <c r="O133" s="201">
        <v>635809.0</v>
      </c>
      <c r="P133" s="197"/>
      <c r="Q133" s="117"/>
      <c r="R133" s="189" t="str">
        <f t="shared" ref="R133:R138" si="15">if(or(LOWER(B133)="name",LOWER(B133)="stock")=true,"Y","")</f>
        <v>Y</v>
      </c>
      <c r="S133" s="141"/>
      <c r="T133" s="141"/>
      <c r="U133" s="57"/>
      <c r="V133" s="57"/>
      <c r="W133" s="57"/>
      <c r="X133" s="57"/>
      <c r="Y133" s="57"/>
      <c r="Z133" s="57"/>
      <c r="AA133" s="57"/>
      <c r="AB133" s="57"/>
    </row>
    <row r="134">
      <c r="A134" s="185" t="str">
        <f t="shared" si="1"/>
        <v>20251027-FH7</v>
      </c>
      <c r="B134" s="185" t="s">
        <v>53</v>
      </c>
      <c r="C134" s="117"/>
      <c r="D134" s="186">
        <v>1.0</v>
      </c>
      <c r="E134" s="186" t="s">
        <v>566</v>
      </c>
      <c r="F134" s="117"/>
      <c r="G134" s="189"/>
      <c r="H134" s="202">
        <v>45957.0</v>
      </c>
      <c r="I134" s="48"/>
      <c r="J134" s="189"/>
      <c r="K134" s="203">
        <v>45957.0</v>
      </c>
      <c r="L134" s="193" t="s">
        <v>38</v>
      </c>
      <c r="M134" s="194">
        <v>494909.0</v>
      </c>
      <c r="N134" s="195">
        <v>10.78</v>
      </c>
      <c r="O134" s="201">
        <v>635809.0</v>
      </c>
      <c r="P134" s="197"/>
      <c r="Q134" s="117"/>
      <c r="R134" s="189" t="str">
        <f t="shared" si="15"/>
        <v>Y</v>
      </c>
      <c r="S134" s="141"/>
      <c r="T134" s="141"/>
      <c r="U134" s="57"/>
      <c r="V134" s="57"/>
      <c r="W134" s="57"/>
      <c r="X134" s="57"/>
      <c r="Y134" s="57"/>
      <c r="Z134" s="57"/>
      <c r="AA134" s="57"/>
      <c r="AB134" s="57"/>
    </row>
    <row r="135">
      <c r="A135" s="185" t="str">
        <f t="shared" si="1"/>
        <v>20251027-22OF</v>
      </c>
      <c r="B135" s="185" t="s">
        <v>1120</v>
      </c>
      <c r="C135" s="186" t="s">
        <v>1121</v>
      </c>
      <c r="D135" s="186">
        <v>1.0</v>
      </c>
      <c r="E135" s="186" t="s">
        <v>2094</v>
      </c>
      <c r="F135" s="117"/>
      <c r="G135" s="189"/>
      <c r="H135" s="202">
        <v>45957.0</v>
      </c>
      <c r="I135" s="48"/>
      <c r="J135" s="189"/>
      <c r="K135" s="203">
        <v>45957.0</v>
      </c>
      <c r="L135" s="193" t="s">
        <v>38</v>
      </c>
      <c r="M135" s="194">
        <v>494909.0</v>
      </c>
      <c r="N135" s="195">
        <v>80.75</v>
      </c>
      <c r="O135" s="201">
        <v>669954.0</v>
      </c>
      <c r="P135" s="193" t="s">
        <v>2655</v>
      </c>
      <c r="Q135" s="117"/>
      <c r="R135" s="189" t="str">
        <f t="shared" si="15"/>
        <v/>
      </c>
      <c r="S135" s="141"/>
      <c r="T135" s="141"/>
      <c r="U135" s="57"/>
      <c r="V135" s="57"/>
      <c r="W135" s="57"/>
      <c r="X135" s="57"/>
      <c r="Y135" s="57"/>
      <c r="Z135" s="57"/>
      <c r="AA135" s="57"/>
      <c r="AB135" s="57"/>
    </row>
    <row r="136">
      <c r="A136" s="185" t="str">
        <f t="shared" si="1"/>
        <v>20251027-LL1</v>
      </c>
      <c r="B136" s="185" t="s">
        <v>1120</v>
      </c>
      <c r="C136" s="117"/>
      <c r="D136" s="186">
        <v>1.0</v>
      </c>
      <c r="E136" s="186" t="s">
        <v>2095</v>
      </c>
      <c r="F136" s="117"/>
      <c r="G136" s="189"/>
      <c r="H136" s="202">
        <v>45957.0</v>
      </c>
      <c r="I136" s="48"/>
      <c r="J136" s="189"/>
      <c r="K136" s="203">
        <v>45957.0</v>
      </c>
      <c r="L136" s="193" t="s">
        <v>38</v>
      </c>
      <c r="M136" s="194">
        <v>494909.0</v>
      </c>
      <c r="N136" s="195">
        <v>14.25</v>
      </c>
      <c r="O136" s="201">
        <v>635809.0</v>
      </c>
      <c r="P136" s="197"/>
      <c r="Q136" s="117"/>
      <c r="R136" s="189" t="str">
        <f t="shared" si="15"/>
        <v/>
      </c>
      <c r="S136" s="141"/>
      <c r="T136" s="141"/>
      <c r="U136" s="57"/>
      <c r="V136" s="57"/>
      <c r="W136" s="57"/>
      <c r="X136" s="57"/>
      <c r="Y136" s="57"/>
      <c r="Z136" s="57"/>
      <c r="AA136" s="57"/>
      <c r="AB136" s="57"/>
    </row>
    <row r="137">
      <c r="A137" s="185" t="str">
        <f t="shared" si="1"/>
        <v>20251027-H53</v>
      </c>
      <c r="B137" s="185" t="s">
        <v>53</v>
      </c>
      <c r="C137" s="117"/>
      <c r="D137" s="186">
        <v>1.0</v>
      </c>
      <c r="E137" s="186" t="s">
        <v>2096</v>
      </c>
      <c r="F137" s="117"/>
      <c r="G137" s="189"/>
      <c r="H137" s="202">
        <v>45957.0</v>
      </c>
      <c r="I137" s="48"/>
      <c r="J137" s="189"/>
      <c r="K137" s="203">
        <v>45957.0</v>
      </c>
      <c r="L137" s="193" t="s">
        <v>38</v>
      </c>
      <c r="M137" s="194">
        <v>494909.0</v>
      </c>
      <c r="N137" s="195">
        <v>156.51</v>
      </c>
      <c r="O137" s="201">
        <v>635809.0</v>
      </c>
      <c r="P137" s="197"/>
      <c r="Q137" s="117"/>
      <c r="R137" s="189" t="str">
        <f t="shared" si="15"/>
        <v>Y</v>
      </c>
      <c r="S137" s="141"/>
      <c r="T137" s="141"/>
      <c r="U137" s="57"/>
      <c r="V137" s="57"/>
      <c r="W137" s="57"/>
      <c r="X137" s="57"/>
      <c r="Y137" s="57"/>
      <c r="Z137" s="57"/>
      <c r="AA137" s="57"/>
      <c r="AB137" s="57"/>
    </row>
    <row r="138">
      <c r="A138" s="185" t="str">
        <f t="shared" si="1"/>
        <v>20251030-NEE</v>
      </c>
      <c r="B138" s="185" t="s">
        <v>53</v>
      </c>
      <c r="C138" s="117"/>
      <c r="D138" s="186">
        <v>1.0</v>
      </c>
      <c r="E138" s="186" t="s">
        <v>583</v>
      </c>
      <c r="F138" s="117"/>
      <c r="G138" s="189"/>
      <c r="H138" s="202">
        <v>45960.0</v>
      </c>
      <c r="I138" s="48"/>
      <c r="J138" s="189"/>
      <c r="K138" s="203">
        <v>45960.0</v>
      </c>
      <c r="L138" s="193" t="s">
        <v>38</v>
      </c>
      <c r="M138" s="194">
        <v>495472.0</v>
      </c>
      <c r="N138" s="195">
        <v>85.45</v>
      </c>
      <c r="O138" s="201">
        <v>636516.0</v>
      </c>
      <c r="P138" s="197"/>
      <c r="Q138" s="117"/>
      <c r="R138" s="189" t="str">
        <f t="shared" si="15"/>
        <v>Y</v>
      </c>
      <c r="S138" s="141"/>
      <c r="T138" s="141"/>
      <c r="U138" s="57"/>
      <c r="V138" s="57"/>
      <c r="W138" s="57"/>
      <c r="X138" s="57"/>
      <c r="Y138" s="57"/>
      <c r="Z138" s="57"/>
      <c r="AA138" s="57"/>
      <c r="AB138" s="57"/>
    </row>
    <row r="139">
      <c r="A139" s="185" t="str">
        <f t="shared" si="1"/>
        <v>20251030-MIT</v>
      </c>
      <c r="B139" s="185" t="s">
        <v>698</v>
      </c>
      <c r="C139" s="117"/>
      <c r="D139" s="186">
        <v>1.0</v>
      </c>
      <c r="E139" s="186" t="s">
        <v>2098</v>
      </c>
      <c r="F139" s="117"/>
      <c r="G139" s="189"/>
      <c r="H139" s="202">
        <v>45960.0</v>
      </c>
      <c r="I139" s="48"/>
      <c r="J139" s="189"/>
      <c r="K139" s="203">
        <v>45960.0</v>
      </c>
      <c r="L139" s="193" t="s">
        <v>38</v>
      </c>
      <c r="M139" s="194">
        <v>495472.0</v>
      </c>
      <c r="N139" s="195">
        <v>76.0</v>
      </c>
      <c r="O139" s="201">
        <v>638240.0</v>
      </c>
      <c r="P139" s="197"/>
      <c r="Q139" s="186" t="s">
        <v>2294</v>
      </c>
      <c r="R139" s="204" t="s">
        <v>43</v>
      </c>
      <c r="S139" s="198"/>
      <c r="T139" s="295"/>
      <c r="U139" s="57"/>
      <c r="V139" s="57"/>
      <c r="W139" s="57"/>
      <c r="X139" s="57"/>
      <c r="Y139" s="57"/>
      <c r="Z139" s="57"/>
      <c r="AA139" s="57"/>
      <c r="AB139" s="57"/>
    </row>
    <row r="140">
      <c r="A140" s="185" t="str">
        <f t="shared" si="1"/>
        <v>20251030-UWZ</v>
      </c>
      <c r="B140" s="185" t="s">
        <v>749</v>
      </c>
      <c r="C140" s="117"/>
      <c r="D140" s="186">
        <v>1.0</v>
      </c>
      <c r="E140" s="186" t="s">
        <v>558</v>
      </c>
      <c r="F140" s="296"/>
      <c r="G140" s="189"/>
      <c r="H140" s="202">
        <v>45960.0</v>
      </c>
      <c r="I140" s="48"/>
      <c r="J140" s="189"/>
      <c r="K140" s="203">
        <v>45960.0</v>
      </c>
      <c r="L140" s="193" t="s">
        <v>38</v>
      </c>
      <c r="M140" s="194">
        <v>495472.0</v>
      </c>
      <c r="N140" s="195">
        <v>104.03</v>
      </c>
      <c r="O140" s="201">
        <v>636516.0</v>
      </c>
      <c r="P140" s="197"/>
      <c r="Q140" s="117"/>
      <c r="R140" s="204"/>
      <c r="S140" s="198" t="s">
        <v>43</v>
      </c>
      <c r="T140" s="141"/>
      <c r="U140" s="57"/>
      <c r="V140" s="57"/>
      <c r="W140" s="57"/>
      <c r="X140" s="57"/>
      <c r="Y140" s="57"/>
      <c r="Z140" s="57"/>
      <c r="AA140" s="57"/>
      <c r="AB140" s="57"/>
    </row>
    <row r="141">
      <c r="A141" s="185" t="str">
        <f t="shared" si="1"/>
        <v>20251030-ZXC</v>
      </c>
      <c r="B141" s="185" t="s">
        <v>1705</v>
      </c>
      <c r="C141" s="117"/>
      <c r="D141" s="186">
        <v>1.0</v>
      </c>
      <c r="E141" s="186" t="s">
        <v>2100</v>
      </c>
      <c r="F141" s="186"/>
      <c r="G141" s="189"/>
      <c r="H141" s="202">
        <v>45960.0</v>
      </c>
      <c r="I141" s="48"/>
      <c r="J141" s="189"/>
      <c r="K141" s="203">
        <v>45960.0</v>
      </c>
      <c r="L141" s="193" t="s">
        <v>38</v>
      </c>
      <c r="M141" s="194">
        <v>495472.0</v>
      </c>
      <c r="N141" s="195">
        <v>158.32</v>
      </c>
      <c r="O141" s="201">
        <v>636516.0</v>
      </c>
      <c r="P141" s="197"/>
      <c r="Q141" s="186" t="s">
        <v>2294</v>
      </c>
      <c r="R141" s="204" t="s">
        <v>43</v>
      </c>
      <c r="S141" s="141"/>
      <c r="T141" s="141"/>
      <c r="U141" s="57"/>
      <c r="V141" s="57"/>
      <c r="W141" s="57"/>
      <c r="X141" s="57"/>
      <c r="Y141" s="57"/>
      <c r="Z141" s="57"/>
      <c r="AA141" s="57"/>
      <c r="AB141" s="57"/>
    </row>
    <row r="142">
      <c r="A142" s="185" t="str">
        <f t="shared" si="1"/>
        <v>20251030-2BZX</v>
      </c>
      <c r="B142" s="185" t="s">
        <v>2657</v>
      </c>
      <c r="C142" s="186" t="s">
        <v>2658</v>
      </c>
      <c r="D142" s="186">
        <v>1.0</v>
      </c>
      <c r="E142" s="186" t="s">
        <v>2101</v>
      </c>
      <c r="F142" s="186" t="s">
        <v>2661</v>
      </c>
      <c r="G142" s="189"/>
      <c r="H142" s="202">
        <v>45960.0</v>
      </c>
      <c r="I142" s="48"/>
      <c r="J142" s="189"/>
      <c r="K142" s="203">
        <v>45960.0</v>
      </c>
      <c r="L142" s="193" t="s">
        <v>38</v>
      </c>
      <c r="M142" s="194">
        <v>495472.0</v>
      </c>
      <c r="N142" s="195">
        <v>50.11</v>
      </c>
      <c r="O142" s="201">
        <v>636516.0</v>
      </c>
      <c r="P142" s="197"/>
      <c r="Q142" s="186" t="s">
        <v>2294</v>
      </c>
      <c r="R142" s="204" t="s">
        <v>43</v>
      </c>
      <c r="S142" s="141"/>
      <c r="T142" s="141"/>
      <c r="U142" s="57"/>
      <c r="V142" s="57"/>
      <c r="W142" s="57"/>
      <c r="X142" s="57"/>
      <c r="Y142" s="57"/>
      <c r="Z142" s="57"/>
      <c r="AA142" s="57"/>
      <c r="AB142" s="57"/>
    </row>
    <row r="143">
      <c r="A143" s="185" t="str">
        <f t="shared" si="1"/>
        <v>20251030-QN2</v>
      </c>
      <c r="B143" s="185" t="s">
        <v>985</v>
      </c>
      <c r="C143" s="117"/>
      <c r="D143" s="186">
        <v>1.0</v>
      </c>
      <c r="E143" s="186" t="s">
        <v>2102</v>
      </c>
      <c r="F143" s="186" t="s">
        <v>2662</v>
      </c>
      <c r="G143" s="189"/>
      <c r="H143" s="202">
        <v>45960.0</v>
      </c>
      <c r="I143" s="48"/>
      <c r="J143" s="189"/>
      <c r="K143" s="203">
        <v>45960.0</v>
      </c>
      <c r="L143" s="193" t="s">
        <v>38</v>
      </c>
      <c r="M143" s="194">
        <v>495472.0</v>
      </c>
      <c r="N143" s="195">
        <v>75.05</v>
      </c>
      <c r="O143" s="201">
        <v>636516.0</v>
      </c>
      <c r="P143" s="193"/>
      <c r="Q143" s="117"/>
      <c r="R143" s="189" t="str">
        <f>if(or(LOWER(B143)="name",LOWER(B143)="stock")=true,"Y","")</f>
        <v/>
      </c>
      <c r="S143" s="141"/>
      <c r="T143" s="141"/>
      <c r="U143" s="57"/>
      <c r="V143" s="57"/>
      <c r="W143" s="57"/>
      <c r="X143" s="57"/>
      <c r="Y143" s="57"/>
      <c r="Z143" s="57"/>
      <c r="AA143" s="57"/>
      <c r="AB143" s="57"/>
    </row>
    <row r="144">
      <c r="A144" s="185" t="str">
        <f t="shared" si="1"/>
        <v>20251030-LT9</v>
      </c>
      <c r="B144" s="185" t="s">
        <v>53</v>
      </c>
      <c r="C144" s="117"/>
      <c r="D144" s="186">
        <v>2.0</v>
      </c>
      <c r="E144" s="186" t="s">
        <v>2103</v>
      </c>
      <c r="F144" s="117"/>
      <c r="G144" s="189"/>
      <c r="H144" s="202">
        <v>45960.0</v>
      </c>
      <c r="I144" s="48"/>
      <c r="J144" s="189"/>
      <c r="K144" s="203">
        <v>45960.0</v>
      </c>
      <c r="L144" s="193" t="s">
        <v>38</v>
      </c>
      <c r="M144" s="194">
        <v>495472.0</v>
      </c>
      <c r="N144" s="195">
        <v>29.17</v>
      </c>
      <c r="O144" s="201">
        <v>636516.0</v>
      </c>
      <c r="P144" s="197"/>
      <c r="Q144" s="117"/>
      <c r="R144" s="189"/>
      <c r="S144" s="141"/>
      <c r="T144" s="141"/>
      <c r="U144" s="57"/>
      <c r="V144" s="57"/>
      <c r="W144" s="57"/>
      <c r="X144" s="57"/>
      <c r="Y144" s="57"/>
      <c r="Z144" s="57"/>
      <c r="AA144" s="57"/>
      <c r="AB144" s="57"/>
    </row>
    <row r="145">
      <c r="A145" s="185" t="str">
        <f t="shared" si="1"/>
        <v>20251102-T0P</v>
      </c>
      <c r="B145" s="185" t="s">
        <v>2665</v>
      </c>
      <c r="C145" s="117"/>
      <c r="D145" s="186">
        <v>1.0</v>
      </c>
      <c r="E145" s="186" t="s">
        <v>2104</v>
      </c>
      <c r="F145" s="117"/>
      <c r="G145" s="189"/>
      <c r="H145" s="202">
        <v>45963.0</v>
      </c>
      <c r="I145" s="48"/>
      <c r="J145" s="189"/>
      <c r="K145" s="203">
        <v>45963.0</v>
      </c>
      <c r="L145" s="193" t="s">
        <v>38</v>
      </c>
      <c r="M145" s="194">
        <v>495677.0</v>
      </c>
      <c r="N145" s="195">
        <v>156.51</v>
      </c>
      <c r="O145" s="201">
        <v>639775.0</v>
      </c>
      <c r="P145" s="197"/>
      <c r="Q145" s="186" t="s">
        <v>2294</v>
      </c>
      <c r="R145" s="204" t="s">
        <v>43</v>
      </c>
      <c r="S145" s="141"/>
      <c r="T145" s="141"/>
      <c r="U145" s="57"/>
      <c r="V145" s="57"/>
      <c r="W145" s="57"/>
      <c r="X145" s="57"/>
      <c r="Y145" s="57"/>
      <c r="Z145" s="57"/>
      <c r="AA145" s="57"/>
      <c r="AB145" s="57"/>
    </row>
    <row r="146">
      <c r="A146" s="185" t="str">
        <f t="shared" si="1"/>
        <v>20251102-1I6Q</v>
      </c>
      <c r="B146" s="185" t="s">
        <v>73</v>
      </c>
      <c r="C146" s="117"/>
      <c r="D146" s="117"/>
      <c r="E146" s="186" t="s">
        <v>2089</v>
      </c>
      <c r="F146" s="186" t="s">
        <v>35</v>
      </c>
      <c r="G146" s="189"/>
      <c r="H146" s="202">
        <v>45963.0</v>
      </c>
      <c r="I146" s="48"/>
      <c r="J146" s="189"/>
      <c r="K146" s="203">
        <v>45963.0</v>
      </c>
      <c r="L146" s="193" t="s">
        <v>38</v>
      </c>
      <c r="M146" s="194">
        <v>495677.0</v>
      </c>
      <c r="N146" s="195">
        <v>130.63</v>
      </c>
      <c r="O146" s="201">
        <v>637093.0</v>
      </c>
      <c r="P146" s="197"/>
      <c r="Q146" s="186" t="s">
        <v>2294</v>
      </c>
      <c r="R146" s="204" t="s">
        <v>2668</v>
      </c>
      <c r="S146" s="141"/>
      <c r="T146" s="141"/>
      <c r="U146" s="57"/>
      <c r="V146" s="57"/>
      <c r="W146" s="57"/>
      <c r="X146" s="57"/>
      <c r="Y146" s="57"/>
      <c r="Z146" s="57"/>
      <c r="AA146" s="57"/>
      <c r="AB146" s="57"/>
    </row>
    <row r="147">
      <c r="A147" s="185" t="str">
        <f t="shared" si="1"/>
        <v>20251102-1146</v>
      </c>
      <c r="B147" s="185" t="s">
        <v>1078</v>
      </c>
      <c r="C147" s="117"/>
      <c r="D147" s="186">
        <v>1.0</v>
      </c>
      <c r="E147" s="186" t="s">
        <v>2106</v>
      </c>
      <c r="F147" s="117"/>
      <c r="G147" s="189"/>
      <c r="H147" s="202">
        <v>45963.0</v>
      </c>
      <c r="I147" s="48"/>
      <c r="J147" s="189"/>
      <c r="K147" s="203">
        <v>45963.0</v>
      </c>
      <c r="L147" s="193" t="s">
        <v>38</v>
      </c>
      <c r="M147" s="194">
        <v>495677.0</v>
      </c>
      <c r="N147" s="195">
        <v>150.58</v>
      </c>
      <c r="O147" s="201">
        <v>637093.0</v>
      </c>
      <c r="P147" s="197"/>
      <c r="Q147" s="186" t="s">
        <v>2294</v>
      </c>
      <c r="R147" s="204" t="s">
        <v>43</v>
      </c>
      <c r="S147" s="141"/>
      <c r="T147" s="141"/>
      <c r="U147" s="57"/>
      <c r="V147" s="57"/>
      <c r="W147" s="57"/>
      <c r="X147" s="57"/>
      <c r="Y147" s="57"/>
      <c r="Z147" s="57"/>
      <c r="AA147" s="57"/>
      <c r="AB147" s="57"/>
    </row>
    <row r="148">
      <c r="A148" s="185" t="str">
        <f t="shared" si="1"/>
        <v>20251102-20AX</v>
      </c>
      <c r="B148" s="185" t="s">
        <v>2670</v>
      </c>
      <c r="C148" s="117"/>
      <c r="D148" s="186">
        <v>1.0</v>
      </c>
      <c r="E148" s="186" t="s">
        <v>2107</v>
      </c>
      <c r="F148" s="186" t="s">
        <v>2671</v>
      </c>
      <c r="G148" s="189"/>
      <c r="H148" s="202">
        <v>45963.0</v>
      </c>
      <c r="I148" s="48"/>
      <c r="J148" s="189"/>
      <c r="K148" s="203">
        <v>45963.0</v>
      </c>
      <c r="L148" s="193" t="s">
        <v>38</v>
      </c>
      <c r="M148" s="194">
        <v>495677.0</v>
      </c>
      <c r="N148" s="195">
        <v>50.11</v>
      </c>
      <c r="O148" s="201">
        <v>637093.0</v>
      </c>
      <c r="P148" s="197"/>
      <c r="Q148" s="186" t="s">
        <v>2294</v>
      </c>
      <c r="R148" s="204" t="s">
        <v>43</v>
      </c>
      <c r="S148" s="141"/>
      <c r="T148" s="141"/>
      <c r="U148" s="57"/>
      <c r="V148" s="57"/>
      <c r="W148" s="57"/>
      <c r="X148" s="57"/>
      <c r="Y148" s="57"/>
      <c r="Z148" s="57"/>
      <c r="AA148" s="57"/>
      <c r="AB148" s="57"/>
    </row>
    <row r="149">
      <c r="A149" s="185" t="str">
        <f t="shared" si="1"/>
        <v>20251102-2JA1</v>
      </c>
      <c r="B149" s="185" t="s">
        <v>2673</v>
      </c>
      <c r="C149" s="186" t="s">
        <v>2674</v>
      </c>
      <c r="D149" s="186">
        <v>1.0</v>
      </c>
      <c r="E149" s="186" t="s">
        <v>2109</v>
      </c>
      <c r="F149" s="298"/>
      <c r="G149" s="189"/>
      <c r="H149" s="202">
        <v>45963.0</v>
      </c>
      <c r="I149" s="48"/>
      <c r="J149" s="189"/>
      <c r="K149" s="203">
        <v>45963.0</v>
      </c>
      <c r="L149" s="193" t="s">
        <v>38</v>
      </c>
      <c r="M149" s="194">
        <v>495677.0</v>
      </c>
      <c r="N149" s="195">
        <v>77.43</v>
      </c>
      <c r="O149" s="201">
        <v>639775.0</v>
      </c>
      <c r="P149" s="197"/>
      <c r="Q149" s="186" t="s">
        <v>2294</v>
      </c>
      <c r="R149" s="204" t="s">
        <v>43</v>
      </c>
      <c r="S149" s="141"/>
      <c r="T149" s="141"/>
      <c r="U149" s="57"/>
      <c r="V149" s="57"/>
      <c r="W149" s="57"/>
      <c r="X149" s="57"/>
      <c r="Y149" s="57"/>
      <c r="Z149" s="57"/>
      <c r="AA149" s="57"/>
      <c r="AB149" s="57"/>
    </row>
    <row r="150">
      <c r="A150" s="185" t="str">
        <f t="shared" si="1"/>
        <v>20251102-1CKK</v>
      </c>
      <c r="B150" s="185" t="s">
        <v>2676</v>
      </c>
      <c r="C150" s="186" t="s">
        <v>2677</v>
      </c>
      <c r="D150" s="186">
        <v>1.0</v>
      </c>
      <c r="E150" s="186" t="s">
        <v>1896</v>
      </c>
      <c r="F150" s="117"/>
      <c r="G150" s="189"/>
      <c r="H150" s="202">
        <v>45963.0</v>
      </c>
      <c r="I150" s="48"/>
      <c r="J150" s="189"/>
      <c r="K150" s="203">
        <v>45963.0</v>
      </c>
      <c r="L150" s="193" t="s">
        <v>38</v>
      </c>
      <c r="M150" s="194">
        <v>495677.0</v>
      </c>
      <c r="N150" s="195">
        <v>132.15</v>
      </c>
      <c r="O150" s="201">
        <v>637093.0</v>
      </c>
      <c r="P150" s="197"/>
      <c r="Q150" s="186" t="s">
        <v>2294</v>
      </c>
      <c r="R150" s="204" t="s">
        <v>43</v>
      </c>
      <c r="S150" s="141"/>
      <c r="T150" s="141"/>
      <c r="U150" s="57"/>
      <c r="V150" s="57"/>
      <c r="W150" s="57"/>
      <c r="X150" s="57"/>
      <c r="Y150" s="57"/>
      <c r="Z150" s="57"/>
      <c r="AA150" s="57"/>
      <c r="AB150" s="57"/>
    </row>
    <row r="151">
      <c r="A151" s="185" t="str">
        <f t="shared" si="1"/>
        <v>20251102-1C6T</v>
      </c>
      <c r="B151" s="185" t="s">
        <v>2678</v>
      </c>
      <c r="C151" s="117"/>
      <c r="D151" s="186">
        <v>1.0</v>
      </c>
      <c r="E151" s="186" t="s">
        <v>2110</v>
      </c>
      <c r="F151" s="117"/>
      <c r="G151" s="189"/>
      <c r="H151" s="202">
        <v>45963.0</v>
      </c>
      <c r="I151" s="48"/>
      <c r="J151" s="189"/>
      <c r="K151" s="203">
        <v>45963.0</v>
      </c>
      <c r="L151" s="193" t="s">
        <v>38</v>
      </c>
      <c r="M151" s="194">
        <v>495677.0</v>
      </c>
      <c r="N151" s="195">
        <v>62.75</v>
      </c>
      <c r="O151" s="201">
        <v>637093.0</v>
      </c>
      <c r="P151" s="197"/>
      <c r="Q151" s="186" t="s">
        <v>2294</v>
      </c>
      <c r="R151" s="204" t="s">
        <v>43</v>
      </c>
      <c r="S151" s="141"/>
      <c r="T151" s="141"/>
      <c r="U151" s="57"/>
      <c r="V151" s="57"/>
      <c r="W151" s="57"/>
      <c r="X151" s="57"/>
      <c r="Y151" s="57"/>
      <c r="Z151" s="57"/>
      <c r="AA151" s="57"/>
      <c r="AB151" s="57"/>
    </row>
    <row r="152">
      <c r="A152" s="185" t="str">
        <f t="shared" si="1"/>
        <v>20251102-1VVH</v>
      </c>
      <c r="B152" s="185" t="s">
        <v>1036</v>
      </c>
      <c r="C152" s="117"/>
      <c r="D152" s="186">
        <v>1.0</v>
      </c>
      <c r="E152" s="186" t="s">
        <v>2112</v>
      </c>
      <c r="F152" s="117"/>
      <c r="G152" s="189"/>
      <c r="H152" s="202">
        <v>45963.0</v>
      </c>
      <c r="I152" s="48"/>
      <c r="J152" s="189"/>
      <c r="K152" s="203">
        <v>45963.0</v>
      </c>
      <c r="L152" s="193" t="s">
        <v>38</v>
      </c>
      <c r="M152" s="194">
        <v>495677.0</v>
      </c>
      <c r="N152" s="195">
        <v>149.15</v>
      </c>
      <c r="O152" s="201" t="s">
        <v>59</v>
      </c>
      <c r="P152" s="193" t="s">
        <v>2680</v>
      </c>
      <c r="Q152" s="186" t="s">
        <v>59</v>
      </c>
      <c r="R152" s="204" t="s">
        <v>59</v>
      </c>
      <c r="S152" s="141"/>
      <c r="T152" s="141"/>
      <c r="U152" s="57"/>
      <c r="V152" s="57"/>
      <c r="W152" s="57"/>
      <c r="X152" s="57"/>
      <c r="Y152" s="57"/>
      <c r="Z152" s="57"/>
      <c r="AA152" s="57"/>
      <c r="AB152" s="57"/>
    </row>
    <row r="153">
      <c r="A153" s="185" t="str">
        <f t="shared" si="1"/>
        <v>20251102-WQS</v>
      </c>
      <c r="B153" s="185" t="s">
        <v>2681</v>
      </c>
      <c r="C153" s="117"/>
      <c r="D153" s="186">
        <v>1.0</v>
      </c>
      <c r="E153" s="186" t="s">
        <v>2113</v>
      </c>
      <c r="F153" s="186"/>
      <c r="G153" s="189"/>
      <c r="H153" s="202">
        <v>45963.0</v>
      </c>
      <c r="I153" s="48"/>
      <c r="J153" s="189"/>
      <c r="K153" s="203">
        <v>45963.0</v>
      </c>
      <c r="L153" s="193" t="s">
        <v>38</v>
      </c>
      <c r="M153" s="194">
        <v>495677.0</v>
      </c>
      <c r="N153" s="195">
        <v>104.03</v>
      </c>
      <c r="O153" s="201">
        <v>637639.0</v>
      </c>
      <c r="P153" s="197"/>
      <c r="Q153" s="186" t="s">
        <v>2294</v>
      </c>
      <c r="R153" s="204" t="s">
        <v>43</v>
      </c>
      <c r="S153" s="141"/>
      <c r="T153" s="141"/>
      <c r="U153" s="57"/>
      <c r="V153" s="57"/>
      <c r="W153" s="57"/>
      <c r="X153" s="57"/>
      <c r="Y153" s="57"/>
      <c r="Z153" s="57"/>
      <c r="AA153" s="57"/>
      <c r="AB153" s="57"/>
    </row>
    <row r="154">
      <c r="A154" s="185" t="str">
        <f t="shared" si="1"/>
        <v>20251102-12V7</v>
      </c>
      <c r="B154" s="185" t="s">
        <v>2068</v>
      </c>
      <c r="C154" s="117"/>
      <c r="D154" s="186">
        <v>1.0</v>
      </c>
      <c r="E154" s="186" t="s">
        <v>2114</v>
      </c>
      <c r="F154" s="117"/>
      <c r="G154" s="189"/>
      <c r="H154" s="202">
        <v>45963.0</v>
      </c>
      <c r="I154" s="48"/>
      <c r="J154" s="189"/>
      <c r="K154" s="203">
        <v>45963.0</v>
      </c>
      <c r="L154" s="193" t="s">
        <v>38</v>
      </c>
      <c r="M154" s="194">
        <v>495677.0</v>
      </c>
      <c r="N154" s="195">
        <v>119.99</v>
      </c>
      <c r="O154" s="201">
        <v>639775.0</v>
      </c>
      <c r="P154" s="197"/>
      <c r="Q154" s="186" t="s">
        <v>2294</v>
      </c>
      <c r="R154" s="204" t="s">
        <v>43</v>
      </c>
      <c r="S154" s="141"/>
      <c r="T154" s="141"/>
      <c r="U154" s="57"/>
      <c r="V154" s="57"/>
      <c r="W154" s="57"/>
      <c r="X154" s="57"/>
      <c r="Y154" s="57"/>
      <c r="Z154" s="57"/>
      <c r="AA154" s="57"/>
      <c r="AB154" s="57"/>
    </row>
    <row r="155">
      <c r="A155" s="185" t="str">
        <f t="shared" si="1"/>
        <v>20251102-S5V</v>
      </c>
      <c r="B155" s="185" t="s">
        <v>53</v>
      </c>
      <c r="C155" s="117"/>
      <c r="D155" s="186">
        <v>1.0</v>
      </c>
      <c r="E155" s="186" t="s">
        <v>2115</v>
      </c>
      <c r="F155" s="117"/>
      <c r="G155" s="189"/>
      <c r="H155" s="202">
        <v>45963.0</v>
      </c>
      <c r="I155" s="48"/>
      <c r="J155" s="189"/>
      <c r="K155" s="203">
        <v>45963.0</v>
      </c>
      <c r="L155" s="193" t="s">
        <v>38</v>
      </c>
      <c r="M155" s="194">
        <v>495677.0</v>
      </c>
      <c r="N155" s="195">
        <v>17.2</v>
      </c>
      <c r="O155" s="201">
        <v>637093.0</v>
      </c>
      <c r="P155" s="197"/>
      <c r="Q155" s="117"/>
      <c r="R155" s="189"/>
      <c r="S155" s="141"/>
      <c r="T155" s="141"/>
      <c r="U155" s="57"/>
      <c r="V155" s="57"/>
      <c r="W155" s="57"/>
      <c r="X155" s="57"/>
      <c r="Y155" s="57"/>
      <c r="Z155" s="57"/>
      <c r="AA155" s="57"/>
      <c r="AB155" s="57"/>
    </row>
    <row r="156">
      <c r="A156" s="185" t="str">
        <f t="shared" si="1"/>
        <v>20251102-SB7</v>
      </c>
      <c r="B156" s="185" t="s">
        <v>53</v>
      </c>
      <c r="C156" s="117"/>
      <c r="D156" s="186">
        <v>1.0</v>
      </c>
      <c r="E156" s="186" t="s">
        <v>2116</v>
      </c>
      <c r="F156" s="117"/>
      <c r="G156" s="189"/>
      <c r="H156" s="202">
        <v>45963.0</v>
      </c>
      <c r="I156" s="48"/>
      <c r="J156" s="189"/>
      <c r="K156" s="203">
        <v>45963.0</v>
      </c>
      <c r="L156" s="193" t="s">
        <v>38</v>
      </c>
      <c r="M156" s="194">
        <v>495677.0</v>
      </c>
      <c r="N156" s="195">
        <v>17.2</v>
      </c>
      <c r="O156" s="201">
        <v>637093.0</v>
      </c>
      <c r="P156" s="197"/>
      <c r="Q156" s="117"/>
      <c r="R156" s="189"/>
      <c r="S156" s="141"/>
      <c r="T156" s="141"/>
      <c r="U156" s="57"/>
      <c r="V156" s="57"/>
      <c r="W156" s="57"/>
      <c r="X156" s="57"/>
      <c r="Y156" s="57"/>
      <c r="Z156" s="57"/>
      <c r="AA156" s="57"/>
      <c r="AB156" s="57"/>
    </row>
    <row r="157">
      <c r="A157" s="185" t="str">
        <f t="shared" si="1"/>
        <v>20251102-QCO</v>
      </c>
      <c r="B157" s="185" t="s">
        <v>53</v>
      </c>
      <c r="C157" s="117"/>
      <c r="D157" s="186">
        <v>1.0</v>
      </c>
      <c r="E157" s="186" t="s">
        <v>2118</v>
      </c>
      <c r="F157" s="117"/>
      <c r="G157" s="189"/>
      <c r="H157" s="202">
        <v>45963.0</v>
      </c>
      <c r="I157" s="48"/>
      <c r="J157" s="189"/>
      <c r="K157" s="203">
        <v>45963.0</v>
      </c>
      <c r="L157" s="193" t="s">
        <v>38</v>
      </c>
      <c r="M157" s="194">
        <v>495677.0</v>
      </c>
      <c r="N157" s="195">
        <v>17.2</v>
      </c>
      <c r="O157" s="201">
        <v>637093.0</v>
      </c>
      <c r="P157" s="197"/>
      <c r="Q157" s="117"/>
      <c r="R157" s="189"/>
      <c r="S157" s="141"/>
      <c r="T157" s="141"/>
      <c r="U157" s="57"/>
      <c r="V157" s="57"/>
      <c r="W157" s="57"/>
      <c r="X157" s="57"/>
      <c r="Y157" s="57"/>
      <c r="Z157" s="57"/>
      <c r="AA157" s="57"/>
      <c r="AB157" s="57"/>
    </row>
    <row r="158">
      <c r="A158" s="185" t="str">
        <f t="shared" si="1"/>
        <v>20251104-8WK</v>
      </c>
      <c r="B158" s="185" t="s">
        <v>53</v>
      </c>
      <c r="C158" s="117"/>
      <c r="D158" s="186">
        <v>1.0</v>
      </c>
      <c r="E158" s="186" t="s">
        <v>1483</v>
      </c>
      <c r="F158" s="117"/>
      <c r="G158" s="189"/>
      <c r="H158" s="202">
        <v>45965.0</v>
      </c>
      <c r="I158" s="48"/>
      <c r="J158" s="189"/>
      <c r="K158" s="203">
        <v>45965.0</v>
      </c>
      <c r="L158" s="193" t="s">
        <v>347</v>
      </c>
      <c r="M158" s="194" t="s">
        <v>2683</v>
      </c>
      <c r="N158" s="195">
        <v>95.4</v>
      </c>
      <c r="O158" s="201">
        <v>7405287.0</v>
      </c>
      <c r="P158" s="197"/>
      <c r="Q158" s="117"/>
      <c r="R158" s="189" t="str">
        <f t="shared" ref="R158:R161" si="16">if(or(LOWER(B158)="name",LOWER(B158)="stock")=true,"Y","")</f>
        <v>Y</v>
      </c>
      <c r="S158" s="141"/>
      <c r="T158" s="141"/>
      <c r="U158" s="57"/>
      <c r="V158" s="57"/>
      <c r="W158" s="57"/>
      <c r="X158" s="57"/>
      <c r="Y158" s="57"/>
      <c r="Z158" s="57"/>
      <c r="AA158" s="57"/>
      <c r="AB158" s="57"/>
    </row>
    <row r="159">
      <c r="A159" s="185" t="str">
        <f t="shared" si="1"/>
        <v>20251104-VGL</v>
      </c>
      <c r="B159" s="185" t="s">
        <v>53</v>
      </c>
      <c r="C159" s="117"/>
      <c r="D159" s="186">
        <v>1.0</v>
      </c>
      <c r="E159" s="186" t="s">
        <v>471</v>
      </c>
      <c r="F159" s="186"/>
      <c r="G159" s="186"/>
      <c r="H159" s="202">
        <v>45965.0</v>
      </c>
      <c r="I159" s="48"/>
      <c r="J159" s="189"/>
      <c r="K159" s="203">
        <v>45965.0</v>
      </c>
      <c r="L159" s="193" t="s">
        <v>347</v>
      </c>
      <c r="M159" s="194" t="s">
        <v>2683</v>
      </c>
      <c r="N159" s="195">
        <v>95.4</v>
      </c>
      <c r="O159" s="201">
        <v>7405287.0</v>
      </c>
      <c r="P159" s="197"/>
      <c r="Q159" s="117"/>
      <c r="R159" s="189" t="str">
        <f t="shared" si="16"/>
        <v>Y</v>
      </c>
      <c r="S159" s="141"/>
      <c r="T159" s="141"/>
      <c r="U159" s="57"/>
      <c r="V159" s="57"/>
      <c r="W159" s="57"/>
      <c r="X159" s="57"/>
      <c r="Y159" s="57"/>
      <c r="Z159" s="57"/>
      <c r="AA159" s="57"/>
      <c r="AB159" s="57"/>
    </row>
    <row r="160">
      <c r="A160" s="185" t="str">
        <f t="shared" si="1"/>
        <v>20251104-VCH</v>
      </c>
      <c r="B160" s="185" t="s">
        <v>53</v>
      </c>
      <c r="C160" s="117"/>
      <c r="D160" s="186">
        <v>1.0</v>
      </c>
      <c r="E160" s="186" t="s">
        <v>335</v>
      </c>
      <c r="F160" s="117"/>
      <c r="G160" s="189"/>
      <c r="H160" s="202">
        <v>45965.0</v>
      </c>
      <c r="I160" s="48"/>
      <c r="J160" s="189"/>
      <c r="K160" s="203">
        <v>45965.0</v>
      </c>
      <c r="L160" s="193" t="s">
        <v>347</v>
      </c>
      <c r="M160" s="194" t="s">
        <v>2683</v>
      </c>
      <c r="N160" s="195">
        <v>95.4</v>
      </c>
      <c r="O160" s="201">
        <v>7405287.0</v>
      </c>
      <c r="P160" s="197"/>
      <c r="Q160" s="117"/>
      <c r="R160" s="189" t="str">
        <f t="shared" si="16"/>
        <v>Y</v>
      </c>
      <c r="S160" s="141"/>
      <c r="T160" s="141"/>
      <c r="U160" s="57"/>
      <c r="V160" s="57"/>
      <c r="W160" s="57"/>
      <c r="X160" s="57"/>
      <c r="Y160" s="57"/>
      <c r="Z160" s="57"/>
      <c r="AA160" s="57"/>
      <c r="AB160" s="57"/>
    </row>
    <row r="161">
      <c r="A161" s="185" t="str">
        <f t="shared" si="1"/>
        <v>20251105-RWA</v>
      </c>
      <c r="B161" s="185" t="s">
        <v>53</v>
      </c>
      <c r="C161" s="117"/>
      <c r="D161" s="186">
        <v>1.0</v>
      </c>
      <c r="E161" s="186" t="s">
        <v>2120</v>
      </c>
      <c r="F161" s="117"/>
      <c r="G161" s="189"/>
      <c r="H161" s="202">
        <v>45966.0</v>
      </c>
      <c r="I161" s="48"/>
      <c r="J161" s="189"/>
      <c r="K161" s="203">
        <v>45966.0</v>
      </c>
      <c r="L161" s="193" t="s">
        <v>1080</v>
      </c>
      <c r="M161" s="194" t="s">
        <v>2684</v>
      </c>
      <c r="N161" s="195">
        <v>0.0</v>
      </c>
      <c r="O161" s="201">
        <v>187957.0</v>
      </c>
      <c r="P161" s="193" t="s">
        <v>2685</v>
      </c>
      <c r="Q161" s="117"/>
      <c r="R161" s="189" t="str">
        <f t="shared" si="16"/>
        <v>Y</v>
      </c>
      <c r="S161" s="141"/>
      <c r="T161" s="141"/>
      <c r="U161" s="57"/>
      <c r="V161" s="57"/>
      <c r="W161" s="57"/>
      <c r="X161" s="57"/>
      <c r="Y161" s="57"/>
      <c r="Z161" s="57"/>
      <c r="AA161" s="57"/>
      <c r="AB161" s="57"/>
    </row>
    <row r="162">
      <c r="A162" s="185" t="str">
        <f t="shared" si="1"/>
        <v>20251105-U4K</v>
      </c>
      <c r="B162" s="185" t="s">
        <v>53</v>
      </c>
      <c r="C162" s="117"/>
      <c r="D162" s="186">
        <v>10.0</v>
      </c>
      <c r="E162" s="186" t="s">
        <v>2121</v>
      </c>
      <c r="F162" s="117"/>
      <c r="G162" s="189"/>
      <c r="H162" s="202">
        <v>45966.0</v>
      </c>
      <c r="I162" s="48"/>
      <c r="J162" s="189"/>
      <c r="K162" s="203">
        <v>45966.0</v>
      </c>
      <c r="L162" s="193" t="s">
        <v>1080</v>
      </c>
      <c r="M162" s="194" t="s">
        <v>2684</v>
      </c>
      <c r="N162" s="195">
        <v>0.0</v>
      </c>
      <c r="O162" s="201">
        <v>187957.0</v>
      </c>
      <c r="P162" s="193" t="s">
        <v>2685</v>
      </c>
      <c r="Q162" s="117"/>
      <c r="R162" s="189"/>
      <c r="S162" s="141"/>
      <c r="T162" s="141"/>
      <c r="U162" s="57"/>
      <c r="V162" s="57"/>
      <c r="W162" s="57"/>
      <c r="X162" s="57"/>
      <c r="Y162" s="57"/>
      <c r="Z162" s="57"/>
      <c r="AA162" s="57"/>
      <c r="AB162" s="57"/>
    </row>
    <row r="163">
      <c r="A163" s="185" t="str">
        <f t="shared" si="1"/>
        <v>20251105-1J2S</v>
      </c>
      <c r="B163" s="185" t="s">
        <v>53</v>
      </c>
      <c r="C163" s="117"/>
      <c r="D163" s="186">
        <v>10.0</v>
      </c>
      <c r="E163" s="186" t="s">
        <v>1850</v>
      </c>
      <c r="F163" s="117"/>
      <c r="G163" s="189"/>
      <c r="H163" s="202">
        <v>45966.0</v>
      </c>
      <c r="I163" s="48"/>
      <c r="J163" s="189"/>
      <c r="K163" s="203">
        <v>45966.0</v>
      </c>
      <c r="L163" s="193" t="s">
        <v>1080</v>
      </c>
      <c r="M163" s="194" t="s">
        <v>2684</v>
      </c>
      <c r="N163" s="195">
        <v>0.0</v>
      </c>
      <c r="O163" s="201">
        <v>187957.0</v>
      </c>
      <c r="P163" s="193" t="s">
        <v>2685</v>
      </c>
      <c r="Q163" s="117"/>
      <c r="R163" s="189"/>
      <c r="S163" s="141"/>
      <c r="T163" s="141"/>
      <c r="U163" s="57"/>
      <c r="V163" s="57"/>
      <c r="W163" s="57"/>
      <c r="X163" s="57"/>
      <c r="Y163" s="57"/>
      <c r="Z163" s="57"/>
      <c r="AA163" s="57"/>
      <c r="AB163" s="57"/>
    </row>
    <row r="164">
      <c r="A164" s="185" t="str">
        <f t="shared" si="1"/>
        <v>20251105-1B65</v>
      </c>
      <c r="B164" s="185" t="s">
        <v>53</v>
      </c>
      <c r="C164" s="117"/>
      <c r="D164" s="186">
        <v>10.0</v>
      </c>
      <c r="E164" s="186" t="s">
        <v>1852</v>
      </c>
      <c r="F164" s="117"/>
      <c r="G164" s="189"/>
      <c r="H164" s="202">
        <v>45966.0</v>
      </c>
      <c r="I164" s="48"/>
      <c r="J164" s="189"/>
      <c r="K164" s="203">
        <v>45966.0</v>
      </c>
      <c r="L164" s="193" t="s">
        <v>1080</v>
      </c>
      <c r="M164" s="194" t="s">
        <v>2684</v>
      </c>
      <c r="N164" s="195">
        <v>0.0</v>
      </c>
      <c r="O164" s="201">
        <v>187957.0</v>
      </c>
      <c r="P164" s="193" t="s">
        <v>2685</v>
      </c>
      <c r="Q164" s="117"/>
      <c r="R164" s="189"/>
      <c r="S164" s="141"/>
      <c r="T164" s="141"/>
      <c r="U164" s="57"/>
      <c r="V164" s="57"/>
      <c r="W164" s="57"/>
      <c r="X164" s="57"/>
      <c r="Y164" s="57"/>
      <c r="Z164" s="57"/>
      <c r="AA164" s="57"/>
      <c r="AB164" s="57"/>
    </row>
    <row r="165">
      <c r="A165" s="185" t="str">
        <f t="shared" si="1"/>
        <v>20251105-14V5</v>
      </c>
      <c r="B165" s="185" t="s">
        <v>53</v>
      </c>
      <c r="C165" s="117"/>
      <c r="D165" s="186">
        <v>10.0</v>
      </c>
      <c r="E165" s="186" t="s">
        <v>1853</v>
      </c>
      <c r="F165" s="117"/>
      <c r="G165" s="189"/>
      <c r="H165" s="202">
        <v>45966.0</v>
      </c>
      <c r="I165" s="48"/>
      <c r="J165" s="189"/>
      <c r="K165" s="203">
        <v>45966.0</v>
      </c>
      <c r="L165" s="193" t="s">
        <v>1080</v>
      </c>
      <c r="M165" s="194" t="s">
        <v>2684</v>
      </c>
      <c r="N165" s="195">
        <v>0.0</v>
      </c>
      <c r="O165" s="201">
        <v>187957.0</v>
      </c>
      <c r="P165" s="193" t="s">
        <v>2685</v>
      </c>
      <c r="Q165" s="117"/>
      <c r="R165" s="189"/>
      <c r="S165" s="141"/>
      <c r="T165" s="141"/>
      <c r="U165" s="57"/>
      <c r="V165" s="57"/>
      <c r="W165" s="57"/>
      <c r="X165" s="57"/>
      <c r="Y165" s="57"/>
      <c r="Z165" s="57"/>
      <c r="AA165" s="57"/>
      <c r="AB165" s="57"/>
    </row>
    <row r="166">
      <c r="A166" s="185" t="str">
        <f t="shared" si="1"/>
        <v>20251105-19L0</v>
      </c>
      <c r="B166" s="185" t="s">
        <v>53</v>
      </c>
      <c r="C166" s="117"/>
      <c r="D166" s="186">
        <v>10.0</v>
      </c>
      <c r="E166" s="186" t="s">
        <v>2123</v>
      </c>
      <c r="F166" s="117"/>
      <c r="G166" s="189"/>
      <c r="H166" s="202">
        <v>45966.0</v>
      </c>
      <c r="I166" s="48"/>
      <c r="J166" s="189"/>
      <c r="K166" s="203">
        <v>45966.0</v>
      </c>
      <c r="L166" s="193" t="s">
        <v>1080</v>
      </c>
      <c r="M166" s="194" t="s">
        <v>2684</v>
      </c>
      <c r="N166" s="195">
        <v>0.0</v>
      </c>
      <c r="O166" s="201">
        <v>187957.0</v>
      </c>
      <c r="P166" s="193" t="s">
        <v>2685</v>
      </c>
      <c r="Q166" s="117"/>
      <c r="R166" s="189"/>
      <c r="S166" s="141"/>
      <c r="T166" s="141"/>
      <c r="U166" s="57"/>
      <c r="V166" s="57"/>
      <c r="W166" s="57"/>
      <c r="X166" s="57"/>
      <c r="Y166" s="57"/>
      <c r="Z166" s="57"/>
      <c r="AA166" s="57"/>
      <c r="AB166" s="57"/>
    </row>
    <row r="167">
      <c r="A167" s="185" t="str">
        <f t="shared" si="1"/>
        <v>20251105-18YM</v>
      </c>
      <c r="B167" s="185" t="s">
        <v>53</v>
      </c>
      <c r="C167" s="117"/>
      <c r="D167" s="186">
        <v>2.0</v>
      </c>
      <c r="E167" s="186" t="s">
        <v>1854</v>
      </c>
      <c r="F167" s="117"/>
      <c r="G167" s="189"/>
      <c r="H167" s="202">
        <v>45966.0</v>
      </c>
      <c r="I167" s="48"/>
      <c r="J167" s="189"/>
      <c r="K167" s="203">
        <v>45966.0</v>
      </c>
      <c r="L167" s="193" t="s">
        <v>1080</v>
      </c>
      <c r="M167" s="194" t="s">
        <v>2684</v>
      </c>
      <c r="N167" s="195">
        <v>0.0</v>
      </c>
      <c r="O167" s="201">
        <v>187957.0</v>
      </c>
      <c r="P167" s="193" t="s">
        <v>2685</v>
      </c>
      <c r="Q167" s="117"/>
      <c r="R167" s="189"/>
      <c r="S167" s="141"/>
      <c r="T167" s="141"/>
      <c r="U167" s="57"/>
      <c r="V167" s="57"/>
      <c r="W167" s="57"/>
      <c r="X167" s="57"/>
      <c r="Y167" s="57"/>
      <c r="Z167" s="57"/>
      <c r="AA167" s="57"/>
      <c r="AB167" s="57"/>
    </row>
    <row r="168">
      <c r="A168" s="185" t="str">
        <f t="shared" si="1"/>
        <v>20251105-82S</v>
      </c>
      <c r="B168" s="185" t="s">
        <v>53</v>
      </c>
      <c r="C168" s="117"/>
      <c r="D168" s="186">
        <v>10.0</v>
      </c>
      <c r="E168" s="186" t="s">
        <v>2124</v>
      </c>
      <c r="F168" s="117"/>
      <c r="G168" s="189"/>
      <c r="H168" s="202">
        <v>45966.0</v>
      </c>
      <c r="I168" s="48"/>
      <c r="J168" s="189"/>
      <c r="K168" s="203">
        <v>45966.0</v>
      </c>
      <c r="L168" s="193" t="s">
        <v>1080</v>
      </c>
      <c r="M168" s="194" t="s">
        <v>2684</v>
      </c>
      <c r="N168" s="195">
        <v>0.0</v>
      </c>
      <c r="O168" s="201">
        <v>187957.0</v>
      </c>
      <c r="P168" s="193" t="s">
        <v>2685</v>
      </c>
      <c r="Q168" s="117"/>
      <c r="R168" s="189"/>
      <c r="S168" s="141"/>
      <c r="T168" s="141"/>
      <c r="U168" s="57"/>
      <c r="V168" s="57"/>
      <c r="W168" s="57"/>
      <c r="X168" s="57"/>
      <c r="Y168" s="57"/>
      <c r="Z168" s="57"/>
      <c r="AA168" s="57"/>
      <c r="AB168" s="57"/>
    </row>
    <row r="169">
      <c r="A169" s="185" t="str">
        <f t="shared" si="1"/>
        <v>20251105-81U</v>
      </c>
      <c r="B169" s="185" t="s">
        <v>53</v>
      </c>
      <c r="C169" s="117"/>
      <c r="D169" s="186">
        <v>10.0</v>
      </c>
      <c r="E169" s="186" t="s">
        <v>2125</v>
      </c>
      <c r="F169" s="117"/>
      <c r="G169" s="189"/>
      <c r="H169" s="202">
        <v>45966.0</v>
      </c>
      <c r="I169" s="48"/>
      <c r="J169" s="189"/>
      <c r="K169" s="221">
        <v>45966.0</v>
      </c>
      <c r="L169" s="219" t="s">
        <v>1080</v>
      </c>
      <c r="M169" s="194" t="s">
        <v>2684</v>
      </c>
      <c r="N169" s="195">
        <v>0.0</v>
      </c>
      <c r="O169" s="201">
        <v>187957.0</v>
      </c>
      <c r="P169" s="219" t="s">
        <v>2685</v>
      </c>
      <c r="Q169" s="117"/>
      <c r="R169" s="189"/>
      <c r="S169" s="141"/>
      <c r="T169" s="141"/>
      <c r="U169" s="57"/>
      <c r="V169" s="57"/>
      <c r="W169" s="57"/>
      <c r="X169" s="57"/>
      <c r="Y169" s="57"/>
      <c r="Z169" s="57"/>
      <c r="AA169" s="57"/>
      <c r="AB169" s="57"/>
    </row>
    <row r="170">
      <c r="A170" s="185" t="str">
        <f t="shared" si="1"/>
        <v>20251105-83S</v>
      </c>
      <c r="B170" s="300" t="s">
        <v>53</v>
      </c>
      <c r="C170" s="301"/>
      <c r="D170" s="186">
        <v>10.0</v>
      </c>
      <c r="E170" s="186" t="s">
        <v>2126</v>
      </c>
      <c r="F170" s="117"/>
      <c r="G170" s="189"/>
      <c r="H170" s="202">
        <v>45966.0</v>
      </c>
      <c r="I170" s="48"/>
      <c r="J170" s="189"/>
      <c r="K170" s="203">
        <v>45966.0</v>
      </c>
      <c r="L170" s="193" t="s">
        <v>1080</v>
      </c>
      <c r="M170" s="194" t="s">
        <v>2684</v>
      </c>
      <c r="N170" s="195">
        <v>0.0</v>
      </c>
      <c r="O170" s="201">
        <v>187957.0</v>
      </c>
      <c r="P170" s="193" t="s">
        <v>2685</v>
      </c>
      <c r="Q170" s="117"/>
      <c r="R170" s="189"/>
      <c r="S170" s="141"/>
      <c r="T170" s="141"/>
      <c r="U170" s="57"/>
      <c r="V170" s="57"/>
      <c r="W170" s="57"/>
      <c r="X170" s="57"/>
      <c r="Y170" s="57"/>
      <c r="Z170" s="57"/>
      <c r="AA170" s="57"/>
      <c r="AB170" s="57"/>
    </row>
    <row r="171">
      <c r="A171" s="185" t="str">
        <f t="shared" si="1"/>
        <v>20251105-81D</v>
      </c>
      <c r="B171" s="300" t="s">
        <v>53</v>
      </c>
      <c r="C171" s="301"/>
      <c r="D171" s="186">
        <v>10.0</v>
      </c>
      <c r="E171" s="186" t="s">
        <v>2127</v>
      </c>
      <c r="F171" s="117"/>
      <c r="G171" s="189"/>
      <c r="H171" s="202">
        <v>45966.0</v>
      </c>
      <c r="I171" s="48"/>
      <c r="J171" s="189"/>
      <c r="K171" s="203">
        <v>45966.0</v>
      </c>
      <c r="L171" s="193" t="s">
        <v>1080</v>
      </c>
      <c r="M171" s="194" t="s">
        <v>2684</v>
      </c>
      <c r="N171" s="195">
        <v>0.0</v>
      </c>
      <c r="O171" s="201">
        <v>187957.0</v>
      </c>
      <c r="P171" s="193" t="s">
        <v>2685</v>
      </c>
      <c r="Q171" s="117"/>
      <c r="R171" s="189"/>
      <c r="S171" s="141"/>
      <c r="T171" s="141"/>
      <c r="U171" s="57"/>
      <c r="V171" s="57"/>
      <c r="W171" s="57"/>
      <c r="X171" s="57"/>
      <c r="Y171" s="57"/>
      <c r="Z171" s="57"/>
      <c r="AA171" s="57"/>
      <c r="AB171" s="57"/>
    </row>
    <row r="172">
      <c r="A172" s="185" t="str">
        <f t="shared" si="1"/>
        <v>20251105-84S</v>
      </c>
      <c r="B172" s="185" t="s">
        <v>53</v>
      </c>
      <c r="C172" s="117"/>
      <c r="D172" s="186">
        <v>10.0</v>
      </c>
      <c r="E172" s="186" t="s">
        <v>2128</v>
      </c>
      <c r="F172" s="117"/>
      <c r="G172" s="189"/>
      <c r="H172" s="202">
        <v>45966.0</v>
      </c>
      <c r="I172" s="48"/>
      <c r="J172" s="189"/>
      <c r="K172" s="203">
        <v>45966.0</v>
      </c>
      <c r="L172" s="193" t="s">
        <v>1080</v>
      </c>
      <c r="M172" s="194" t="s">
        <v>2684</v>
      </c>
      <c r="N172" s="195">
        <v>0.0</v>
      </c>
      <c r="O172" s="201">
        <v>187957.0</v>
      </c>
      <c r="P172" s="193" t="s">
        <v>2685</v>
      </c>
      <c r="Q172" s="117"/>
      <c r="R172" s="189"/>
      <c r="S172" s="141"/>
      <c r="T172" s="141"/>
      <c r="U172" s="57"/>
      <c r="V172" s="57"/>
      <c r="W172" s="57"/>
      <c r="X172" s="57"/>
      <c r="Y172" s="57"/>
      <c r="Z172" s="57"/>
      <c r="AA172" s="57"/>
      <c r="AB172" s="57"/>
    </row>
    <row r="173">
      <c r="A173" s="185" t="str">
        <f t="shared" si="1"/>
        <v>20251105-82U</v>
      </c>
      <c r="B173" s="185" t="s">
        <v>53</v>
      </c>
      <c r="C173" s="117"/>
      <c r="D173" s="186">
        <v>10.0</v>
      </c>
      <c r="E173" s="186" t="s">
        <v>526</v>
      </c>
      <c r="F173" s="117"/>
      <c r="G173" s="189"/>
      <c r="H173" s="202">
        <v>45966.0</v>
      </c>
      <c r="I173" s="48"/>
      <c r="J173" s="189"/>
      <c r="K173" s="203">
        <v>45966.0</v>
      </c>
      <c r="L173" s="193" t="s">
        <v>1080</v>
      </c>
      <c r="M173" s="194" t="s">
        <v>2684</v>
      </c>
      <c r="N173" s="195">
        <v>0.0</v>
      </c>
      <c r="O173" s="201">
        <v>187957.0</v>
      </c>
      <c r="P173" s="193" t="s">
        <v>2685</v>
      </c>
      <c r="Q173" s="117"/>
      <c r="R173" s="189"/>
      <c r="S173" s="141"/>
      <c r="T173" s="141"/>
      <c r="U173" s="57"/>
      <c r="V173" s="57"/>
      <c r="W173" s="57"/>
      <c r="X173" s="57"/>
      <c r="Y173" s="57"/>
      <c r="Z173" s="57"/>
      <c r="AA173" s="57"/>
      <c r="AB173" s="57"/>
    </row>
    <row r="174">
      <c r="A174" s="185" t="str">
        <f t="shared" si="1"/>
        <v>20251105-86S</v>
      </c>
      <c r="B174" s="300" t="s">
        <v>53</v>
      </c>
      <c r="C174" s="303"/>
      <c r="D174" s="186">
        <v>10.0</v>
      </c>
      <c r="E174" s="186" t="s">
        <v>72</v>
      </c>
      <c r="F174" s="117"/>
      <c r="G174" s="189"/>
      <c r="H174" s="202">
        <v>45966.0</v>
      </c>
      <c r="I174" s="48"/>
      <c r="J174" s="189"/>
      <c r="K174" s="203">
        <v>45966.0</v>
      </c>
      <c r="L174" s="193" t="s">
        <v>1080</v>
      </c>
      <c r="M174" s="194" t="s">
        <v>2684</v>
      </c>
      <c r="N174" s="195">
        <v>0.0</v>
      </c>
      <c r="O174" s="201">
        <v>187957.0</v>
      </c>
      <c r="P174" s="193" t="s">
        <v>2685</v>
      </c>
      <c r="Q174" s="117"/>
      <c r="R174" s="189"/>
      <c r="S174" s="141"/>
      <c r="T174" s="141"/>
      <c r="U174" s="57"/>
      <c r="V174" s="57"/>
      <c r="W174" s="57"/>
      <c r="X174" s="57"/>
      <c r="Y174" s="57"/>
      <c r="Z174" s="57"/>
      <c r="AA174" s="57"/>
      <c r="AB174" s="57"/>
    </row>
    <row r="175">
      <c r="A175" s="185" t="str">
        <f t="shared" si="1"/>
        <v>20251105-9H3</v>
      </c>
      <c r="B175" s="185" t="s">
        <v>53</v>
      </c>
      <c r="C175" s="117"/>
      <c r="D175" s="186">
        <v>10.0</v>
      </c>
      <c r="E175" s="186" t="s">
        <v>2129</v>
      </c>
      <c r="F175" s="117"/>
      <c r="G175" s="189"/>
      <c r="H175" s="202">
        <v>45966.0</v>
      </c>
      <c r="I175" s="48"/>
      <c r="J175" s="189"/>
      <c r="K175" s="203">
        <v>45966.0</v>
      </c>
      <c r="L175" s="193" t="s">
        <v>1080</v>
      </c>
      <c r="M175" s="194" t="s">
        <v>2684</v>
      </c>
      <c r="N175" s="195">
        <v>0.0</v>
      </c>
      <c r="O175" s="201">
        <v>187957.0</v>
      </c>
      <c r="P175" s="193" t="s">
        <v>2685</v>
      </c>
      <c r="Q175" s="117"/>
      <c r="R175" s="189"/>
      <c r="S175" s="141"/>
      <c r="T175" s="141"/>
      <c r="U175" s="57"/>
      <c r="V175" s="57"/>
      <c r="W175" s="57"/>
      <c r="X175" s="57"/>
      <c r="Y175" s="57"/>
      <c r="Z175" s="57"/>
      <c r="AA175" s="57"/>
      <c r="AB175" s="57"/>
    </row>
    <row r="176">
      <c r="A176" s="185" t="str">
        <f t="shared" si="1"/>
        <v>20251105-9I5</v>
      </c>
      <c r="B176" s="185" t="s">
        <v>53</v>
      </c>
      <c r="C176" s="117"/>
      <c r="D176" s="186">
        <v>10.0</v>
      </c>
      <c r="E176" s="186" t="s">
        <v>2130</v>
      </c>
      <c r="F176" s="117"/>
      <c r="G176" s="189"/>
      <c r="H176" s="202">
        <v>45966.0</v>
      </c>
      <c r="I176" s="48"/>
      <c r="J176" s="189"/>
      <c r="K176" s="203">
        <v>45966.0</v>
      </c>
      <c r="L176" s="193" t="s">
        <v>1080</v>
      </c>
      <c r="M176" s="194" t="s">
        <v>2684</v>
      </c>
      <c r="N176" s="195">
        <v>0.0</v>
      </c>
      <c r="O176" s="201">
        <v>187957.0</v>
      </c>
      <c r="P176" s="193" t="s">
        <v>2685</v>
      </c>
      <c r="Q176" s="117"/>
      <c r="R176" s="189"/>
      <c r="S176" s="141"/>
      <c r="T176" s="141"/>
      <c r="U176" s="57"/>
      <c r="V176" s="57"/>
      <c r="W176" s="57"/>
      <c r="X176" s="57"/>
      <c r="Y176" s="57"/>
      <c r="Z176" s="57"/>
      <c r="AA176" s="57"/>
      <c r="AB176" s="57"/>
    </row>
    <row r="177">
      <c r="A177" s="185" t="str">
        <f t="shared" si="1"/>
        <v>20251105-67M</v>
      </c>
      <c r="B177" s="185" t="s">
        <v>53</v>
      </c>
      <c r="C177" s="117"/>
      <c r="D177" s="186">
        <v>10.0</v>
      </c>
      <c r="E177" s="186" t="s">
        <v>2131</v>
      </c>
      <c r="F177" s="117"/>
      <c r="G177" s="189"/>
      <c r="H177" s="202">
        <v>45966.0</v>
      </c>
      <c r="I177" s="48"/>
      <c r="J177" s="189"/>
      <c r="K177" s="203">
        <v>45966.0</v>
      </c>
      <c r="L177" s="193" t="s">
        <v>1080</v>
      </c>
      <c r="M177" s="194" t="s">
        <v>2684</v>
      </c>
      <c r="N177" s="195">
        <v>0.0</v>
      </c>
      <c r="O177" s="201">
        <v>187957.0</v>
      </c>
      <c r="P177" s="193" t="s">
        <v>2685</v>
      </c>
      <c r="Q177" s="117"/>
      <c r="R177" s="189"/>
      <c r="S177" s="141"/>
      <c r="T177" s="141"/>
      <c r="U177" s="57"/>
      <c r="V177" s="57"/>
      <c r="W177" s="57"/>
      <c r="X177" s="57"/>
      <c r="Y177" s="57"/>
      <c r="Z177" s="57"/>
      <c r="AA177" s="57"/>
      <c r="AB177" s="57"/>
    </row>
    <row r="178">
      <c r="A178" s="185" t="str">
        <f t="shared" si="1"/>
        <v>20251105-68I</v>
      </c>
      <c r="B178" s="185" t="s">
        <v>53</v>
      </c>
      <c r="C178" s="117"/>
      <c r="D178" s="186">
        <v>10.0</v>
      </c>
      <c r="E178" s="186" t="s">
        <v>2132</v>
      </c>
      <c r="F178" s="117"/>
      <c r="G178" s="189"/>
      <c r="H178" s="202">
        <v>45966.0</v>
      </c>
      <c r="I178" s="48"/>
      <c r="J178" s="189"/>
      <c r="K178" s="203">
        <v>45966.0</v>
      </c>
      <c r="L178" s="193" t="s">
        <v>1080</v>
      </c>
      <c r="M178" s="194" t="s">
        <v>2684</v>
      </c>
      <c r="N178" s="195">
        <v>0.0</v>
      </c>
      <c r="O178" s="201">
        <v>187957.0</v>
      </c>
      <c r="P178" s="193" t="s">
        <v>2685</v>
      </c>
      <c r="Q178" s="117"/>
      <c r="R178" s="189"/>
      <c r="S178" s="141"/>
      <c r="T178" s="141"/>
      <c r="U178" s="57"/>
      <c r="V178" s="57"/>
      <c r="W178" s="57"/>
      <c r="X178" s="57"/>
      <c r="Y178" s="57"/>
      <c r="Z178" s="57"/>
      <c r="AA178" s="57"/>
      <c r="AB178" s="57"/>
    </row>
    <row r="179">
      <c r="A179" s="185" t="str">
        <f t="shared" si="1"/>
        <v>20251105-66S</v>
      </c>
      <c r="B179" s="185" t="s">
        <v>53</v>
      </c>
      <c r="C179" s="117"/>
      <c r="D179" s="186">
        <v>10.0</v>
      </c>
      <c r="E179" s="186" t="s">
        <v>2134</v>
      </c>
      <c r="F179" s="117"/>
      <c r="G179" s="189"/>
      <c r="H179" s="202">
        <v>45966.0</v>
      </c>
      <c r="I179" s="48"/>
      <c r="J179" s="189"/>
      <c r="K179" s="203">
        <v>45966.0</v>
      </c>
      <c r="L179" s="193" t="s">
        <v>1080</v>
      </c>
      <c r="M179" s="194" t="s">
        <v>2684</v>
      </c>
      <c r="N179" s="195">
        <v>0.0</v>
      </c>
      <c r="O179" s="201">
        <v>187957.0</v>
      </c>
      <c r="P179" s="193" t="s">
        <v>2685</v>
      </c>
      <c r="Q179" s="117"/>
      <c r="R179" s="189"/>
      <c r="S179" s="141"/>
      <c r="T179" s="141"/>
      <c r="U179" s="57"/>
      <c r="V179" s="57"/>
      <c r="W179" s="57"/>
      <c r="X179" s="57"/>
      <c r="Y179" s="57"/>
      <c r="Z179" s="57"/>
      <c r="AA179" s="57"/>
      <c r="AB179" s="57"/>
    </row>
    <row r="180">
      <c r="A180" s="185" t="str">
        <f t="shared" si="1"/>
        <v>20251105-69E</v>
      </c>
      <c r="B180" s="185" t="s">
        <v>53</v>
      </c>
      <c r="C180" s="117"/>
      <c r="D180" s="186">
        <v>10.0</v>
      </c>
      <c r="E180" s="186" t="s">
        <v>657</v>
      </c>
      <c r="F180" s="117"/>
      <c r="G180" s="189"/>
      <c r="H180" s="202">
        <v>45966.0</v>
      </c>
      <c r="I180" s="48"/>
      <c r="J180" s="189"/>
      <c r="K180" s="203">
        <v>45966.0</v>
      </c>
      <c r="L180" s="193" t="s">
        <v>1080</v>
      </c>
      <c r="M180" s="194" t="s">
        <v>2684</v>
      </c>
      <c r="N180" s="195">
        <v>0.0</v>
      </c>
      <c r="O180" s="201">
        <v>187957.0</v>
      </c>
      <c r="P180" s="193" t="s">
        <v>2685</v>
      </c>
      <c r="Q180" s="117"/>
      <c r="R180" s="189"/>
      <c r="S180" s="141"/>
      <c r="T180" s="141"/>
      <c r="U180" s="57"/>
      <c r="V180" s="57"/>
      <c r="W180" s="57"/>
      <c r="X180" s="57"/>
      <c r="Y180" s="57"/>
      <c r="Z180" s="57"/>
      <c r="AA180" s="57"/>
      <c r="AB180" s="57"/>
    </row>
    <row r="181">
      <c r="A181" s="185" t="str">
        <f t="shared" si="1"/>
        <v>20251105-5KJ</v>
      </c>
      <c r="B181" s="185" t="s">
        <v>53</v>
      </c>
      <c r="C181" s="117"/>
      <c r="D181" s="186">
        <v>10.0</v>
      </c>
      <c r="E181" s="186" t="s">
        <v>2135</v>
      </c>
      <c r="F181" s="117"/>
      <c r="G181" s="189"/>
      <c r="H181" s="202">
        <v>45966.0</v>
      </c>
      <c r="I181" s="48"/>
      <c r="J181" s="189"/>
      <c r="K181" s="203">
        <v>45966.0</v>
      </c>
      <c r="L181" s="193" t="s">
        <v>1080</v>
      </c>
      <c r="M181" s="194" t="s">
        <v>2684</v>
      </c>
      <c r="N181" s="195">
        <v>0.0</v>
      </c>
      <c r="O181" s="201">
        <v>187957.0</v>
      </c>
      <c r="P181" s="193" t="s">
        <v>2685</v>
      </c>
      <c r="Q181" s="117"/>
      <c r="R181" s="189"/>
      <c r="S181" s="141"/>
      <c r="T181" s="141"/>
      <c r="U181" s="57"/>
      <c r="V181" s="57"/>
      <c r="W181" s="57"/>
      <c r="X181" s="57"/>
      <c r="Y181" s="57"/>
      <c r="Z181" s="57"/>
      <c r="AA181" s="57"/>
      <c r="AB181" s="57"/>
    </row>
    <row r="182">
      <c r="A182" s="185" t="str">
        <f t="shared" si="1"/>
        <v>20251105-78V</v>
      </c>
      <c r="B182" s="185" t="s">
        <v>53</v>
      </c>
      <c r="C182" s="117"/>
      <c r="D182" s="186">
        <v>10.0</v>
      </c>
      <c r="E182" s="186" t="s">
        <v>652</v>
      </c>
      <c r="F182" s="117"/>
      <c r="G182" s="189"/>
      <c r="H182" s="202">
        <v>45966.0</v>
      </c>
      <c r="I182" s="48"/>
      <c r="J182" s="189"/>
      <c r="K182" s="203">
        <v>45966.0</v>
      </c>
      <c r="L182" s="193" t="s">
        <v>1080</v>
      </c>
      <c r="M182" s="194" t="s">
        <v>2684</v>
      </c>
      <c r="N182" s="195">
        <v>0.0</v>
      </c>
      <c r="O182" s="201">
        <v>187957.0</v>
      </c>
      <c r="P182" s="193" t="s">
        <v>2685</v>
      </c>
      <c r="Q182" s="117"/>
      <c r="R182" s="189"/>
      <c r="S182" s="141"/>
      <c r="T182" s="141"/>
      <c r="U182" s="57"/>
      <c r="V182" s="57"/>
      <c r="W182" s="57"/>
      <c r="X182" s="57"/>
      <c r="Y182" s="57"/>
      <c r="Z182" s="57"/>
      <c r="AA182" s="57"/>
      <c r="AB182" s="57"/>
    </row>
    <row r="183">
      <c r="A183" s="185" t="str">
        <f t="shared" si="1"/>
        <v>20251105-79T</v>
      </c>
      <c r="B183" s="185" t="s">
        <v>53</v>
      </c>
      <c r="C183" s="117"/>
      <c r="D183" s="186">
        <v>10.0</v>
      </c>
      <c r="E183" s="186" t="s">
        <v>654</v>
      </c>
      <c r="F183" s="117"/>
      <c r="G183" s="189"/>
      <c r="H183" s="202">
        <v>45966.0</v>
      </c>
      <c r="I183" s="48"/>
      <c r="J183" s="189"/>
      <c r="K183" s="203">
        <v>45966.0</v>
      </c>
      <c r="L183" s="193" t="s">
        <v>1080</v>
      </c>
      <c r="M183" s="194" t="s">
        <v>2684</v>
      </c>
      <c r="N183" s="195">
        <v>0.0</v>
      </c>
      <c r="O183" s="201">
        <v>187957.0</v>
      </c>
      <c r="P183" s="193" t="s">
        <v>2685</v>
      </c>
      <c r="Q183" s="117"/>
      <c r="R183" s="189"/>
      <c r="S183" s="141"/>
      <c r="T183" s="141"/>
      <c r="U183" s="57"/>
      <c r="V183" s="57"/>
      <c r="W183" s="57"/>
      <c r="X183" s="57"/>
      <c r="Y183" s="57"/>
      <c r="Z183" s="57"/>
      <c r="AA183" s="57"/>
      <c r="AB183" s="57"/>
    </row>
    <row r="184">
      <c r="A184" s="185" t="str">
        <f t="shared" si="1"/>
        <v>20251105-77Z</v>
      </c>
      <c r="B184" s="185" t="s">
        <v>53</v>
      </c>
      <c r="C184" s="117"/>
      <c r="D184" s="186">
        <v>10.0</v>
      </c>
      <c r="E184" s="186" t="s">
        <v>1034</v>
      </c>
      <c r="F184" s="117"/>
      <c r="G184" s="189"/>
      <c r="H184" s="202">
        <v>45966.0</v>
      </c>
      <c r="I184" s="48"/>
      <c r="J184" s="189"/>
      <c r="K184" s="203">
        <v>45966.0</v>
      </c>
      <c r="L184" s="193" t="s">
        <v>1080</v>
      </c>
      <c r="M184" s="194" t="s">
        <v>2684</v>
      </c>
      <c r="N184" s="195">
        <v>0.0</v>
      </c>
      <c r="O184" s="201">
        <v>187957.0</v>
      </c>
      <c r="P184" s="193" t="s">
        <v>2685</v>
      </c>
      <c r="Q184" s="117"/>
      <c r="R184" s="189"/>
      <c r="S184" s="141"/>
      <c r="T184" s="141"/>
      <c r="U184" s="57"/>
      <c r="V184" s="57"/>
      <c r="W184" s="57"/>
      <c r="X184" s="57"/>
      <c r="Y184" s="57"/>
      <c r="Z184" s="57"/>
      <c r="AA184" s="57"/>
      <c r="AB184" s="57"/>
    </row>
    <row r="185">
      <c r="A185" s="185" t="str">
        <f t="shared" si="1"/>
        <v>20251105-6KC</v>
      </c>
      <c r="B185" s="185" t="s">
        <v>53</v>
      </c>
      <c r="C185" s="117"/>
      <c r="D185" s="186">
        <v>10.0</v>
      </c>
      <c r="E185" s="186" t="s">
        <v>568</v>
      </c>
      <c r="F185" s="117"/>
      <c r="G185" s="189"/>
      <c r="H185" s="202">
        <v>45966.0</v>
      </c>
      <c r="I185" s="48"/>
      <c r="J185" s="189"/>
      <c r="K185" s="203">
        <v>45966.0</v>
      </c>
      <c r="L185" s="193" t="s">
        <v>1080</v>
      </c>
      <c r="M185" s="194" t="s">
        <v>2684</v>
      </c>
      <c r="N185" s="195">
        <v>0.0</v>
      </c>
      <c r="O185" s="201">
        <v>187957.0</v>
      </c>
      <c r="P185" s="193" t="s">
        <v>2685</v>
      </c>
      <c r="Q185" s="117"/>
      <c r="R185" s="189"/>
      <c r="S185" s="141"/>
      <c r="T185" s="141"/>
      <c r="U185" s="57"/>
      <c r="V185" s="57"/>
      <c r="W185" s="57"/>
      <c r="X185" s="57"/>
      <c r="Y185" s="57"/>
      <c r="Z185" s="57"/>
      <c r="AA185" s="57"/>
      <c r="AB185" s="57"/>
    </row>
    <row r="186">
      <c r="A186" s="185" t="str">
        <f t="shared" si="1"/>
        <v>20251105-86X</v>
      </c>
      <c r="B186" s="185" t="s">
        <v>53</v>
      </c>
      <c r="C186" s="117"/>
      <c r="D186" s="186">
        <v>10.0</v>
      </c>
      <c r="E186" s="186" t="s">
        <v>71</v>
      </c>
      <c r="F186" s="117"/>
      <c r="G186" s="189"/>
      <c r="H186" s="202">
        <v>45966.0</v>
      </c>
      <c r="I186" s="48"/>
      <c r="J186" s="189"/>
      <c r="K186" s="203">
        <v>45966.0</v>
      </c>
      <c r="L186" s="193" t="s">
        <v>1080</v>
      </c>
      <c r="M186" s="194" t="s">
        <v>2684</v>
      </c>
      <c r="N186" s="195">
        <v>0.0</v>
      </c>
      <c r="O186" s="201">
        <v>187957.0</v>
      </c>
      <c r="P186" s="193" t="s">
        <v>2685</v>
      </c>
      <c r="Q186" s="117"/>
      <c r="R186" s="189"/>
      <c r="S186" s="141"/>
      <c r="T186" s="141"/>
      <c r="U186" s="57"/>
      <c r="V186" s="57"/>
      <c r="W186" s="57"/>
      <c r="X186" s="57"/>
      <c r="Y186" s="57"/>
      <c r="Z186" s="57"/>
      <c r="AA186" s="57"/>
      <c r="AB186" s="57"/>
    </row>
    <row r="187">
      <c r="A187" s="185" t="str">
        <f t="shared" si="1"/>
        <v>20251105-88V</v>
      </c>
      <c r="B187" s="185" t="s">
        <v>53</v>
      </c>
      <c r="C187" s="117"/>
      <c r="D187" s="186">
        <v>10.0</v>
      </c>
      <c r="E187" s="186" t="s">
        <v>451</v>
      </c>
      <c r="F187" s="117"/>
      <c r="G187" s="189"/>
      <c r="H187" s="202">
        <v>45966.0</v>
      </c>
      <c r="I187" s="48"/>
      <c r="J187" s="189"/>
      <c r="K187" s="203">
        <v>45966.0</v>
      </c>
      <c r="L187" s="193" t="s">
        <v>1080</v>
      </c>
      <c r="M187" s="194" t="s">
        <v>2684</v>
      </c>
      <c r="N187" s="195">
        <v>0.0</v>
      </c>
      <c r="O187" s="201">
        <v>187957.0</v>
      </c>
      <c r="P187" s="193" t="s">
        <v>2685</v>
      </c>
      <c r="Q187" s="117"/>
      <c r="R187" s="189"/>
      <c r="S187" s="141"/>
      <c r="T187" s="141"/>
      <c r="U187" s="57"/>
      <c r="V187" s="57"/>
      <c r="W187" s="57"/>
      <c r="X187" s="57"/>
      <c r="Y187" s="57"/>
      <c r="Z187" s="57"/>
      <c r="AA187" s="57"/>
      <c r="AB187" s="57"/>
    </row>
    <row r="188">
      <c r="A188" s="185" t="str">
        <f t="shared" si="1"/>
        <v>20251105-86G</v>
      </c>
      <c r="B188" s="185" t="s">
        <v>53</v>
      </c>
      <c r="C188" s="117"/>
      <c r="D188" s="186">
        <v>10.0</v>
      </c>
      <c r="E188" s="186" t="s">
        <v>1108</v>
      </c>
      <c r="F188" s="117"/>
      <c r="G188" s="189"/>
      <c r="H188" s="202">
        <v>45966.0</v>
      </c>
      <c r="I188" s="48"/>
      <c r="J188" s="189"/>
      <c r="K188" s="203">
        <v>45966.0</v>
      </c>
      <c r="L188" s="193" t="s">
        <v>1080</v>
      </c>
      <c r="M188" s="194" t="s">
        <v>2684</v>
      </c>
      <c r="N188" s="195">
        <v>0.0</v>
      </c>
      <c r="O188" s="201">
        <v>187957.0</v>
      </c>
      <c r="P188" s="193" t="s">
        <v>2685</v>
      </c>
      <c r="Q188" s="117"/>
      <c r="R188" s="189"/>
      <c r="S188" s="141"/>
      <c r="T188" s="141"/>
      <c r="U188" s="57"/>
      <c r="V188" s="57"/>
      <c r="W188" s="57"/>
      <c r="X188" s="57"/>
      <c r="Y188" s="57"/>
      <c r="Z188" s="57"/>
      <c r="AA188" s="57"/>
      <c r="AB188" s="57"/>
    </row>
    <row r="189">
      <c r="A189" s="185" t="str">
        <f t="shared" si="1"/>
        <v>20251105-89V</v>
      </c>
      <c r="B189" s="185" t="s">
        <v>53</v>
      </c>
      <c r="C189" s="117"/>
      <c r="D189" s="186">
        <v>10.0</v>
      </c>
      <c r="E189" s="186" t="s">
        <v>873</v>
      </c>
      <c r="F189" s="117"/>
      <c r="G189" s="189"/>
      <c r="H189" s="202">
        <v>45966.0</v>
      </c>
      <c r="I189" s="48"/>
      <c r="J189" s="189"/>
      <c r="K189" s="203">
        <v>45966.0</v>
      </c>
      <c r="L189" s="193" t="s">
        <v>1080</v>
      </c>
      <c r="M189" s="194" t="s">
        <v>2684</v>
      </c>
      <c r="N189" s="195">
        <v>0.0</v>
      </c>
      <c r="O189" s="201">
        <v>187957.0</v>
      </c>
      <c r="P189" s="193" t="s">
        <v>2685</v>
      </c>
      <c r="Q189" s="117"/>
      <c r="R189" s="189"/>
      <c r="S189" s="141"/>
      <c r="T189" s="141"/>
      <c r="U189" s="57"/>
      <c r="V189" s="57"/>
      <c r="W189" s="57"/>
      <c r="X189" s="57"/>
      <c r="Y189" s="57"/>
      <c r="Z189" s="57"/>
      <c r="AA189" s="57"/>
      <c r="AB189" s="57"/>
    </row>
    <row r="190">
      <c r="A190" s="185" t="str">
        <f t="shared" si="1"/>
        <v>20251105-87X</v>
      </c>
      <c r="B190" s="185" t="s">
        <v>53</v>
      </c>
      <c r="C190" s="117"/>
      <c r="D190" s="186">
        <v>10.0</v>
      </c>
      <c r="E190" s="186" t="s">
        <v>1861</v>
      </c>
      <c r="F190" s="117"/>
      <c r="G190" s="189"/>
      <c r="H190" s="202">
        <v>45966.0</v>
      </c>
      <c r="I190" s="48"/>
      <c r="J190" s="189"/>
      <c r="K190" s="203">
        <v>45966.0</v>
      </c>
      <c r="L190" s="193" t="s">
        <v>1080</v>
      </c>
      <c r="M190" s="194" t="s">
        <v>2684</v>
      </c>
      <c r="N190" s="195">
        <v>0.0</v>
      </c>
      <c r="O190" s="201">
        <v>187957.0</v>
      </c>
      <c r="P190" s="193" t="s">
        <v>2685</v>
      </c>
      <c r="Q190" s="117"/>
      <c r="R190" s="189"/>
      <c r="S190" s="141"/>
      <c r="T190" s="141"/>
      <c r="U190" s="57"/>
      <c r="V190" s="57"/>
      <c r="W190" s="57"/>
      <c r="X190" s="57"/>
      <c r="Y190" s="57"/>
      <c r="Z190" s="57"/>
      <c r="AA190" s="57"/>
      <c r="AB190" s="57"/>
    </row>
    <row r="191">
      <c r="A191" s="185" t="str">
        <f t="shared" si="1"/>
        <v>20251105-8AV</v>
      </c>
      <c r="B191" s="185" t="s">
        <v>53</v>
      </c>
      <c r="C191" s="117"/>
      <c r="D191" s="199">
        <v>10.0</v>
      </c>
      <c r="E191" s="200" t="s">
        <v>649</v>
      </c>
      <c r="F191" s="117"/>
      <c r="G191" s="189"/>
      <c r="H191" s="202">
        <v>45966.0</v>
      </c>
      <c r="I191" s="48"/>
      <c r="J191" s="189"/>
      <c r="K191" s="203">
        <v>45966.0</v>
      </c>
      <c r="L191" s="193" t="s">
        <v>1080</v>
      </c>
      <c r="M191" s="194" t="s">
        <v>2684</v>
      </c>
      <c r="N191" s="195">
        <v>0.0</v>
      </c>
      <c r="O191" s="201">
        <v>187957.0</v>
      </c>
      <c r="P191" s="193" t="s">
        <v>2685</v>
      </c>
      <c r="Q191" s="117"/>
      <c r="R191" s="189"/>
      <c r="S191" s="141"/>
      <c r="T191" s="141"/>
      <c r="U191" s="57"/>
      <c r="V191" s="57"/>
      <c r="W191" s="57"/>
      <c r="X191" s="57"/>
      <c r="Y191" s="57"/>
      <c r="Z191" s="57"/>
      <c r="AA191" s="57"/>
      <c r="AB191" s="57"/>
    </row>
    <row r="192">
      <c r="A192" s="185" t="str">
        <f t="shared" si="1"/>
        <v>20251105-8BV</v>
      </c>
      <c r="B192" s="185" t="s">
        <v>53</v>
      </c>
      <c r="C192" s="117"/>
      <c r="D192" s="199">
        <v>10.0</v>
      </c>
      <c r="E192" s="200" t="s">
        <v>2136</v>
      </c>
      <c r="F192" s="117"/>
      <c r="G192" s="189"/>
      <c r="H192" s="202">
        <v>45966.0</v>
      </c>
      <c r="I192" s="48"/>
      <c r="J192" s="189"/>
      <c r="K192" s="203">
        <v>45966.0</v>
      </c>
      <c r="L192" s="193" t="s">
        <v>1080</v>
      </c>
      <c r="M192" s="194" t="s">
        <v>2684</v>
      </c>
      <c r="N192" s="195">
        <v>0.0</v>
      </c>
      <c r="O192" s="201">
        <v>187957.0</v>
      </c>
      <c r="P192" s="193" t="s">
        <v>2685</v>
      </c>
      <c r="Q192" s="117"/>
      <c r="R192" s="189"/>
      <c r="S192" s="141"/>
      <c r="T192" s="141"/>
      <c r="U192" s="57"/>
      <c r="V192" s="57"/>
      <c r="W192" s="57"/>
      <c r="X192" s="57"/>
      <c r="Y192" s="57"/>
      <c r="Z192" s="57"/>
      <c r="AA192" s="57"/>
      <c r="AB192" s="57"/>
    </row>
    <row r="193">
      <c r="A193" s="185" t="str">
        <f t="shared" si="1"/>
        <v>20251105-7UD</v>
      </c>
      <c r="B193" s="185" t="s">
        <v>53</v>
      </c>
      <c r="C193" s="117"/>
      <c r="D193" s="199">
        <v>10.0</v>
      </c>
      <c r="E193" s="200" t="s">
        <v>1858</v>
      </c>
      <c r="F193" s="117"/>
      <c r="G193" s="189"/>
      <c r="H193" s="202">
        <v>45966.0</v>
      </c>
      <c r="I193" s="48"/>
      <c r="J193" s="189"/>
      <c r="K193" s="203">
        <v>45966.0</v>
      </c>
      <c r="L193" s="193" t="s">
        <v>1080</v>
      </c>
      <c r="M193" s="194" t="s">
        <v>2684</v>
      </c>
      <c r="N193" s="195">
        <v>0.0</v>
      </c>
      <c r="O193" s="201">
        <v>187957.0</v>
      </c>
      <c r="P193" s="193" t="s">
        <v>2685</v>
      </c>
      <c r="Q193" s="117"/>
      <c r="R193" s="189"/>
      <c r="S193" s="141"/>
      <c r="T193" s="141"/>
      <c r="U193" s="57"/>
      <c r="V193" s="57"/>
      <c r="W193" s="57"/>
      <c r="X193" s="57"/>
      <c r="Y193" s="57"/>
      <c r="Z193" s="57"/>
      <c r="AA193" s="57"/>
      <c r="AB193" s="57"/>
    </row>
    <row r="194">
      <c r="A194" s="185" t="str">
        <f t="shared" si="1"/>
        <v>20251105-7XS</v>
      </c>
      <c r="B194" s="185" t="s">
        <v>53</v>
      </c>
      <c r="C194" s="117"/>
      <c r="D194" s="199">
        <v>10.0</v>
      </c>
      <c r="E194" s="200" t="s">
        <v>2138</v>
      </c>
      <c r="F194" s="117"/>
      <c r="G194" s="189"/>
      <c r="H194" s="202">
        <v>45966.0</v>
      </c>
      <c r="I194" s="48"/>
      <c r="J194" s="189"/>
      <c r="K194" s="203">
        <v>45966.0</v>
      </c>
      <c r="L194" s="193" t="s">
        <v>1080</v>
      </c>
      <c r="M194" s="194" t="s">
        <v>2684</v>
      </c>
      <c r="N194" s="195">
        <v>0.0</v>
      </c>
      <c r="O194" s="201">
        <v>187957.0</v>
      </c>
      <c r="P194" s="193" t="s">
        <v>2685</v>
      </c>
      <c r="Q194" s="117"/>
      <c r="R194" s="189"/>
      <c r="S194" s="141"/>
      <c r="T194" s="141"/>
      <c r="U194" s="57"/>
      <c r="V194" s="57"/>
      <c r="W194" s="57"/>
      <c r="X194" s="57"/>
      <c r="Y194" s="57"/>
      <c r="Z194" s="57"/>
      <c r="AA194" s="57"/>
      <c r="AB194" s="57"/>
    </row>
    <row r="195">
      <c r="A195" s="185" t="str">
        <f t="shared" si="1"/>
        <v>20251105-7ZS</v>
      </c>
      <c r="B195" s="185" t="s">
        <v>53</v>
      </c>
      <c r="C195" s="117"/>
      <c r="D195" s="199">
        <v>10.0</v>
      </c>
      <c r="E195" s="200" t="s">
        <v>659</v>
      </c>
      <c r="F195" s="117"/>
      <c r="G195" s="189"/>
      <c r="H195" s="202">
        <v>45966.0</v>
      </c>
      <c r="I195" s="48"/>
      <c r="J195" s="189"/>
      <c r="K195" s="203">
        <v>45966.0</v>
      </c>
      <c r="L195" s="193" t="s">
        <v>1080</v>
      </c>
      <c r="M195" s="194" t="s">
        <v>2684</v>
      </c>
      <c r="N195" s="195">
        <v>0.0</v>
      </c>
      <c r="O195" s="201">
        <v>187957.0</v>
      </c>
      <c r="P195" s="193" t="s">
        <v>2685</v>
      </c>
      <c r="Q195" s="117"/>
      <c r="R195" s="189"/>
      <c r="S195" s="141"/>
      <c r="T195" s="141"/>
      <c r="U195" s="57"/>
      <c r="V195" s="57"/>
      <c r="W195" s="57"/>
      <c r="X195" s="57"/>
      <c r="Y195" s="57"/>
      <c r="Z195" s="57"/>
      <c r="AA195" s="57"/>
      <c r="AB195" s="57"/>
    </row>
    <row r="196">
      <c r="A196" s="185" t="str">
        <f t="shared" si="1"/>
        <v>20251105-64K</v>
      </c>
      <c r="B196" s="185" t="s">
        <v>53</v>
      </c>
      <c r="C196" s="117"/>
      <c r="D196" s="199">
        <v>10.0</v>
      </c>
      <c r="E196" s="200" t="s">
        <v>2139</v>
      </c>
      <c r="F196" s="117"/>
      <c r="G196" s="189"/>
      <c r="H196" s="202">
        <v>45966.0</v>
      </c>
      <c r="I196" s="48"/>
      <c r="J196" s="189"/>
      <c r="K196" s="203">
        <v>45966.0</v>
      </c>
      <c r="L196" s="193" t="s">
        <v>1080</v>
      </c>
      <c r="M196" s="194" t="s">
        <v>2684</v>
      </c>
      <c r="N196" s="195">
        <v>0.0</v>
      </c>
      <c r="O196" s="201">
        <v>187957.0</v>
      </c>
      <c r="P196" s="193" t="s">
        <v>2685</v>
      </c>
      <c r="Q196" s="117"/>
      <c r="R196" s="189"/>
      <c r="S196" s="141"/>
      <c r="T196" s="141"/>
      <c r="U196" s="57"/>
      <c r="V196" s="57"/>
      <c r="W196" s="57"/>
      <c r="X196" s="57"/>
      <c r="Y196" s="57"/>
      <c r="Z196" s="57"/>
      <c r="AA196" s="57"/>
      <c r="AB196" s="57"/>
    </row>
    <row r="197">
      <c r="A197" s="185" t="str">
        <f t="shared" si="1"/>
        <v>20251105-62F</v>
      </c>
      <c r="B197" s="185" t="s">
        <v>53</v>
      </c>
      <c r="C197" s="117"/>
      <c r="D197" s="199">
        <v>10.0</v>
      </c>
      <c r="E197" s="200" t="s">
        <v>2140</v>
      </c>
      <c r="F197" s="117"/>
      <c r="G197" s="189"/>
      <c r="H197" s="202">
        <v>45966.0</v>
      </c>
      <c r="I197" s="48"/>
      <c r="J197" s="189"/>
      <c r="K197" s="203">
        <v>45966.0</v>
      </c>
      <c r="L197" s="193" t="s">
        <v>1080</v>
      </c>
      <c r="M197" s="194" t="s">
        <v>2684</v>
      </c>
      <c r="N197" s="195">
        <v>0.0</v>
      </c>
      <c r="O197" s="201">
        <v>187957.0</v>
      </c>
      <c r="P197" s="193" t="s">
        <v>2685</v>
      </c>
      <c r="Q197" s="117"/>
      <c r="R197" s="189"/>
      <c r="S197" s="141"/>
      <c r="T197" s="141"/>
      <c r="U197" s="57"/>
      <c r="V197" s="57"/>
      <c r="W197" s="57"/>
      <c r="X197" s="57"/>
      <c r="Y197" s="57"/>
      <c r="Z197" s="57"/>
      <c r="AA197" s="57"/>
      <c r="AB197" s="57"/>
    </row>
    <row r="198">
      <c r="A198" s="185" t="str">
        <f t="shared" si="1"/>
        <v>20251105-65G</v>
      </c>
      <c r="B198" s="185" t="s">
        <v>53</v>
      </c>
      <c r="C198" s="117"/>
      <c r="D198" s="199">
        <v>10.0</v>
      </c>
      <c r="E198" s="200" t="s">
        <v>2141</v>
      </c>
      <c r="F198" s="117"/>
      <c r="G198" s="189"/>
      <c r="H198" s="202">
        <v>45966.0</v>
      </c>
      <c r="I198" s="48"/>
      <c r="J198" s="189"/>
      <c r="K198" s="203">
        <v>45966.0</v>
      </c>
      <c r="L198" s="193" t="s">
        <v>1080</v>
      </c>
      <c r="M198" s="194" t="s">
        <v>2684</v>
      </c>
      <c r="N198" s="195">
        <v>0.0</v>
      </c>
      <c r="O198" s="201">
        <v>187957.0</v>
      </c>
      <c r="P198" s="193" t="s">
        <v>2685</v>
      </c>
      <c r="Q198" s="117"/>
      <c r="R198" s="189"/>
      <c r="S198" s="141"/>
      <c r="T198" s="141"/>
      <c r="U198" s="57"/>
      <c r="V198" s="57"/>
      <c r="W198" s="57"/>
      <c r="X198" s="57"/>
      <c r="Y198" s="57"/>
      <c r="Z198" s="57"/>
      <c r="AA198" s="57"/>
      <c r="AB198" s="57"/>
    </row>
    <row r="199">
      <c r="A199" s="185" t="str">
        <f t="shared" si="1"/>
        <v>20251105-63Q</v>
      </c>
      <c r="B199" s="185" t="s">
        <v>53</v>
      </c>
      <c r="C199" s="117"/>
      <c r="D199" s="199">
        <v>10.0</v>
      </c>
      <c r="E199" s="200" t="s">
        <v>2143</v>
      </c>
      <c r="F199" s="117"/>
      <c r="G199" s="189"/>
      <c r="H199" s="202">
        <v>45966.0</v>
      </c>
      <c r="I199" s="48"/>
      <c r="J199" s="189"/>
      <c r="K199" s="203">
        <v>45966.0</v>
      </c>
      <c r="L199" s="193" t="s">
        <v>1080</v>
      </c>
      <c r="M199" s="194" t="s">
        <v>2684</v>
      </c>
      <c r="N199" s="195">
        <v>0.0</v>
      </c>
      <c r="O199" s="201">
        <v>187957.0</v>
      </c>
      <c r="P199" s="193" t="s">
        <v>2685</v>
      </c>
      <c r="Q199" s="117"/>
      <c r="R199" s="189"/>
      <c r="S199" s="141"/>
      <c r="T199" s="141"/>
      <c r="U199" s="57"/>
      <c r="V199" s="57"/>
      <c r="W199" s="57"/>
      <c r="X199" s="57"/>
      <c r="Y199" s="57"/>
      <c r="Z199" s="57"/>
      <c r="AA199" s="57"/>
      <c r="AB199" s="57"/>
    </row>
    <row r="200">
      <c r="A200" s="185" t="str">
        <f t="shared" si="1"/>
        <v>20251105-66C</v>
      </c>
      <c r="B200" s="185" t="s">
        <v>53</v>
      </c>
      <c r="C200" s="117"/>
      <c r="D200" s="199">
        <v>10.0</v>
      </c>
      <c r="E200" s="200" t="s">
        <v>2145</v>
      </c>
      <c r="F200" s="117"/>
      <c r="G200" s="189"/>
      <c r="H200" s="202">
        <v>45966.0</v>
      </c>
      <c r="I200" s="48"/>
      <c r="J200" s="189"/>
      <c r="K200" s="203">
        <v>45966.0</v>
      </c>
      <c r="L200" s="193" t="s">
        <v>1080</v>
      </c>
      <c r="M200" s="194" t="s">
        <v>2684</v>
      </c>
      <c r="N200" s="195">
        <v>0.0</v>
      </c>
      <c r="O200" s="201">
        <v>187957.0</v>
      </c>
      <c r="P200" s="193" t="s">
        <v>2685</v>
      </c>
      <c r="Q200" s="117"/>
      <c r="R200" s="189"/>
      <c r="S200" s="141"/>
      <c r="T200" s="141"/>
      <c r="U200" s="57"/>
      <c r="V200" s="57"/>
      <c r="W200" s="57"/>
      <c r="X200" s="57"/>
      <c r="Y200" s="57"/>
      <c r="Z200" s="57"/>
      <c r="AA200" s="57"/>
      <c r="AB200" s="57"/>
    </row>
    <row r="201">
      <c r="A201" s="185" t="str">
        <f t="shared" si="1"/>
        <v>20251105-MT6</v>
      </c>
      <c r="B201" s="185" t="s">
        <v>53</v>
      </c>
      <c r="C201" s="117"/>
      <c r="D201" s="199">
        <v>6.0</v>
      </c>
      <c r="E201" s="200" t="s">
        <v>2146</v>
      </c>
      <c r="F201" s="117"/>
      <c r="G201" s="189"/>
      <c r="H201" s="202">
        <v>45966.0</v>
      </c>
      <c r="I201" s="48"/>
      <c r="J201" s="189"/>
      <c r="K201" s="203">
        <v>45966.0</v>
      </c>
      <c r="L201" s="193" t="s">
        <v>1080</v>
      </c>
      <c r="M201" s="194" t="s">
        <v>2684</v>
      </c>
      <c r="N201" s="195">
        <v>0.0</v>
      </c>
      <c r="O201" s="201">
        <v>187957.0</v>
      </c>
      <c r="P201" s="193" t="s">
        <v>2685</v>
      </c>
      <c r="Q201" s="117"/>
      <c r="R201" s="189"/>
      <c r="S201" s="141"/>
      <c r="T201" s="141"/>
      <c r="U201" s="57"/>
      <c r="V201" s="57"/>
      <c r="W201" s="57"/>
      <c r="X201" s="57"/>
      <c r="Y201" s="57"/>
      <c r="Z201" s="57"/>
      <c r="AA201" s="57"/>
      <c r="AB201" s="57"/>
    </row>
    <row r="202">
      <c r="A202" s="185" t="str">
        <f t="shared" si="1"/>
        <v>20251110-16SH</v>
      </c>
      <c r="B202" s="185" t="s">
        <v>2695</v>
      </c>
      <c r="C202" s="186" t="s">
        <v>2696</v>
      </c>
      <c r="D202" s="199">
        <v>1.0</v>
      </c>
      <c r="E202" s="200" t="s">
        <v>1814</v>
      </c>
      <c r="F202" s="117"/>
      <c r="G202" s="189"/>
      <c r="H202" s="202">
        <v>45971.0</v>
      </c>
      <c r="I202" s="48"/>
      <c r="J202" s="189"/>
      <c r="K202" s="203">
        <v>45971.0</v>
      </c>
      <c r="L202" s="193" t="s">
        <v>38</v>
      </c>
      <c r="M202" s="194">
        <v>497640.0</v>
      </c>
      <c r="N202" s="195">
        <v>150.58</v>
      </c>
      <c r="O202" s="201">
        <v>639360.0</v>
      </c>
      <c r="P202" s="197"/>
      <c r="Q202" s="204" t="s">
        <v>43</v>
      </c>
      <c r="R202" s="204" t="s">
        <v>43</v>
      </c>
      <c r="S202" s="141"/>
      <c r="T202" s="141"/>
      <c r="U202" s="57"/>
      <c r="V202" s="57"/>
      <c r="W202" s="57"/>
      <c r="X202" s="57"/>
      <c r="Y202" s="57"/>
      <c r="Z202" s="57"/>
      <c r="AA202" s="57"/>
      <c r="AB202" s="57"/>
    </row>
    <row r="203">
      <c r="A203" s="185" t="str">
        <f t="shared" si="1"/>
        <v>20251110-1TAG</v>
      </c>
      <c r="B203" s="185" t="s">
        <v>2697</v>
      </c>
      <c r="C203" s="186" t="s">
        <v>2698</v>
      </c>
      <c r="D203" s="199">
        <v>1.0</v>
      </c>
      <c r="E203" s="200" t="s">
        <v>678</v>
      </c>
      <c r="F203" s="186"/>
      <c r="G203" s="189"/>
      <c r="H203" s="202">
        <v>45971.0</v>
      </c>
      <c r="I203" s="48"/>
      <c r="J203" s="189"/>
      <c r="K203" s="203">
        <v>45971.0</v>
      </c>
      <c r="L203" s="193" t="s">
        <v>38</v>
      </c>
      <c r="M203" s="194">
        <v>497640.0</v>
      </c>
      <c r="N203" s="195">
        <v>95.62</v>
      </c>
      <c r="O203" s="201">
        <v>639360.0</v>
      </c>
      <c r="P203" s="197"/>
      <c r="Q203" s="204" t="s">
        <v>43</v>
      </c>
      <c r="R203" s="204" t="s">
        <v>43</v>
      </c>
      <c r="S203" s="141"/>
      <c r="T203" s="141"/>
      <c r="U203" s="57"/>
      <c r="V203" s="57"/>
      <c r="W203" s="57"/>
      <c r="X203" s="57"/>
      <c r="Y203" s="57"/>
      <c r="Z203" s="57"/>
      <c r="AA203" s="57"/>
      <c r="AB203" s="57"/>
    </row>
    <row r="204">
      <c r="A204" s="185" t="str">
        <f t="shared" si="1"/>
        <v>20251110-1VFJ</v>
      </c>
      <c r="B204" s="185" t="s">
        <v>2699</v>
      </c>
      <c r="C204" s="186" t="s">
        <v>2700</v>
      </c>
      <c r="D204" s="199">
        <v>1.0</v>
      </c>
      <c r="E204" s="200" t="s">
        <v>2148</v>
      </c>
      <c r="F204" s="186"/>
      <c r="G204" s="189"/>
      <c r="H204" s="202">
        <v>45971.0</v>
      </c>
      <c r="I204" s="48"/>
      <c r="J204" s="189"/>
      <c r="K204" s="203">
        <v>45971.0</v>
      </c>
      <c r="L204" s="193" t="s">
        <v>38</v>
      </c>
      <c r="M204" s="194">
        <v>497640.0</v>
      </c>
      <c r="N204" s="195">
        <v>62.75</v>
      </c>
      <c r="O204" s="201">
        <v>639360.0</v>
      </c>
      <c r="P204" s="197"/>
      <c r="Q204" s="204" t="s">
        <v>43</v>
      </c>
      <c r="R204" s="204" t="s">
        <v>43</v>
      </c>
      <c r="S204" s="141"/>
      <c r="T204" s="141"/>
      <c r="U204" s="57"/>
      <c r="V204" s="57"/>
      <c r="W204" s="57"/>
      <c r="X204" s="57"/>
      <c r="Y204" s="57"/>
      <c r="Z204" s="57"/>
      <c r="AA204" s="57"/>
      <c r="AB204" s="57"/>
    </row>
    <row r="205">
      <c r="A205" s="185" t="str">
        <f t="shared" si="1"/>
        <v>20251110-17GH</v>
      </c>
      <c r="B205" s="185" t="s">
        <v>2702</v>
      </c>
      <c r="C205" s="117"/>
      <c r="D205" s="186">
        <v>1.0</v>
      </c>
      <c r="E205" s="186" t="s">
        <v>2149</v>
      </c>
      <c r="F205" s="186"/>
      <c r="G205" s="186" t="s">
        <v>35</v>
      </c>
      <c r="H205" s="202">
        <v>45971.0</v>
      </c>
      <c r="I205" s="48"/>
      <c r="J205" s="189"/>
      <c r="K205" s="203">
        <v>45971.0</v>
      </c>
      <c r="L205" s="193" t="s">
        <v>38</v>
      </c>
      <c r="M205" s="194">
        <v>497640.0</v>
      </c>
      <c r="N205" s="195">
        <v>79.09</v>
      </c>
      <c r="O205" s="201">
        <v>639360.0</v>
      </c>
      <c r="P205" s="197"/>
      <c r="Q205" s="204" t="s">
        <v>43</v>
      </c>
      <c r="R205" s="204" t="s">
        <v>43</v>
      </c>
      <c r="S205" s="141"/>
      <c r="T205" s="141"/>
      <c r="U205" s="57"/>
      <c r="V205" s="57"/>
      <c r="W205" s="57"/>
      <c r="X205" s="57"/>
      <c r="Y205" s="57"/>
      <c r="Z205" s="57"/>
      <c r="AA205" s="57"/>
      <c r="AB205" s="57"/>
    </row>
    <row r="206">
      <c r="A206" s="185" t="str">
        <f t="shared" si="1"/>
        <v>20251110-1A65</v>
      </c>
      <c r="B206" s="185" t="s">
        <v>53</v>
      </c>
      <c r="C206" s="117"/>
      <c r="D206" s="186">
        <v>1.0</v>
      </c>
      <c r="E206" s="186" t="s">
        <v>1893</v>
      </c>
      <c r="F206" s="117"/>
      <c r="G206" s="189"/>
      <c r="H206" s="202">
        <v>45971.0</v>
      </c>
      <c r="I206" s="48"/>
      <c r="J206" s="189"/>
      <c r="K206" s="203">
        <v>45971.0</v>
      </c>
      <c r="L206" s="193" t="s">
        <v>38</v>
      </c>
      <c r="M206" s="194">
        <v>497640.0</v>
      </c>
      <c r="N206" s="195">
        <v>152.81</v>
      </c>
      <c r="O206" s="201">
        <v>639360.0</v>
      </c>
      <c r="P206" s="197"/>
      <c r="Q206" s="117"/>
      <c r="R206" s="189"/>
      <c r="S206" s="141"/>
      <c r="T206" s="141"/>
      <c r="U206" s="57"/>
      <c r="V206" s="57"/>
      <c r="W206" s="57"/>
      <c r="X206" s="57"/>
      <c r="Y206" s="57"/>
      <c r="Z206" s="57"/>
      <c r="AA206" s="57"/>
      <c r="AB206" s="57"/>
    </row>
    <row r="207">
      <c r="A207" s="185" t="str">
        <f t="shared" si="1"/>
        <v>20251110-R6M</v>
      </c>
      <c r="B207" s="185" t="s">
        <v>2669</v>
      </c>
      <c r="C207" s="117"/>
      <c r="D207" s="186">
        <v>1.0</v>
      </c>
      <c r="E207" s="186" t="s">
        <v>558</v>
      </c>
      <c r="F207" s="117"/>
      <c r="G207" s="189"/>
      <c r="H207" s="202">
        <v>45971.0</v>
      </c>
      <c r="I207" s="48"/>
      <c r="J207" s="189"/>
      <c r="K207" s="203">
        <v>45971.0</v>
      </c>
      <c r="L207" s="193" t="s">
        <v>38</v>
      </c>
      <c r="M207" s="194">
        <v>497640.0</v>
      </c>
      <c r="N207" s="195">
        <v>104.03</v>
      </c>
      <c r="O207" s="201">
        <v>639360.0</v>
      </c>
      <c r="P207" s="197"/>
      <c r="Q207" s="117"/>
      <c r="R207" s="189" t="str">
        <f>if(or(LOWER(B207)="name",LOWER(B207)="stock")=true,"Y","")</f>
        <v/>
      </c>
      <c r="S207" s="141"/>
      <c r="T207" s="141"/>
      <c r="U207" s="57"/>
      <c r="V207" s="57"/>
      <c r="W207" s="57"/>
      <c r="X207" s="57"/>
      <c r="Y207" s="57"/>
      <c r="Z207" s="57"/>
      <c r="AA207" s="57"/>
      <c r="AB207" s="57"/>
    </row>
    <row r="208">
      <c r="A208" s="185" t="str">
        <f t="shared" si="1"/>
        <v>20251114-VFP</v>
      </c>
      <c r="B208" s="185" t="s">
        <v>53</v>
      </c>
      <c r="C208" s="117"/>
      <c r="D208" s="186">
        <v>1.0</v>
      </c>
      <c r="E208" s="186" t="s">
        <v>146</v>
      </c>
      <c r="F208" s="117"/>
      <c r="G208" s="189"/>
      <c r="H208" s="202">
        <v>45975.0</v>
      </c>
      <c r="I208" s="48"/>
      <c r="J208" s="189"/>
      <c r="K208" s="203">
        <v>45975.0</v>
      </c>
      <c r="L208" s="193" t="s">
        <v>347</v>
      </c>
      <c r="M208" s="194" t="s">
        <v>2704</v>
      </c>
      <c r="N208" s="195">
        <v>95.4</v>
      </c>
      <c r="O208" s="196"/>
      <c r="P208" s="197"/>
      <c r="Q208" s="117"/>
      <c r="R208" s="189"/>
      <c r="S208" s="141"/>
      <c r="T208" s="141"/>
      <c r="U208" s="57"/>
      <c r="V208" s="57"/>
      <c r="W208" s="57"/>
      <c r="X208" s="57"/>
      <c r="Y208" s="57"/>
      <c r="Z208" s="57"/>
      <c r="AA208" s="57"/>
      <c r="AB208" s="57"/>
    </row>
    <row r="209">
      <c r="A209" s="185" t="str">
        <f t="shared" si="1"/>
        <v>20251117-1DXN</v>
      </c>
      <c r="B209" s="185" t="s">
        <v>2068</v>
      </c>
      <c r="C209" s="117"/>
      <c r="D209" s="186">
        <v>1.0</v>
      </c>
      <c r="E209" s="186" t="s">
        <v>244</v>
      </c>
      <c r="F209" s="117"/>
      <c r="G209" s="204"/>
      <c r="H209" s="292">
        <v>45978.0</v>
      </c>
      <c r="I209" s="48"/>
      <c r="J209" s="204" t="s">
        <v>797</v>
      </c>
      <c r="K209" s="203">
        <v>45975.0</v>
      </c>
      <c r="L209" s="193" t="s">
        <v>347</v>
      </c>
      <c r="M209" s="194" t="s">
        <v>2704</v>
      </c>
      <c r="N209" s="195">
        <v>95.4</v>
      </c>
      <c r="O209" s="196"/>
      <c r="P209" s="197"/>
      <c r="Q209" s="186" t="s">
        <v>43</v>
      </c>
      <c r="R209" s="204" t="s">
        <v>43</v>
      </c>
      <c r="S209" s="141"/>
      <c r="T209" s="141"/>
      <c r="U209" s="57"/>
      <c r="V209" s="57"/>
      <c r="W209" s="57"/>
      <c r="X209" s="57"/>
      <c r="Y209" s="57"/>
      <c r="Z209" s="57"/>
      <c r="AA209" s="57"/>
      <c r="AB209" s="57"/>
    </row>
    <row r="210">
      <c r="A210" s="185" t="str">
        <f t="shared" si="1"/>
        <v>20251124-L62</v>
      </c>
      <c r="B210" s="185" t="s">
        <v>2705</v>
      </c>
      <c r="C210" s="117"/>
      <c r="D210" s="186">
        <v>1.0</v>
      </c>
      <c r="E210" s="186" t="s">
        <v>51</v>
      </c>
      <c r="F210" s="117"/>
      <c r="G210" s="204" t="s">
        <v>35</v>
      </c>
      <c r="H210" s="292">
        <v>45985.0</v>
      </c>
      <c r="I210" s="48"/>
      <c r="J210" s="204" t="s">
        <v>801</v>
      </c>
      <c r="K210" s="203">
        <v>45975.0</v>
      </c>
      <c r="L210" s="193" t="s">
        <v>347</v>
      </c>
      <c r="M210" s="194" t="s">
        <v>2704</v>
      </c>
      <c r="N210" s="195">
        <v>95.4</v>
      </c>
      <c r="O210" s="196"/>
      <c r="P210" s="197"/>
      <c r="Q210" s="186" t="s">
        <v>43</v>
      </c>
      <c r="R210" s="204" t="s">
        <v>43</v>
      </c>
      <c r="S210" s="141"/>
      <c r="T210" s="141"/>
      <c r="U210" s="57"/>
      <c r="V210" s="57"/>
      <c r="W210" s="57"/>
      <c r="X210" s="57"/>
      <c r="Y210" s="57"/>
      <c r="Z210" s="57"/>
      <c r="AA210" s="57"/>
      <c r="AB210" s="57"/>
    </row>
    <row r="211">
      <c r="A211" s="185" t="str">
        <f t="shared" si="1"/>
        <v>20251113-1W30</v>
      </c>
      <c r="B211" s="185" t="s">
        <v>2706</v>
      </c>
      <c r="C211" s="186" t="s">
        <v>2707</v>
      </c>
      <c r="D211" s="186">
        <v>1.0</v>
      </c>
      <c r="E211" s="186" t="s">
        <v>699</v>
      </c>
      <c r="F211" s="117"/>
      <c r="G211" s="189"/>
      <c r="H211" s="202">
        <v>45974.0</v>
      </c>
      <c r="I211" s="48"/>
      <c r="J211" s="189"/>
      <c r="K211" s="203">
        <v>45974.0</v>
      </c>
      <c r="L211" s="193" t="s">
        <v>38</v>
      </c>
      <c r="M211" s="194">
        <v>498269.0</v>
      </c>
      <c r="N211" s="195">
        <v>142.83</v>
      </c>
      <c r="O211" s="201">
        <v>640330.0</v>
      </c>
      <c r="P211" s="193" t="s">
        <v>2653</v>
      </c>
      <c r="Q211" s="186" t="s">
        <v>59</v>
      </c>
      <c r="R211" s="204" t="s">
        <v>43</v>
      </c>
      <c r="S211" s="141"/>
      <c r="T211" s="141"/>
      <c r="U211" s="57"/>
      <c r="V211" s="57"/>
      <c r="W211" s="57"/>
      <c r="X211" s="57"/>
      <c r="Y211" s="57"/>
      <c r="Z211" s="57"/>
      <c r="AA211" s="57"/>
      <c r="AB211" s="57"/>
    </row>
    <row r="212">
      <c r="A212" s="185" t="str">
        <f t="shared" si="1"/>
        <v>20251113-MNN</v>
      </c>
      <c r="B212" s="185" t="s">
        <v>1144</v>
      </c>
      <c r="C212" s="117"/>
      <c r="D212" s="186">
        <v>1.0</v>
      </c>
      <c r="E212" s="186" t="s">
        <v>51</v>
      </c>
      <c r="F212" s="186"/>
      <c r="G212" s="186" t="s">
        <v>35</v>
      </c>
      <c r="H212" s="202">
        <v>45974.0</v>
      </c>
      <c r="I212" s="48"/>
      <c r="J212" s="189"/>
      <c r="K212" s="203">
        <v>45974.0</v>
      </c>
      <c r="L212" s="193" t="s">
        <v>38</v>
      </c>
      <c r="M212" s="194">
        <v>498269.0</v>
      </c>
      <c r="N212" s="195">
        <v>114.0</v>
      </c>
      <c r="O212" s="201">
        <v>640330.0</v>
      </c>
      <c r="P212" s="197"/>
      <c r="Q212" s="186" t="s">
        <v>43</v>
      </c>
      <c r="R212" s="204" t="s">
        <v>43</v>
      </c>
      <c r="S212" s="141"/>
      <c r="T212" s="141"/>
      <c r="U212" s="57"/>
      <c r="V212" s="57"/>
      <c r="W212" s="57"/>
      <c r="X212" s="57"/>
      <c r="Y212" s="57"/>
      <c r="Z212" s="57"/>
      <c r="AA212" s="57"/>
      <c r="AB212" s="57"/>
    </row>
    <row r="213">
      <c r="A213" s="185" t="str">
        <f t="shared" si="1"/>
        <v>20251113-1A4J</v>
      </c>
      <c r="B213" s="185" t="s">
        <v>1076</v>
      </c>
      <c r="C213" s="117"/>
      <c r="D213" s="186">
        <v>1.0</v>
      </c>
      <c r="E213" s="186" t="s">
        <v>2151</v>
      </c>
      <c r="F213" s="117"/>
      <c r="G213" s="189"/>
      <c r="H213" s="202">
        <v>45974.0</v>
      </c>
      <c r="I213" s="48"/>
      <c r="J213" s="189"/>
      <c r="K213" s="203">
        <v>45974.0</v>
      </c>
      <c r="L213" s="193" t="s">
        <v>38</v>
      </c>
      <c r="M213" s="194">
        <v>498269.0</v>
      </c>
      <c r="N213" s="195">
        <v>71.25</v>
      </c>
      <c r="O213" s="201">
        <v>640330.0</v>
      </c>
      <c r="P213" s="193" t="s">
        <v>2653</v>
      </c>
      <c r="Q213" s="186" t="s">
        <v>59</v>
      </c>
      <c r="R213" s="204" t="s">
        <v>43</v>
      </c>
      <c r="S213" s="141"/>
      <c r="T213" s="141"/>
      <c r="U213" s="57"/>
      <c r="V213" s="57"/>
      <c r="W213" s="57"/>
      <c r="X213" s="57"/>
      <c r="Y213" s="57"/>
      <c r="Z213" s="57"/>
      <c r="AA213" s="57"/>
      <c r="AB213" s="57"/>
    </row>
    <row r="214">
      <c r="A214" s="185" t="str">
        <f t="shared" si="1"/>
        <v>20251113-1Y4T</v>
      </c>
      <c r="B214" s="185" t="s">
        <v>1237</v>
      </c>
      <c r="C214" s="186" t="s">
        <v>1238</v>
      </c>
      <c r="D214" s="186">
        <v>1.0</v>
      </c>
      <c r="E214" s="186" t="s">
        <v>2152</v>
      </c>
      <c r="F214" s="186"/>
      <c r="G214" s="189"/>
      <c r="H214" s="202">
        <v>45974.0</v>
      </c>
      <c r="I214" s="48"/>
      <c r="J214" s="189"/>
      <c r="K214" s="203">
        <v>45974.0</v>
      </c>
      <c r="L214" s="193" t="s">
        <v>38</v>
      </c>
      <c r="M214" s="194">
        <v>498269.0</v>
      </c>
      <c r="N214" s="195">
        <v>92.95</v>
      </c>
      <c r="O214" s="201">
        <v>640330.0</v>
      </c>
      <c r="P214" s="197"/>
      <c r="Q214" s="186" t="s">
        <v>1287</v>
      </c>
      <c r="R214" s="204" t="s">
        <v>43</v>
      </c>
      <c r="S214" s="141"/>
      <c r="T214" s="141"/>
      <c r="U214" s="57"/>
      <c r="V214" s="57"/>
      <c r="W214" s="57"/>
      <c r="X214" s="57"/>
      <c r="Y214" s="57"/>
      <c r="Z214" s="57"/>
      <c r="AA214" s="57"/>
      <c r="AB214" s="57"/>
    </row>
    <row r="215">
      <c r="A215" s="185" t="str">
        <f t="shared" si="1"/>
        <v>20251113-2VZ2</v>
      </c>
      <c r="B215" s="185" t="s">
        <v>2708</v>
      </c>
      <c r="C215" s="186" t="s">
        <v>2709</v>
      </c>
      <c r="D215" s="186">
        <v>1.0</v>
      </c>
      <c r="E215" s="186" t="s">
        <v>2153</v>
      </c>
      <c r="F215" s="186" t="s">
        <v>2710</v>
      </c>
      <c r="G215" s="189"/>
      <c r="H215" s="202">
        <v>45974.0</v>
      </c>
      <c r="I215" s="48"/>
      <c r="J215" s="189"/>
      <c r="K215" s="203">
        <v>45974.0</v>
      </c>
      <c r="L215" s="193" t="s">
        <v>38</v>
      </c>
      <c r="M215" s="194">
        <v>498269.0</v>
      </c>
      <c r="N215" s="195">
        <v>50.11</v>
      </c>
      <c r="O215" s="201">
        <v>640330.0</v>
      </c>
      <c r="P215" s="197"/>
      <c r="Q215" s="186" t="s">
        <v>43</v>
      </c>
      <c r="R215" s="204" t="s">
        <v>43</v>
      </c>
      <c r="S215" s="141"/>
      <c r="T215" s="141"/>
      <c r="U215" s="57"/>
      <c r="V215" s="57"/>
      <c r="W215" s="57"/>
      <c r="X215" s="57"/>
      <c r="Y215" s="57"/>
      <c r="Z215" s="57"/>
      <c r="AA215" s="57"/>
      <c r="AB215" s="57"/>
    </row>
    <row r="216">
      <c r="A216" s="185" t="str">
        <f t="shared" si="1"/>
        <v>20251113-VFP</v>
      </c>
      <c r="B216" s="185" t="s">
        <v>53</v>
      </c>
      <c r="C216" s="117"/>
      <c r="D216" s="186">
        <v>1.0</v>
      </c>
      <c r="E216" s="186" t="s">
        <v>146</v>
      </c>
      <c r="F216" s="186"/>
      <c r="G216" s="189"/>
      <c r="H216" s="202">
        <v>45974.0</v>
      </c>
      <c r="I216" s="48"/>
      <c r="J216" s="189"/>
      <c r="K216" s="203">
        <v>45974.0</v>
      </c>
      <c r="L216" s="193" t="s">
        <v>38</v>
      </c>
      <c r="M216" s="194">
        <v>498269.0</v>
      </c>
      <c r="N216" s="195">
        <v>156.51</v>
      </c>
      <c r="O216" s="201">
        <v>640330.0</v>
      </c>
      <c r="P216" s="197"/>
      <c r="Q216" s="117"/>
      <c r="R216" s="189"/>
      <c r="S216" s="141"/>
      <c r="T216" s="141"/>
      <c r="U216" s="57"/>
      <c r="V216" s="57"/>
      <c r="W216" s="57"/>
      <c r="X216" s="57"/>
      <c r="Y216" s="57"/>
      <c r="Z216" s="57"/>
      <c r="AA216" s="57"/>
      <c r="AB216" s="57"/>
    </row>
    <row r="217">
      <c r="A217" s="185" t="str">
        <f t="shared" si="1"/>
        <v>20251117-13IN</v>
      </c>
      <c r="B217" s="185" t="s">
        <v>1076</v>
      </c>
      <c r="C217" s="117"/>
      <c r="D217" s="186">
        <v>1.0</v>
      </c>
      <c r="E217" s="186" t="s">
        <v>2154</v>
      </c>
      <c r="F217" s="117"/>
      <c r="G217" s="189"/>
      <c r="H217" s="202">
        <v>45978.0</v>
      </c>
      <c r="I217" s="48"/>
      <c r="J217" s="189"/>
      <c r="K217" s="203">
        <v>45978.0</v>
      </c>
      <c r="L217" s="193" t="s">
        <v>38</v>
      </c>
      <c r="M217" s="194">
        <v>499071.0</v>
      </c>
      <c r="N217" s="314"/>
      <c r="O217" s="201">
        <v>641291.0</v>
      </c>
      <c r="P217" s="197"/>
      <c r="Q217" s="186" t="s">
        <v>43</v>
      </c>
      <c r="R217" s="204" t="s">
        <v>43</v>
      </c>
      <c r="S217" s="141"/>
      <c r="T217" s="141"/>
      <c r="U217" s="57"/>
      <c r="V217" s="57"/>
      <c r="W217" s="57"/>
      <c r="X217" s="57"/>
      <c r="Y217" s="57"/>
      <c r="Z217" s="57"/>
      <c r="AA217" s="57"/>
      <c r="AB217" s="57"/>
    </row>
    <row r="218">
      <c r="A218" s="185" t="str">
        <f t="shared" si="1"/>
        <v>20251117-10PR</v>
      </c>
      <c r="B218" s="185" t="s">
        <v>788</v>
      </c>
      <c r="C218" s="117"/>
      <c r="D218" s="186">
        <v>1.0</v>
      </c>
      <c r="E218" s="186" t="s">
        <v>264</v>
      </c>
      <c r="F218" s="117"/>
      <c r="G218" s="189"/>
      <c r="H218" s="202">
        <v>45978.0</v>
      </c>
      <c r="I218" s="48"/>
      <c r="J218" s="189"/>
      <c r="K218" s="203">
        <v>45978.0</v>
      </c>
      <c r="L218" s="193" t="s">
        <v>38</v>
      </c>
      <c r="M218" s="194">
        <v>499071.0</v>
      </c>
      <c r="N218" s="314"/>
      <c r="O218" s="201" t="s">
        <v>2711</v>
      </c>
      <c r="P218" s="197"/>
      <c r="Q218" s="117"/>
      <c r="R218" s="189" t="str">
        <f>if(or(LOWER(B218)="name",LOWER(B218)="stock")=true,"Y","")</f>
        <v/>
      </c>
      <c r="S218" s="141"/>
      <c r="T218" s="141"/>
      <c r="U218" s="57"/>
      <c r="V218" s="57"/>
      <c r="W218" s="57"/>
      <c r="X218" s="57"/>
      <c r="Y218" s="57"/>
      <c r="Z218" s="57"/>
      <c r="AA218" s="57"/>
      <c r="AB218" s="57"/>
    </row>
    <row r="219">
      <c r="A219" s="185" t="str">
        <f t="shared" si="1"/>
        <v>20251117-1ZY0</v>
      </c>
      <c r="B219" s="185" t="s">
        <v>2712</v>
      </c>
      <c r="C219" s="186" t="s">
        <v>2713</v>
      </c>
      <c r="D219" s="186">
        <v>1.0</v>
      </c>
      <c r="E219" s="186" t="s">
        <v>2156</v>
      </c>
      <c r="F219" s="186"/>
      <c r="G219" s="204" t="s">
        <v>35</v>
      </c>
      <c r="H219" s="202">
        <v>45978.0</v>
      </c>
      <c r="I219" s="48"/>
      <c r="J219" s="189"/>
      <c r="K219" s="203">
        <v>45978.0</v>
      </c>
      <c r="L219" s="193" t="s">
        <v>38</v>
      </c>
      <c r="M219" s="194">
        <v>499071.0</v>
      </c>
      <c r="N219" s="314"/>
      <c r="O219" s="201">
        <v>641291.0</v>
      </c>
      <c r="P219" s="197"/>
      <c r="Q219" s="186" t="s">
        <v>43</v>
      </c>
      <c r="R219" s="204" t="s">
        <v>43</v>
      </c>
      <c r="S219" s="141"/>
      <c r="T219" s="141"/>
      <c r="U219" s="57"/>
      <c r="V219" s="57"/>
      <c r="W219" s="57"/>
      <c r="X219" s="57"/>
      <c r="Y219" s="57"/>
      <c r="Z219" s="57"/>
      <c r="AA219" s="57"/>
      <c r="AB219" s="57"/>
    </row>
    <row r="220">
      <c r="A220" s="185" t="str">
        <f t="shared" si="1"/>
        <v>20251117-1PU1</v>
      </c>
      <c r="B220" s="185" t="s">
        <v>2714</v>
      </c>
      <c r="C220" s="186" t="s">
        <v>2715</v>
      </c>
      <c r="D220" s="186">
        <v>1.0</v>
      </c>
      <c r="E220" s="186" t="s">
        <v>478</v>
      </c>
      <c r="F220" s="117"/>
      <c r="G220" s="189"/>
      <c r="H220" s="202">
        <v>45978.0</v>
      </c>
      <c r="I220" s="48"/>
      <c r="J220" s="189"/>
      <c r="K220" s="203">
        <v>45978.0</v>
      </c>
      <c r="L220" s="193" t="s">
        <v>38</v>
      </c>
      <c r="M220" s="194">
        <v>499071.0</v>
      </c>
      <c r="N220" s="314"/>
      <c r="O220" s="201">
        <v>641291.0</v>
      </c>
      <c r="P220" s="197"/>
      <c r="Q220" s="186" t="s">
        <v>43</v>
      </c>
      <c r="R220" s="204" t="s">
        <v>43</v>
      </c>
      <c r="S220" s="141"/>
      <c r="T220" s="141"/>
      <c r="U220" s="57"/>
      <c r="V220" s="57"/>
      <c r="W220" s="57"/>
      <c r="X220" s="57"/>
      <c r="Y220" s="57"/>
      <c r="Z220" s="57"/>
      <c r="AA220" s="57"/>
      <c r="AB220" s="57"/>
    </row>
    <row r="221">
      <c r="A221" s="185" t="str">
        <f t="shared" si="1"/>
        <v>20251117-3536</v>
      </c>
      <c r="B221" s="185" t="s">
        <v>2716</v>
      </c>
      <c r="C221" s="186" t="s">
        <v>2717</v>
      </c>
      <c r="D221" s="186">
        <v>1.0</v>
      </c>
      <c r="E221" s="186" t="s">
        <v>2158</v>
      </c>
      <c r="F221" s="315"/>
      <c r="G221" s="204" t="s">
        <v>41</v>
      </c>
      <c r="H221" s="202">
        <v>45978.0</v>
      </c>
      <c r="I221" s="48"/>
      <c r="J221" s="189"/>
      <c r="K221" s="203">
        <v>45978.0</v>
      </c>
      <c r="L221" s="193" t="s">
        <v>38</v>
      </c>
      <c r="M221" s="194">
        <v>499071.0</v>
      </c>
      <c r="N221" s="314"/>
      <c r="O221" s="201">
        <v>641291.0</v>
      </c>
      <c r="P221" s="197"/>
      <c r="Q221" s="186" t="s">
        <v>43</v>
      </c>
      <c r="R221" s="204" t="s">
        <v>43</v>
      </c>
      <c r="S221" s="141"/>
      <c r="T221" s="141"/>
      <c r="U221" s="57"/>
      <c r="V221" s="57"/>
      <c r="W221" s="57"/>
      <c r="X221" s="57"/>
      <c r="Y221" s="57"/>
      <c r="Z221" s="57"/>
      <c r="AA221" s="57"/>
      <c r="AB221" s="57"/>
    </row>
    <row r="222">
      <c r="A222" s="185" t="str">
        <f t="shared" si="1"/>
        <v>20251117-1YIC</v>
      </c>
      <c r="B222" s="185" t="s">
        <v>2718</v>
      </c>
      <c r="C222" s="186" t="s">
        <v>2719</v>
      </c>
      <c r="D222" s="186">
        <v>1.0</v>
      </c>
      <c r="E222" s="186" t="s">
        <v>2085</v>
      </c>
      <c r="F222" s="316">
        <v>45990.0</v>
      </c>
      <c r="G222" s="189"/>
      <c r="H222" s="202">
        <v>45978.0</v>
      </c>
      <c r="I222" s="48"/>
      <c r="J222" s="189"/>
      <c r="K222" s="203">
        <v>45978.0</v>
      </c>
      <c r="L222" s="193" t="s">
        <v>38</v>
      </c>
      <c r="M222" s="194">
        <v>499071.0</v>
      </c>
      <c r="N222" s="314"/>
      <c r="O222" s="201">
        <v>641291.0</v>
      </c>
      <c r="P222" s="197"/>
      <c r="Q222" s="186" t="s">
        <v>43</v>
      </c>
      <c r="R222" s="204" t="s">
        <v>43</v>
      </c>
      <c r="S222" s="141"/>
      <c r="T222" s="141"/>
      <c r="U222" s="57"/>
      <c r="V222" s="57"/>
      <c r="W222" s="57"/>
      <c r="X222" s="57"/>
      <c r="Y222" s="57"/>
      <c r="Z222" s="57"/>
      <c r="AA222" s="57"/>
      <c r="AB222" s="57"/>
    </row>
    <row r="223">
      <c r="A223" s="185" t="str">
        <f t="shared" si="1"/>
        <v>20251117-2W96</v>
      </c>
      <c r="B223" s="185" t="s">
        <v>2718</v>
      </c>
      <c r="C223" s="186" t="s">
        <v>2719</v>
      </c>
      <c r="D223" s="186">
        <v>1.0</v>
      </c>
      <c r="E223" s="186" t="s">
        <v>2159</v>
      </c>
      <c r="F223" s="316">
        <v>45990.0</v>
      </c>
      <c r="G223" s="189"/>
      <c r="H223" s="202">
        <v>45978.0</v>
      </c>
      <c r="I223" s="48"/>
      <c r="J223" s="189"/>
      <c r="K223" s="203">
        <v>45978.0</v>
      </c>
      <c r="L223" s="193" t="s">
        <v>38</v>
      </c>
      <c r="M223" s="194">
        <v>499071.0</v>
      </c>
      <c r="N223" s="314"/>
      <c r="O223" s="201">
        <v>641291.0</v>
      </c>
      <c r="P223" s="197"/>
      <c r="Q223" s="186" t="s">
        <v>43</v>
      </c>
      <c r="R223" s="204" t="s">
        <v>43</v>
      </c>
      <c r="S223" s="141"/>
      <c r="T223" s="141"/>
      <c r="U223" s="57"/>
      <c r="V223" s="57"/>
      <c r="W223" s="57"/>
      <c r="X223" s="57"/>
      <c r="Y223" s="57"/>
      <c r="Z223" s="57"/>
      <c r="AA223" s="57"/>
      <c r="AB223" s="57"/>
    </row>
    <row r="224">
      <c r="A224" s="185" t="str">
        <f t="shared" si="1"/>
        <v>20251117-3426</v>
      </c>
      <c r="B224" s="185" t="s">
        <v>2718</v>
      </c>
      <c r="C224" s="186" t="s">
        <v>2719</v>
      </c>
      <c r="D224" s="186">
        <v>1.0</v>
      </c>
      <c r="E224" s="186" t="s">
        <v>2160</v>
      </c>
      <c r="F224" s="316">
        <v>45990.0</v>
      </c>
      <c r="G224" s="189"/>
      <c r="H224" s="202">
        <v>45978.0</v>
      </c>
      <c r="I224" s="48"/>
      <c r="J224" s="189"/>
      <c r="K224" s="203">
        <v>45978.0</v>
      </c>
      <c r="L224" s="193" t="s">
        <v>38</v>
      </c>
      <c r="M224" s="194">
        <v>499071.0</v>
      </c>
      <c r="N224" s="314"/>
      <c r="O224" s="201">
        <v>641291.0</v>
      </c>
      <c r="P224" s="197"/>
      <c r="Q224" s="186" t="s">
        <v>43</v>
      </c>
      <c r="R224" s="204" t="s">
        <v>43</v>
      </c>
      <c r="S224" s="141"/>
      <c r="T224" s="141"/>
      <c r="U224" s="57"/>
      <c r="V224" s="57"/>
      <c r="W224" s="57"/>
      <c r="X224" s="57"/>
      <c r="Y224" s="57"/>
      <c r="Z224" s="57"/>
      <c r="AA224" s="57"/>
      <c r="AB224" s="57"/>
    </row>
    <row r="225">
      <c r="A225" s="185" t="str">
        <f t="shared" si="1"/>
        <v>20251117-2C55</v>
      </c>
      <c r="B225" s="185" t="s">
        <v>2718</v>
      </c>
      <c r="C225" s="186" t="s">
        <v>2719</v>
      </c>
      <c r="D225" s="186">
        <v>1.0</v>
      </c>
      <c r="E225" s="186" t="s">
        <v>2161</v>
      </c>
      <c r="F225" s="316">
        <v>45990.0</v>
      </c>
      <c r="G225" s="189"/>
      <c r="H225" s="202">
        <v>45978.0</v>
      </c>
      <c r="I225" s="48"/>
      <c r="J225" s="189"/>
      <c r="K225" s="203">
        <v>45978.0</v>
      </c>
      <c r="L225" s="193" t="s">
        <v>38</v>
      </c>
      <c r="M225" s="194">
        <v>499071.0</v>
      </c>
      <c r="N225" s="314"/>
      <c r="O225" s="201">
        <v>641291.0</v>
      </c>
      <c r="P225" s="197"/>
      <c r="Q225" s="186" t="s">
        <v>43</v>
      </c>
      <c r="R225" s="204" t="s">
        <v>43</v>
      </c>
      <c r="S225" s="141"/>
      <c r="T225" s="141"/>
      <c r="U225" s="57"/>
      <c r="V225" s="57"/>
      <c r="W225" s="57"/>
      <c r="X225" s="57"/>
      <c r="Y225" s="57"/>
      <c r="Z225" s="57"/>
      <c r="AA225" s="57"/>
      <c r="AB225" s="57"/>
    </row>
    <row r="226">
      <c r="A226" s="185" t="str">
        <f t="shared" si="1"/>
        <v>20251117-12Z7</v>
      </c>
      <c r="B226" s="185" t="s">
        <v>2720</v>
      </c>
      <c r="C226" s="117"/>
      <c r="D226" s="186">
        <v>1.0</v>
      </c>
      <c r="E226" s="186" t="s">
        <v>2162</v>
      </c>
      <c r="F226" s="117"/>
      <c r="G226" s="189"/>
      <c r="H226" s="202">
        <v>45978.0</v>
      </c>
      <c r="I226" s="48"/>
      <c r="J226" s="189"/>
      <c r="K226" s="203">
        <v>45978.0</v>
      </c>
      <c r="L226" s="193" t="s">
        <v>38</v>
      </c>
      <c r="M226" s="194">
        <v>499071.0</v>
      </c>
      <c r="N226" s="314"/>
      <c r="O226" s="201">
        <v>641291.0</v>
      </c>
      <c r="P226" s="197"/>
      <c r="Q226" s="186" t="s">
        <v>43</v>
      </c>
      <c r="R226" s="204" t="s">
        <v>43</v>
      </c>
      <c r="S226" s="141"/>
      <c r="T226" s="141"/>
      <c r="U226" s="57"/>
      <c r="V226" s="57"/>
      <c r="W226" s="57"/>
      <c r="X226" s="57"/>
      <c r="Y226" s="57"/>
      <c r="Z226" s="57"/>
      <c r="AA226" s="57"/>
      <c r="AB226" s="57"/>
    </row>
    <row r="227">
      <c r="A227" s="185" t="str">
        <f t="shared" si="1"/>
        <v>20251117-GLL</v>
      </c>
      <c r="B227" s="185" t="s">
        <v>53</v>
      </c>
      <c r="C227" s="117"/>
      <c r="D227" s="186">
        <v>1.0</v>
      </c>
      <c r="E227" s="186" t="s">
        <v>2081</v>
      </c>
      <c r="F227" s="117"/>
      <c r="G227" s="189"/>
      <c r="H227" s="202">
        <v>45978.0</v>
      </c>
      <c r="I227" s="48"/>
      <c r="J227" s="189"/>
      <c r="K227" s="203">
        <v>45978.0</v>
      </c>
      <c r="L227" s="193" t="s">
        <v>38</v>
      </c>
      <c r="M227" s="194">
        <v>499071.0</v>
      </c>
      <c r="N227" s="314"/>
      <c r="O227" s="201">
        <v>641291.0</v>
      </c>
      <c r="P227" s="197"/>
      <c r="Q227" s="117"/>
      <c r="R227" s="189"/>
      <c r="S227" s="141"/>
      <c r="T227" s="141"/>
      <c r="U227" s="57"/>
      <c r="V227" s="57"/>
      <c r="W227" s="57"/>
      <c r="X227" s="57"/>
      <c r="Y227" s="57"/>
      <c r="Z227" s="57"/>
      <c r="AA227" s="57"/>
      <c r="AB227" s="57"/>
    </row>
    <row r="228">
      <c r="A228" s="185" t="str">
        <f t="shared" si="1"/>
        <v>20251117-83U</v>
      </c>
      <c r="B228" s="185" t="s">
        <v>53</v>
      </c>
      <c r="C228" s="117"/>
      <c r="D228" s="186">
        <v>10.0</v>
      </c>
      <c r="E228" s="186" t="s">
        <v>2163</v>
      </c>
      <c r="F228" s="117"/>
      <c r="G228" s="189"/>
      <c r="H228" s="202">
        <v>45978.0</v>
      </c>
      <c r="I228" s="48"/>
      <c r="J228" s="189"/>
      <c r="K228" s="203">
        <v>45978.0</v>
      </c>
      <c r="L228" s="193" t="s">
        <v>38</v>
      </c>
      <c r="M228" s="194">
        <v>499071.0</v>
      </c>
      <c r="N228" s="314">
        <v>1.14</v>
      </c>
      <c r="O228" s="201">
        <v>641291.0</v>
      </c>
      <c r="P228" s="197"/>
      <c r="Q228" s="117"/>
      <c r="R228" s="189"/>
      <c r="S228" s="141"/>
      <c r="T228" s="141"/>
      <c r="U228" s="57"/>
      <c r="V228" s="57"/>
      <c r="W228" s="57"/>
      <c r="X228" s="57"/>
      <c r="Y228" s="57"/>
      <c r="Z228" s="57"/>
      <c r="AA228" s="57"/>
      <c r="AB228" s="57"/>
    </row>
    <row r="229">
      <c r="A229" s="185" t="str">
        <f t="shared" si="1"/>
        <v>20251117-8NS</v>
      </c>
      <c r="B229" s="185" t="s">
        <v>53</v>
      </c>
      <c r="C229" s="117"/>
      <c r="D229" s="186">
        <v>5.0</v>
      </c>
      <c r="E229" s="186" t="s">
        <v>2164</v>
      </c>
      <c r="F229" s="117"/>
      <c r="G229" s="189"/>
      <c r="H229" s="202">
        <v>45978.0</v>
      </c>
      <c r="I229" s="48"/>
      <c r="J229" s="189"/>
      <c r="K229" s="203">
        <v>45978.0</v>
      </c>
      <c r="L229" s="193" t="s">
        <v>38</v>
      </c>
      <c r="M229" s="194">
        <v>499071.0</v>
      </c>
      <c r="N229" s="314">
        <v>1.0</v>
      </c>
      <c r="O229" s="201">
        <v>641291.0</v>
      </c>
      <c r="P229" s="197"/>
      <c r="Q229" s="117"/>
      <c r="R229" s="189"/>
      <c r="S229" s="141"/>
      <c r="T229" s="141"/>
      <c r="U229" s="57"/>
      <c r="V229" s="57"/>
      <c r="W229" s="57"/>
      <c r="X229" s="57"/>
      <c r="Y229" s="57"/>
      <c r="Z229" s="57"/>
      <c r="AA229" s="57"/>
      <c r="AB229" s="57"/>
    </row>
    <row r="230">
      <c r="A230" s="185" t="str">
        <f t="shared" si="1"/>
        <v>20251117-8L7</v>
      </c>
      <c r="B230" s="185" t="s">
        <v>53</v>
      </c>
      <c r="C230" s="117"/>
      <c r="D230" s="186">
        <v>5.0</v>
      </c>
      <c r="E230" s="186" t="s">
        <v>2165</v>
      </c>
      <c r="F230" s="117"/>
      <c r="G230" s="189"/>
      <c r="H230" s="202">
        <v>45978.0</v>
      </c>
      <c r="I230" s="48"/>
      <c r="J230" s="189"/>
      <c r="K230" s="203">
        <v>45978.0</v>
      </c>
      <c r="L230" s="193" t="s">
        <v>38</v>
      </c>
      <c r="M230" s="194">
        <v>499071.0</v>
      </c>
      <c r="N230" s="314"/>
      <c r="O230" s="201">
        <v>641291.0</v>
      </c>
      <c r="P230" s="197"/>
      <c r="Q230" s="117"/>
      <c r="R230" s="189"/>
      <c r="S230" s="141"/>
      <c r="T230" s="141"/>
      <c r="U230" s="57"/>
      <c r="V230" s="57"/>
      <c r="W230" s="57"/>
      <c r="X230" s="57"/>
      <c r="Y230" s="57"/>
      <c r="Z230" s="57"/>
      <c r="AA230" s="57"/>
      <c r="AB230" s="57"/>
    </row>
    <row r="231">
      <c r="A231" s="185" t="str">
        <f t="shared" si="1"/>
        <v>20251117-8P7</v>
      </c>
      <c r="B231" s="185" t="s">
        <v>53</v>
      </c>
      <c r="C231" s="117"/>
      <c r="D231" s="186">
        <v>5.0</v>
      </c>
      <c r="E231" s="186" t="s">
        <v>1956</v>
      </c>
      <c r="F231" s="117"/>
      <c r="G231" s="189"/>
      <c r="H231" s="202">
        <v>45978.0</v>
      </c>
      <c r="I231" s="48"/>
      <c r="J231" s="189"/>
      <c r="K231" s="203">
        <v>45978.0</v>
      </c>
      <c r="L231" s="193" t="s">
        <v>38</v>
      </c>
      <c r="M231" s="194">
        <v>499071.0</v>
      </c>
      <c r="N231" s="314"/>
      <c r="O231" s="201">
        <v>641291.0</v>
      </c>
      <c r="P231" s="197"/>
      <c r="Q231" s="117"/>
      <c r="R231" s="189"/>
      <c r="S231" s="141"/>
      <c r="T231" s="141"/>
      <c r="U231" s="57"/>
      <c r="V231" s="57"/>
      <c r="W231" s="57"/>
      <c r="X231" s="57"/>
      <c r="Y231" s="57"/>
      <c r="Z231" s="57"/>
      <c r="AA231" s="57"/>
      <c r="AB231" s="57"/>
    </row>
    <row r="232">
      <c r="A232" s="185" t="str">
        <f t="shared" si="1"/>
        <v>20251117-4Z2</v>
      </c>
      <c r="B232" s="185" t="s">
        <v>53</v>
      </c>
      <c r="C232" s="117"/>
      <c r="D232" s="186">
        <v>5.0</v>
      </c>
      <c r="E232" s="186" t="s">
        <v>2166</v>
      </c>
      <c r="F232" s="117"/>
      <c r="G232" s="189"/>
      <c r="H232" s="202">
        <v>45978.0</v>
      </c>
      <c r="I232" s="48"/>
      <c r="J232" s="189"/>
      <c r="K232" s="203">
        <v>45978.0</v>
      </c>
      <c r="L232" s="193" t="s">
        <v>38</v>
      </c>
      <c r="M232" s="194">
        <v>499071.0</v>
      </c>
      <c r="N232" s="314">
        <v>1.0</v>
      </c>
      <c r="O232" s="201">
        <v>641291.0</v>
      </c>
      <c r="P232" s="197"/>
      <c r="Q232" s="117"/>
      <c r="R232" s="189"/>
      <c r="S232" s="141"/>
      <c r="T232" s="141"/>
      <c r="U232" s="57"/>
      <c r="V232" s="57"/>
      <c r="W232" s="57"/>
      <c r="X232" s="57"/>
      <c r="Y232" s="57"/>
      <c r="Z232" s="57"/>
      <c r="AA232" s="57"/>
      <c r="AB232" s="57"/>
    </row>
    <row r="233">
      <c r="A233" s="185" t="str">
        <f t="shared" si="1"/>
        <v>20251117-5HX</v>
      </c>
      <c r="B233" s="185" t="s">
        <v>53</v>
      </c>
      <c r="C233" s="117"/>
      <c r="D233" s="186">
        <v>5.0</v>
      </c>
      <c r="E233" s="186" t="s">
        <v>957</v>
      </c>
      <c r="F233" s="117"/>
      <c r="G233" s="189"/>
      <c r="H233" s="202">
        <v>45978.0</v>
      </c>
      <c r="I233" s="48"/>
      <c r="J233" s="189"/>
      <c r="K233" s="203">
        <v>45978.0</v>
      </c>
      <c r="L233" s="193" t="s">
        <v>38</v>
      </c>
      <c r="M233" s="194">
        <v>499071.0</v>
      </c>
      <c r="N233" s="314"/>
      <c r="O233" s="201">
        <v>641291.0</v>
      </c>
      <c r="P233" s="197"/>
      <c r="Q233" s="117"/>
      <c r="R233" s="189"/>
      <c r="S233" s="141"/>
      <c r="T233" s="141"/>
      <c r="U233" s="57"/>
      <c r="V233" s="57"/>
      <c r="W233" s="57"/>
      <c r="X233" s="57"/>
      <c r="Y233" s="57"/>
      <c r="Z233" s="57"/>
      <c r="AA233" s="57"/>
      <c r="AB233" s="57"/>
    </row>
    <row r="234">
      <c r="A234" s="185" t="str">
        <f t="shared" si="1"/>
        <v>20251117-5IB</v>
      </c>
      <c r="B234" s="185" t="s">
        <v>53</v>
      </c>
      <c r="C234" s="117"/>
      <c r="D234" s="186">
        <v>5.0</v>
      </c>
      <c r="E234" s="186" t="s">
        <v>1866</v>
      </c>
      <c r="F234" s="117"/>
      <c r="G234" s="189"/>
      <c r="H234" s="202">
        <v>45978.0</v>
      </c>
      <c r="I234" s="48"/>
      <c r="J234" s="189"/>
      <c r="K234" s="203">
        <v>45978.0</v>
      </c>
      <c r="L234" s="193" t="s">
        <v>38</v>
      </c>
      <c r="M234" s="194">
        <v>499071.0</v>
      </c>
      <c r="N234" s="314"/>
      <c r="O234" s="201">
        <v>641291.0</v>
      </c>
      <c r="P234" s="197"/>
      <c r="Q234" s="117"/>
      <c r="R234" s="189"/>
      <c r="S234" s="141"/>
      <c r="T234" s="141"/>
      <c r="U234" s="57"/>
      <c r="V234" s="57"/>
      <c r="W234" s="57"/>
      <c r="X234" s="57"/>
      <c r="Y234" s="57"/>
      <c r="Z234" s="57"/>
      <c r="AA234" s="57"/>
      <c r="AB234" s="57"/>
    </row>
    <row r="235">
      <c r="A235" s="185" t="str">
        <f t="shared" si="1"/>
        <v>20251117-5JZ</v>
      </c>
      <c r="B235" s="185" t="s">
        <v>53</v>
      </c>
      <c r="C235" s="117"/>
      <c r="D235" s="186">
        <v>5.0</v>
      </c>
      <c r="E235" s="186" t="s">
        <v>1868</v>
      </c>
      <c r="F235" s="117"/>
      <c r="G235" s="189"/>
      <c r="H235" s="202">
        <v>45978.0</v>
      </c>
      <c r="I235" s="48"/>
      <c r="J235" s="189"/>
      <c r="K235" s="203">
        <v>45978.0</v>
      </c>
      <c r="L235" s="193" t="s">
        <v>38</v>
      </c>
      <c r="M235" s="194">
        <v>499071.0</v>
      </c>
      <c r="N235" s="314"/>
      <c r="O235" s="201">
        <v>641291.0</v>
      </c>
      <c r="P235" s="197"/>
      <c r="Q235" s="117"/>
      <c r="R235" s="189"/>
      <c r="S235" s="141"/>
      <c r="T235" s="141"/>
      <c r="U235" s="57"/>
      <c r="V235" s="57"/>
      <c r="W235" s="57"/>
      <c r="X235" s="57"/>
      <c r="Y235" s="57"/>
      <c r="Z235" s="57"/>
      <c r="AA235" s="57"/>
      <c r="AB235" s="57"/>
    </row>
    <row r="236">
      <c r="A236" s="185" t="str">
        <f t="shared" si="1"/>
        <v>20251117-5J3</v>
      </c>
      <c r="B236" s="185" t="s">
        <v>53</v>
      </c>
      <c r="C236" s="117"/>
      <c r="D236" s="186">
        <v>5.0</v>
      </c>
      <c r="E236" s="186" t="s">
        <v>2167</v>
      </c>
      <c r="F236" s="117"/>
      <c r="G236" s="189"/>
      <c r="H236" s="202">
        <v>45978.0</v>
      </c>
      <c r="I236" s="48"/>
      <c r="J236" s="189"/>
      <c r="K236" s="203">
        <v>45978.0</v>
      </c>
      <c r="L236" s="193" t="s">
        <v>38</v>
      </c>
      <c r="M236" s="194">
        <v>499071.0</v>
      </c>
      <c r="N236" s="314"/>
      <c r="O236" s="201">
        <v>641291.0</v>
      </c>
      <c r="P236" s="197"/>
      <c r="Q236" s="117"/>
      <c r="R236" s="189"/>
      <c r="S236" s="141"/>
      <c r="T236" s="141"/>
      <c r="U236" s="57"/>
      <c r="V236" s="57"/>
      <c r="W236" s="57"/>
      <c r="X236" s="57"/>
      <c r="Y236" s="57"/>
      <c r="Z236" s="57"/>
      <c r="AA236" s="57"/>
      <c r="AB236" s="57"/>
    </row>
    <row r="237">
      <c r="A237" s="185" t="str">
        <f t="shared" si="1"/>
        <v>20251117-5MF</v>
      </c>
      <c r="B237" s="185" t="s">
        <v>53</v>
      </c>
      <c r="C237" s="117"/>
      <c r="D237" s="186">
        <v>5.0</v>
      </c>
      <c r="E237" s="186" t="s">
        <v>2168</v>
      </c>
      <c r="F237" s="117"/>
      <c r="G237" s="189"/>
      <c r="H237" s="202">
        <v>45978.0</v>
      </c>
      <c r="I237" s="48"/>
      <c r="J237" s="189"/>
      <c r="K237" s="203">
        <v>45978.0</v>
      </c>
      <c r="L237" s="193" t="s">
        <v>38</v>
      </c>
      <c r="M237" s="194">
        <v>499071.0</v>
      </c>
      <c r="N237" s="314"/>
      <c r="O237" s="201">
        <v>641291.0</v>
      </c>
      <c r="P237" s="197"/>
      <c r="Q237" s="117"/>
      <c r="R237" s="189"/>
      <c r="S237" s="141"/>
      <c r="T237" s="141"/>
      <c r="U237" s="57"/>
      <c r="V237" s="57"/>
      <c r="W237" s="57"/>
      <c r="X237" s="57"/>
      <c r="Y237" s="57"/>
      <c r="Z237" s="57"/>
      <c r="AA237" s="57"/>
      <c r="AB237" s="57"/>
    </row>
    <row r="238">
      <c r="A238" s="185" t="str">
        <f t="shared" si="1"/>
        <v>20251117-6HI</v>
      </c>
      <c r="B238" s="185" t="s">
        <v>53</v>
      </c>
      <c r="C238" s="117"/>
      <c r="D238" s="186">
        <v>5.0</v>
      </c>
      <c r="E238" s="186" t="s">
        <v>865</v>
      </c>
      <c r="F238" s="117"/>
      <c r="G238" s="189"/>
      <c r="H238" s="202">
        <v>45978.0</v>
      </c>
      <c r="I238" s="48"/>
      <c r="J238" s="189"/>
      <c r="K238" s="203">
        <v>45978.0</v>
      </c>
      <c r="L238" s="193" t="s">
        <v>38</v>
      </c>
      <c r="M238" s="194">
        <v>499071.0</v>
      </c>
      <c r="N238" s="314"/>
      <c r="O238" s="201">
        <v>641291.0</v>
      </c>
      <c r="P238" s="197"/>
      <c r="Q238" s="117"/>
      <c r="R238" s="189"/>
      <c r="S238" s="141"/>
      <c r="T238" s="141"/>
      <c r="U238" s="57"/>
      <c r="V238" s="57"/>
      <c r="W238" s="57"/>
      <c r="X238" s="57"/>
      <c r="Y238" s="57"/>
      <c r="Z238" s="57"/>
      <c r="AA238" s="57"/>
      <c r="AB238" s="57"/>
    </row>
    <row r="239">
      <c r="A239" s="185" t="str">
        <f t="shared" si="1"/>
        <v>20251117-5TP</v>
      </c>
      <c r="B239" s="185" t="s">
        <v>53</v>
      </c>
      <c r="C239" s="117"/>
      <c r="D239" s="186">
        <v>5.0</v>
      </c>
      <c r="E239" s="186" t="s">
        <v>2169</v>
      </c>
      <c r="F239" s="117"/>
      <c r="G239" s="189"/>
      <c r="H239" s="202">
        <v>45978.0</v>
      </c>
      <c r="I239" s="48"/>
      <c r="J239" s="189"/>
      <c r="K239" s="203">
        <v>45978.0</v>
      </c>
      <c r="L239" s="193" t="s">
        <v>38</v>
      </c>
      <c r="M239" s="194">
        <v>499071.0</v>
      </c>
      <c r="N239" s="314"/>
      <c r="O239" s="201">
        <v>641291.0</v>
      </c>
      <c r="P239" s="197"/>
      <c r="Q239" s="117"/>
      <c r="R239" s="189"/>
      <c r="S239" s="141"/>
      <c r="T239" s="141"/>
      <c r="U239" s="57"/>
      <c r="V239" s="57"/>
      <c r="W239" s="57"/>
      <c r="X239" s="57"/>
      <c r="Y239" s="57"/>
      <c r="Z239" s="57"/>
      <c r="AA239" s="57"/>
      <c r="AB239" s="57"/>
    </row>
    <row r="240">
      <c r="A240" s="185" t="str">
        <f t="shared" si="1"/>
        <v>20251117-6E8</v>
      </c>
      <c r="B240" s="185" t="s">
        <v>53</v>
      </c>
      <c r="C240" s="117"/>
      <c r="D240" s="186">
        <v>5.0</v>
      </c>
      <c r="E240" s="186" t="s">
        <v>1865</v>
      </c>
      <c r="F240" s="117"/>
      <c r="G240" s="189"/>
      <c r="H240" s="202">
        <v>45978.0</v>
      </c>
      <c r="I240" s="48"/>
      <c r="J240" s="189"/>
      <c r="K240" s="203">
        <v>45978.0</v>
      </c>
      <c r="L240" s="193" t="s">
        <v>38</v>
      </c>
      <c r="M240" s="194">
        <v>499071.0</v>
      </c>
      <c r="N240" s="314"/>
      <c r="O240" s="201">
        <v>641291.0</v>
      </c>
      <c r="P240" s="197"/>
      <c r="Q240" s="117"/>
      <c r="R240" s="189"/>
      <c r="S240" s="141"/>
      <c r="T240" s="141"/>
      <c r="U240" s="57"/>
      <c r="V240" s="57"/>
      <c r="W240" s="57"/>
      <c r="X240" s="57"/>
      <c r="Y240" s="57"/>
      <c r="Z240" s="57"/>
      <c r="AA240" s="57"/>
      <c r="AB240" s="57"/>
    </row>
    <row r="241">
      <c r="A241" s="185" t="str">
        <f t="shared" si="1"/>
        <v>20251117-6F4</v>
      </c>
      <c r="B241" s="185" t="s">
        <v>53</v>
      </c>
      <c r="C241" s="117"/>
      <c r="D241" s="186">
        <v>5.0</v>
      </c>
      <c r="E241" s="186" t="s">
        <v>68</v>
      </c>
      <c r="F241" s="117"/>
      <c r="G241" s="189"/>
      <c r="H241" s="202">
        <v>45978.0</v>
      </c>
      <c r="I241" s="48"/>
      <c r="J241" s="189"/>
      <c r="K241" s="203">
        <v>45978.0</v>
      </c>
      <c r="L241" s="193" t="s">
        <v>38</v>
      </c>
      <c r="M241" s="194">
        <v>499071.0</v>
      </c>
      <c r="N241" s="314"/>
      <c r="O241" s="201">
        <v>641291.0</v>
      </c>
      <c r="P241" s="197"/>
      <c r="Q241" s="117"/>
      <c r="R241" s="189"/>
      <c r="S241" s="141"/>
      <c r="T241" s="141"/>
      <c r="U241" s="57"/>
      <c r="V241" s="57"/>
      <c r="W241" s="57"/>
      <c r="X241" s="57"/>
      <c r="Y241" s="57"/>
      <c r="Z241" s="57"/>
      <c r="AA241" s="57"/>
      <c r="AB241" s="57"/>
    </row>
    <row r="242">
      <c r="A242" s="185" t="str">
        <f t="shared" si="1"/>
        <v>20251117-6GW</v>
      </c>
      <c r="B242" s="185" t="s">
        <v>53</v>
      </c>
      <c r="C242" s="117"/>
      <c r="D242" s="186">
        <v>5.0</v>
      </c>
      <c r="E242" s="186" t="s">
        <v>2171</v>
      </c>
      <c r="F242" s="117"/>
      <c r="G242" s="189"/>
      <c r="H242" s="202">
        <v>45978.0</v>
      </c>
      <c r="I242" s="48"/>
      <c r="J242" s="189"/>
      <c r="K242" s="203">
        <v>45978.0</v>
      </c>
      <c r="L242" s="193" t="s">
        <v>38</v>
      </c>
      <c r="M242" s="194">
        <v>499071.0</v>
      </c>
      <c r="N242" s="314"/>
      <c r="O242" s="201">
        <v>641291.0</v>
      </c>
      <c r="P242" s="197"/>
      <c r="Q242" s="117"/>
      <c r="R242" s="189"/>
      <c r="S242" s="141"/>
      <c r="T242" s="141"/>
      <c r="U242" s="57"/>
      <c r="V242" s="57"/>
      <c r="W242" s="57"/>
      <c r="X242" s="57"/>
      <c r="Y242" s="57"/>
      <c r="Z242" s="57"/>
      <c r="AA242" s="57"/>
      <c r="AB242" s="57"/>
    </row>
    <row r="243">
      <c r="A243" s="185" t="str">
        <f t="shared" si="1"/>
        <v>20251117-87V</v>
      </c>
      <c r="B243" s="185" t="s">
        <v>53</v>
      </c>
      <c r="C243" s="117"/>
      <c r="D243" s="186">
        <v>10.0</v>
      </c>
      <c r="E243" s="186" t="s">
        <v>1955</v>
      </c>
      <c r="F243" s="117"/>
      <c r="G243" s="189"/>
      <c r="H243" s="202">
        <v>45978.0</v>
      </c>
      <c r="I243" s="48"/>
      <c r="J243" s="189"/>
      <c r="K243" s="203">
        <v>45978.0</v>
      </c>
      <c r="L243" s="193" t="s">
        <v>38</v>
      </c>
      <c r="M243" s="194">
        <v>499071.0</v>
      </c>
      <c r="N243" s="314"/>
      <c r="O243" s="201">
        <v>641291.0</v>
      </c>
      <c r="P243" s="197"/>
      <c r="Q243" s="117"/>
      <c r="R243" s="189"/>
      <c r="S243" s="141"/>
      <c r="T243" s="141"/>
      <c r="U243" s="57"/>
      <c r="V243" s="57"/>
      <c r="W243" s="57"/>
      <c r="X243" s="57"/>
      <c r="Y243" s="57"/>
      <c r="Z243" s="57"/>
      <c r="AA243" s="57"/>
      <c r="AB243" s="57"/>
    </row>
    <row r="244">
      <c r="A244" s="185" t="str">
        <f t="shared" si="1"/>
        <v>20251117-7UU</v>
      </c>
      <c r="B244" s="185" t="s">
        <v>53</v>
      </c>
      <c r="C244" s="117"/>
      <c r="D244" s="186">
        <v>10.0</v>
      </c>
      <c r="E244" s="186" t="s">
        <v>1859</v>
      </c>
      <c r="F244" s="117"/>
      <c r="G244" s="189"/>
      <c r="H244" s="202">
        <v>45978.0</v>
      </c>
      <c r="I244" s="48"/>
      <c r="J244" s="189"/>
      <c r="K244" s="203">
        <v>45978.0</v>
      </c>
      <c r="L244" s="193" t="s">
        <v>38</v>
      </c>
      <c r="M244" s="194">
        <v>499071.0</v>
      </c>
      <c r="N244" s="314">
        <v>11.0</v>
      </c>
      <c r="O244" s="201">
        <v>661991.0</v>
      </c>
      <c r="P244" s="197"/>
      <c r="Q244" s="117"/>
      <c r="R244" s="189"/>
      <c r="S244" s="141"/>
      <c r="T244" s="141"/>
      <c r="U244" s="57"/>
      <c r="V244" s="57"/>
      <c r="W244" s="57"/>
      <c r="X244" s="57"/>
      <c r="Y244" s="57"/>
      <c r="Z244" s="57"/>
      <c r="AA244" s="57"/>
      <c r="AB244" s="57"/>
    </row>
    <row r="245">
      <c r="A245" s="185" t="str">
        <f t="shared" si="1"/>
        <v>20251117-7VU</v>
      </c>
      <c r="B245" s="185" t="s">
        <v>53</v>
      </c>
      <c r="C245" s="117"/>
      <c r="D245" s="186">
        <v>10.0</v>
      </c>
      <c r="E245" s="186" t="s">
        <v>447</v>
      </c>
      <c r="F245" s="117"/>
      <c r="G245" s="189"/>
      <c r="H245" s="202">
        <v>45978.0</v>
      </c>
      <c r="I245" s="48"/>
      <c r="J245" s="189"/>
      <c r="K245" s="203">
        <v>45978.0</v>
      </c>
      <c r="L245" s="193" t="s">
        <v>38</v>
      </c>
      <c r="M245" s="194">
        <v>499071.0</v>
      </c>
      <c r="N245" s="314"/>
      <c r="O245" s="201">
        <v>641291.0</v>
      </c>
      <c r="P245" s="197"/>
      <c r="Q245" s="117"/>
      <c r="R245" s="189"/>
      <c r="S245" s="141"/>
      <c r="T245" s="141"/>
      <c r="U245" s="57"/>
      <c r="V245" s="57"/>
      <c r="W245" s="57"/>
      <c r="X245" s="57"/>
      <c r="Y245" s="57"/>
      <c r="Z245" s="57"/>
      <c r="AA245" s="57"/>
      <c r="AB245" s="57"/>
    </row>
    <row r="246">
      <c r="A246" s="185" t="str">
        <f t="shared" si="1"/>
        <v>20251117-5H7</v>
      </c>
      <c r="B246" s="185" t="s">
        <v>53</v>
      </c>
      <c r="C246" s="117"/>
      <c r="D246" s="186">
        <v>5.0</v>
      </c>
      <c r="E246" s="186" t="s">
        <v>2172</v>
      </c>
      <c r="F246" s="117"/>
      <c r="G246" s="189"/>
      <c r="H246" s="202">
        <v>45978.0</v>
      </c>
      <c r="I246" s="48"/>
      <c r="J246" s="189"/>
      <c r="K246" s="203">
        <v>45978.0</v>
      </c>
      <c r="L246" s="193" t="s">
        <v>38</v>
      </c>
      <c r="M246" s="194">
        <v>499071.0</v>
      </c>
      <c r="N246" s="314"/>
      <c r="O246" s="201">
        <v>641291.0</v>
      </c>
      <c r="P246" s="197"/>
      <c r="Q246" s="117"/>
      <c r="R246" s="189"/>
      <c r="S246" s="141"/>
      <c r="T246" s="141"/>
      <c r="U246" s="57"/>
      <c r="V246" s="57"/>
      <c r="W246" s="57"/>
      <c r="X246" s="57"/>
      <c r="Y246" s="57"/>
      <c r="Z246" s="57"/>
      <c r="AA246" s="57"/>
      <c r="AB246" s="57"/>
    </row>
    <row r="247">
      <c r="A247" s="185" t="str">
        <f t="shared" si="1"/>
        <v>20251117-5JN</v>
      </c>
      <c r="B247" s="185" t="s">
        <v>53</v>
      </c>
      <c r="C247" s="117"/>
      <c r="D247" s="186">
        <v>5.0</v>
      </c>
      <c r="E247" s="186" t="s">
        <v>2175</v>
      </c>
      <c r="F247" s="117"/>
      <c r="G247" s="189"/>
      <c r="H247" s="202">
        <v>45978.0</v>
      </c>
      <c r="I247" s="48"/>
      <c r="J247" s="189"/>
      <c r="K247" s="203">
        <v>45978.0</v>
      </c>
      <c r="L247" s="193" t="s">
        <v>38</v>
      </c>
      <c r="M247" s="194">
        <v>499071.0</v>
      </c>
      <c r="N247" s="314"/>
      <c r="O247" s="201">
        <v>641291.0</v>
      </c>
      <c r="P247" s="193" t="s">
        <v>2725</v>
      </c>
      <c r="Q247" s="117"/>
      <c r="R247" s="189"/>
      <c r="S247" s="141"/>
      <c r="T247" s="141"/>
      <c r="U247" s="57"/>
      <c r="V247" s="57"/>
      <c r="W247" s="57"/>
      <c r="X247" s="57"/>
      <c r="Y247" s="57"/>
      <c r="Z247" s="57"/>
      <c r="AA247" s="57"/>
      <c r="AB247" s="57"/>
    </row>
    <row r="248">
      <c r="A248" s="185" t="str">
        <f t="shared" si="1"/>
        <v>20251117-89W</v>
      </c>
      <c r="B248" s="185" t="s">
        <v>53</v>
      </c>
      <c r="C248" s="117"/>
      <c r="D248" s="186">
        <v>5.0</v>
      </c>
      <c r="E248" s="186" t="s">
        <v>2176</v>
      </c>
      <c r="F248" s="117"/>
      <c r="G248" s="189"/>
      <c r="H248" s="202">
        <v>45978.0</v>
      </c>
      <c r="I248" s="48"/>
      <c r="J248" s="189"/>
      <c r="K248" s="203">
        <v>45978.0</v>
      </c>
      <c r="L248" s="193" t="s">
        <v>38</v>
      </c>
      <c r="M248" s="194">
        <v>499071.0</v>
      </c>
      <c r="N248" s="314"/>
      <c r="O248" s="201">
        <v>641291.0</v>
      </c>
      <c r="P248" s="197"/>
      <c r="Q248" s="117"/>
      <c r="R248" s="189"/>
      <c r="S248" s="141"/>
      <c r="T248" s="141"/>
      <c r="U248" s="57"/>
      <c r="V248" s="57"/>
      <c r="W248" s="57"/>
      <c r="X248" s="57"/>
      <c r="Y248" s="57"/>
      <c r="Z248" s="57"/>
      <c r="AA248" s="57"/>
      <c r="AB248" s="57"/>
    </row>
    <row r="249">
      <c r="A249" s="185" t="str">
        <f t="shared" si="1"/>
        <v>20251117-8CU</v>
      </c>
      <c r="B249" s="185" t="s">
        <v>53</v>
      </c>
      <c r="C249" s="117"/>
      <c r="D249" s="186">
        <v>5.0</v>
      </c>
      <c r="E249" s="186" t="s">
        <v>2055</v>
      </c>
      <c r="F249" s="117"/>
      <c r="G249" s="189"/>
      <c r="H249" s="202">
        <v>45978.0</v>
      </c>
      <c r="I249" s="48"/>
      <c r="J249" s="189"/>
      <c r="K249" s="203">
        <v>45978.0</v>
      </c>
      <c r="L249" s="193" t="s">
        <v>38</v>
      </c>
      <c r="M249" s="194">
        <v>499071.0</v>
      </c>
      <c r="N249" s="314"/>
      <c r="O249" s="201">
        <v>641291.0</v>
      </c>
      <c r="P249" s="197"/>
      <c r="Q249" s="117"/>
      <c r="R249" s="189"/>
      <c r="S249" s="141"/>
      <c r="T249" s="141"/>
      <c r="U249" s="57"/>
      <c r="V249" s="57"/>
      <c r="W249" s="57"/>
      <c r="X249" s="57"/>
      <c r="Y249" s="57"/>
      <c r="Z249" s="57"/>
      <c r="AA249" s="57"/>
      <c r="AB249" s="57"/>
    </row>
    <row r="250">
      <c r="A250" s="185" t="str">
        <f t="shared" si="1"/>
        <v>20251117-8AB</v>
      </c>
      <c r="B250" s="185" t="s">
        <v>53</v>
      </c>
      <c r="C250" s="117"/>
      <c r="D250" s="186">
        <v>5.0</v>
      </c>
      <c r="E250" s="186" t="s">
        <v>2056</v>
      </c>
      <c r="F250" s="117"/>
      <c r="G250" s="189"/>
      <c r="H250" s="202">
        <v>45978.0</v>
      </c>
      <c r="I250" s="48"/>
      <c r="J250" s="189"/>
      <c r="K250" s="203">
        <v>45978.0</v>
      </c>
      <c r="L250" s="193" t="s">
        <v>38</v>
      </c>
      <c r="M250" s="194">
        <v>499071.0</v>
      </c>
      <c r="N250" s="314"/>
      <c r="O250" s="201">
        <v>641291.0</v>
      </c>
      <c r="P250" s="197"/>
      <c r="Q250" s="117"/>
      <c r="R250" s="189"/>
      <c r="S250" s="141"/>
      <c r="T250" s="141"/>
      <c r="U250" s="57"/>
      <c r="V250" s="57"/>
      <c r="W250" s="57"/>
      <c r="X250" s="57"/>
      <c r="Y250" s="57"/>
      <c r="Z250" s="57"/>
      <c r="AA250" s="57"/>
      <c r="AB250" s="57"/>
    </row>
    <row r="251">
      <c r="A251" s="185" t="str">
        <f t="shared" si="1"/>
        <v>20251117-8KF</v>
      </c>
      <c r="B251" s="185" t="s">
        <v>53</v>
      </c>
      <c r="C251" s="117"/>
      <c r="D251" s="186">
        <v>5.0</v>
      </c>
      <c r="E251" s="186" t="s">
        <v>2178</v>
      </c>
      <c r="F251" s="117"/>
      <c r="G251" s="189"/>
      <c r="H251" s="202">
        <v>45978.0</v>
      </c>
      <c r="I251" s="48"/>
      <c r="J251" s="189"/>
      <c r="K251" s="203">
        <v>45978.0</v>
      </c>
      <c r="L251" s="193" t="s">
        <v>38</v>
      </c>
      <c r="M251" s="194">
        <v>499071.0</v>
      </c>
      <c r="N251" s="314"/>
      <c r="O251" s="201">
        <v>641291.0</v>
      </c>
      <c r="P251" s="197"/>
      <c r="Q251" s="117"/>
      <c r="R251" s="189"/>
      <c r="S251" s="141"/>
      <c r="T251" s="141"/>
      <c r="U251" s="57"/>
      <c r="V251" s="57"/>
      <c r="W251" s="57"/>
      <c r="X251" s="57"/>
      <c r="Y251" s="57"/>
      <c r="Z251" s="57"/>
      <c r="AA251" s="57"/>
      <c r="AB251" s="57"/>
    </row>
    <row r="252">
      <c r="A252" s="185" t="str">
        <f t="shared" si="1"/>
        <v>20251117-1BYZ</v>
      </c>
      <c r="B252" s="185" t="s">
        <v>2728</v>
      </c>
      <c r="C252" s="117"/>
      <c r="D252" s="186">
        <v>1.0</v>
      </c>
      <c r="E252" s="186" t="s">
        <v>2179</v>
      </c>
      <c r="F252" s="315"/>
      <c r="G252" s="189"/>
      <c r="H252" s="202">
        <v>45978.0</v>
      </c>
      <c r="I252" s="48"/>
      <c r="J252" s="189"/>
      <c r="K252" s="203">
        <v>45978.0</v>
      </c>
      <c r="L252" s="193" t="s">
        <v>38</v>
      </c>
      <c r="M252" s="194">
        <v>499071.0</v>
      </c>
      <c r="N252" s="314"/>
      <c r="O252" s="201">
        <v>641291.0</v>
      </c>
      <c r="P252" s="197"/>
      <c r="Q252" s="186" t="s">
        <v>43</v>
      </c>
      <c r="R252" s="204" t="s">
        <v>43</v>
      </c>
      <c r="S252" s="141"/>
      <c r="T252" s="141"/>
      <c r="U252" s="57"/>
      <c r="V252" s="57"/>
      <c r="W252" s="57"/>
      <c r="X252" s="57"/>
      <c r="Y252" s="57"/>
      <c r="Z252" s="57"/>
      <c r="AA252" s="57"/>
      <c r="AB252" s="57"/>
    </row>
    <row r="253">
      <c r="A253" s="185" t="str">
        <f t="shared" si="1"/>
        <v>20251117-PUT</v>
      </c>
      <c r="B253" s="185" t="s">
        <v>2728</v>
      </c>
      <c r="C253" s="117"/>
      <c r="D253" s="186">
        <v>1.0</v>
      </c>
      <c r="E253" s="186" t="s">
        <v>2180</v>
      </c>
      <c r="F253" s="117"/>
      <c r="G253" s="189"/>
      <c r="H253" s="202">
        <v>45978.0</v>
      </c>
      <c r="I253" s="48"/>
      <c r="J253" s="189"/>
      <c r="K253" s="203">
        <v>45978.0</v>
      </c>
      <c r="L253" s="193" t="s">
        <v>38</v>
      </c>
      <c r="M253" s="194">
        <v>499071.0</v>
      </c>
      <c r="N253" s="314"/>
      <c r="O253" s="201">
        <v>641291.0</v>
      </c>
      <c r="P253" s="197"/>
      <c r="Q253" s="186" t="s">
        <v>43</v>
      </c>
      <c r="R253" s="204" t="s">
        <v>43</v>
      </c>
      <c r="S253" s="141"/>
      <c r="T253" s="141"/>
      <c r="U253" s="57"/>
      <c r="V253" s="57"/>
      <c r="W253" s="57"/>
      <c r="X253" s="57"/>
      <c r="Y253" s="57"/>
      <c r="Z253" s="57"/>
      <c r="AA253" s="57"/>
      <c r="AB253" s="57"/>
    </row>
    <row r="254">
      <c r="A254" s="185" t="str">
        <f t="shared" si="1"/>
        <v>20251117-EM5</v>
      </c>
      <c r="B254" s="185" t="s">
        <v>53</v>
      </c>
      <c r="C254" s="117"/>
      <c r="D254" s="186">
        <v>1.0</v>
      </c>
      <c r="E254" s="186" t="s">
        <v>2181</v>
      </c>
      <c r="F254" s="117"/>
      <c r="G254" s="189"/>
      <c r="H254" s="202">
        <v>45978.0</v>
      </c>
      <c r="I254" s="48"/>
      <c r="J254" s="189"/>
      <c r="K254" s="203">
        <v>45978.0</v>
      </c>
      <c r="L254" s="193" t="s">
        <v>38</v>
      </c>
      <c r="M254" s="194">
        <v>499071.0</v>
      </c>
      <c r="N254" s="314"/>
      <c r="O254" s="201" t="s">
        <v>2711</v>
      </c>
      <c r="P254" s="197"/>
      <c r="Q254" s="117"/>
      <c r="R254" s="189"/>
      <c r="S254" s="141"/>
      <c r="T254" s="141"/>
      <c r="U254" s="57"/>
      <c r="V254" s="57"/>
      <c r="W254" s="57"/>
      <c r="X254" s="57"/>
      <c r="Y254" s="57"/>
      <c r="Z254" s="57"/>
      <c r="AA254" s="57"/>
      <c r="AB254" s="57"/>
    </row>
    <row r="255">
      <c r="A255" s="185" t="str">
        <f t="shared" si="1"/>
        <v>20251117-VD9</v>
      </c>
      <c r="B255" s="185" t="s">
        <v>52</v>
      </c>
      <c r="C255" s="117"/>
      <c r="D255" s="186">
        <v>1.0</v>
      </c>
      <c r="E255" s="186" t="s">
        <v>796</v>
      </c>
      <c r="F255" s="186"/>
      <c r="G255" s="189"/>
      <c r="H255" s="202">
        <v>45978.0</v>
      </c>
      <c r="I255" s="48"/>
      <c r="J255" s="189"/>
      <c r="K255" s="203">
        <v>45978.0</v>
      </c>
      <c r="L255" s="193" t="s">
        <v>38</v>
      </c>
      <c r="M255" s="194">
        <v>499071.0</v>
      </c>
      <c r="N255" s="314"/>
      <c r="O255" s="201">
        <v>641291.0</v>
      </c>
      <c r="P255" s="197"/>
      <c r="Q255" s="186" t="s">
        <v>43</v>
      </c>
      <c r="R255" s="204" t="s">
        <v>43</v>
      </c>
      <c r="S255" s="141"/>
      <c r="T255" s="141"/>
      <c r="U255" s="57"/>
      <c r="V255" s="57"/>
      <c r="W255" s="57"/>
      <c r="X255" s="57"/>
      <c r="Y255" s="57"/>
      <c r="Z255" s="57"/>
      <c r="AA255" s="57"/>
      <c r="AB255" s="57"/>
    </row>
    <row r="256">
      <c r="A256" s="185" t="str">
        <f t="shared" si="1"/>
        <v>20251119-L3N</v>
      </c>
      <c r="B256" s="185" t="s">
        <v>487</v>
      </c>
      <c r="C256" s="186"/>
      <c r="D256" s="186">
        <v>1.0</v>
      </c>
      <c r="E256" s="186" t="s">
        <v>1954</v>
      </c>
      <c r="F256" s="117"/>
      <c r="G256" s="204" t="s">
        <v>41</v>
      </c>
      <c r="H256" s="292">
        <v>45980.0</v>
      </c>
      <c r="I256" s="48"/>
      <c r="J256" s="204" t="s">
        <v>797</v>
      </c>
      <c r="K256" s="203">
        <v>45981.0</v>
      </c>
      <c r="L256" s="193" t="s">
        <v>38</v>
      </c>
      <c r="M256" s="194">
        <v>500028.0</v>
      </c>
      <c r="N256" s="195">
        <v>114.0</v>
      </c>
      <c r="O256" s="201">
        <v>642318.0</v>
      </c>
      <c r="P256" s="197"/>
      <c r="Q256" s="186" t="s">
        <v>43</v>
      </c>
      <c r="R256" s="204" t="s">
        <v>43</v>
      </c>
      <c r="S256" s="141"/>
      <c r="T256" s="141"/>
      <c r="U256" s="57"/>
      <c r="V256" s="57"/>
      <c r="W256" s="57"/>
      <c r="X256" s="57"/>
      <c r="Y256" s="57"/>
      <c r="Z256" s="57"/>
      <c r="AA256" s="57"/>
      <c r="AB256" s="57"/>
    </row>
    <row r="257">
      <c r="A257" s="185" t="str">
        <f t="shared" si="1"/>
        <v>20251118-1DGR</v>
      </c>
      <c r="B257" s="185" t="s">
        <v>2731</v>
      </c>
      <c r="C257" s="117"/>
      <c r="D257" s="186">
        <v>1.0</v>
      </c>
      <c r="E257" s="186" t="s">
        <v>2089</v>
      </c>
      <c r="F257" s="117"/>
      <c r="G257" s="204" t="s">
        <v>41</v>
      </c>
      <c r="H257" s="292">
        <v>45979.0</v>
      </c>
      <c r="I257" s="48"/>
      <c r="J257" s="204" t="s">
        <v>797</v>
      </c>
      <c r="K257" s="203">
        <v>45981.0</v>
      </c>
      <c r="L257" s="193" t="s">
        <v>38</v>
      </c>
      <c r="M257" s="194">
        <v>500028.0</v>
      </c>
      <c r="N257" s="195">
        <v>130.63</v>
      </c>
      <c r="O257" s="201">
        <v>642318.0</v>
      </c>
      <c r="P257" s="197"/>
      <c r="Q257" s="186" t="s">
        <v>43</v>
      </c>
      <c r="R257" s="204" t="s">
        <v>43</v>
      </c>
      <c r="S257" s="141"/>
      <c r="T257" s="141"/>
      <c r="U257" s="57"/>
      <c r="V257" s="57"/>
      <c r="W257" s="57"/>
      <c r="X257" s="57"/>
      <c r="Y257" s="57"/>
      <c r="Z257" s="57"/>
      <c r="AA257" s="57"/>
      <c r="AB257" s="57"/>
    </row>
    <row r="258">
      <c r="A258" s="185" t="str">
        <f t="shared" si="1"/>
        <v>20251120-TC2</v>
      </c>
      <c r="B258" s="185" t="s">
        <v>53</v>
      </c>
      <c r="C258" s="117"/>
      <c r="D258" s="186">
        <v>1.0</v>
      </c>
      <c r="E258" s="186" t="s">
        <v>2184</v>
      </c>
      <c r="F258" s="117"/>
      <c r="G258" s="189"/>
      <c r="H258" s="202">
        <v>45981.0</v>
      </c>
      <c r="I258" s="48"/>
      <c r="J258" s="189"/>
      <c r="K258" s="203">
        <v>45981.0</v>
      </c>
      <c r="L258" s="193" t="s">
        <v>38</v>
      </c>
      <c r="M258" s="194">
        <v>500028.0</v>
      </c>
      <c r="N258" s="195">
        <v>77.43</v>
      </c>
      <c r="O258" s="201">
        <v>642318.0</v>
      </c>
      <c r="P258" s="193"/>
      <c r="Q258" s="117"/>
      <c r="R258" s="189"/>
      <c r="S258" s="141"/>
      <c r="T258" s="141"/>
      <c r="U258" s="57"/>
      <c r="V258" s="57"/>
      <c r="W258" s="57"/>
      <c r="X258" s="57"/>
      <c r="Y258" s="57"/>
      <c r="Z258" s="57"/>
      <c r="AA258" s="57"/>
      <c r="AB258" s="57"/>
    </row>
    <row r="259">
      <c r="A259" s="185" t="str">
        <f t="shared" si="1"/>
        <v>20251120-1HJX</v>
      </c>
      <c r="B259" s="185" t="s">
        <v>2733</v>
      </c>
      <c r="C259" s="186" t="s">
        <v>2734</v>
      </c>
      <c r="D259" s="186">
        <v>1.0</v>
      </c>
      <c r="E259" s="186" t="s">
        <v>2185</v>
      </c>
      <c r="F259" s="117"/>
      <c r="G259" s="189"/>
      <c r="H259" s="202">
        <v>45981.0</v>
      </c>
      <c r="I259" s="48"/>
      <c r="J259" s="189"/>
      <c r="K259" s="203">
        <v>45981.0</v>
      </c>
      <c r="L259" s="193" t="s">
        <v>38</v>
      </c>
      <c r="M259" s="194">
        <v>500028.0</v>
      </c>
      <c r="N259" s="195">
        <v>142.83</v>
      </c>
      <c r="O259" s="201">
        <v>642318.0</v>
      </c>
      <c r="P259" s="197"/>
      <c r="Q259" s="186" t="s">
        <v>43</v>
      </c>
      <c r="R259" s="204" t="s">
        <v>43</v>
      </c>
      <c r="S259" s="141"/>
      <c r="T259" s="141"/>
      <c r="U259" s="57"/>
      <c r="V259" s="57"/>
      <c r="W259" s="57"/>
      <c r="X259" s="57"/>
      <c r="Y259" s="57"/>
      <c r="Z259" s="57"/>
      <c r="AA259" s="57"/>
      <c r="AB259" s="57"/>
    </row>
    <row r="260">
      <c r="A260" s="185" t="str">
        <f t="shared" si="1"/>
        <v>20251120-1E2M</v>
      </c>
      <c r="B260" s="185" t="s">
        <v>2736</v>
      </c>
      <c r="C260" s="117"/>
      <c r="D260" s="186">
        <v>1.0</v>
      </c>
      <c r="E260" s="186" t="s">
        <v>146</v>
      </c>
      <c r="F260" s="117"/>
      <c r="G260" s="189"/>
      <c r="H260" s="202">
        <v>45981.0</v>
      </c>
      <c r="I260" s="48"/>
      <c r="J260" s="189"/>
      <c r="K260" s="203">
        <v>45981.0</v>
      </c>
      <c r="L260" s="193" t="s">
        <v>38</v>
      </c>
      <c r="M260" s="194">
        <v>500028.0</v>
      </c>
      <c r="N260" s="195">
        <v>156.51</v>
      </c>
      <c r="O260" s="201">
        <v>642318.0</v>
      </c>
      <c r="P260" s="197"/>
      <c r="Q260" s="186" t="s">
        <v>43</v>
      </c>
      <c r="R260" s="204" t="s">
        <v>43</v>
      </c>
      <c r="S260" s="141"/>
      <c r="T260" s="141"/>
      <c r="U260" s="57"/>
      <c r="V260" s="57"/>
      <c r="W260" s="57"/>
      <c r="X260" s="57"/>
      <c r="Y260" s="57"/>
      <c r="Z260" s="57"/>
      <c r="AA260" s="57"/>
      <c r="AB260" s="57"/>
    </row>
    <row r="261">
      <c r="A261" s="185" t="str">
        <f t="shared" si="1"/>
        <v>20251120-VBL</v>
      </c>
      <c r="B261" s="185" t="s">
        <v>53</v>
      </c>
      <c r="C261" s="117"/>
      <c r="D261" s="186">
        <v>1.0</v>
      </c>
      <c r="E261" s="186" t="s">
        <v>244</v>
      </c>
      <c r="F261" s="117"/>
      <c r="G261" s="189"/>
      <c r="H261" s="202">
        <v>45981.0</v>
      </c>
      <c r="I261" s="48"/>
      <c r="J261" s="189"/>
      <c r="K261" s="203">
        <v>45981.0</v>
      </c>
      <c r="L261" s="193" t="s">
        <v>38</v>
      </c>
      <c r="M261" s="194">
        <v>500028.0</v>
      </c>
      <c r="N261" s="195">
        <v>156.51</v>
      </c>
      <c r="O261" s="201">
        <v>642318.0</v>
      </c>
      <c r="P261" s="197"/>
      <c r="Q261" s="117"/>
      <c r="R261" s="189"/>
      <c r="S261" s="141"/>
      <c r="T261" s="141"/>
      <c r="U261" s="57"/>
      <c r="V261" s="57"/>
      <c r="W261" s="57"/>
      <c r="X261" s="57"/>
      <c r="Y261" s="57"/>
      <c r="Z261" s="57"/>
      <c r="AA261" s="57"/>
      <c r="AB261" s="57"/>
    </row>
    <row r="262">
      <c r="A262" s="185" t="str">
        <f t="shared" si="1"/>
        <v>20251120-VGL</v>
      </c>
      <c r="B262" s="185" t="s">
        <v>53</v>
      </c>
      <c r="C262" s="186"/>
      <c r="D262" s="186">
        <v>1.0</v>
      </c>
      <c r="E262" s="186" t="s">
        <v>471</v>
      </c>
      <c r="F262" s="117"/>
      <c r="G262" s="189"/>
      <c r="H262" s="202">
        <v>45981.0</v>
      </c>
      <c r="I262" s="48"/>
      <c r="J262" s="189"/>
      <c r="K262" s="203">
        <v>45981.0</v>
      </c>
      <c r="L262" s="193" t="s">
        <v>38</v>
      </c>
      <c r="M262" s="194">
        <v>500028.0</v>
      </c>
      <c r="N262" s="195">
        <v>156.51</v>
      </c>
      <c r="O262" s="201">
        <v>642318.0</v>
      </c>
      <c r="P262" s="197"/>
      <c r="Q262" s="117"/>
      <c r="R262" s="189"/>
      <c r="S262" s="141"/>
      <c r="T262" s="141"/>
      <c r="U262" s="57"/>
      <c r="V262" s="57"/>
      <c r="W262" s="57"/>
      <c r="X262" s="57"/>
      <c r="Y262" s="57"/>
      <c r="Z262" s="57"/>
      <c r="AA262" s="57"/>
      <c r="AB262" s="57"/>
    </row>
    <row r="263">
      <c r="A263" s="185" t="str">
        <f t="shared" si="1"/>
        <v>20251120-VCH</v>
      </c>
      <c r="B263" s="185" t="s">
        <v>53</v>
      </c>
      <c r="C263" s="117"/>
      <c r="D263" s="186">
        <v>1.0</v>
      </c>
      <c r="E263" s="186" t="s">
        <v>335</v>
      </c>
      <c r="F263" s="117"/>
      <c r="G263" s="189"/>
      <c r="H263" s="202">
        <v>45981.0</v>
      </c>
      <c r="I263" s="48"/>
      <c r="J263" s="189"/>
      <c r="K263" s="203">
        <v>45981.0</v>
      </c>
      <c r="L263" s="193" t="s">
        <v>38</v>
      </c>
      <c r="M263" s="194">
        <v>500028.0</v>
      </c>
      <c r="N263" s="195">
        <v>156.51</v>
      </c>
      <c r="O263" s="201">
        <v>642318.0</v>
      </c>
      <c r="P263" s="197"/>
      <c r="Q263" s="117"/>
      <c r="R263" s="189"/>
      <c r="S263" s="141"/>
      <c r="T263" s="141"/>
      <c r="U263" s="57"/>
      <c r="V263" s="57"/>
      <c r="W263" s="57"/>
      <c r="X263" s="57"/>
      <c r="Y263" s="57"/>
      <c r="Z263" s="57"/>
      <c r="AA263" s="57"/>
      <c r="AB263" s="57"/>
    </row>
    <row r="264">
      <c r="A264" s="185" t="str">
        <f t="shared" si="1"/>
        <v>20251120-2FZX</v>
      </c>
      <c r="B264" s="185" t="s">
        <v>2738</v>
      </c>
      <c r="C264" s="186" t="s">
        <v>2739</v>
      </c>
      <c r="D264" s="199">
        <v>1.0</v>
      </c>
      <c r="E264" s="200" t="s">
        <v>2189</v>
      </c>
      <c r="F264" s="117"/>
      <c r="G264" s="189"/>
      <c r="H264" s="202">
        <v>45981.0</v>
      </c>
      <c r="I264" s="48"/>
      <c r="J264" s="189"/>
      <c r="K264" s="203">
        <v>45981.0</v>
      </c>
      <c r="L264" s="193" t="s">
        <v>38</v>
      </c>
      <c r="M264" s="194">
        <v>500028.0</v>
      </c>
      <c r="N264" s="195">
        <v>123.5</v>
      </c>
      <c r="O264" s="201">
        <v>642318.0</v>
      </c>
      <c r="P264" s="197"/>
      <c r="Q264" s="186" t="s">
        <v>43</v>
      </c>
      <c r="R264" s="204" t="s">
        <v>43</v>
      </c>
      <c r="S264" s="141"/>
      <c r="T264" s="141"/>
      <c r="U264" s="57"/>
      <c r="V264" s="57"/>
      <c r="W264" s="57"/>
      <c r="X264" s="57"/>
      <c r="Y264" s="57"/>
      <c r="Z264" s="57"/>
      <c r="AA264" s="57"/>
      <c r="AB264" s="57"/>
    </row>
    <row r="265">
      <c r="A265" s="185" t="str">
        <f t="shared" si="1"/>
        <v>20251123-HF8</v>
      </c>
      <c r="B265" s="319" t="s">
        <v>53</v>
      </c>
      <c r="C265" s="186"/>
      <c r="D265" s="186">
        <v>1.0</v>
      </c>
      <c r="E265" s="186" t="s">
        <v>2190</v>
      </c>
      <c r="F265" s="186"/>
      <c r="G265" s="189"/>
      <c r="H265" s="202">
        <v>45984.0</v>
      </c>
      <c r="I265" s="48"/>
      <c r="J265" s="189"/>
      <c r="K265" s="203">
        <v>45984.0</v>
      </c>
      <c r="L265" s="193" t="s">
        <v>38</v>
      </c>
      <c r="M265" s="194">
        <v>500902.0</v>
      </c>
      <c r="N265" s="195">
        <v>42.47</v>
      </c>
      <c r="O265" s="201">
        <v>643259.0</v>
      </c>
      <c r="P265" s="197"/>
      <c r="Q265" s="117"/>
      <c r="R265" s="189"/>
      <c r="S265" s="141"/>
      <c r="T265" s="141"/>
      <c r="U265" s="57"/>
      <c r="V265" s="57"/>
      <c r="W265" s="57"/>
      <c r="X265" s="57"/>
      <c r="Y265" s="57"/>
      <c r="Z265" s="57"/>
      <c r="AA265" s="57"/>
      <c r="AB265" s="57"/>
    </row>
    <row r="266">
      <c r="A266" s="185" t="str">
        <f t="shared" si="1"/>
        <v>20251123-ELK</v>
      </c>
      <c r="B266" s="319" t="s">
        <v>53</v>
      </c>
      <c r="C266" s="186"/>
      <c r="D266" s="186">
        <v>1.0</v>
      </c>
      <c r="E266" s="186" t="s">
        <v>2191</v>
      </c>
      <c r="F266" s="186"/>
      <c r="G266" s="189"/>
      <c r="H266" s="202">
        <v>45984.0</v>
      </c>
      <c r="I266" s="48"/>
      <c r="J266" s="189"/>
      <c r="K266" s="203">
        <v>45984.0</v>
      </c>
      <c r="L266" s="193" t="s">
        <v>38</v>
      </c>
      <c r="M266" s="194">
        <v>500902.0</v>
      </c>
      <c r="N266" s="195">
        <v>154.33</v>
      </c>
      <c r="O266" s="201">
        <v>643259.0</v>
      </c>
      <c r="P266" s="193" t="s">
        <v>2742</v>
      </c>
      <c r="Q266" s="117"/>
      <c r="R266" s="189"/>
      <c r="S266" s="141"/>
      <c r="T266" s="141"/>
      <c r="U266" s="57"/>
      <c r="V266" s="57"/>
      <c r="W266" s="57"/>
      <c r="X266" s="57"/>
      <c r="Y266" s="57"/>
      <c r="Z266" s="57"/>
      <c r="AA266" s="57"/>
      <c r="AB266" s="57"/>
    </row>
    <row r="267">
      <c r="A267" s="185" t="str">
        <f t="shared" si="1"/>
        <v>20251123-EC9</v>
      </c>
      <c r="B267" s="319" t="s">
        <v>53</v>
      </c>
      <c r="C267" s="186"/>
      <c r="D267" s="186">
        <v>1.0</v>
      </c>
      <c r="E267" s="186" t="s">
        <v>1954</v>
      </c>
      <c r="F267" s="200"/>
      <c r="G267" s="204"/>
      <c r="H267" s="202">
        <v>45984.0</v>
      </c>
      <c r="I267" s="320"/>
      <c r="J267" s="204"/>
      <c r="K267" s="203">
        <v>45984.0</v>
      </c>
      <c r="L267" s="193" t="s">
        <v>38</v>
      </c>
      <c r="M267" s="194">
        <v>500902.0</v>
      </c>
      <c r="N267" s="195">
        <v>114.0</v>
      </c>
      <c r="O267" s="201">
        <v>643259.0</v>
      </c>
      <c r="P267" s="197"/>
      <c r="Q267" s="117"/>
      <c r="R267" s="189"/>
      <c r="S267" s="141"/>
      <c r="T267" s="141"/>
      <c r="U267" s="57"/>
      <c r="V267" s="57"/>
      <c r="W267" s="57"/>
      <c r="X267" s="57"/>
      <c r="Y267" s="57"/>
      <c r="Z267" s="57"/>
      <c r="AA267" s="57"/>
      <c r="AB267" s="57"/>
    </row>
    <row r="268">
      <c r="A268" s="185" t="str">
        <f t="shared" si="1"/>
        <v>20251123-5JN</v>
      </c>
      <c r="B268" s="319" t="s">
        <v>53</v>
      </c>
      <c r="C268" s="199"/>
      <c r="D268" s="199">
        <v>5.0</v>
      </c>
      <c r="E268" s="200" t="s">
        <v>2175</v>
      </c>
      <c r="F268" s="186"/>
      <c r="G268" s="204"/>
      <c r="H268" s="202">
        <v>45984.0</v>
      </c>
      <c r="I268" s="320"/>
      <c r="J268" s="204"/>
      <c r="K268" s="203">
        <v>45984.0</v>
      </c>
      <c r="L268" s="193" t="s">
        <v>38</v>
      </c>
      <c r="M268" s="194">
        <v>500902.0</v>
      </c>
      <c r="N268" s="195">
        <v>1.0</v>
      </c>
      <c r="O268" s="201">
        <v>643259.0</v>
      </c>
      <c r="P268" s="197"/>
      <c r="Q268" s="186"/>
      <c r="R268" s="189"/>
      <c r="S268" s="141"/>
      <c r="T268" s="141"/>
      <c r="U268" s="57"/>
      <c r="V268" s="57"/>
      <c r="W268" s="57"/>
      <c r="X268" s="57"/>
      <c r="Y268" s="57"/>
      <c r="Z268" s="57"/>
      <c r="AA268" s="57"/>
      <c r="AB268" s="57"/>
    </row>
    <row r="269">
      <c r="A269" s="185" t="str">
        <f t="shared" si="1"/>
        <v>20251120-1BBF</v>
      </c>
      <c r="B269" s="185" t="s">
        <v>2743</v>
      </c>
      <c r="C269" s="117"/>
      <c r="D269" s="186">
        <v>1.0</v>
      </c>
      <c r="E269" s="186" t="s">
        <v>2194</v>
      </c>
      <c r="F269" s="117"/>
      <c r="G269" s="204" t="s">
        <v>41</v>
      </c>
      <c r="H269" s="322">
        <v>45981.0</v>
      </c>
      <c r="I269" s="320"/>
      <c r="J269" s="204" t="s">
        <v>797</v>
      </c>
      <c r="K269" s="203">
        <v>45984.0</v>
      </c>
      <c r="L269" s="193" t="s">
        <v>38</v>
      </c>
      <c r="M269" s="194">
        <v>500902.0</v>
      </c>
      <c r="N269" s="195">
        <v>97.38</v>
      </c>
      <c r="O269" s="201">
        <v>643259.0</v>
      </c>
      <c r="P269" s="193" t="s">
        <v>2742</v>
      </c>
      <c r="Q269" s="186"/>
      <c r="R269" s="189"/>
      <c r="S269" s="141"/>
      <c r="T269" s="141"/>
      <c r="U269" s="57"/>
      <c r="V269" s="57"/>
      <c r="W269" s="57"/>
      <c r="X269" s="57"/>
      <c r="Y269" s="57"/>
      <c r="Z269" s="57"/>
      <c r="AA269" s="57"/>
      <c r="AB269" s="57"/>
    </row>
    <row r="270">
      <c r="A270" s="185" t="str">
        <f t="shared" si="1"/>
        <v>20251120-1L4N</v>
      </c>
      <c r="B270" s="185" t="s">
        <v>420</v>
      </c>
      <c r="C270" s="117"/>
      <c r="D270" s="186">
        <v>1.0</v>
      </c>
      <c r="E270" s="186" t="s">
        <v>244</v>
      </c>
      <c r="F270" s="186"/>
      <c r="G270" s="204" t="s">
        <v>35</v>
      </c>
      <c r="H270" s="292">
        <v>45981.0</v>
      </c>
      <c r="I270" s="48"/>
      <c r="J270" s="204" t="s">
        <v>797</v>
      </c>
      <c r="K270" s="203">
        <v>45984.0</v>
      </c>
      <c r="L270" s="193" t="s">
        <v>38</v>
      </c>
      <c r="M270" s="194">
        <v>500902.0</v>
      </c>
      <c r="N270" s="195">
        <v>156.51</v>
      </c>
      <c r="O270" s="201">
        <v>643259.0</v>
      </c>
      <c r="P270" s="197"/>
      <c r="Q270" s="186" t="s">
        <v>43</v>
      </c>
      <c r="R270" s="204" t="s">
        <v>43</v>
      </c>
      <c r="S270" s="141"/>
      <c r="T270" s="141"/>
      <c r="U270" s="57"/>
      <c r="V270" s="57"/>
      <c r="W270" s="57"/>
      <c r="X270" s="57"/>
      <c r="Y270" s="57"/>
      <c r="Z270" s="57"/>
      <c r="AA270" s="57"/>
      <c r="AB270" s="57"/>
    </row>
    <row r="271">
      <c r="A271" s="185" t="str">
        <f t="shared" si="1"/>
        <v>20251122-ZXJ</v>
      </c>
      <c r="B271" s="185" t="s">
        <v>334</v>
      </c>
      <c r="C271" s="117"/>
      <c r="D271" s="186">
        <v>1.0</v>
      </c>
      <c r="E271" s="186" t="s">
        <v>2196</v>
      </c>
      <c r="F271" s="117"/>
      <c r="G271" s="204" t="s">
        <v>41</v>
      </c>
      <c r="H271" s="292">
        <v>45983.0</v>
      </c>
      <c r="I271" s="48"/>
      <c r="J271" s="204" t="s">
        <v>797</v>
      </c>
      <c r="K271" s="203">
        <v>45984.0</v>
      </c>
      <c r="L271" s="193" t="s">
        <v>38</v>
      </c>
      <c r="M271" s="194">
        <v>500902.0</v>
      </c>
      <c r="N271" s="195">
        <v>154.33</v>
      </c>
      <c r="O271" s="201">
        <v>643259.0</v>
      </c>
      <c r="P271" s="197"/>
      <c r="Q271" s="186" t="s">
        <v>43</v>
      </c>
      <c r="R271" s="204" t="s">
        <v>43</v>
      </c>
      <c r="S271" s="141"/>
      <c r="T271" s="141"/>
      <c r="U271" s="57"/>
      <c r="V271" s="57"/>
      <c r="W271" s="57"/>
      <c r="X271" s="57"/>
      <c r="Y271" s="57"/>
      <c r="Z271" s="57"/>
      <c r="AA271" s="57"/>
      <c r="AB271" s="57"/>
    </row>
    <row r="272">
      <c r="A272" s="185" t="str">
        <f t="shared" si="1"/>
        <v>20251123-20CV</v>
      </c>
      <c r="B272" s="185" t="s">
        <v>760</v>
      </c>
      <c r="C272" s="186" t="s">
        <v>2747</v>
      </c>
      <c r="D272" s="186">
        <v>1.0</v>
      </c>
      <c r="E272" s="186" t="s">
        <v>244</v>
      </c>
      <c r="F272" s="117"/>
      <c r="G272" s="204" t="s">
        <v>41</v>
      </c>
      <c r="H272" s="202">
        <v>45984.0</v>
      </c>
      <c r="I272" s="48"/>
      <c r="J272" s="189"/>
      <c r="K272" s="203">
        <v>45984.0</v>
      </c>
      <c r="L272" s="193" t="s">
        <v>38</v>
      </c>
      <c r="M272" s="194">
        <v>500902.0</v>
      </c>
      <c r="N272" s="195">
        <v>156.51</v>
      </c>
      <c r="O272" s="201">
        <v>643259.0</v>
      </c>
      <c r="P272" s="197"/>
      <c r="Q272" s="186" t="s">
        <v>43</v>
      </c>
      <c r="R272" s="204" t="s">
        <v>43</v>
      </c>
      <c r="S272" s="141"/>
      <c r="T272" s="141"/>
      <c r="U272" s="57"/>
      <c r="V272" s="57"/>
      <c r="W272" s="57"/>
      <c r="X272" s="57"/>
      <c r="Y272" s="57"/>
      <c r="Z272" s="57"/>
      <c r="AA272" s="57"/>
      <c r="AB272" s="57"/>
    </row>
    <row r="273">
      <c r="A273" s="185" t="str">
        <f t="shared" si="1"/>
        <v>20251123-19JB</v>
      </c>
      <c r="B273" s="185" t="s">
        <v>760</v>
      </c>
      <c r="C273" s="186"/>
      <c r="D273" s="186">
        <v>1.0</v>
      </c>
      <c r="E273" s="186" t="s">
        <v>146</v>
      </c>
      <c r="F273" s="117"/>
      <c r="G273" s="204" t="s">
        <v>41</v>
      </c>
      <c r="H273" s="202">
        <v>45984.0</v>
      </c>
      <c r="I273" s="48"/>
      <c r="J273" s="189"/>
      <c r="K273" s="203">
        <v>45984.0</v>
      </c>
      <c r="L273" s="193" t="s">
        <v>38</v>
      </c>
      <c r="M273" s="194">
        <v>500902.0</v>
      </c>
      <c r="N273" s="195">
        <v>156.51</v>
      </c>
      <c r="O273" s="201">
        <v>643259.0</v>
      </c>
      <c r="P273" s="197"/>
      <c r="Q273" s="186" t="s">
        <v>43</v>
      </c>
      <c r="R273" s="204" t="s">
        <v>43</v>
      </c>
      <c r="S273" s="141"/>
      <c r="T273" s="141"/>
      <c r="U273" s="57"/>
      <c r="V273" s="57"/>
      <c r="W273" s="57"/>
      <c r="X273" s="57"/>
      <c r="Y273" s="57"/>
      <c r="Z273" s="57"/>
      <c r="AA273" s="57"/>
      <c r="AB273" s="57"/>
    </row>
    <row r="274">
      <c r="A274" s="185" t="str">
        <f t="shared" si="1"/>
        <v>20251123-1Y0O</v>
      </c>
      <c r="B274" s="185" t="s">
        <v>2675</v>
      </c>
      <c r="C274" s="186" t="s">
        <v>2749</v>
      </c>
      <c r="D274" s="186">
        <v>1.0</v>
      </c>
      <c r="E274" s="186" t="s">
        <v>471</v>
      </c>
      <c r="F274" s="117"/>
      <c r="G274" s="204" t="s">
        <v>35</v>
      </c>
      <c r="H274" s="292">
        <v>45984.0</v>
      </c>
      <c r="I274" s="48"/>
      <c r="J274" s="189"/>
      <c r="K274" s="203">
        <v>45984.0</v>
      </c>
      <c r="L274" s="193" t="s">
        <v>38</v>
      </c>
      <c r="M274" s="194">
        <v>500902.0</v>
      </c>
      <c r="N274" s="195">
        <v>156.51</v>
      </c>
      <c r="O274" s="201">
        <v>643259.0</v>
      </c>
      <c r="P274" s="197"/>
      <c r="Q274" s="186" t="s">
        <v>43</v>
      </c>
      <c r="R274" s="204" t="s">
        <v>43</v>
      </c>
      <c r="S274" s="141"/>
      <c r="T274" s="141"/>
      <c r="U274" s="57"/>
      <c r="V274" s="57"/>
      <c r="W274" s="57"/>
      <c r="X274" s="57"/>
      <c r="Y274" s="57"/>
      <c r="Z274" s="57"/>
      <c r="AA274" s="57"/>
      <c r="AB274" s="57"/>
    </row>
    <row r="275">
      <c r="A275" s="185" t="str">
        <f t="shared" si="1"/>
        <v>20251123-1EGB</v>
      </c>
      <c r="B275" s="185" t="s">
        <v>273</v>
      </c>
      <c r="C275" s="117"/>
      <c r="D275" s="186">
        <v>1.0</v>
      </c>
      <c r="E275" s="186" t="s">
        <v>244</v>
      </c>
      <c r="F275" s="117"/>
      <c r="G275" s="189"/>
      <c r="H275" s="202">
        <v>45984.0</v>
      </c>
      <c r="I275" s="48"/>
      <c r="J275" s="189"/>
      <c r="K275" s="203">
        <v>45984.0</v>
      </c>
      <c r="L275" s="193" t="s">
        <v>38</v>
      </c>
      <c r="M275" s="194">
        <v>500902.0</v>
      </c>
      <c r="N275" s="195">
        <v>156.51</v>
      </c>
      <c r="O275" s="201">
        <v>643259.0</v>
      </c>
      <c r="P275" s="197"/>
      <c r="Q275" s="186" t="s">
        <v>43</v>
      </c>
      <c r="R275" s="204" t="s">
        <v>43</v>
      </c>
      <c r="S275" s="141"/>
      <c r="T275" s="141"/>
      <c r="U275" s="57"/>
      <c r="V275" s="57"/>
      <c r="W275" s="57"/>
      <c r="X275" s="57"/>
      <c r="Y275" s="57"/>
      <c r="Z275" s="57"/>
      <c r="AA275" s="57"/>
      <c r="AB275" s="57"/>
    </row>
    <row r="276">
      <c r="A276" s="185" t="str">
        <f t="shared" si="1"/>
        <v>20251123-PUS</v>
      </c>
      <c r="B276" s="185" t="s">
        <v>163</v>
      </c>
      <c r="C276" s="186"/>
      <c r="D276" s="199">
        <v>1.0</v>
      </c>
      <c r="E276" s="200" t="s">
        <v>51</v>
      </c>
      <c r="F276" s="117"/>
      <c r="G276" s="204" t="s">
        <v>41</v>
      </c>
      <c r="H276" s="292">
        <v>45984.0</v>
      </c>
      <c r="I276" s="48"/>
      <c r="J276" s="204" t="s">
        <v>797</v>
      </c>
      <c r="K276" s="203">
        <v>45984.0</v>
      </c>
      <c r="L276" s="193" t="s">
        <v>38</v>
      </c>
      <c r="M276" s="194">
        <v>500902.0</v>
      </c>
      <c r="N276" s="195">
        <v>114.0</v>
      </c>
      <c r="O276" s="201">
        <v>643259.0</v>
      </c>
      <c r="P276" s="197"/>
      <c r="Q276" s="186" t="s">
        <v>43</v>
      </c>
      <c r="R276" s="204" t="s">
        <v>43</v>
      </c>
      <c r="S276" s="141"/>
      <c r="T276" s="141"/>
      <c r="U276" s="57"/>
      <c r="V276" s="57"/>
      <c r="W276" s="57"/>
      <c r="X276" s="57"/>
      <c r="Y276" s="57"/>
      <c r="Z276" s="57"/>
      <c r="AA276" s="57"/>
      <c r="AB276" s="57"/>
    </row>
    <row r="277">
      <c r="A277" s="185" t="str">
        <f t="shared" si="1"/>
        <v>20251123-1LV4</v>
      </c>
      <c r="B277" s="185" t="s">
        <v>368</v>
      </c>
      <c r="C277" s="117"/>
      <c r="D277" s="186">
        <v>1.0</v>
      </c>
      <c r="E277" s="186" t="s">
        <v>146</v>
      </c>
      <c r="F277" s="186" t="s">
        <v>2750</v>
      </c>
      <c r="G277" s="204" t="s">
        <v>41</v>
      </c>
      <c r="H277" s="202">
        <v>45984.0</v>
      </c>
      <c r="I277" s="48"/>
      <c r="J277" s="189"/>
      <c r="K277" s="203">
        <v>45984.0</v>
      </c>
      <c r="L277" s="193" t="s">
        <v>38</v>
      </c>
      <c r="M277" s="194">
        <v>500902.0</v>
      </c>
      <c r="N277" s="195">
        <v>156.51</v>
      </c>
      <c r="O277" s="201">
        <v>643259.0</v>
      </c>
      <c r="P277" s="197"/>
      <c r="Q277" s="186" t="s">
        <v>43</v>
      </c>
      <c r="R277" s="204" t="s">
        <v>43</v>
      </c>
      <c r="S277" s="141"/>
      <c r="T277" s="141"/>
      <c r="U277" s="57"/>
      <c r="V277" s="57"/>
      <c r="W277" s="57"/>
      <c r="X277" s="57"/>
      <c r="Y277" s="57"/>
      <c r="Z277" s="57"/>
      <c r="AA277" s="57"/>
      <c r="AB277" s="57"/>
    </row>
    <row r="278">
      <c r="A278" s="185" t="str">
        <f t="shared" si="1"/>
        <v>20251123-C4T</v>
      </c>
      <c r="B278" s="278" t="s">
        <v>53</v>
      </c>
      <c r="C278" s="325"/>
      <c r="D278" s="186">
        <v>4.0</v>
      </c>
      <c r="E278" s="186" t="s">
        <v>2198</v>
      </c>
      <c r="F278" s="117"/>
      <c r="G278" s="189"/>
      <c r="H278" s="202">
        <v>45984.0</v>
      </c>
      <c r="I278" s="48"/>
      <c r="J278" s="189"/>
      <c r="K278" s="203">
        <v>45984.0</v>
      </c>
      <c r="L278" s="193" t="s">
        <v>38</v>
      </c>
      <c r="M278" s="194">
        <v>500902.0</v>
      </c>
      <c r="N278" s="195">
        <v>4.51</v>
      </c>
      <c r="O278" s="201">
        <v>643259.0</v>
      </c>
      <c r="P278" s="197"/>
      <c r="Q278" s="117"/>
      <c r="R278" s="189"/>
      <c r="S278" s="141"/>
      <c r="T278" s="141"/>
      <c r="U278" s="57"/>
      <c r="V278" s="57"/>
      <c r="W278" s="57"/>
      <c r="X278" s="57"/>
      <c r="Y278" s="57"/>
      <c r="Z278" s="57"/>
      <c r="AA278" s="57"/>
      <c r="AB278" s="57"/>
    </row>
    <row r="279">
      <c r="A279" s="185" t="str">
        <f t="shared" si="1"/>
        <v>20251122-3ETW</v>
      </c>
      <c r="B279" s="198" t="s">
        <v>1352</v>
      </c>
      <c r="C279" s="186" t="s">
        <v>1353</v>
      </c>
      <c r="D279" s="186">
        <v>1.0</v>
      </c>
      <c r="E279" s="186" t="s">
        <v>2160</v>
      </c>
      <c r="F279" s="117"/>
      <c r="G279" s="204" t="s">
        <v>41</v>
      </c>
      <c r="H279" s="292">
        <v>45983.0</v>
      </c>
      <c r="I279" s="48"/>
      <c r="J279" s="204" t="s">
        <v>797</v>
      </c>
      <c r="K279" s="203">
        <v>45984.0</v>
      </c>
      <c r="L279" s="193" t="s">
        <v>38</v>
      </c>
      <c r="M279" s="194">
        <v>500902.0</v>
      </c>
      <c r="N279" s="195">
        <v>79.09</v>
      </c>
      <c r="O279" s="201">
        <v>643259.0</v>
      </c>
      <c r="P279" s="197"/>
      <c r="Q279" s="186" t="s">
        <v>43</v>
      </c>
      <c r="R279" s="204" t="s">
        <v>43</v>
      </c>
      <c r="S279" s="141"/>
      <c r="T279" s="141"/>
      <c r="U279" s="57"/>
      <c r="V279" s="57"/>
      <c r="W279" s="57"/>
      <c r="X279" s="57"/>
      <c r="Y279" s="57"/>
      <c r="Z279" s="57"/>
      <c r="AA279" s="57"/>
      <c r="AB279" s="57"/>
    </row>
    <row r="280">
      <c r="A280" s="185" t="str">
        <f t="shared" si="1"/>
        <v>20251123-1T7X</v>
      </c>
      <c r="B280" s="278" t="s">
        <v>2753</v>
      </c>
      <c r="C280" s="280" t="s">
        <v>2754</v>
      </c>
      <c r="D280" s="186">
        <v>1.0</v>
      </c>
      <c r="E280" s="186" t="s">
        <v>2200</v>
      </c>
      <c r="F280" s="117"/>
      <c r="G280" s="204" t="s">
        <v>35</v>
      </c>
      <c r="H280" s="292">
        <v>45984.0</v>
      </c>
      <c r="I280" s="48"/>
      <c r="J280" s="204" t="s">
        <v>801</v>
      </c>
      <c r="K280" s="203">
        <v>45984.0</v>
      </c>
      <c r="L280" s="193" t="s">
        <v>38</v>
      </c>
      <c r="M280" s="194">
        <v>500902.0</v>
      </c>
      <c r="N280" s="195">
        <v>55.1</v>
      </c>
      <c r="O280" s="201">
        <v>643259.0</v>
      </c>
      <c r="P280" s="197"/>
      <c r="Q280" s="117"/>
      <c r="R280" s="204" t="s">
        <v>43</v>
      </c>
      <c r="S280" s="141"/>
      <c r="T280" s="141"/>
      <c r="U280" s="57"/>
      <c r="V280" s="57"/>
      <c r="W280" s="57"/>
      <c r="X280" s="57"/>
      <c r="Y280" s="57"/>
      <c r="Z280" s="57"/>
      <c r="AA280" s="57"/>
      <c r="AB280" s="57"/>
    </row>
    <row r="281">
      <c r="A281" s="185" t="str">
        <f t="shared" si="1"/>
        <v>20251123-171D</v>
      </c>
      <c r="B281" s="185" t="s">
        <v>2756</v>
      </c>
      <c r="C281" s="117"/>
      <c r="D281" s="186">
        <v>1.0</v>
      </c>
      <c r="E281" s="186" t="s">
        <v>2201</v>
      </c>
      <c r="F281" s="117"/>
      <c r="G281" s="189"/>
      <c r="H281" s="202">
        <v>45984.0</v>
      </c>
      <c r="I281" s="48"/>
      <c r="J281" s="189"/>
      <c r="K281" s="203">
        <v>45984.0</v>
      </c>
      <c r="L281" s="193" t="s">
        <v>38</v>
      </c>
      <c r="M281" s="194">
        <v>500902.0</v>
      </c>
      <c r="N281" s="195">
        <v>150.58</v>
      </c>
      <c r="O281" s="201">
        <v>643259.0</v>
      </c>
      <c r="P281" s="197"/>
      <c r="Q281" s="186" t="s">
        <v>43</v>
      </c>
      <c r="R281" s="204" t="s">
        <v>43</v>
      </c>
      <c r="S281" s="141"/>
      <c r="T281" s="141"/>
      <c r="U281" s="57"/>
      <c r="V281" s="57"/>
      <c r="W281" s="57"/>
      <c r="X281" s="57"/>
      <c r="Y281" s="57"/>
      <c r="Z281" s="57"/>
      <c r="AA281" s="57"/>
      <c r="AB281" s="57"/>
    </row>
    <row r="282">
      <c r="A282" s="185" t="str">
        <f t="shared" si="1"/>
        <v>20251124-1LWC</v>
      </c>
      <c r="B282" s="185" t="s">
        <v>2759</v>
      </c>
      <c r="C282" s="186" t="s">
        <v>2760</v>
      </c>
      <c r="D282" s="186">
        <v>1.0</v>
      </c>
      <c r="E282" s="186" t="s">
        <v>2202</v>
      </c>
      <c r="F282" s="117"/>
      <c r="G282" s="189"/>
      <c r="H282" s="292">
        <v>45985.0</v>
      </c>
      <c r="I282" s="48"/>
      <c r="J282" s="204" t="s">
        <v>797</v>
      </c>
      <c r="K282" s="203">
        <v>45984.0</v>
      </c>
      <c r="L282" s="193" t="s">
        <v>38</v>
      </c>
      <c r="M282" s="194">
        <v>500902.0</v>
      </c>
      <c r="N282" s="195">
        <v>164.54</v>
      </c>
      <c r="O282" s="201">
        <v>643259.0</v>
      </c>
      <c r="P282" s="197"/>
      <c r="Q282" s="186" t="s">
        <v>43</v>
      </c>
      <c r="R282" s="204" t="s">
        <v>43</v>
      </c>
      <c r="S282" s="141"/>
      <c r="T282" s="141"/>
      <c r="U282" s="57"/>
      <c r="V282" s="57"/>
      <c r="W282" s="57"/>
      <c r="X282" s="57"/>
      <c r="Y282" s="57"/>
      <c r="Z282" s="57"/>
      <c r="AA282" s="57"/>
      <c r="AB282" s="57"/>
    </row>
    <row r="283">
      <c r="A283" s="185" t="str">
        <f t="shared" si="1"/>
        <v>20251123-ALX</v>
      </c>
      <c r="B283" s="319" t="s">
        <v>53</v>
      </c>
      <c r="C283" s="186"/>
      <c r="D283" s="186">
        <v>2.0</v>
      </c>
      <c r="E283" s="186" t="s">
        <v>2203</v>
      </c>
      <c r="F283" s="117"/>
      <c r="G283" s="189"/>
      <c r="H283" s="202">
        <v>45984.0</v>
      </c>
      <c r="I283" s="48"/>
      <c r="J283" s="189"/>
      <c r="K283" s="203">
        <v>45984.0</v>
      </c>
      <c r="L283" s="193" t="s">
        <v>38</v>
      </c>
      <c r="M283" s="194">
        <v>500902.0</v>
      </c>
      <c r="N283" s="195">
        <v>13.3</v>
      </c>
      <c r="O283" s="201">
        <v>643259.0</v>
      </c>
      <c r="P283" s="197"/>
      <c r="Q283" s="117"/>
      <c r="R283" s="189"/>
      <c r="S283" s="141"/>
      <c r="T283" s="141"/>
      <c r="U283" s="57"/>
      <c r="V283" s="57"/>
      <c r="W283" s="57"/>
      <c r="X283" s="57"/>
      <c r="Y283" s="57"/>
      <c r="Z283" s="57"/>
      <c r="AA283" s="57"/>
      <c r="AB283" s="57"/>
    </row>
    <row r="284">
      <c r="A284" s="185" t="str">
        <f t="shared" si="1"/>
        <v>20251125-L49</v>
      </c>
      <c r="B284" s="185" t="s">
        <v>53</v>
      </c>
      <c r="C284" s="117"/>
      <c r="D284" s="186">
        <v>1.0</v>
      </c>
      <c r="E284" s="186" t="s">
        <v>2204</v>
      </c>
      <c r="F284" s="117"/>
      <c r="G284" s="189"/>
      <c r="H284" s="202">
        <v>45986.0</v>
      </c>
      <c r="I284" s="48"/>
      <c r="J284" s="189"/>
      <c r="K284" s="203">
        <v>45986.0</v>
      </c>
      <c r="L284" s="193" t="s">
        <v>347</v>
      </c>
      <c r="M284" s="194" t="s">
        <v>2761</v>
      </c>
      <c r="N284" s="195">
        <v>95.4</v>
      </c>
      <c r="O284" s="201">
        <v>7409501.0</v>
      </c>
      <c r="P284" s="197"/>
      <c r="Q284" s="117"/>
      <c r="R284" s="189"/>
      <c r="S284" s="141"/>
      <c r="T284" s="141"/>
      <c r="U284" s="57"/>
      <c r="V284" s="57"/>
      <c r="W284" s="57"/>
      <c r="X284" s="57"/>
      <c r="Y284" s="57"/>
      <c r="Z284" s="57"/>
      <c r="AA284" s="57"/>
      <c r="AB284" s="57"/>
    </row>
    <row r="285">
      <c r="A285" s="185" t="str">
        <f t="shared" si="1"/>
        <v>20251125-L4Z</v>
      </c>
      <c r="B285" s="185" t="s">
        <v>53</v>
      </c>
      <c r="C285" s="117"/>
      <c r="D285" s="186">
        <v>1.0</v>
      </c>
      <c r="E285" s="186" t="s">
        <v>2205</v>
      </c>
      <c r="F285" s="117"/>
      <c r="G285" s="189"/>
      <c r="H285" s="202">
        <v>45986.0</v>
      </c>
      <c r="I285" s="48"/>
      <c r="J285" s="189"/>
      <c r="K285" s="203">
        <v>45986.0</v>
      </c>
      <c r="L285" s="193" t="s">
        <v>347</v>
      </c>
      <c r="M285" s="194" t="s">
        <v>2761</v>
      </c>
      <c r="N285" s="195">
        <v>95.4</v>
      </c>
      <c r="O285" s="201">
        <v>7409501.0</v>
      </c>
      <c r="P285" s="197"/>
      <c r="Q285" s="117"/>
      <c r="R285" s="189"/>
      <c r="S285" s="141"/>
      <c r="T285" s="141"/>
      <c r="U285" s="57"/>
      <c r="V285" s="57"/>
      <c r="W285" s="57"/>
      <c r="X285" s="57"/>
      <c r="Y285" s="57"/>
      <c r="Z285" s="57"/>
      <c r="AA285" s="57"/>
      <c r="AB285" s="57"/>
    </row>
    <row r="286">
      <c r="A286" s="185" t="str">
        <f t="shared" si="1"/>
        <v>20251128-LKV</v>
      </c>
      <c r="B286" s="328" t="s">
        <v>53</v>
      </c>
      <c r="C286" s="329"/>
      <c r="D286" s="330">
        <v>1.0</v>
      </c>
      <c r="E286" s="330" t="s">
        <v>1809</v>
      </c>
      <c r="F286" s="329"/>
      <c r="G286" s="179"/>
      <c r="H286" s="164">
        <v>45989.0</v>
      </c>
      <c r="I286" s="174"/>
      <c r="J286" s="329"/>
      <c r="K286" s="118">
        <v>45989.0</v>
      </c>
      <c r="L286" s="331" t="s">
        <v>38</v>
      </c>
      <c r="M286" s="332">
        <v>501677.0</v>
      </c>
      <c r="N286" s="333">
        <v>131.43</v>
      </c>
      <c r="O286" s="196">
        <v>644451.0</v>
      </c>
      <c r="P286" s="334"/>
      <c r="Q286" s="117"/>
      <c r="R286" s="189"/>
      <c r="S286" s="141"/>
      <c r="T286" s="141"/>
      <c r="U286" s="57"/>
      <c r="V286" s="57"/>
      <c r="W286" s="57"/>
      <c r="X286" s="57"/>
      <c r="Y286" s="57"/>
      <c r="Z286" s="57"/>
      <c r="AA286" s="57"/>
      <c r="AB286" s="57"/>
    </row>
    <row r="287">
      <c r="A287" s="185" t="str">
        <f t="shared" si="1"/>
        <v>20251125-2GQK</v>
      </c>
      <c r="B287" s="185" t="s">
        <v>1891</v>
      </c>
      <c r="C287" s="117" t="s">
        <v>1895</v>
      </c>
      <c r="D287" s="330">
        <v>1.0</v>
      </c>
      <c r="E287" s="330" t="s">
        <v>2206</v>
      </c>
      <c r="F287" s="330" t="s">
        <v>2762</v>
      </c>
      <c r="G287" s="329" t="s">
        <v>35</v>
      </c>
      <c r="H287" s="169">
        <v>45986.0</v>
      </c>
      <c r="I287" s="174"/>
      <c r="J287" s="329"/>
      <c r="K287" s="118">
        <v>45989.0</v>
      </c>
      <c r="L287" s="331" t="s">
        <v>38</v>
      </c>
      <c r="M287" s="332">
        <v>501677.0</v>
      </c>
      <c r="N287" s="333">
        <v>50.11</v>
      </c>
      <c r="O287" s="196">
        <v>644451.0</v>
      </c>
      <c r="P287" s="334"/>
      <c r="Q287" s="186" t="s">
        <v>43</v>
      </c>
      <c r="R287" s="204" t="s">
        <v>43</v>
      </c>
      <c r="S287" s="141"/>
      <c r="T287" s="141"/>
      <c r="U287" s="57"/>
      <c r="V287" s="57"/>
      <c r="W287" s="57"/>
      <c r="X287" s="57"/>
      <c r="Y287" s="57"/>
      <c r="Z287" s="57"/>
      <c r="AA287" s="57"/>
      <c r="AB287" s="57"/>
    </row>
    <row r="288">
      <c r="A288" s="185" t="str">
        <f t="shared" si="1"/>
        <v>20251120-13WO</v>
      </c>
      <c r="B288" s="328" t="s">
        <v>420</v>
      </c>
      <c r="C288" s="335"/>
      <c r="D288" s="330">
        <v>1.0</v>
      </c>
      <c r="E288" s="330" t="s">
        <v>2208</v>
      </c>
      <c r="F288" s="335"/>
      <c r="G288" s="335" t="s">
        <v>35</v>
      </c>
      <c r="H288" s="169">
        <v>45981.0</v>
      </c>
      <c r="I288" s="174"/>
      <c r="J288" s="335" t="s">
        <v>797</v>
      </c>
      <c r="K288" s="118">
        <v>45989.0</v>
      </c>
      <c r="L288" s="331" t="s">
        <v>38</v>
      </c>
      <c r="M288" s="332">
        <v>501677.0</v>
      </c>
      <c r="N288" s="333">
        <v>119.99</v>
      </c>
      <c r="O288" s="196">
        <v>644451.0</v>
      </c>
      <c r="P288" s="334"/>
      <c r="Q288" s="186" t="s">
        <v>43</v>
      </c>
      <c r="R288" s="204" t="s">
        <v>43</v>
      </c>
      <c r="S288" s="141"/>
      <c r="T288" s="141"/>
      <c r="U288" s="57"/>
      <c r="V288" s="57"/>
      <c r="W288" s="57"/>
      <c r="X288" s="57"/>
      <c r="Y288" s="57"/>
      <c r="Z288" s="57"/>
      <c r="AA288" s="57"/>
      <c r="AB288" s="57"/>
    </row>
    <row r="289">
      <c r="A289" s="185" t="str">
        <f t="shared" si="1"/>
        <v>20251128-MP9</v>
      </c>
      <c r="B289" s="185" t="s">
        <v>52</v>
      </c>
      <c r="C289" s="329"/>
      <c r="D289" s="330">
        <v>1.0</v>
      </c>
      <c r="E289" s="330" t="s">
        <v>1954</v>
      </c>
      <c r="F289" s="335"/>
      <c r="G289" s="107" t="s">
        <v>35</v>
      </c>
      <c r="H289" s="164">
        <v>45989.0</v>
      </c>
      <c r="I289" s="174"/>
      <c r="J289" s="335"/>
      <c r="K289" s="118">
        <v>45989.0</v>
      </c>
      <c r="L289" s="331" t="s">
        <v>38</v>
      </c>
      <c r="M289" s="332">
        <v>501677.0</v>
      </c>
      <c r="N289" s="333">
        <v>114.0</v>
      </c>
      <c r="O289" s="196">
        <v>644451.0</v>
      </c>
      <c r="P289" s="334"/>
      <c r="Q289" s="186" t="s">
        <v>43</v>
      </c>
      <c r="R289" s="204" t="s">
        <v>43</v>
      </c>
      <c r="S289" s="141"/>
      <c r="T289" s="141"/>
      <c r="U289" s="57"/>
      <c r="V289" s="57"/>
      <c r="W289" s="57"/>
      <c r="X289" s="57"/>
      <c r="Y289" s="57"/>
      <c r="Z289" s="57"/>
      <c r="AA289" s="57"/>
      <c r="AB289" s="57"/>
    </row>
    <row r="290">
      <c r="A290" s="185" t="str">
        <f t="shared" si="1"/>
        <v>20251128-1NR2</v>
      </c>
      <c r="B290" s="328" t="s">
        <v>2768</v>
      </c>
      <c r="C290" s="330" t="s">
        <v>2769</v>
      </c>
      <c r="D290" s="330">
        <v>1.0</v>
      </c>
      <c r="E290" s="330" t="s">
        <v>2211</v>
      </c>
      <c r="F290" s="335"/>
      <c r="G290" s="174"/>
      <c r="H290" s="164">
        <v>45989.0</v>
      </c>
      <c r="I290" s="174"/>
      <c r="J290" s="335"/>
      <c r="K290" s="118">
        <v>45989.0</v>
      </c>
      <c r="L290" s="331" t="s">
        <v>38</v>
      </c>
      <c r="M290" s="332">
        <v>501677.0</v>
      </c>
      <c r="N290" s="333">
        <v>131.43</v>
      </c>
      <c r="O290" s="196">
        <v>644451.0</v>
      </c>
      <c r="P290" s="337" t="s">
        <v>2742</v>
      </c>
      <c r="Q290" s="117"/>
      <c r="R290" s="189"/>
      <c r="S290" s="141"/>
      <c r="T290" s="141"/>
      <c r="U290" s="57"/>
      <c r="V290" s="57"/>
      <c r="W290" s="57"/>
      <c r="X290" s="57"/>
      <c r="Y290" s="57"/>
      <c r="Z290" s="57"/>
      <c r="AA290" s="57"/>
      <c r="AB290" s="57"/>
    </row>
    <row r="291">
      <c r="A291" s="185" t="str">
        <f t="shared" si="1"/>
        <v>20251128-1M8X</v>
      </c>
      <c r="B291" s="328" t="s">
        <v>2768</v>
      </c>
      <c r="C291" s="117" t="s">
        <v>2769</v>
      </c>
      <c r="D291" s="339">
        <v>1.0</v>
      </c>
      <c r="E291" s="339" t="s">
        <v>678</v>
      </c>
      <c r="F291" s="329"/>
      <c r="G291" s="179"/>
      <c r="H291" s="164">
        <v>45989.0</v>
      </c>
      <c r="I291" s="174"/>
      <c r="J291" s="329"/>
      <c r="K291" s="118">
        <v>45989.0</v>
      </c>
      <c r="L291" s="331" t="s">
        <v>38</v>
      </c>
      <c r="M291" s="332">
        <v>501677.0</v>
      </c>
      <c r="N291" s="333">
        <v>95.62</v>
      </c>
      <c r="O291" s="196">
        <v>644451.0</v>
      </c>
      <c r="P291" s="337" t="s">
        <v>2742</v>
      </c>
      <c r="Q291" s="117"/>
      <c r="R291" s="189"/>
      <c r="S291" s="141"/>
      <c r="T291" s="141"/>
      <c r="U291" s="57"/>
      <c r="V291" s="57"/>
      <c r="W291" s="57"/>
      <c r="X291" s="57"/>
      <c r="Y291" s="57"/>
      <c r="Z291" s="57"/>
      <c r="AA291" s="57"/>
      <c r="AB291" s="57"/>
    </row>
    <row r="292">
      <c r="A292" s="185" t="str">
        <f t="shared" si="1"/>
        <v>20251128-KV3</v>
      </c>
      <c r="B292" s="185" t="s">
        <v>53</v>
      </c>
      <c r="C292" s="335"/>
      <c r="D292" s="330">
        <v>1.0</v>
      </c>
      <c r="E292" s="330" t="s">
        <v>2212</v>
      </c>
      <c r="F292" s="329"/>
      <c r="G292" s="179"/>
      <c r="H292" s="164">
        <v>45989.0</v>
      </c>
      <c r="I292" s="174"/>
      <c r="J292" s="329"/>
      <c r="K292" s="118">
        <v>45989.0</v>
      </c>
      <c r="L292" s="118" t="s">
        <v>38</v>
      </c>
      <c r="M292" s="340">
        <v>501677.0</v>
      </c>
      <c r="N292" s="333">
        <v>3.75</v>
      </c>
      <c r="O292" s="196">
        <v>644451.0</v>
      </c>
      <c r="P292" s="334"/>
      <c r="Q292" s="117"/>
      <c r="R292" s="189"/>
      <c r="S292" s="141"/>
      <c r="T292" s="141"/>
      <c r="U292" s="57"/>
      <c r="V292" s="57"/>
      <c r="W292" s="57"/>
      <c r="X292" s="57"/>
      <c r="Y292" s="57"/>
      <c r="Z292" s="57"/>
      <c r="AA292" s="57"/>
      <c r="AB292" s="57"/>
    </row>
    <row r="293">
      <c r="A293" s="185" t="str">
        <f t="shared" si="1"/>
        <v>20251202-1X7V</v>
      </c>
      <c r="B293" s="185" t="s">
        <v>2774</v>
      </c>
      <c r="C293" s="186" t="s">
        <v>2775</v>
      </c>
      <c r="D293" s="186">
        <v>1.0</v>
      </c>
      <c r="E293" s="186" t="s">
        <v>2213</v>
      </c>
      <c r="F293" s="329"/>
      <c r="G293" s="335"/>
      <c r="H293" s="341">
        <v>45993.0</v>
      </c>
      <c r="I293" s="342"/>
      <c r="J293" s="335"/>
      <c r="K293" s="343">
        <v>45993.0</v>
      </c>
      <c r="L293" s="337" t="s">
        <v>38</v>
      </c>
      <c r="M293" s="345">
        <v>503165.0</v>
      </c>
      <c r="N293" s="346">
        <v>80.75</v>
      </c>
      <c r="O293" s="347">
        <v>646034.0</v>
      </c>
      <c r="P293" s="334"/>
      <c r="Q293" s="186" t="s">
        <v>43</v>
      </c>
      <c r="R293" s="204" t="s">
        <v>43</v>
      </c>
      <c r="S293" s="141"/>
      <c r="T293" s="141"/>
      <c r="U293" s="57"/>
      <c r="V293" s="57"/>
      <c r="W293" s="57"/>
      <c r="X293" s="57"/>
      <c r="Y293" s="57"/>
      <c r="Z293" s="57"/>
      <c r="AA293" s="57"/>
      <c r="AB293" s="57"/>
    </row>
    <row r="294">
      <c r="A294" s="185" t="str">
        <f t="shared" si="1"/>
        <v>20251129-2PZ1</v>
      </c>
      <c r="B294" s="349" t="s">
        <v>285</v>
      </c>
      <c r="C294" s="329" t="s">
        <v>2779</v>
      </c>
      <c r="D294" s="330">
        <v>1.0</v>
      </c>
      <c r="E294" s="330" t="s">
        <v>2214</v>
      </c>
      <c r="F294" s="329"/>
      <c r="G294" s="335" t="s">
        <v>41</v>
      </c>
      <c r="H294" s="169">
        <v>45990.0</v>
      </c>
      <c r="I294" s="342"/>
      <c r="J294" s="335" t="s">
        <v>797</v>
      </c>
      <c r="K294" s="343">
        <v>45993.0</v>
      </c>
      <c r="L294" s="337" t="s">
        <v>38</v>
      </c>
      <c r="M294" s="345">
        <v>503165.0</v>
      </c>
      <c r="N294" s="346">
        <v>178.6</v>
      </c>
      <c r="O294" s="347">
        <v>646034.0</v>
      </c>
      <c r="P294" s="334"/>
      <c r="Q294" s="186" t="s">
        <v>43</v>
      </c>
      <c r="R294" s="204" t="s">
        <v>43</v>
      </c>
      <c r="S294" s="141"/>
      <c r="T294" s="141"/>
      <c r="U294" s="57"/>
      <c r="V294" s="57"/>
      <c r="W294" s="57"/>
      <c r="X294" s="57"/>
      <c r="Y294" s="57"/>
      <c r="Z294" s="57"/>
      <c r="AA294" s="57"/>
      <c r="AB294" s="57"/>
    </row>
    <row r="295">
      <c r="A295" s="185" t="str">
        <f t="shared" si="1"/>
        <v>20251120-QPH</v>
      </c>
      <c r="B295" s="349" t="s">
        <v>594</v>
      </c>
      <c r="C295" s="329"/>
      <c r="D295" s="117">
        <v>1.0</v>
      </c>
      <c r="E295" s="330" t="s">
        <v>2215</v>
      </c>
      <c r="F295" s="330" t="s">
        <v>2781</v>
      </c>
      <c r="G295" s="350" t="s">
        <v>35</v>
      </c>
      <c r="H295" s="169">
        <v>45981.0</v>
      </c>
      <c r="I295" s="342"/>
      <c r="J295" s="335" t="s">
        <v>801</v>
      </c>
      <c r="K295" s="343">
        <v>45993.0</v>
      </c>
      <c r="L295" s="337" t="s">
        <v>38</v>
      </c>
      <c r="M295" s="345">
        <v>503165.0</v>
      </c>
      <c r="N295" s="346">
        <v>142.83</v>
      </c>
      <c r="O295" s="347">
        <v>646034.0</v>
      </c>
      <c r="P295" s="334"/>
      <c r="Q295" s="186" t="s">
        <v>43</v>
      </c>
      <c r="R295" s="204" t="s">
        <v>43</v>
      </c>
      <c r="S295" s="141"/>
      <c r="T295" s="141"/>
      <c r="U295" s="57"/>
      <c r="V295" s="57"/>
      <c r="W295" s="57"/>
      <c r="X295" s="57"/>
      <c r="Y295" s="57"/>
      <c r="Z295" s="57"/>
      <c r="AA295" s="57"/>
      <c r="AB295" s="57"/>
    </row>
    <row r="296">
      <c r="A296" s="185" t="str">
        <f t="shared" si="1"/>
        <v>20251202-154O</v>
      </c>
      <c r="B296" s="349" t="s">
        <v>2783</v>
      </c>
      <c r="C296" s="329"/>
      <c r="D296" s="117">
        <v>1.0</v>
      </c>
      <c r="E296" s="330" t="s">
        <v>2216</v>
      </c>
      <c r="F296" s="329"/>
      <c r="G296" s="174"/>
      <c r="H296" s="341">
        <v>45993.0</v>
      </c>
      <c r="I296" s="174"/>
      <c r="J296" s="335"/>
      <c r="K296" s="343">
        <v>45993.0</v>
      </c>
      <c r="L296" s="337" t="s">
        <v>38</v>
      </c>
      <c r="M296" s="345">
        <v>503165.0</v>
      </c>
      <c r="N296" s="346">
        <v>17.1</v>
      </c>
      <c r="O296" s="347">
        <v>646034.0</v>
      </c>
      <c r="P296" s="334"/>
      <c r="Q296" s="186" t="s">
        <v>43</v>
      </c>
      <c r="R296" s="204" t="s">
        <v>43</v>
      </c>
      <c r="S296" s="141"/>
      <c r="T296" s="141"/>
      <c r="U296" s="57"/>
      <c r="V296" s="57"/>
      <c r="W296" s="57"/>
      <c r="X296" s="57"/>
      <c r="Y296" s="57"/>
      <c r="Z296" s="57"/>
      <c r="AA296" s="57"/>
      <c r="AB296" s="57"/>
    </row>
    <row r="297">
      <c r="A297" s="185" t="str">
        <f t="shared" si="1"/>
        <v>20251202-2DRA</v>
      </c>
      <c r="B297" s="185" t="s">
        <v>2785</v>
      </c>
      <c r="C297" s="350" t="s">
        <v>1359</v>
      </c>
      <c r="D297" s="186">
        <v>1.0</v>
      </c>
      <c r="E297" s="186" t="s">
        <v>2217</v>
      </c>
      <c r="F297" s="186" t="s">
        <v>2786</v>
      </c>
      <c r="G297" s="350" t="s">
        <v>35</v>
      </c>
      <c r="H297" s="341">
        <v>45993.0</v>
      </c>
      <c r="I297" s="342"/>
      <c r="J297" s="335"/>
      <c r="K297" s="343">
        <v>45993.0</v>
      </c>
      <c r="L297" s="337" t="s">
        <v>38</v>
      </c>
      <c r="M297" s="345">
        <v>503165.0</v>
      </c>
      <c r="N297" s="346">
        <v>50.11</v>
      </c>
      <c r="O297" s="347">
        <v>646034.0</v>
      </c>
      <c r="P297" s="334"/>
      <c r="Q297" s="186" t="s">
        <v>43</v>
      </c>
      <c r="R297" s="204" t="s">
        <v>43</v>
      </c>
      <c r="S297" s="141"/>
      <c r="T297" s="141"/>
      <c r="U297" s="57"/>
      <c r="V297" s="57"/>
      <c r="W297" s="57"/>
      <c r="X297" s="57"/>
      <c r="Y297" s="57"/>
      <c r="Z297" s="57"/>
      <c r="AA297" s="57"/>
      <c r="AB297" s="57"/>
    </row>
    <row r="298">
      <c r="A298" s="185" t="str">
        <f t="shared" si="1"/>
        <v>20251202-2MYB</v>
      </c>
      <c r="B298" s="185" t="s">
        <v>2790</v>
      </c>
      <c r="C298" s="350" t="s">
        <v>1356</v>
      </c>
      <c r="D298" s="117">
        <v>1.0</v>
      </c>
      <c r="E298" s="186" t="s">
        <v>2218</v>
      </c>
      <c r="F298" s="186" t="s">
        <v>2786</v>
      </c>
      <c r="G298" s="350" t="s">
        <v>35</v>
      </c>
      <c r="H298" s="341">
        <v>45993.0</v>
      </c>
      <c r="I298" s="174"/>
      <c r="J298" s="335"/>
      <c r="K298" s="343">
        <v>45993.0</v>
      </c>
      <c r="L298" s="337" t="s">
        <v>38</v>
      </c>
      <c r="M298" s="345">
        <v>503165.0</v>
      </c>
      <c r="N298" s="346">
        <v>50.11</v>
      </c>
      <c r="O298" s="347">
        <v>646034.0</v>
      </c>
      <c r="P298" s="334"/>
      <c r="Q298" s="186" t="s">
        <v>43</v>
      </c>
      <c r="R298" s="204" t="s">
        <v>43</v>
      </c>
      <c r="S298" s="141"/>
      <c r="T298" s="141"/>
      <c r="U298" s="57"/>
      <c r="V298" s="57"/>
      <c r="W298" s="57"/>
      <c r="X298" s="57"/>
      <c r="Y298" s="57"/>
      <c r="Z298" s="57"/>
      <c r="AA298" s="57"/>
      <c r="AB298" s="57"/>
    </row>
    <row r="299">
      <c r="A299" s="185" t="str">
        <f t="shared" si="1"/>
        <v>20251202-WAZ</v>
      </c>
      <c r="B299" s="185" t="s">
        <v>53</v>
      </c>
      <c r="C299" s="329"/>
      <c r="D299" s="186">
        <v>12.0</v>
      </c>
      <c r="E299" s="186" t="s">
        <v>725</v>
      </c>
      <c r="F299" s="329"/>
      <c r="G299" s="174"/>
      <c r="H299" s="341">
        <v>45993.0</v>
      </c>
      <c r="I299" s="174"/>
      <c r="J299" s="335"/>
      <c r="K299" s="343">
        <v>45993.0</v>
      </c>
      <c r="L299" s="337" t="s">
        <v>38</v>
      </c>
      <c r="M299" s="345">
        <v>503165.0</v>
      </c>
      <c r="N299" s="346">
        <v>5.23</v>
      </c>
      <c r="O299" s="347">
        <v>646034.0</v>
      </c>
      <c r="P299" s="334"/>
      <c r="Q299" s="117"/>
      <c r="R299" s="189"/>
      <c r="S299" s="141"/>
      <c r="T299" s="141"/>
      <c r="U299" s="57"/>
      <c r="V299" s="57"/>
      <c r="W299" s="57"/>
      <c r="X299" s="57"/>
      <c r="Y299" s="57"/>
      <c r="Z299" s="57"/>
      <c r="AA299" s="57"/>
      <c r="AB299" s="57"/>
    </row>
    <row r="300">
      <c r="A300" s="185" t="str">
        <f t="shared" si="1"/>
        <v>20251202-GXM</v>
      </c>
      <c r="B300" s="349" t="s">
        <v>53</v>
      </c>
      <c r="C300" s="329"/>
      <c r="D300" s="186">
        <v>5.0</v>
      </c>
      <c r="E300" s="186" t="s">
        <v>663</v>
      </c>
      <c r="F300" s="329"/>
      <c r="G300" s="174"/>
      <c r="H300" s="341">
        <v>45993.0</v>
      </c>
      <c r="I300" s="174"/>
      <c r="J300" s="335"/>
      <c r="K300" s="343">
        <v>45993.0</v>
      </c>
      <c r="L300" s="337" t="s">
        <v>38</v>
      </c>
      <c r="M300" s="345">
        <v>503165.0</v>
      </c>
      <c r="N300" s="346">
        <v>5.56</v>
      </c>
      <c r="O300" s="347">
        <v>646034.0</v>
      </c>
      <c r="P300" s="334"/>
      <c r="Q300" s="117"/>
      <c r="R300" s="189"/>
      <c r="S300" s="141"/>
      <c r="T300" s="141"/>
      <c r="U300" s="57"/>
      <c r="V300" s="57"/>
      <c r="W300" s="57"/>
      <c r="X300" s="57"/>
      <c r="Y300" s="57"/>
      <c r="Z300" s="57"/>
      <c r="AA300" s="57"/>
      <c r="AB300" s="57"/>
    </row>
    <row r="301">
      <c r="A301" s="185" t="str">
        <f t="shared" si="1"/>
        <v>20251208-GTS</v>
      </c>
      <c r="B301" s="185" t="s">
        <v>2791</v>
      </c>
      <c r="C301" s="329"/>
      <c r="D301" s="186">
        <v>1.0</v>
      </c>
      <c r="E301" s="186" t="s">
        <v>1954</v>
      </c>
      <c r="F301" s="350"/>
      <c r="G301" s="350" t="s">
        <v>35</v>
      </c>
      <c r="H301" s="352">
        <v>45999.0</v>
      </c>
      <c r="I301" s="174"/>
      <c r="J301" s="335"/>
      <c r="K301" s="353">
        <v>45999.0</v>
      </c>
      <c r="L301" s="337" t="s">
        <v>38</v>
      </c>
      <c r="M301" s="345">
        <v>505096.0</v>
      </c>
      <c r="N301" s="346">
        <v>114.0</v>
      </c>
      <c r="O301" s="347">
        <v>648139.0</v>
      </c>
      <c r="P301" s="334"/>
      <c r="Q301" s="117"/>
      <c r="R301" s="189"/>
      <c r="S301" s="141"/>
      <c r="T301" s="141"/>
      <c r="U301" s="57"/>
      <c r="V301" s="57"/>
      <c r="W301" s="57"/>
      <c r="X301" s="57"/>
      <c r="Y301" s="57"/>
      <c r="Z301" s="57"/>
      <c r="AA301" s="57"/>
      <c r="AB301" s="57"/>
    </row>
    <row r="302">
      <c r="A302" s="185" t="str">
        <f t="shared" si="1"/>
        <v>20251208-EC9</v>
      </c>
      <c r="B302" s="185" t="s">
        <v>53</v>
      </c>
      <c r="C302" s="350"/>
      <c r="D302" s="186">
        <v>1.0</v>
      </c>
      <c r="E302" s="186" t="s">
        <v>1954</v>
      </c>
      <c r="F302" s="329"/>
      <c r="G302" s="350" t="s">
        <v>35</v>
      </c>
      <c r="H302" s="352">
        <v>45999.0</v>
      </c>
      <c r="I302" s="174"/>
      <c r="J302" s="350" t="s">
        <v>2638</v>
      </c>
      <c r="K302" s="353">
        <v>45999.0</v>
      </c>
      <c r="L302" s="337" t="s">
        <v>38</v>
      </c>
      <c r="M302" s="345">
        <v>505096.0</v>
      </c>
      <c r="N302" s="195">
        <v>114.0</v>
      </c>
      <c r="O302" s="347">
        <v>648139.0</v>
      </c>
      <c r="P302" s="197"/>
      <c r="Q302" s="117"/>
      <c r="R302" s="189"/>
      <c r="S302" s="141"/>
      <c r="T302" s="141"/>
      <c r="U302" s="57"/>
      <c r="V302" s="57"/>
      <c r="W302" s="57"/>
      <c r="X302" s="57"/>
      <c r="Y302" s="57"/>
      <c r="Z302" s="57"/>
      <c r="AA302" s="57"/>
      <c r="AB302" s="57"/>
    </row>
    <row r="303">
      <c r="A303" s="185" t="str">
        <f t="shared" si="1"/>
        <v>20251208-2ACR</v>
      </c>
      <c r="B303" s="185" t="s">
        <v>1480</v>
      </c>
      <c r="C303" s="350" t="s">
        <v>2792</v>
      </c>
      <c r="D303" s="186">
        <v>1.0</v>
      </c>
      <c r="E303" s="186" t="s">
        <v>2221</v>
      </c>
      <c r="F303" s="350"/>
      <c r="G303" s="350" t="s">
        <v>35</v>
      </c>
      <c r="H303" s="352">
        <v>45999.0</v>
      </c>
      <c r="I303" s="174"/>
      <c r="J303" s="350" t="s">
        <v>801</v>
      </c>
      <c r="K303" s="353">
        <v>45999.0</v>
      </c>
      <c r="L303" s="337" t="s">
        <v>38</v>
      </c>
      <c r="M303" s="345">
        <v>505096.0</v>
      </c>
      <c r="N303" s="195">
        <v>50.11</v>
      </c>
      <c r="O303" s="347">
        <v>648139.0</v>
      </c>
      <c r="P303" s="197"/>
      <c r="Q303" s="117"/>
      <c r="R303" s="189"/>
      <c r="S303" s="141"/>
      <c r="T303" s="141"/>
      <c r="U303" s="57"/>
      <c r="V303" s="57"/>
      <c r="W303" s="57"/>
      <c r="X303" s="57"/>
      <c r="Y303" s="57"/>
      <c r="Z303" s="57"/>
      <c r="AA303" s="57"/>
      <c r="AB303" s="57"/>
    </row>
    <row r="304">
      <c r="A304" s="185" t="str">
        <f t="shared" si="1"/>
        <v>20251208-376G</v>
      </c>
      <c r="B304" s="185" t="s">
        <v>2796</v>
      </c>
      <c r="C304" s="350" t="s">
        <v>2797</v>
      </c>
      <c r="D304" s="186">
        <v>1.0</v>
      </c>
      <c r="E304" s="186" t="s">
        <v>2223</v>
      </c>
      <c r="F304" s="350" t="s">
        <v>2773</v>
      </c>
      <c r="G304" s="350" t="s">
        <v>35</v>
      </c>
      <c r="H304" s="352">
        <v>45999.0</v>
      </c>
      <c r="I304" s="174"/>
      <c r="J304" s="350" t="s">
        <v>801</v>
      </c>
      <c r="K304" s="353">
        <v>45999.0</v>
      </c>
      <c r="L304" s="337" t="s">
        <v>38</v>
      </c>
      <c r="M304" s="345">
        <v>505096.0</v>
      </c>
      <c r="N304" s="195">
        <v>34.87</v>
      </c>
      <c r="O304" s="347">
        <v>648139.0</v>
      </c>
      <c r="P304" s="197"/>
      <c r="Q304" s="186" t="s">
        <v>43</v>
      </c>
      <c r="R304" s="204" t="s">
        <v>43</v>
      </c>
      <c r="S304" s="141"/>
      <c r="T304" s="141"/>
      <c r="U304" s="57"/>
      <c r="V304" s="57"/>
      <c r="W304" s="57"/>
      <c r="X304" s="57"/>
      <c r="Y304" s="57"/>
      <c r="Z304" s="57"/>
      <c r="AA304" s="57"/>
      <c r="AB304" s="57"/>
    </row>
    <row r="305">
      <c r="A305" s="185" t="str">
        <f t="shared" si="1"/>
        <v>20251208-NNA</v>
      </c>
      <c r="B305" s="185" t="s">
        <v>1243</v>
      </c>
      <c r="C305" s="335"/>
      <c r="D305" s="186">
        <v>1.0</v>
      </c>
      <c r="E305" s="186" t="s">
        <v>2225</v>
      </c>
      <c r="F305" s="350"/>
      <c r="G305" s="350" t="s">
        <v>35</v>
      </c>
      <c r="H305" s="352">
        <v>45999.0</v>
      </c>
      <c r="I305" s="174"/>
      <c r="J305" s="350" t="s">
        <v>801</v>
      </c>
      <c r="K305" s="353">
        <v>45999.0</v>
      </c>
      <c r="L305" s="337" t="s">
        <v>38</v>
      </c>
      <c r="M305" s="345">
        <v>505096.0</v>
      </c>
      <c r="N305" s="195">
        <v>159.46</v>
      </c>
      <c r="O305" s="347">
        <v>648139.0</v>
      </c>
      <c r="P305" s="197"/>
      <c r="Q305" s="186" t="s">
        <v>43</v>
      </c>
      <c r="R305" s="204" t="s">
        <v>43</v>
      </c>
      <c r="S305" s="141"/>
      <c r="T305" s="141"/>
      <c r="U305" s="57"/>
      <c r="V305" s="57"/>
      <c r="W305" s="57"/>
      <c r="X305" s="57"/>
      <c r="Y305" s="57"/>
      <c r="Z305" s="57"/>
      <c r="AA305" s="57"/>
      <c r="AB305" s="57"/>
    </row>
    <row r="306">
      <c r="A306" s="185" t="str">
        <f t="shared" si="1"/>
        <v>20251208-1USK</v>
      </c>
      <c r="B306" s="185" t="s">
        <v>2805</v>
      </c>
      <c r="C306" s="329"/>
      <c r="D306" s="186">
        <v>1.0</v>
      </c>
      <c r="E306" s="186" t="s">
        <v>2226</v>
      </c>
      <c r="F306" s="329"/>
      <c r="G306" s="350" t="s">
        <v>35</v>
      </c>
      <c r="H306" s="352">
        <v>45999.0</v>
      </c>
      <c r="I306" s="174"/>
      <c r="J306" s="350" t="s">
        <v>797</v>
      </c>
      <c r="K306" s="353">
        <v>45999.0</v>
      </c>
      <c r="L306" s="337" t="s">
        <v>38</v>
      </c>
      <c r="M306" s="345">
        <v>505096.0</v>
      </c>
      <c r="N306" s="195">
        <v>55.1</v>
      </c>
      <c r="O306" s="347">
        <v>648139.0</v>
      </c>
      <c r="P306" s="197"/>
      <c r="Q306" s="186" t="s">
        <v>43</v>
      </c>
      <c r="R306" s="204" t="s">
        <v>43</v>
      </c>
      <c r="S306" s="141"/>
      <c r="T306" s="141"/>
      <c r="U306" s="57"/>
      <c r="V306" s="57"/>
      <c r="W306" s="57"/>
      <c r="X306" s="57"/>
      <c r="Y306" s="57"/>
      <c r="Z306" s="57"/>
      <c r="AA306" s="57"/>
      <c r="AB306" s="57"/>
    </row>
    <row r="307">
      <c r="A307" s="185" t="str">
        <f t="shared" si="1"/>
        <v>20251208-16GG</v>
      </c>
      <c r="B307" s="185" t="s">
        <v>2807</v>
      </c>
      <c r="C307" s="350" t="s">
        <v>1369</v>
      </c>
      <c r="D307" s="186">
        <v>1.0</v>
      </c>
      <c r="E307" s="186" t="s">
        <v>2227</v>
      </c>
      <c r="F307" s="350"/>
      <c r="G307" s="350" t="s">
        <v>41</v>
      </c>
      <c r="H307" s="352">
        <v>45999.0</v>
      </c>
      <c r="I307" s="174"/>
      <c r="J307" s="350" t="s">
        <v>797</v>
      </c>
      <c r="K307" s="353">
        <v>45999.0</v>
      </c>
      <c r="L307" s="337" t="s">
        <v>38</v>
      </c>
      <c r="M307" s="345">
        <v>505096.0</v>
      </c>
      <c r="N307" s="195">
        <v>131.43</v>
      </c>
      <c r="O307" s="347">
        <v>648139.0</v>
      </c>
      <c r="P307" s="197"/>
      <c r="Q307" s="186" t="s">
        <v>43</v>
      </c>
      <c r="R307" s="204" t="s">
        <v>43</v>
      </c>
      <c r="S307" s="141"/>
      <c r="T307" s="141"/>
      <c r="U307" s="57"/>
      <c r="V307" s="57"/>
      <c r="W307" s="57"/>
      <c r="X307" s="57"/>
      <c r="Y307" s="57"/>
      <c r="Z307" s="57"/>
      <c r="AA307" s="57"/>
      <c r="AB307" s="57"/>
    </row>
    <row r="308">
      <c r="A308" s="185" t="str">
        <f t="shared" si="1"/>
        <v>20251208-1YN0</v>
      </c>
      <c r="B308" s="185" t="s">
        <v>2807</v>
      </c>
      <c r="C308" s="350" t="s">
        <v>1369</v>
      </c>
      <c r="D308" s="186">
        <v>1.0</v>
      </c>
      <c r="E308" s="186" t="s">
        <v>2228</v>
      </c>
      <c r="F308" s="329"/>
      <c r="G308" s="350" t="s">
        <v>41</v>
      </c>
      <c r="H308" s="352">
        <v>45999.0</v>
      </c>
      <c r="I308" s="174"/>
      <c r="J308" s="350" t="s">
        <v>797</v>
      </c>
      <c r="K308" s="353">
        <v>45999.0</v>
      </c>
      <c r="L308" s="337" t="s">
        <v>38</v>
      </c>
      <c r="M308" s="345">
        <v>505096.0</v>
      </c>
      <c r="N308" s="195">
        <v>71.25</v>
      </c>
      <c r="O308" s="347">
        <v>648139.0</v>
      </c>
      <c r="P308" s="197"/>
      <c r="Q308" s="186" t="s">
        <v>43</v>
      </c>
      <c r="R308" s="204" t="s">
        <v>43</v>
      </c>
      <c r="S308" s="141"/>
      <c r="T308" s="141"/>
      <c r="U308" s="57"/>
      <c r="V308" s="57"/>
      <c r="W308" s="57"/>
      <c r="X308" s="57"/>
      <c r="Y308" s="57"/>
      <c r="Z308" s="57"/>
      <c r="AA308" s="57"/>
      <c r="AB308" s="57"/>
    </row>
    <row r="309">
      <c r="A309" s="185" t="str">
        <f t="shared" si="1"/>
        <v>20251208-1V4B</v>
      </c>
      <c r="B309" s="185" t="s">
        <v>2807</v>
      </c>
      <c r="C309" s="350" t="s">
        <v>1369</v>
      </c>
      <c r="D309" s="186">
        <v>1.0</v>
      </c>
      <c r="E309" s="186" t="s">
        <v>2229</v>
      </c>
      <c r="F309" s="335"/>
      <c r="G309" s="350" t="s">
        <v>41</v>
      </c>
      <c r="H309" s="352">
        <v>45999.0</v>
      </c>
      <c r="I309" s="174"/>
      <c r="J309" s="350" t="s">
        <v>797</v>
      </c>
      <c r="K309" s="353">
        <v>45999.0</v>
      </c>
      <c r="L309" s="337" t="s">
        <v>38</v>
      </c>
      <c r="M309" s="345">
        <v>505096.0</v>
      </c>
      <c r="N309" s="195">
        <v>71.25</v>
      </c>
      <c r="O309" s="347">
        <v>648139.0</v>
      </c>
      <c r="P309" s="197"/>
      <c r="Q309" s="186" t="s">
        <v>43</v>
      </c>
      <c r="R309" s="204" t="s">
        <v>43</v>
      </c>
      <c r="S309" s="141"/>
      <c r="T309" s="141"/>
      <c r="U309" s="57"/>
      <c r="V309" s="57"/>
      <c r="W309" s="57"/>
      <c r="X309" s="57"/>
      <c r="Y309" s="57"/>
      <c r="Z309" s="57"/>
      <c r="AA309" s="57"/>
      <c r="AB309" s="57"/>
    </row>
    <row r="310">
      <c r="A310" s="185" t="str">
        <f t="shared" si="1"/>
        <v>20251208-1ORH</v>
      </c>
      <c r="B310" s="185" t="s">
        <v>1270</v>
      </c>
      <c r="C310" s="335"/>
      <c r="D310" s="186">
        <v>1.0</v>
      </c>
      <c r="E310" s="186" t="s">
        <v>2230</v>
      </c>
      <c r="F310" s="350" t="s">
        <v>496</v>
      </c>
      <c r="G310" s="350" t="s">
        <v>41</v>
      </c>
      <c r="H310" s="352">
        <v>45999.0</v>
      </c>
      <c r="I310" s="174"/>
      <c r="J310" s="350" t="s">
        <v>797</v>
      </c>
      <c r="K310" s="353">
        <v>45999.0</v>
      </c>
      <c r="L310" s="337" t="s">
        <v>38</v>
      </c>
      <c r="M310" s="345">
        <v>505096.0</v>
      </c>
      <c r="N310" s="346">
        <v>60.8</v>
      </c>
      <c r="O310" s="347">
        <v>648139.0</v>
      </c>
      <c r="P310" s="334"/>
      <c r="Q310" s="350" t="s">
        <v>43</v>
      </c>
      <c r="R310" s="350" t="s">
        <v>43</v>
      </c>
      <c r="S310" s="141"/>
      <c r="T310" s="141"/>
      <c r="U310" s="57"/>
      <c r="V310" s="57"/>
      <c r="W310" s="57"/>
      <c r="X310" s="57"/>
      <c r="Y310" s="57"/>
      <c r="Z310" s="57"/>
      <c r="AA310" s="57"/>
      <c r="AB310" s="57"/>
    </row>
    <row r="311">
      <c r="A311" s="185" t="str">
        <f t="shared" si="1"/>
        <v>20251208-1LPF</v>
      </c>
      <c r="B311" s="185" t="s">
        <v>1352</v>
      </c>
      <c r="C311" s="335"/>
      <c r="D311" s="186">
        <v>1.0</v>
      </c>
      <c r="E311" s="186" t="s">
        <v>2231</v>
      </c>
      <c r="F311" s="335"/>
      <c r="G311" s="350" t="s">
        <v>41</v>
      </c>
      <c r="H311" s="352">
        <v>45999.0</v>
      </c>
      <c r="I311" s="48"/>
      <c r="J311" s="350" t="s">
        <v>797</v>
      </c>
      <c r="K311" s="353">
        <v>45999.0</v>
      </c>
      <c r="L311" s="337" t="s">
        <v>38</v>
      </c>
      <c r="M311" s="345">
        <v>505096.0</v>
      </c>
      <c r="N311" s="195">
        <v>24.07</v>
      </c>
      <c r="O311" s="347">
        <v>648139.0</v>
      </c>
      <c r="P311" s="197"/>
      <c r="Q311" s="186" t="s">
        <v>43</v>
      </c>
      <c r="R311" s="204" t="s">
        <v>43</v>
      </c>
      <c r="S311" s="174"/>
      <c r="T311" s="174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</row>
    <row r="312">
      <c r="A312" s="185" t="str">
        <f t="shared" si="1"/>
        <v>20251208-1NVB</v>
      </c>
      <c r="B312" s="185" t="s">
        <v>1352</v>
      </c>
      <c r="C312" s="329"/>
      <c r="D312" s="186">
        <v>1.0</v>
      </c>
      <c r="E312" s="186" t="s">
        <v>471</v>
      </c>
      <c r="F312" s="350"/>
      <c r="G312" s="350" t="s">
        <v>41</v>
      </c>
      <c r="H312" s="352">
        <v>45999.0</v>
      </c>
      <c r="I312" s="48"/>
      <c r="J312" s="350" t="s">
        <v>797</v>
      </c>
      <c r="K312" s="353">
        <v>45999.0</v>
      </c>
      <c r="L312" s="337" t="s">
        <v>38</v>
      </c>
      <c r="M312" s="345">
        <v>505096.0</v>
      </c>
      <c r="N312" s="195">
        <v>156.51</v>
      </c>
      <c r="O312" s="347">
        <v>648139.0</v>
      </c>
      <c r="P312" s="197"/>
      <c r="Q312" s="186" t="s">
        <v>43</v>
      </c>
      <c r="R312" s="204" t="s">
        <v>43</v>
      </c>
      <c r="S312" s="141"/>
      <c r="T312" s="141"/>
      <c r="U312" s="57"/>
      <c r="V312" s="57"/>
      <c r="W312" s="57"/>
      <c r="X312" s="57"/>
      <c r="Y312" s="57"/>
      <c r="Z312" s="57"/>
      <c r="AA312" s="57"/>
      <c r="AB312" s="57"/>
    </row>
    <row r="313">
      <c r="A313" s="185" t="str">
        <f t="shared" si="1"/>
        <v>20251208-VGL</v>
      </c>
      <c r="B313" s="185" t="s">
        <v>53</v>
      </c>
      <c r="C313" s="350"/>
      <c r="D313" s="186">
        <v>1.0</v>
      </c>
      <c r="E313" s="186" t="s">
        <v>471</v>
      </c>
      <c r="F313" s="329"/>
      <c r="G313" s="350" t="s">
        <v>41</v>
      </c>
      <c r="H313" s="352">
        <v>45999.0</v>
      </c>
      <c r="I313" s="48"/>
      <c r="J313" s="350" t="s">
        <v>797</v>
      </c>
      <c r="K313" s="353">
        <v>45999.0</v>
      </c>
      <c r="L313" s="337" t="s">
        <v>38</v>
      </c>
      <c r="M313" s="345">
        <v>505096.0</v>
      </c>
      <c r="N313" s="195">
        <v>156.51</v>
      </c>
      <c r="O313" s="347">
        <v>648139.0</v>
      </c>
      <c r="P313" s="197"/>
      <c r="Q313" s="117"/>
      <c r="R313" s="189"/>
      <c r="S313" s="141"/>
      <c r="T313" s="141"/>
      <c r="U313" s="57"/>
      <c r="V313" s="57"/>
      <c r="W313" s="57"/>
      <c r="X313" s="57"/>
      <c r="Y313" s="57"/>
      <c r="Z313" s="57"/>
      <c r="AA313" s="57"/>
      <c r="AB313" s="57"/>
    </row>
    <row r="314">
      <c r="A314" s="185" t="str">
        <f t="shared" si="1"/>
        <v>20251208-12NL</v>
      </c>
      <c r="B314" s="185" t="s">
        <v>1352</v>
      </c>
      <c r="C314" s="350"/>
      <c r="D314" s="186">
        <v>1.0</v>
      </c>
      <c r="E314" s="186" t="s">
        <v>1896</v>
      </c>
      <c r="F314" s="335"/>
      <c r="G314" s="189"/>
      <c r="H314" s="352">
        <v>45999.0</v>
      </c>
      <c r="I314" s="174"/>
      <c r="J314" s="335"/>
      <c r="K314" s="353">
        <v>45999.0</v>
      </c>
      <c r="L314" s="337" t="s">
        <v>38</v>
      </c>
      <c r="M314" s="345">
        <v>505096.0</v>
      </c>
      <c r="N314" s="195">
        <v>132.15</v>
      </c>
      <c r="O314" s="347">
        <v>648139.0</v>
      </c>
      <c r="P314" s="197"/>
      <c r="Q314" s="186" t="s">
        <v>43</v>
      </c>
      <c r="R314" s="204" t="s">
        <v>43</v>
      </c>
      <c r="S314" s="141"/>
      <c r="T314" s="141"/>
      <c r="U314" s="57"/>
      <c r="V314" s="57"/>
      <c r="W314" s="57"/>
      <c r="X314" s="57"/>
      <c r="Y314" s="57"/>
      <c r="Z314" s="57"/>
      <c r="AA314" s="57"/>
      <c r="AB314" s="57"/>
    </row>
    <row r="315">
      <c r="A315" s="185" t="str">
        <f t="shared" si="1"/>
        <v>20251208-24GS</v>
      </c>
      <c r="B315" s="185" t="s">
        <v>2820</v>
      </c>
      <c r="C315" s="350" t="s">
        <v>2821</v>
      </c>
      <c r="D315" s="186">
        <v>1.0</v>
      </c>
      <c r="E315" s="186" t="s">
        <v>2234</v>
      </c>
      <c r="F315" s="350"/>
      <c r="G315" s="189"/>
      <c r="H315" s="292">
        <v>45999.0</v>
      </c>
      <c r="I315" s="48"/>
      <c r="J315" s="189"/>
      <c r="K315" s="353">
        <v>45999.0</v>
      </c>
      <c r="L315" s="337" t="s">
        <v>38</v>
      </c>
      <c r="M315" s="345">
        <v>505096.0</v>
      </c>
      <c r="N315" s="195">
        <v>62.75</v>
      </c>
      <c r="O315" s="347">
        <v>648139.0</v>
      </c>
      <c r="P315" s="197"/>
      <c r="Q315" s="186" t="s">
        <v>43</v>
      </c>
      <c r="R315" s="204" t="s">
        <v>43</v>
      </c>
      <c r="S315" s="141"/>
      <c r="T315" s="141"/>
      <c r="U315" s="57"/>
      <c r="V315" s="57"/>
      <c r="W315" s="57"/>
      <c r="X315" s="57"/>
      <c r="Y315" s="57"/>
      <c r="Z315" s="57"/>
      <c r="AA315" s="57"/>
      <c r="AB315" s="57"/>
    </row>
    <row r="316">
      <c r="A316" s="185" t="str">
        <f t="shared" si="1"/>
        <v>20251208-19D0</v>
      </c>
      <c r="B316" s="185" t="s">
        <v>2822</v>
      </c>
      <c r="C316" s="350"/>
      <c r="D316" s="186">
        <v>1.0</v>
      </c>
      <c r="E316" s="186" t="s">
        <v>2235</v>
      </c>
      <c r="F316" s="329"/>
      <c r="G316" s="189"/>
      <c r="H316" s="292">
        <v>45999.0</v>
      </c>
      <c r="I316" s="48"/>
      <c r="J316" s="189"/>
      <c r="K316" s="353">
        <v>45999.0</v>
      </c>
      <c r="L316" s="337" t="s">
        <v>38</v>
      </c>
      <c r="M316" s="345">
        <v>505096.0</v>
      </c>
      <c r="N316" s="195">
        <v>55.1</v>
      </c>
      <c r="O316" s="347">
        <v>648139.0</v>
      </c>
      <c r="P316" s="197"/>
      <c r="Q316" s="186" t="s">
        <v>43</v>
      </c>
      <c r="R316" s="204" t="s">
        <v>43</v>
      </c>
      <c r="S316" s="141"/>
      <c r="T316" s="141"/>
      <c r="U316" s="57"/>
      <c r="V316" s="57"/>
      <c r="W316" s="57"/>
      <c r="X316" s="57"/>
      <c r="Y316" s="57"/>
      <c r="Z316" s="57"/>
      <c r="AA316" s="57"/>
      <c r="AB316" s="57"/>
    </row>
    <row r="317">
      <c r="A317" s="185" t="str">
        <f t="shared" si="1"/>
        <v>20251208-LSZ</v>
      </c>
      <c r="B317" s="185" t="s">
        <v>53</v>
      </c>
      <c r="C317" s="335"/>
      <c r="D317" s="186">
        <v>10.0</v>
      </c>
      <c r="E317" s="186" t="s">
        <v>2236</v>
      </c>
      <c r="F317" s="335"/>
      <c r="G317" s="174"/>
      <c r="H317" s="292">
        <v>45999.0</v>
      </c>
      <c r="I317" s="48"/>
      <c r="J317" s="189"/>
      <c r="K317" s="353">
        <v>45999.0</v>
      </c>
      <c r="L317" s="337" t="s">
        <v>38</v>
      </c>
      <c r="M317" s="345">
        <v>505096.0</v>
      </c>
      <c r="N317" s="195">
        <v>3.33</v>
      </c>
      <c r="O317" s="347">
        <v>648139.0</v>
      </c>
      <c r="P317" s="220"/>
      <c r="Q317" s="117"/>
      <c r="R317" s="189"/>
      <c r="S317" s="141"/>
      <c r="T317" s="141"/>
      <c r="U317" s="57"/>
      <c r="V317" s="57"/>
      <c r="W317" s="57"/>
      <c r="X317" s="57"/>
      <c r="Y317" s="57"/>
      <c r="Z317" s="57"/>
      <c r="AA317" s="57"/>
      <c r="AB317" s="57"/>
    </row>
    <row r="318">
      <c r="A318" s="185" t="str">
        <f t="shared" si="1"/>
        <v>20251208-PA2</v>
      </c>
      <c r="B318" s="185" t="s">
        <v>53</v>
      </c>
      <c r="C318" s="335"/>
      <c r="D318" s="186">
        <v>10.0</v>
      </c>
      <c r="E318" s="186" t="s">
        <v>2237</v>
      </c>
      <c r="F318" s="335"/>
      <c r="G318" s="189"/>
      <c r="H318" s="292">
        <v>45999.0</v>
      </c>
      <c r="I318" s="48"/>
      <c r="J318" s="189"/>
      <c r="K318" s="353">
        <v>45999.0</v>
      </c>
      <c r="L318" s="337" t="s">
        <v>38</v>
      </c>
      <c r="M318" s="345">
        <v>505096.0</v>
      </c>
      <c r="N318" s="356">
        <v>3.33</v>
      </c>
      <c r="O318" s="347">
        <v>648139.0</v>
      </c>
      <c r="P318" s="220"/>
      <c r="Q318" s="357"/>
      <c r="R318" s="189"/>
      <c r="S318" s="141"/>
      <c r="T318" s="141"/>
      <c r="U318" s="57"/>
      <c r="V318" s="57"/>
      <c r="W318" s="57"/>
      <c r="X318" s="57"/>
      <c r="Y318" s="57"/>
      <c r="Z318" s="57"/>
      <c r="AA318" s="57"/>
      <c r="AB318" s="57"/>
    </row>
    <row r="319">
      <c r="A319" s="185" t="str">
        <f t="shared" si="1"/>
        <v>20251208-1XT7</v>
      </c>
      <c r="B319" s="185" t="s">
        <v>1349</v>
      </c>
      <c r="C319" s="350" t="s">
        <v>1350</v>
      </c>
      <c r="D319" s="186">
        <v>1.0</v>
      </c>
      <c r="E319" s="186" t="s">
        <v>2238</v>
      </c>
      <c r="F319" s="335"/>
      <c r="G319" s="189"/>
      <c r="H319" s="292">
        <v>45999.0</v>
      </c>
      <c r="I319" s="48"/>
      <c r="J319" s="189"/>
      <c r="K319" s="353">
        <v>45999.0</v>
      </c>
      <c r="L319" s="337" t="s">
        <v>38</v>
      </c>
      <c r="M319" s="345">
        <v>505096.0</v>
      </c>
      <c r="N319" s="356">
        <v>25.18</v>
      </c>
      <c r="O319" s="347">
        <v>648139.0</v>
      </c>
      <c r="P319" s="220"/>
      <c r="Q319" s="358" t="s">
        <v>43</v>
      </c>
      <c r="R319" s="204" t="s">
        <v>43</v>
      </c>
      <c r="S319" s="141"/>
      <c r="T319" s="141"/>
      <c r="U319" s="57"/>
      <c r="V319" s="57"/>
      <c r="W319" s="57"/>
      <c r="X319" s="57"/>
      <c r="Y319" s="57"/>
      <c r="Z319" s="57"/>
      <c r="AA319" s="57"/>
      <c r="AB319" s="57"/>
    </row>
    <row r="320">
      <c r="A320" s="185" t="str">
        <f t="shared" si="1"/>
        <v>20251208-1PG3</v>
      </c>
      <c r="B320" s="185" t="s">
        <v>1349</v>
      </c>
      <c r="C320" s="350" t="s">
        <v>1350</v>
      </c>
      <c r="D320" s="186">
        <v>1.0</v>
      </c>
      <c r="E320" s="186" t="s">
        <v>2240</v>
      </c>
      <c r="F320" s="335"/>
      <c r="G320" s="189"/>
      <c r="H320" s="292">
        <v>45999.0</v>
      </c>
      <c r="I320" s="48"/>
      <c r="J320" s="189"/>
      <c r="K320" s="353">
        <v>45999.0</v>
      </c>
      <c r="L320" s="337" t="s">
        <v>38</v>
      </c>
      <c r="M320" s="345">
        <v>505096.0</v>
      </c>
      <c r="N320" s="356">
        <v>77.43</v>
      </c>
      <c r="O320" s="347">
        <v>648139.0</v>
      </c>
      <c r="P320" s="219" t="s">
        <v>822</v>
      </c>
      <c r="Q320" s="358" t="s">
        <v>43</v>
      </c>
      <c r="R320" s="204" t="s">
        <v>43</v>
      </c>
      <c r="S320" s="141"/>
      <c r="T320" s="141"/>
      <c r="U320" s="57"/>
      <c r="V320" s="57"/>
      <c r="W320" s="57"/>
      <c r="X320" s="57"/>
      <c r="Y320" s="57"/>
      <c r="Z320" s="57"/>
      <c r="AA320" s="57"/>
      <c r="AB320" s="57"/>
    </row>
    <row r="321">
      <c r="A321" s="185" t="str">
        <f t="shared" si="1"/>
        <v>20251210-DKE</v>
      </c>
      <c r="B321" s="185" t="s">
        <v>53</v>
      </c>
      <c r="C321" s="350"/>
      <c r="D321" s="186">
        <v>1.0</v>
      </c>
      <c r="E321" s="186" t="s">
        <v>2241</v>
      </c>
      <c r="F321" s="335"/>
      <c r="G321" s="189"/>
      <c r="H321" s="202">
        <v>46001.0</v>
      </c>
      <c r="I321" s="48"/>
      <c r="J321" s="189"/>
      <c r="K321" s="221">
        <v>46001.0</v>
      </c>
      <c r="L321" s="219" t="s">
        <v>2426</v>
      </c>
      <c r="M321" s="193">
        <v>5.00280618E8</v>
      </c>
      <c r="N321" s="356">
        <v>179.95</v>
      </c>
      <c r="O321" s="347"/>
      <c r="P321" s="220"/>
      <c r="Q321" s="357"/>
      <c r="R321" s="189"/>
      <c r="S321" s="141"/>
      <c r="T321" s="141"/>
      <c r="U321" s="57"/>
      <c r="V321" s="57"/>
      <c r="W321" s="57"/>
      <c r="X321" s="57"/>
      <c r="Y321" s="57"/>
      <c r="Z321" s="57"/>
      <c r="AA321" s="57"/>
      <c r="AB321" s="57"/>
    </row>
    <row r="322">
      <c r="A322" s="185" t="str">
        <f t="shared" si="1"/>
        <v>20251210-YP4</v>
      </c>
      <c r="B322" s="185" t="s">
        <v>334</v>
      </c>
      <c r="C322" s="329"/>
      <c r="D322" s="117">
        <v>1.0</v>
      </c>
      <c r="E322" s="186" t="s">
        <v>264</v>
      </c>
      <c r="F322" s="350" t="s">
        <v>2827</v>
      </c>
      <c r="G322" s="189"/>
      <c r="H322" s="202">
        <v>46001.0</v>
      </c>
      <c r="I322" s="48"/>
      <c r="J322" s="189"/>
      <c r="K322" s="221">
        <v>46001.0</v>
      </c>
      <c r="L322" s="219" t="s">
        <v>2426</v>
      </c>
      <c r="M322" s="193">
        <v>5.00280618E8</v>
      </c>
      <c r="N322" s="356">
        <v>144.53</v>
      </c>
      <c r="O322" s="347"/>
      <c r="P322" s="220"/>
      <c r="Q322" s="358" t="s">
        <v>43</v>
      </c>
      <c r="R322" s="204" t="s">
        <v>43</v>
      </c>
      <c r="S322" s="141"/>
      <c r="T322" s="141"/>
      <c r="U322" s="57"/>
      <c r="V322" s="57"/>
      <c r="W322" s="57"/>
      <c r="X322" s="57"/>
      <c r="Y322" s="57"/>
      <c r="Z322" s="57"/>
      <c r="AA322" s="57"/>
      <c r="AB322" s="57"/>
    </row>
    <row r="323">
      <c r="A323" s="185" t="str">
        <f t="shared" si="1"/>
        <v>20251210-10PR</v>
      </c>
      <c r="B323" s="185" t="s">
        <v>788</v>
      </c>
      <c r="C323" s="329"/>
      <c r="D323" s="186">
        <v>1.0</v>
      </c>
      <c r="E323" s="186" t="s">
        <v>264</v>
      </c>
      <c r="F323" s="335"/>
      <c r="G323" s="189"/>
      <c r="H323" s="202">
        <v>46001.0</v>
      </c>
      <c r="I323" s="48"/>
      <c r="J323" s="189"/>
      <c r="K323" s="221">
        <v>46001.0</v>
      </c>
      <c r="L323" s="219" t="s">
        <v>2426</v>
      </c>
      <c r="M323" s="193">
        <v>5.00280618E8</v>
      </c>
      <c r="N323" s="356">
        <v>144.53</v>
      </c>
      <c r="O323" s="347"/>
      <c r="P323" s="220"/>
      <c r="Q323" s="358" t="s">
        <v>43</v>
      </c>
      <c r="R323" s="204" t="s">
        <v>43</v>
      </c>
      <c r="S323" s="141"/>
      <c r="T323" s="141"/>
      <c r="U323" s="57"/>
      <c r="V323" s="57"/>
      <c r="W323" s="57"/>
      <c r="X323" s="57"/>
      <c r="Y323" s="57"/>
      <c r="Z323" s="57"/>
      <c r="AA323" s="57"/>
      <c r="AB323" s="57"/>
    </row>
    <row r="324">
      <c r="A324" s="185" t="str">
        <f t="shared" si="1"/>
        <v>20251210-GIG</v>
      </c>
      <c r="B324" s="185" t="s">
        <v>53</v>
      </c>
      <c r="C324" s="329"/>
      <c r="D324" s="186">
        <v>24.0</v>
      </c>
      <c r="E324" s="186" t="s">
        <v>2242</v>
      </c>
      <c r="F324" s="335"/>
      <c r="G324" s="204"/>
      <c r="H324" s="202">
        <v>46001.0</v>
      </c>
      <c r="I324" s="359"/>
      <c r="J324" s="204"/>
      <c r="K324" s="221">
        <v>46001.0</v>
      </c>
      <c r="L324" s="219" t="s">
        <v>2426</v>
      </c>
      <c r="M324" s="193">
        <v>5.00280618E8</v>
      </c>
      <c r="N324" s="356">
        <v>8.04</v>
      </c>
      <c r="O324" s="347"/>
      <c r="P324" s="220"/>
      <c r="Q324" s="357"/>
      <c r="R324" s="189"/>
      <c r="S324" s="141"/>
      <c r="T324" s="141"/>
      <c r="U324" s="57"/>
      <c r="V324" s="57"/>
      <c r="W324" s="57"/>
      <c r="X324" s="57"/>
      <c r="Y324" s="57"/>
      <c r="Z324" s="57"/>
      <c r="AA324" s="57"/>
      <c r="AB324" s="57"/>
    </row>
    <row r="325">
      <c r="A325" s="185" t="str">
        <f t="shared" si="1"/>
        <v>20251210-KV3</v>
      </c>
      <c r="B325" s="185" t="s">
        <v>53</v>
      </c>
      <c r="C325" s="329"/>
      <c r="D325" s="186">
        <v>1.0</v>
      </c>
      <c r="E325" s="186" t="s">
        <v>2243</v>
      </c>
      <c r="F325" s="335"/>
      <c r="G325" s="204"/>
      <c r="H325" s="202">
        <v>46001.0</v>
      </c>
      <c r="I325" s="48"/>
      <c r="J325" s="204"/>
      <c r="K325" s="221">
        <v>46001.0</v>
      </c>
      <c r="L325" s="219" t="s">
        <v>2426</v>
      </c>
      <c r="M325" s="193">
        <v>5.00280618E8</v>
      </c>
      <c r="N325" s="356">
        <v>3.65</v>
      </c>
      <c r="O325" s="347"/>
      <c r="P325" s="220"/>
      <c r="Q325" s="357"/>
      <c r="R325" s="189"/>
      <c r="S325" s="141"/>
      <c r="T325" s="141"/>
      <c r="U325" s="57"/>
      <c r="V325" s="57"/>
      <c r="W325" s="57"/>
      <c r="X325" s="57"/>
      <c r="Y325" s="57"/>
      <c r="Z325" s="57"/>
      <c r="AA325" s="57"/>
      <c r="AB325" s="57"/>
    </row>
    <row r="326">
      <c r="A326" s="185" t="str">
        <f t="shared" si="1"/>
        <v>20251211-33V4</v>
      </c>
      <c r="B326" s="185" t="s">
        <v>727</v>
      </c>
      <c r="C326" s="350" t="s">
        <v>2828</v>
      </c>
      <c r="D326" s="186">
        <v>1.0</v>
      </c>
      <c r="E326" s="186" t="s">
        <v>2244</v>
      </c>
      <c r="F326" s="335"/>
      <c r="G326" s="204" t="s">
        <v>41</v>
      </c>
      <c r="H326" s="202">
        <v>46002.0</v>
      </c>
      <c r="I326" s="48"/>
      <c r="J326" s="189"/>
      <c r="K326" s="221">
        <v>46002.0</v>
      </c>
      <c r="L326" s="219" t="s">
        <v>38</v>
      </c>
      <c r="M326" s="193">
        <v>5066147.0</v>
      </c>
      <c r="N326" s="356">
        <v>13.3</v>
      </c>
      <c r="O326" s="347">
        <v>649805.0</v>
      </c>
      <c r="P326" s="220"/>
      <c r="Q326" s="357"/>
      <c r="R326" s="189"/>
      <c r="S326" s="141"/>
      <c r="T326" s="141"/>
      <c r="U326" s="57"/>
      <c r="V326" s="57"/>
      <c r="W326" s="57"/>
      <c r="X326" s="57"/>
      <c r="Y326" s="57"/>
      <c r="Z326" s="57"/>
      <c r="AA326" s="57"/>
      <c r="AB326" s="57"/>
    </row>
    <row r="327">
      <c r="A327" s="185" t="str">
        <f t="shared" si="1"/>
        <v>20251211-1ZAZ</v>
      </c>
      <c r="B327" s="185" t="s">
        <v>1373</v>
      </c>
      <c r="C327" s="329"/>
      <c r="D327" s="186">
        <v>1.0</v>
      </c>
      <c r="E327" s="186" t="s">
        <v>2245</v>
      </c>
      <c r="F327" s="335"/>
      <c r="G327" s="204" t="s">
        <v>35</v>
      </c>
      <c r="H327" s="202">
        <v>46002.0</v>
      </c>
      <c r="I327" s="359"/>
      <c r="J327" s="204" t="s">
        <v>2829</v>
      </c>
      <c r="K327" s="221">
        <v>46002.0</v>
      </c>
      <c r="L327" s="219" t="s">
        <v>38</v>
      </c>
      <c r="M327" s="193">
        <v>5066147.0</v>
      </c>
      <c r="N327" s="356">
        <v>60.8</v>
      </c>
      <c r="O327" s="347">
        <v>649439.0</v>
      </c>
      <c r="P327" s="220"/>
      <c r="Q327" s="358" t="s">
        <v>43</v>
      </c>
      <c r="R327" s="204" t="s">
        <v>43</v>
      </c>
      <c r="S327" s="141"/>
      <c r="T327" s="141"/>
      <c r="U327" s="57"/>
      <c r="V327" s="57"/>
      <c r="W327" s="57"/>
      <c r="X327" s="57"/>
      <c r="Y327" s="57"/>
      <c r="Z327" s="57"/>
      <c r="AA327" s="57"/>
      <c r="AB327" s="57"/>
    </row>
    <row r="328">
      <c r="A328" s="185" t="str">
        <f t="shared" si="1"/>
        <v>20251211-25AQ</v>
      </c>
      <c r="B328" s="185" t="s">
        <v>1373</v>
      </c>
      <c r="C328" s="329"/>
      <c r="D328" s="186">
        <v>1.0</v>
      </c>
      <c r="E328" s="186" t="s">
        <v>2246</v>
      </c>
      <c r="F328" s="335"/>
      <c r="G328" s="204" t="s">
        <v>35</v>
      </c>
      <c r="H328" s="202">
        <v>46002.0</v>
      </c>
      <c r="I328" s="48"/>
      <c r="J328" s="204" t="s">
        <v>2829</v>
      </c>
      <c r="K328" s="221">
        <v>46002.0</v>
      </c>
      <c r="L328" s="219" t="s">
        <v>38</v>
      </c>
      <c r="M328" s="193">
        <v>5066147.0</v>
      </c>
      <c r="N328" s="356">
        <v>15.87</v>
      </c>
      <c r="O328" s="347">
        <v>649439.0</v>
      </c>
      <c r="P328" s="220"/>
      <c r="Q328" s="358" t="s">
        <v>43</v>
      </c>
      <c r="R328" s="204" t="s">
        <v>43</v>
      </c>
      <c r="S328" s="141"/>
      <c r="T328" s="141"/>
      <c r="U328" s="57"/>
      <c r="V328" s="57"/>
      <c r="W328" s="57"/>
      <c r="X328" s="57"/>
      <c r="Y328" s="57"/>
      <c r="Z328" s="57"/>
      <c r="AA328" s="57"/>
      <c r="AB328" s="57"/>
    </row>
    <row r="329">
      <c r="A329" s="185" t="str">
        <f t="shared" si="1"/>
        <v>20251211-1IE3</v>
      </c>
      <c r="B329" s="185" t="s">
        <v>829</v>
      </c>
      <c r="C329" s="329"/>
      <c r="D329" s="186">
        <v>1.0</v>
      </c>
      <c r="E329" s="186" t="s">
        <v>2045</v>
      </c>
      <c r="F329" s="186"/>
      <c r="G329" s="204" t="s">
        <v>41</v>
      </c>
      <c r="H329" s="202">
        <v>46002.0</v>
      </c>
      <c r="I329" s="48"/>
      <c r="J329" s="204" t="s">
        <v>2829</v>
      </c>
      <c r="K329" s="221">
        <v>46002.0</v>
      </c>
      <c r="L329" s="219" t="s">
        <v>38</v>
      </c>
      <c r="M329" s="193">
        <v>5066147.0</v>
      </c>
      <c r="N329" s="356">
        <v>70.3</v>
      </c>
      <c r="O329" s="347">
        <v>649439.0</v>
      </c>
      <c r="P329" s="219" t="s">
        <v>2773</v>
      </c>
      <c r="Q329" s="358" t="s">
        <v>43</v>
      </c>
      <c r="R329" s="204" t="s">
        <v>43</v>
      </c>
      <c r="S329" s="141"/>
      <c r="T329" s="141"/>
      <c r="U329" s="57"/>
      <c r="V329" s="57"/>
      <c r="W329" s="57"/>
      <c r="X329" s="57"/>
      <c r="Y329" s="57"/>
      <c r="Z329" s="57"/>
      <c r="AA329" s="57"/>
      <c r="AB329" s="57"/>
    </row>
    <row r="330">
      <c r="A330" s="185" t="str">
        <f t="shared" si="1"/>
        <v>20251211-1SXH</v>
      </c>
      <c r="B330" s="185" t="s">
        <v>2833</v>
      </c>
      <c r="C330" s="350" t="s">
        <v>2834</v>
      </c>
      <c r="D330" s="186">
        <v>1.0</v>
      </c>
      <c r="E330" s="186" t="s">
        <v>2053</v>
      </c>
      <c r="F330" s="117"/>
      <c r="G330" s="204" t="s">
        <v>41</v>
      </c>
      <c r="H330" s="202">
        <v>46002.0</v>
      </c>
      <c r="I330" s="48"/>
      <c r="J330" s="204" t="s">
        <v>797</v>
      </c>
      <c r="K330" s="221">
        <v>46002.0</v>
      </c>
      <c r="L330" s="219" t="s">
        <v>38</v>
      </c>
      <c r="M330" s="193">
        <v>5066147.0</v>
      </c>
      <c r="N330" s="356">
        <v>159.46</v>
      </c>
      <c r="O330" s="347">
        <v>649439.0</v>
      </c>
      <c r="P330" s="220"/>
      <c r="Q330" s="358" t="s">
        <v>43</v>
      </c>
      <c r="R330" s="204" t="s">
        <v>43</v>
      </c>
      <c r="S330" s="141"/>
      <c r="T330" s="141"/>
      <c r="U330" s="57"/>
      <c r="V330" s="57"/>
      <c r="W330" s="57"/>
      <c r="X330" s="57"/>
      <c r="Y330" s="57"/>
      <c r="Z330" s="57"/>
      <c r="AA330" s="57"/>
      <c r="AB330" s="57"/>
    </row>
    <row r="331">
      <c r="A331" s="185" t="str">
        <f t="shared" si="1"/>
        <v>20251211-1M35</v>
      </c>
      <c r="B331" s="185" t="s">
        <v>2836</v>
      </c>
      <c r="C331" s="350" t="s">
        <v>2837</v>
      </c>
      <c r="D331" s="186">
        <v>1.0</v>
      </c>
      <c r="E331" s="319" t="s">
        <v>2247</v>
      </c>
      <c r="F331" s="186" t="s">
        <v>2773</v>
      </c>
      <c r="G331" s="204" t="s">
        <v>35</v>
      </c>
      <c r="H331" s="202">
        <v>46002.0</v>
      </c>
      <c r="I331" s="48"/>
      <c r="J331" s="204" t="s">
        <v>801</v>
      </c>
      <c r="K331" s="221">
        <v>46002.0</v>
      </c>
      <c r="L331" s="219" t="s">
        <v>38</v>
      </c>
      <c r="M331" s="193">
        <v>5066147.0</v>
      </c>
      <c r="N331" s="356">
        <v>50.07</v>
      </c>
      <c r="O331" s="347">
        <v>649439.0</v>
      </c>
      <c r="P331" s="220"/>
      <c r="Q331" s="357"/>
      <c r="R331" s="189"/>
      <c r="S331" s="141"/>
      <c r="T331" s="141"/>
      <c r="U331" s="57"/>
      <c r="V331" s="57"/>
      <c r="W331" s="57"/>
      <c r="X331" s="57"/>
      <c r="Y331" s="57"/>
      <c r="Z331" s="57"/>
      <c r="AA331" s="57"/>
      <c r="AB331" s="57"/>
    </row>
    <row r="332">
      <c r="A332" s="185" t="str">
        <f t="shared" si="1"/>
        <v>20251211-1NQ7</v>
      </c>
      <c r="B332" s="185" t="s">
        <v>2838</v>
      </c>
      <c r="C332" s="350" t="s">
        <v>2839</v>
      </c>
      <c r="D332" s="186">
        <v>1.0</v>
      </c>
      <c r="E332" s="186" t="s">
        <v>2208</v>
      </c>
      <c r="F332" s="186"/>
      <c r="G332" s="204" t="s">
        <v>41</v>
      </c>
      <c r="H332" s="202">
        <v>46002.0</v>
      </c>
      <c r="I332" s="48"/>
      <c r="J332" s="204" t="s">
        <v>797</v>
      </c>
      <c r="K332" s="221">
        <v>46002.0</v>
      </c>
      <c r="L332" s="219" t="s">
        <v>38</v>
      </c>
      <c r="M332" s="193">
        <v>5066147.0</v>
      </c>
      <c r="N332" s="356">
        <v>119.99</v>
      </c>
      <c r="O332" s="347">
        <v>649439.0</v>
      </c>
      <c r="P332" s="220"/>
      <c r="Q332" s="357"/>
      <c r="R332" s="189"/>
      <c r="S332" s="141"/>
      <c r="T332" s="141"/>
      <c r="U332" s="57"/>
      <c r="V332" s="57"/>
      <c r="W332" s="57"/>
      <c r="X332" s="57"/>
      <c r="Y332" s="57"/>
      <c r="Z332" s="57"/>
      <c r="AA332" s="57"/>
      <c r="AB332" s="57"/>
    </row>
    <row r="333">
      <c r="A333" s="185" t="str">
        <f t="shared" si="1"/>
        <v>20251211-NVY</v>
      </c>
      <c r="B333" s="185" t="s">
        <v>53</v>
      </c>
      <c r="C333" s="329"/>
      <c r="D333" s="186">
        <v>1.0</v>
      </c>
      <c r="E333" s="186" t="s">
        <v>2248</v>
      </c>
      <c r="F333" s="117"/>
      <c r="G333" s="204" t="s">
        <v>35</v>
      </c>
      <c r="H333" s="202">
        <v>46002.0</v>
      </c>
      <c r="I333" s="48"/>
      <c r="J333" s="204"/>
      <c r="K333" s="221">
        <v>46002.0</v>
      </c>
      <c r="L333" s="219" t="s">
        <v>38</v>
      </c>
      <c r="M333" s="193">
        <v>5066147.0</v>
      </c>
      <c r="N333" s="356">
        <v>20.9</v>
      </c>
      <c r="O333" s="347">
        <v>649439.0</v>
      </c>
      <c r="P333" s="220"/>
      <c r="Q333" s="357"/>
      <c r="R333" s="189"/>
      <c r="S333" s="141"/>
      <c r="T333" s="141"/>
      <c r="U333" s="57"/>
      <c r="V333" s="57"/>
      <c r="W333" s="57"/>
      <c r="X333" s="57"/>
      <c r="Y333" s="57"/>
      <c r="Z333" s="57"/>
      <c r="AA333" s="57"/>
      <c r="AB333" s="57"/>
    </row>
    <row r="334">
      <c r="A334" s="185" t="str">
        <f t="shared" si="1"/>
        <v>20251211-EWT</v>
      </c>
      <c r="B334" s="185" t="s">
        <v>53</v>
      </c>
      <c r="C334" s="329"/>
      <c r="D334" s="186">
        <v>5.0</v>
      </c>
      <c r="E334" s="186" t="s">
        <v>330</v>
      </c>
      <c r="F334" s="117"/>
      <c r="G334" s="189"/>
      <c r="H334" s="202">
        <v>46002.0</v>
      </c>
      <c r="I334" s="48"/>
      <c r="J334" s="189"/>
      <c r="K334" s="221">
        <v>46002.0</v>
      </c>
      <c r="L334" s="219" t="s">
        <v>38</v>
      </c>
      <c r="M334" s="193">
        <v>5066147.0</v>
      </c>
      <c r="N334" s="356">
        <v>2.38</v>
      </c>
      <c r="O334" s="347">
        <v>649439.0</v>
      </c>
      <c r="P334" s="220"/>
      <c r="Q334" s="357"/>
      <c r="R334" s="189"/>
      <c r="S334" s="141"/>
      <c r="T334" s="141"/>
      <c r="U334" s="57"/>
      <c r="V334" s="57"/>
      <c r="W334" s="57"/>
      <c r="X334" s="57"/>
      <c r="Y334" s="57"/>
      <c r="Z334" s="57"/>
      <c r="AA334" s="57"/>
      <c r="AB334" s="57"/>
    </row>
    <row r="335">
      <c r="A335" s="185" t="str">
        <f t="shared" si="1"/>
        <v>20251211-NEE</v>
      </c>
      <c r="B335" s="185" t="s">
        <v>53</v>
      </c>
      <c r="C335" s="329"/>
      <c r="D335" s="117">
        <v>1.0</v>
      </c>
      <c r="E335" s="186" t="s">
        <v>583</v>
      </c>
      <c r="F335" s="117"/>
      <c r="G335" s="189"/>
      <c r="H335" s="202">
        <v>46002.0</v>
      </c>
      <c r="I335" s="48"/>
      <c r="J335" s="189"/>
      <c r="K335" s="221">
        <v>46002.0</v>
      </c>
      <c r="L335" s="219" t="s">
        <v>38</v>
      </c>
      <c r="M335" s="193">
        <v>5066147.0</v>
      </c>
      <c r="N335" s="356">
        <v>85.45</v>
      </c>
      <c r="O335" s="347">
        <v>649439.0</v>
      </c>
      <c r="P335" s="220"/>
      <c r="Q335" s="357"/>
      <c r="R335" s="189"/>
      <c r="S335" s="141"/>
      <c r="T335" s="141"/>
      <c r="U335" s="57"/>
      <c r="V335" s="57"/>
      <c r="W335" s="57"/>
      <c r="X335" s="57"/>
      <c r="Y335" s="57"/>
      <c r="Z335" s="57"/>
      <c r="AA335" s="57"/>
      <c r="AB335" s="57"/>
    </row>
    <row r="336">
      <c r="A336" s="185" t="str">
        <f t="shared" si="1"/>
        <v>20251215-136I</v>
      </c>
      <c r="B336" s="185" t="s">
        <v>53</v>
      </c>
      <c r="C336" s="350"/>
      <c r="D336" s="186">
        <v>1.0</v>
      </c>
      <c r="E336" s="186" t="s">
        <v>2250</v>
      </c>
      <c r="F336" s="117"/>
      <c r="G336" s="189"/>
      <c r="H336" s="202">
        <v>46006.0</v>
      </c>
      <c r="I336" s="48"/>
      <c r="J336" s="189"/>
      <c r="K336" s="221">
        <v>46006.0</v>
      </c>
      <c r="L336" s="219" t="s">
        <v>38</v>
      </c>
      <c r="M336" s="193">
        <v>507348.0</v>
      </c>
      <c r="N336" s="356">
        <v>99.28</v>
      </c>
      <c r="O336" s="363">
        <v>650719.0</v>
      </c>
      <c r="P336" s="220"/>
      <c r="Q336" s="357"/>
      <c r="R336" s="189"/>
      <c r="S336" s="141"/>
      <c r="T336" s="141"/>
      <c r="U336" s="57"/>
      <c r="V336" s="57"/>
      <c r="W336" s="57"/>
      <c r="X336" s="57"/>
      <c r="Y336" s="57"/>
      <c r="Z336" s="57"/>
      <c r="AA336" s="57"/>
      <c r="AB336" s="57"/>
    </row>
    <row r="337">
      <c r="A337" s="185" t="str">
        <f t="shared" si="1"/>
        <v>20251215-1ITO</v>
      </c>
      <c r="B337" s="185" t="s">
        <v>2614</v>
      </c>
      <c r="C337" s="329"/>
      <c r="D337" s="186">
        <v>1.0</v>
      </c>
      <c r="E337" s="186" t="s">
        <v>2250</v>
      </c>
      <c r="F337" s="117"/>
      <c r="G337" s="204" t="s">
        <v>35</v>
      </c>
      <c r="H337" s="202">
        <v>46006.0</v>
      </c>
      <c r="I337" s="48"/>
      <c r="J337" s="204" t="s">
        <v>1398</v>
      </c>
      <c r="K337" s="221">
        <v>46006.0</v>
      </c>
      <c r="L337" s="219" t="s">
        <v>38</v>
      </c>
      <c r="M337" s="193">
        <v>507348.0</v>
      </c>
      <c r="N337" s="356">
        <v>99.28</v>
      </c>
      <c r="O337" s="363">
        <v>650719.0</v>
      </c>
      <c r="P337" s="220"/>
      <c r="Q337" s="357"/>
      <c r="R337" s="189"/>
      <c r="S337" s="141"/>
      <c r="T337" s="141"/>
      <c r="U337" s="57"/>
      <c r="V337" s="57"/>
      <c r="W337" s="57"/>
      <c r="X337" s="57"/>
      <c r="Y337" s="57"/>
      <c r="Z337" s="57"/>
      <c r="AA337" s="57"/>
      <c r="AB337" s="57"/>
    </row>
    <row r="338">
      <c r="A338" s="185" t="str">
        <f t="shared" si="1"/>
        <v>20251215-131M</v>
      </c>
      <c r="B338" s="185" t="s">
        <v>53</v>
      </c>
      <c r="C338" s="329"/>
      <c r="D338" s="186">
        <v>1.0</v>
      </c>
      <c r="E338" s="186" t="s">
        <v>126</v>
      </c>
      <c r="F338" s="117"/>
      <c r="G338" s="189"/>
      <c r="H338" s="202">
        <v>46006.0</v>
      </c>
      <c r="I338" s="48"/>
      <c r="J338" s="189"/>
      <c r="K338" s="221">
        <v>46006.0</v>
      </c>
      <c r="L338" s="219" t="s">
        <v>38</v>
      </c>
      <c r="M338" s="193">
        <v>507348.0</v>
      </c>
      <c r="N338" s="356">
        <v>99.28</v>
      </c>
      <c r="O338" s="363">
        <v>650719.0</v>
      </c>
      <c r="P338" s="220"/>
      <c r="Q338" s="357"/>
      <c r="R338" s="189"/>
      <c r="S338" s="141"/>
      <c r="T338" s="141"/>
      <c r="U338" s="57"/>
      <c r="V338" s="57"/>
      <c r="W338" s="57"/>
      <c r="X338" s="57"/>
      <c r="Y338" s="57"/>
      <c r="Z338" s="57"/>
      <c r="AA338" s="57"/>
      <c r="AB338" s="57"/>
    </row>
    <row r="339">
      <c r="A339" s="185" t="str">
        <f t="shared" si="1"/>
        <v>20251215-IHR</v>
      </c>
      <c r="B339" s="185" t="s">
        <v>459</v>
      </c>
      <c r="C339" s="329"/>
      <c r="D339" s="186">
        <v>10.0</v>
      </c>
      <c r="E339" s="186" t="s">
        <v>2251</v>
      </c>
      <c r="F339" s="117"/>
      <c r="G339" s="189"/>
      <c r="H339" s="202">
        <v>46006.0</v>
      </c>
      <c r="I339" s="48"/>
      <c r="J339" s="189"/>
      <c r="K339" s="221">
        <v>46006.0</v>
      </c>
      <c r="L339" s="219" t="s">
        <v>38</v>
      </c>
      <c r="M339" s="193">
        <v>507348.0</v>
      </c>
      <c r="N339" s="356">
        <v>1.07</v>
      </c>
      <c r="O339" s="363">
        <v>650719.0</v>
      </c>
      <c r="P339" s="220"/>
      <c r="Q339" s="357"/>
      <c r="R339" s="189"/>
      <c r="S339" s="141"/>
      <c r="T339" s="141"/>
      <c r="U339" s="57"/>
      <c r="V339" s="57"/>
      <c r="W339" s="57"/>
      <c r="X339" s="57"/>
      <c r="Y339" s="57"/>
      <c r="Z339" s="57"/>
      <c r="AA339" s="57"/>
      <c r="AB339" s="57"/>
    </row>
    <row r="340">
      <c r="A340" s="185" t="str">
        <f t="shared" si="1"/>
        <v>20251215-7AO</v>
      </c>
      <c r="B340" s="185" t="s">
        <v>53</v>
      </c>
      <c r="C340" s="329"/>
      <c r="D340" s="186">
        <v>3.0</v>
      </c>
      <c r="E340" s="186" t="s">
        <v>2252</v>
      </c>
      <c r="F340" s="117"/>
      <c r="G340" s="204"/>
      <c r="H340" s="202">
        <v>46006.0</v>
      </c>
      <c r="I340" s="48"/>
      <c r="J340" s="204" t="s">
        <v>797</v>
      </c>
      <c r="K340" s="221">
        <v>46006.0</v>
      </c>
      <c r="L340" s="219" t="s">
        <v>38</v>
      </c>
      <c r="M340" s="193">
        <v>507348.0</v>
      </c>
      <c r="N340" s="356">
        <v>1.19</v>
      </c>
      <c r="O340" s="363">
        <v>650719.0</v>
      </c>
      <c r="P340" s="220"/>
      <c r="Q340" s="357"/>
      <c r="R340" s="189"/>
      <c r="S340" s="141"/>
      <c r="T340" s="141"/>
      <c r="U340" s="57"/>
      <c r="V340" s="57"/>
      <c r="W340" s="57"/>
      <c r="X340" s="57"/>
      <c r="Y340" s="57"/>
      <c r="Z340" s="57"/>
      <c r="AA340" s="57"/>
      <c r="AB340" s="57"/>
    </row>
    <row r="341">
      <c r="A341" s="185" t="str">
        <f t="shared" si="1"/>
        <v>20251215-1PH5</v>
      </c>
      <c r="B341" s="185" t="s">
        <v>2849</v>
      </c>
      <c r="C341" s="186" t="s">
        <v>2850</v>
      </c>
      <c r="D341" s="199">
        <v>1.0</v>
      </c>
      <c r="E341" s="200" t="s">
        <v>2253</v>
      </c>
      <c r="F341" s="117"/>
      <c r="G341" s="204" t="s">
        <v>41</v>
      </c>
      <c r="H341" s="202">
        <v>46006.0</v>
      </c>
      <c r="I341" s="48"/>
      <c r="J341" s="204" t="s">
        <v>797</v>
      </c>
      <c r="K341" s="221">
        <v>46006.0</v>
      </c>
      <c r="L341" s="219" t="s">
        <v>38</v>
      </c>
      <c r="M341" s="193">
        <v>507348.0</v>
      </c>
      <c r="N341" s="356">
        <v>114.0</v>
      </c>
      <c r="O341" s="363">
        <v>650719.0</v>
      </c>
      <c r="P341" s="220"/>
      <c r="Q341" s="358" t="s">
        <v>43</v>
      </c>
      <c r="R341" s="204" t="s">
        <v>43</v>
      </c>
      <c r="S341" s="141"/>
      <c r="T341" s="141"/>
      <c r="U341" s="57"/>
      <c r="V341" s="57"/>
      <c r="W341" s="57"/>
      <c r="X341" s="57"/>
      <c r="Y341" s="57"/>
      <c r="Z341" s="57"/>
      <c r="AA341" s="57"/>
      <c r="AB341" s="57"/>
    </row>
    <row r="342">
      <c r="A342" s="185" t="str">
        <f t="shared" si="1"/>
        <v>20251215-YIY</v>
      </c>
      <c r="B342" s="185" t="s">
        <v>2650</v>
      </c>
      <c r="C342" s="330"/>
      <c r="D342" s="186">
        <v>1.0</v>
      </c>
      <c r="E342" s="186" t="s">
        <v>2104</v>
      </c>
      <c r="F342" s="117"/>
      <c r="G342" s="204" t="s">
        <v>41</v>
      </c>
      <c r="H342" s="202">
        <v>46006.0</v>
      </c>
      <c r="I342" s="48"/>
      <c r="J342" s="204" t="s">
        <v>797</v>
      </c>
      <c r="K342" s="221">
        <v>46006.0</v>
      </c>
      <c r="L342" s="219" t="s">
        <v>38</v>
      </c>
      <c r="M342" s="193">
        <v>507348.0</v>
      </c>
      <c r="N342" s="356">
        <v>156.51</v>
      </c>
      <c r="O342" s="363">
        <v>650719.0</v>
      </c>
      <c r="P342" s="220"/>
      <c r="Q342" s="357"/>
      <c r="R342" s="189"/>
      <c r="S342" s="141"/>
      <c r="T342" s="141"/>
      <c r="U342" s="57"/>
      <c r="V342" s="57"/>
      <c r="W342" s="57"/>
      <c r="X342" s="57"/>
      <c r="Y342" s="57"/>
      <c r="Z342" s="57"/>
      <c r="AA342" s="57"/>
      <c r="AB342" s="57"/>
    </row>
    <row r="343">
      <c r="A343" s="185" t="str">
        <f t="shared" si="1"/>
        <v>20251215-1VSK</v>
      </c>
      <c r="B343" s="185" t="s">
        <v>420</v>
      </c>
      <c r="C343" s="329"/>
      <c r="D343" s="117">
        <v>1.0</v>
      </c>
      <c r="E343" s="186" t="s">
        <v>240</v>
      </c>
      <c r="F343" s="117"/>
      <c r="G343" s="204" t="s">
        <v>35</v>
      </c>
      <c r="H343" s="202">
        <v>46006.0</v>
      </c>
      <c r="I343" s="48"/>
      <c r="J343" s="204" t="s">
        <v>797</v>
      </c>
      <c r="K343" s="221">
        <v>46006.0</v>
      </c>
      <c r="L343" s="219" t="s">
        <v>38</v>
      </c>
      <c r="M343" s="193">
        <v>507348.0</v>
      </c>
      <c r="N343" s="356">
        <v>99.28</v>
      </c>
      <c r="O343" s="363">
        <v>650719.0</v>
      </c>
      <c r="P343" s="220"/>
      <c r="Q343" s="358" t="s">
        <v>43</v>
      </c>
      <c r="R343" s="204" t="s">
        <v>43</v>
      </c>
      <c r="S343" s="141"/>
      <c r="T343" s="141"/>
      <c r="U343" s="57"/>
      <c r="V343" s="57"/>
      <c r="W343" s="57"/>
      <c r="X343" s="57"/>
      <c r="Y343" s="57"/>
      <c r="Z343" s="57"/>
      <c r="AA343" s="57"/>
      <c r="AB343" s="57"/>
    </row>
    <row r="344">
      <c r="A344" s="185" t="str">
        <f t="shared" si="1"/>
        <v>20251215-1WVK</v>
      </c>
      <c r="B344" s="185" t="s">
        <v>420</v>
      </c>
      <c r="C344" s="350"/>
      <c r="D344" s="117">
        <v>1.0</v>
      </c>
      <c r="E344" s="186" t="s">
        <v>2255</v>
      </c>
      <c r="F344" s="117"/>
      <c r="G344" s="204" t="s">
        <v>41</v>
      </c>
      <c r="H344" s="202">
        <v>46006.0</v>
      </c>
      <c r="I344" s="48"/>
      <c r="J344" s="204" t="s">
        <v>2829</v>
      </c>
      <c r="K344" s="221">
        <v>46006.0</v>
      </c>
      <c r="L344" s="219" t="s">
        <v>38</v>
      </c>
      <c r="M344" s="193">
        <v>507348.0</v>
      </c>
      <c r="N344" s="356">
        <v>99.28</v>
      </c>
      <c r="O344" s="363">
        <v>650719.0</v>
      </c>
      <c r="P344" s="220"/>
      <c r="Q344" s="358" t="s">
        <v>43</v>
      </c>
      <c r="R344" s="204" t="s">
        <v>43</v>
      </c>
      <c r="S344" s="141"/>
      <c r="T344" s="141"/>
      <c r="U344" s="57"/>
      <c r="V344" s="57"/>
      <c r="W344" s="57"/>
      <c r="X344" s="57"/>
      <c r="Y344" s="57"/>
      <c r="Z344" s="57"/>
      <c r="AA344" s="57"/>
      <c r="AB344" s="57"/>
    </row>
    <row r="345">
      <c r="A345" s="185" t="str">
        <f t="shared" si="1"/>
        <v>20251215-MTN</v>
      </c>
      <c r="B345" s="185" t="s">
        <v>1078</v>
      </c>
      <c r="C345" s="329"/>
      <c r="D345" s="186">
        <v>1.0</v>
      </c>
      <c r="E345" s="186" t="s">
        <v>51</v>
      </c>
      <c r="F345" s="186"/>
      <c r="G345" s="186" t="s">
        <v>35</v>
      </c>
      <c r="H345" s="202">
        <v>46006.0</v>
      </c>
      <c r="I345" s="48"/>
      <c r="J345" s="189"/>
      <c r="K345" s="221">
        <v>46006.0</v>
      </c>
      <c r="L345" s="219" t="s">
        <v>38</v>
      </c>
      <c r="M345" s="193">
        <v>507348.0</v>
      </c>
      <c r="N345" s="356">
        <v>114.0</v>
      </c>
      <c r="O345" s="363">
        <v>650719.0</v>
      </c>
      <c r="P345" s="220"/>
      <c r="Q345" s="358" t="s">
        <v>43</v>
      </c>
      <c r="R345" s="204" t="s">
        <v>43</v>
      </c>
      <c r="S345" s="141"/>
      <c r="T345" s="141"/>
      <c r="U345" s="57"/>
      <c r="V345" s="57"/>
      <c r="W345" s="57"/>
      <c r="X345" s="57"/>
      <c r="Y345" s="57"/>
      <c r="Z345" s="57"/>
      <c r="AA345" s="57"/>
      <c r="AB345" s="57"/>
    </row>
    <row r="346">
      <c r="A346" s="185" t="str">
        <f t="shared" si="1"/>
        <v>20251215-19EG</v>
      </c>
      <c r="B346" s="185" t="s">
        <v>1275</v>
      </c>
      <c r="C346" s="329"/>
      <c r="D346" s="186">
        <v>1.0</v>
      </c>
      <c r="E346" s="186" t="s">
        <v>2256</v>
      </c>
      <c r="F346" s="117"/>
      <c r="G346" s="204" t="s">
        <v>35</v>
      </c>
      <c r="H346" s="202">
        <v>46006.0</v>
      </c>
      <c r="I346" s="48"/>
      <c r="J346" s="204"/>
      <c r="K346" s="221">
        <v>46006.0</v>
      </c>
      <c r="L346" s="219" t="s">
        <v>38</v>
      </c>
      <c r="M346" s="193">
        <v>507348.0</v>
      </c>
      <c r="N346" s="356">
        <v>156.51</v>
      </c>
      <c r="O346" s="363">
        <v>650719.0</v>
      </c>
      <c r="P346" s="220"/>
      <c r="Q346" s="358" t="s">
        <v>43</v>
      </c>
      <c r="R346" s="204" t="s">
        <v>43</v>
      </c>
      <c r="S346" s="141"/>
      <c r="T346" s="141"/>
      <c r="U346" s="57"/>
      <c r="V346" s="57"/>
      <c r="W346" s="57"/>
      <c r="X346" s="57"/>
      <c r="Y346" s="57"/>
      <c r="Z346" s="57"/>
      <c r="AA346" s="57"/>
      <c r="AB346" s="57"/>
    </row>
    <row r="347">
      <c r="A347" s="185" t="str">
        <f t="shared" si="1"/>
        <v>20251215-RUZ</v>
      </c>
      <c r="B347" s="185" t="s">
        <v>2853</v>
      </c>
      <c r="C347" s="329"/>
      <c r="D347" s="186">
        <v>1.0</v>
      </c>
      <c r="E347" s="186" t="s">
        <v>146</v>
      </c>
      <c r="F347" s="117"/>
      <c r="G347" s="204" t="s">
        <v>35</v>
      </c>
      <c r="H347" s="202">
        <v>46006.0</v>
      </c>
      <c r="I347" s="48"/>
      <c r="J347" s="204" t="s">
        <v>797</v>
      </c>
      <c r="K347" s="221">
        <v>46006.0</v>
      </c>
      <c r="L347" s="219" t="s">
        <v>38</v>
      </c>
      <c r="M347" s="193">
        <v>507348.0</v>
      </c>
      <c r="N347" s="356">
        <v>156.51</v>
      </c>
      <c r="O347" s="363">
        <v>650719.0</v>
      </c>
      <c r="P347" s="220"/>
      <c r="Q347" s="357"/>
      <c r="R347" s="189"/>
      <c r="S347" s="141"/>
      <c r="T347" s="141"/>
      <c r="U347" s="57"/>
      <c r="V347" s="57"/>
      <c r="W347" s="57"/>
      <c r="X347" s="57"/>
      <c r="Y347" s="57"/>
      <c r="Z347" s="57"/>
      <c r="AA347" s="57"/>
      <c r="AB347" s="57"/>
    </row>
    <row r="348">
      <c r="A348" s="185" t="str">
        <f t="shared" si="1"/>
        <v>20251215-RR9</v>
      </c>
      <c r="B348" s="185" t="s">
        <v>2853</v>
      </c>
      <c r="C348" s="330"/>
      <c r="D348" s="199">
        <v>1.0</v>
      </c>
      <c r="E348" s="186" t="s">
        <v>244</v>
      </c>
      <c r="F348" s="117"/>
      <c r="G348" s="204" t="s">
        <v>35</v>
      </c>
      <c r="H348" s="202">
        <v>46006.0</v>
      </c>
      <c r="I348" s="48"/>
      <c r="J348" s="204" t="s">
        <v>797</v>
      </c>
      <c r="K348" s="221">
        <v>46006.0</v>
      </c>
      <c r="L348" s="219" t="s">
        <v>38</v>
      </c>
      <c r="M348" s="193">
        <v>507348.0</v>
      </c>
      <c r="N348" s="356">
        <v>156.51</v>
      </c>
      <c r="O348" s="363">
        <v>650719.0</v>
      </c>
      <c r="P348" s="220"/>
      <c r="Q348" s="357"/>
      <c r="R348" s="189"/>
      <c r="S348" s="141"/>
      <c r="T348" s="141"/>
      <c r="U348" s="57"/>
      <c r="V348" s="57"/>
      <c r="W348" s="57"/>
      <c r="X348" s="57"/>
      <c r="Y348" s="57"/>
      <c r="Z348" s="57"/>
      <c r="AA348" s="57"/>
      <c r="AB348" s="57"/>
    </row>
    <row r="349">
      <c r="A349" s="185" t="str">
        <f t="shared" si="1"/>
        <v>20251215-N9X</v>
      </c>
      <c r="B349" s="185" t="s">
        <v>53</v>
      </c>
      <c r="C349" s="329"/>
      <c r="D349" s="186">
        <v>4.0</v>
      </c>
      <c r="E349" s="186" t="s">
        <v>2257</v>
      </c>
      <c r="F349" s="117"/>
      <c r="G349" s="204" t="s">
        <v>35</v>
      </c>
      <c r="H349" s="202">
        <v>46006.0</v>
      </c>
      <c r="I349" s="48"/>
      <c r="J349" s="189"/>
      <c r="K349" s="221">
        <v>46006.0</v>
      </c>
      <c r="L349" s="219" t="s">
        <v>38</v>
      </c>
      <c r="M349" s="193">
        <v>507348.0</v>
      </c>
      <c r="N349" s="356">
        <v>5.46</v>
      </c>
      <c r="O349" s="363">
        <v>650719.0</v>
      </c>
      <c r="P349" s="220"/>
      <c r="Q349" s="357"/>
      <c r="R349" s="189"/>
      <c r="S349" s="141"/>
      <c r="T349" s="141"/>
      <c r="U349" s="57"/>
      <c r="V349" s="57"/>
      <c r="W349" s="57"/>
      <c r="X349" s="57"/>
      <c r="Y349" s="57"/>
      <c r="Z349" s="57"/>
      <c r="AA349" s="57"/>
      <c r="AB349" s="57"/>
    </row>
    <row r="350">
      <c r="A350" s="185" t="str">
        <f t="shared" si="1"/>
        <v>20251216-1F04</v>
      </c>
      <c r="B350" s="185" t="s">
        <v>1484</v>
      </c>
      <c r="C350" s="350" t="s">
        <v>1485</v>
      </c>
      <c r="D350" s="186">
        <v>1.0</v>
      </c>
      <c r="E350" s="186" t="s">
        <v>2258</v>
      </c>
      <c r="F350" s="117"/>
      <c r="G350" s="189"/>
      <c r="H350" s="202">
        <v>46007.0</v>
      </c>
      <c r="I350" s="48"/>
      <c r="J350" s="189"/>
      <c r="K350" s="221">
        <v>46007.0</v>
      </c>
      <c r="L350" s="219" t="s">
        <v>38</v>
      </c>
      <c r="M350" s="193">
        <v>507849.0</v>
      </c>
      <c r="N350" s="356">
        <v>42.47</v>
      </c>
      <c r="O350" s="363">
        <v>651223.0</v>
      </c>
      <c r="P350" s="220"/>
      <c r="Q350" s="358" t="s">
        <v>43</v>
      </c>
      <c r="R350" s="204" t="s">
        <v>43</v>
      </c>
      <c r="S350" s="141"/>
      <c r="T350" s="141"/>
      <c r="U350" s="57"/>
      <c r="V350" s="57"/>
      <c r="W350" s="57"/>
      <c r="X350" s="57"/>
      <c r="Y350" s="57"/>
      <c r="Z350" s="57"/>
      <c r="AA350" s="57"/>
      <c r="AB350" s="57"/>
    </row>
    <row r="351">
      <c r="A351" s="185" t="str">
        <f t="shared" si="1"/>
        <v>20251216-2CCG</v>
      </c>
      <c r="B351" s="185" t="s">
        <v>1361</v>
      </c>
      <c r="C351" s="350" t="s">
        <v>1362</v>
      </c>
      <c r="D351" s="186">
        <v>1.0</v>
      </c>
      <c r="E351" s="186" t="s">
        <v>2259</v>
      </c>
      <c r="F351" s="186" t="s">
        <v>2786</v>
      </c>
      <c r="G351" s="350" t="s">
        <v>35</v>
      </c>
      <c r="H351" s="202">
        <v>46007.0</v>
      </c>
      <c r="I351" s="48"/>
      <c r="J351" s="204" t="s">
        <v>801</v>
      </c>
      <c r="K351" s="221">
        <v>46007.0</v>
      </c>
      <c r="L351" s="219" t="s">
        <v>38</v>
      </c>
      <c r="M351" s="193">
        <v>507849.0</v>
      </c>
      <c r="N351" s="356">
        <v>50.11</v>
      </c>
      <c r="O351" s="363">
        <v>651344.0</v>
      </c>
      <c r="P351" s="220"/>
      <c r="Q351" s="358" t="s">
        <v>43</v>
      </c>
      <c r="R351" s="204" t="s">
        <v>43</v>
      </c>
      <c r="S351" s="141"/>
      <c r="T351" s="141"/>
      <c r="U351" s="57"/>
      <c r="V351" s="57"/>
      <c r="W351" s="57"/>
      <c r="X351" s="57"/>
      <c r="Y351" s="57"/>
      <c r="Z351" s="57"/>
      <c r="AA351" s="57"/>
      <c r="AB351" s="57"/>
    </row>
    <row r="352">
      <c r="A352" s="185" t="str">
        <f t="shared" si="1"/>
        <v>20251216-MCH</v>
      </c>
      <c r="B352" s="349" t="s">
        <v>53</v>
      </c>
      <c r="C352" s="329"/>
      <c r="D352" s="117">
        <v>1.0</v>
      </c>
      <c r="E352" s="186" t="s">
        <v>2260</v>
      </c>
      <c r="F352" s="117"/>
      <c r="G352" s="189"/>
      <c r="H352" s="202">
        <v>46007.0</v>
      </c>
      <c r="I352" s="48"/>
      <c r="J352" s="189"/>
      <c r="K352" s="221">
        <v>46007.0</v>
      </c>
      <c r="L352" s="219" t="s">
        <v>38</v>
      </c>
      <c r="M352" s="193">
        <v>507849.0</v>
      </c>
      <c r="N352" s="356">
        <v>113.91</v>
      </c>
      <c r="O352" s="363">
        <v>651344.0</v>
      </c>
      <c r="P352" s="220"/>
      <c r="Q352" s="358" t="s">
        <v>43</v>
      </c>
      <c r="R352" s="204" t="s">
        <v>43</v>
      </c>
      <c r="S352" s="141"/>
      <c r="T352" s="141"/>
      <c r="U352" s="57"/>
      <c r="V352" s="57"/>
      <c r="W352" s="57"/>
      <c r="X352" s="57"/>
      <c r="Y352" s="57"/>
      <c r="Z352" s="57"/>
      <c r="AA352" s="57"/>
      <c r="AB352" s="57"/>
    </row>
    <row r="353">
      <c r="A353" s="185" t="str">
        <f t="shared" si="1"/>
        <v>20251216-LPC</v>
      </c>
      <c r="B353" s="349" t="s">
        <v>53</v>
      </c>
      <c r="C353" s="330"/>
      <c r="D353" s="330">
        <v>1.0</v>
      </c>
      <c r="E353" s="186" t="s">
        <v>2261</v>
      </c>
      <c r="F353" s="117"/>
      <c r="G353" s="189"/>
      <c r="H353" s="202">
        <v>46007.0</v>
      </c>
      <c r="I353" s="48"/>
      <c r="J353" s="189"/>
      <c r="K353" s="221">
        <v>46007.0</v>
      </c>
      <c r="L353" s="219" t="s">
        <v>38</v>
      </c>
      <c r="M353" s="193">
        <v>507849.0</v>
      </c>
      <c r="N353" s="356">
        <v>159.46</v>
      </c>
      <c r="O353" s="363">
        <v>651344.0</v>
      </c>
      <c r="P353" s="220"/>
      <c r="Q353" s="357"/>
      <c r="R353" s="189"/>
      <c r="S353" s="141"/>
      <c r="T353" s="141"/>
      <c r="U353" s="57"/>
      <c r="V353" s="57"/>
      <c r="W353" s="57"/>
      <c r="X353" s="57"/>
      <c r="Y353" s="57"/>
      <c r="Z353" s="57"/>
      <c r="AA353" s="57"/>
      <c r="AB353" s="57"/>
    </row>
    <row r="354">
      <c r="A354" s="185" t="str">
        <f t="shared" si="1"/>
        <v>20251216-8WK</v>
      </c>
      <c r="B354" s="185" t="s">
        <v>53</v>
      </c>
      <c r="C354" s="350"/>
      <c r="D354" s="186">
        <v>1.0</v>
      </c>
      <c r="E354" s="186" t="s">
        <v>1483</v>
      </c>
      <c r="F354" s="117"/>
      <c r="G354" s="189"/>
      <c r="H354" s="202">
        <v>46007.0</v>
      </c>
      <c r="I354" s="48"/>
      <c r="J354" s="189"/>
      <c r="K354" s="221">
        <v>46007.0</v>
      </c>
      <c r="L354" s="219" t="s">
        <v>38</v>
      </c>
      <c r="M354" s="193">
        <v>507849.0</v>
      </c>
      <c r="N354" s="356">
        <v>114.0</v>
      </c>
      <c r="O354" s="363">
        <v>651344.0</v>
      </c>
      <c r="P354" s="220"/>
      <c r="Q354" s="357"/>
      <c r="R354" s="189"/>
      <c r="S354" s="141"/>
      <c r="T354" s="141"/>
      <c r="U354" s="57"/>
      <c r="V354" s="57"/>
      <c r="W354" s="57"/>
      <c r="X354" s="57"/>
      <c r="Y354" s="57"/>
      <c r="Z354" s="57"/>
      <c r="AA354" s="57"/>
      <c r="AB354" s="57"/>
    </row>
    <row r="355">
      <c r="A355" s="185" t="str">
        <f t="shared" si="1"/>
        <v>20251216-1JK5</v>
      </c>
      <c r="B355" s="185" t="s">
        <v>2857</v>
      </c>
      <c r="C355" s="329"/>
      <c r="D355" s="186">
        <v>1.0</v>
      </c>
      <c r="E355" s="186" t="s">
        <v>2262</v>
      </c>
      <c r="F355" s="186"/>
      <c r="G355" s="350"/>
      <c r="H355" s="202">
        <v>46007.0</v>
      </c>
      <c r="I355" s="48"/>
      <c r="J355" s="204" t="s">
        <v>2829</v>
      </c>
      <c r="K355" s="221">
        <v>46007.0</v>
      </c>
      <c r="L355" s="219" t="s">
        <v>38</v>
      </c>
      <c r="M355" s="193">
        <v>507849.0</v>
      </c>
      <c r="N355" s="356">
        <v>33.25</v>
      </c>
      <c r="O355" s="363">
        <v>651344.0</v>
      </c>
      <c r="P355" s="220"/>
      <c r="Q355" s="358" t="s">
        <v>43</v>
      </c>
      <c r="R355" s="204" t="s">
        <v>43</v>
      </c>
      <c r="S355" s="141"/>
      <c r="T355" s="141"/>
      <c r="U355" s="57"/>
      <c r="V355" s="57"/>
      <c r="W355" s="57"/>
      <c r="X355" s="57"/>
      <c r="Y355" s="57"/>
      <c r="Z355" s="57"/>
      <c r="AA355" s="57"/>
      <c r="AB355" s="57"/>
    </row>
    <row r="356">
      <c r="A356" s="185" t="str">
        <f t="shared" si="1"/>
        <v>20251216-11RU</v>
      </c>
      <c r="B356" s="185" t="s">
        <v>53</v>
      </c>
      <c r="C356" s="329"/>
      <c r="D356" s="186">
        <v>1.0</v>
      </c>
      <c r="E356" s="186" t="s">
        <v>2262</v>
      </c>
      <c r="F356" s="117"/>
      <c r="G356" s="189"/>
      <c r="H356" s="202">
        <v>46007.0</v>
      </c>
      <c r="I356" s="48"/>
      <c r="J356" s="189"/>
      <c r="K356" s="221">
        <v>46007.0</v>
      </c>
      <c r="L356" s="219" t="s">
        <v>38</v>
      </c>
      <c r="M356" s="193">
        <v>507849.0</v>
      </c>
      <c r="N356" s="356">
        <v>33.25</v>
      </c>
      <c r="O356" s="363">
        <v>651344.0</v>
      </c>
      <c r="P356" s="220"/>
      <c r="Q356" s="357"/>
      <c r="R356" s="189"/>
      <c r="S356" s="141"/>
      <c r="T356" s="141"/>
      <c r="U356" s="57"/>
      <c r="V356" s="57"/>
      <c r="W356" s="57"/>
      <c r="X356" s="57"/>
      <c r="Y356" s="57"/>
      <c r="Z356" s="57"/>
      <c r="AA356" s="57"/>
      <c r="AB356" s="57"/>
    </row>
    <row r="357">
      <c r="A357" s="185" t="str">
        <f t="shared" si="1"/>
        <v>20251216-11NH</v>
      </c>
      <c r="B357" s="185" t="s">
        <v>2860</v>
      </c>
      <c r="C357" s="329"/>
      <c r="D357" s="117">
        <v>1.0</v>
      </c>
      <c r="E357" s="186" t="s">
        <v>2263</v>
      </c>
      <c r="F357" s="117"/>
      <c r="G357" s="189"/>
      <c r="H357" s="202">
        <v>46007.0</v>
      </c>
      <c r="I357" s="48"/>
      <c r="J357" s="204" t="s">
        <v>801</v>
      </c>
      <c r="K357" s="221">
        <v>46007.0</v>
      </c>
      <c r="L357" s="219" t="s">
        <v>38</v>
      </c>
      <c r="M357" s="193">
        <v>507849.0</v>
      </c>
      <c r="N357" s="356">
        <v>130.63</v>
      </c>
      <c r="O357" s="363">
        <v>651344.0</v>
      </c>
      <c r="P357" s="220"/>
      <c r="Q357" s="358" t="s">
        <v>43</v>
      </c>
      <c r="R357" s="204" t="s">
        <v>43</v>
      </c>
      <c r="S357" s="141"/>
      <c r="T357" s="141"/>
      <c r="U357" s="57"/>
      <c r="V357" s="57"/>
      <c r="W357" s="57"/>
      <c r="X357" s="57"/>
      <c r="Y357" s="57"/>
      <c r="Z357" s="57"/>
      <c r="AA357" s="57"/>
      <c r="AB357" s="57"/>
    </row>
    <row r="358">
      <c r="A358" s="185" t="str">
        <f t="shared" si="1"/>
        <v>20251216-VGL</v>
      </c>
      <c r="B358" s="349" t="s">
        <v>53</v>
      </c>
      <c r="C358" s="330"/>
      <c r="D358" s="199">
        <v>1.0</v>
      </c>
      <c r="E358" s="200" t="s">
        <v>471</v>
      </c>
      <c r="F358" s="117"/>
      <c r="G358" s="189"/>
      <c r="H358" s="202">
        <v>46007.0</v>
      </c>
      <c r="I358" s="48"/>
      <c r="J358" s="189"/>
      <c r="K358" s="221">
        <v>46007.0</v>
      </c>
      <c r="L358" s="219" t="s">
        <v>38</v>
      </c>
      <c r="M358" s="193">
        <v>507849.0</v>
      </c>
      <c r="N358" s="356">
        <v>156.51</v>
      </c>
      <c r="O358" s="363">
        <v>651344.0</v>
      </c>
      <c r="P358" s="220"/>
      <c r="Q358" s="357"/>
      <c r="R358" s="189"/>
      <c r="S358" s="141"/>
      <c r="T358" s="141"/>
      <c r="U358" s="57"/>
      <c r="V358" s="57"/>
      <c r="W358" s="57"/>
      <c r="X358" s="57"/>
      <c r="Y358" s="57"/>
      <c r="Z358" s="57"/>
      <c r="AA358" s="57"/>
      <c r="AB358" s="57"/>
    </row>
    <row r="359">
      <c r="A359" s="185" t="str">
        <f t="shared" si="1"/>
        <v>18991230-RUR</v>
      </c>
      <c r="B359" s="185" t="s">
        <v>53</v>
      </c>
      <c r="C359" s="329"/>
      <c r="D359" s="186">
        <v>2.0</v>
      </c>
      <c r="E359" s="186" t="s">
        <v>2264</v>
      </c>
      <c r="F359" s="117"/>
      <c r="G359" s="189"/>
      <c r="H359" s="189"/>
      <c r="I359" s="48"/>
      <c r="J359" s="189"/>
      <c r="K359" s="364">
        <v>46015.0</v>
      </c>
      <c r="L359" s="219" t="s">
        <v>38</v>
      </c>
      <c r="M359" s="193">
        <v>509887.0</v>
      </c>
      <c r="N359" s="356">
        <v>1.19</v>
      </c>
      <c r="O359" s="363">
        <v>653752.0</v>
      </c>
      <c r="P359" s="220"/>
      <c r="Q359" s="357"/>
      <c r="R359" s="189"/>
      <c r="S359" s="141"/>
      <c r="T359" s="141"/>
      <c r="U359" s="57"/>
      <c r="V359" s="57"/>
      <c r="W359" s="57"/>
      <c r="X359" s="57"/>
      <c r="Y359" s="57"/>
      <c r="Z359" s="57"/>
      <c r="AA359" s="57"/>
      <c r="AB359" s="57"/>
    </row>
    <row r="360">
      <c r="A360" s="185" t="str">
        <f t="shared" si="1"/>
        <v>18991230-23DI</v>
      </c>
      <c r="B360" s="185" t="s">
        <v>53</v>
      </c>
      <c r="C360" s="329"/>
      <c r="D360" s="186">
        <v>3.0</v>
      </c>
      <c r="E360" s="186" t="s">
        <v>2265</v>
      </c>
      <c r="F360" s="117"/>
      <c r="G360" s="189"/>
      <c r="H360" s="189"/>
      <c r="I360" s="48"/>
      <c r="J360" s="189"/>
      <c r="K360" s="364">
        <v>46015.0</v>
      </c>
      <c r="L360" s="219" t="s">
        <v>38</v>
      </c>
      <c r="M360" s="193">
        <v>509887.0</v>
      </c>
      <c r="N360" s="356">
        <v>1.19</v>
      </c>
      <c r="O360" s="363">
        <v>653752.0</v>
      </c>
      <c r="P360" s="220"/>
      <c r="Q360" s="357"/>
      <c r="R360" s="189"/>
      <c r="S360" s="141"/>
      <c r="T360" s="141"/>
      <c r="U360" s="57"/>
      <c r="V360" s="57"/>
      <c r="W360" s="57"/>
      <c r="X360" s="57"/>
      <c r="Y360" s="57"/>
      <c r="Z360" s="57"/>
      <c r="AA360" s="57"/>
      <c r="AB360" s="57"/>
    </row>
    <row r="361">
      <c r="A361" s="185" t="str">
        <f t="shared" si="1"/>
        <v>18991230-7Y4</v>
      </c>
      <c r="B361" s="198" t="s">
        <v>53</v>
      </c>
      <c r="C361" s="117"/>
      <c r="D361" s="186">
        <v>5.0</v>
      </c>
      <c r="E361" s="186" t="s">
        <v>2266</v>
      </c>
      <c r="F361" s="117"/>
      <c r="G361" s="189"/>
      <c r="H361" s="189"/>
      <c r="I361" s="48"/>
      <c r="J361" s="189"/>
      <c r="K361" s="364">
        <v>46015.0</v>
      </c>
      <c r="L361" s="219" t="s">
        <v>38</v>
      </c>
      <c r="M361" s="193">
        <v>509887.0</v>
      </c>
      <c r="N361" s="356">
        <v>1.14</v>
      </c>
      <c r="O361" s="363">
        <v>653752.0</v>
      </c>
      <c r="P361" s="220"/>
      <c r="Q361" s="357"/>
      <c r="R361" s="189"/>
      <c r="S361" s="141"/>
      <c r="T361" s="141"/>
      <c r="U361" s="57"/>
      <c r="V361" s="57"/>
      <c r="W361" s="57"/>
      <c r="X361" s="57"/>
      <c r="Y361" s="57"/>
      <c r="Z361" s="57"/>
      <c r="AA361" s="57"/>
      <c r="AB361" s="57"/>
    </row>
    <row r="362">
      <c r="A362" s="185" t="str">
        <f t="shared" si="1"/>
        <v>18991230-7CD</v>
      </c>
      <c r="B362" s="198" t="s">
        <v>53</v>
      </c>
      <c r="C362" s="117"/>
      <c r="D362" s="186">
        <v>5.0</v>
      </c>
      <c r="E362" s="186" t="s">
        <v>2267</v>
      </c>
      <c r="F362" s="117"/>
      <c r="G362" s="189"/>
      <c r="H362" s="189"/>
      <c r="I362" s="48"/>
      <c r="J362" s="189"/>
      <c r="K362" s="364">
        <v>46015.0</v>
      </c>
      <c r="L362" s="219" t="s">
        <v>38</v>
      </c>
      <c r="M362" s="193">
        <v>509887.0</v>
      </c>
      <c r="N362" s="356">
        <v>1.14</v>
      </c>
      <c r="O362" s="363">
        <v>653752.0</v>
      </c>
      <c r="P362" s="220"/>
      <c r="Q362" s="357"/>
      <c r="R362" s="189"/>
      <c r="S362" s="141"/>
      <c r="T362" s="141"/>
      <c r="U362" s="57"/>
      <c r="V362" s="57"/>
      <c r="W362" s="57"/>
      <c r="X362" s="57"/>
      <c r="Y362" s="57"/>
      <c r="Z362" s="57"/>
      <c r="AA362" s="57"/>
      <c r="AB362" s="57"/>
    </row>
    <row r="363">
      <c r="A363" s="185" t="str">
        <f t="shared" si="1"/>
        <v>18991230-17LL</v>
      </c>
      <c r="B363" s="185" t="s">
        <v>2743</v>
      </c>
      <c r="C363" s="117"/>
      <c r="D363" s="186">
        <v>1.0</v>
      </c>
      <c r="E363" s="186" t="s">
        <v>853</v>
      </c>
      <c r="F363" s="117"/>
      <c r="G363" s="204" t="s">
        <v>41</v>
      </c>
      <c r="H363" s="322"/>
      <c r="I363" s="320"/>
      <c r="J363" s="204" t="s">
        <v>797</v>
      </c>
      <c r="K363" s="364">
        <v>46015.0</v>
      </c>
      <c r="L363" s="219" t="s">
        <v>38</v>
      </c>
      <c r="M363" s="193">
        <v>509887.0</v>
      </c>
      <c r="N363" s="356">
        <v>97.38</v>
      </c>
      <c r="O363" s="363">
        <v>653752.0</v>
      </c>
      <c r="P363" s="220"/>
      <c r="Q363" s="358" t="s">
        <v>43</v>
      </c>
      <c r="R363" s="204" t="s">
        <v>43</v>
      </c>
      <c r="S363" s="141"/>
      <c r="T363" s="141"/>
      <c r="U363" s="57"/>
      <c r="V363" s="57"/>
      <c r="W363" s="57"/>
      <c r="X363" s="57"/>
      <c r="Y363" s="57"/>
      <c r="Z363" s="57"/>
      <c r="AA363" s="57"/>
      <c r="AB363" s="57"/>
    </row>
    <row r="364">
      <c r="A364" s="185" t="str">
        <f t="shared" si="1"/>
        <v>18991230-11IU</v>
      </c>
      <c r="B364" s="198" t="s">
        <v>53</v>
      </c>
      <c r="C364" s="117"/>
      <c r="D364" s="186">
        <v>1.0</v>
      </c>
      <c r="E364" s="186" t="s">
        <v>2268</v>
      </c>
      <c r="F364" s="117"/>
      <c r="G364" s="189"/>
      <c r="H364" s="189"/>
      <c r="I364" s="48"/>
      <c r="J364" s="189"/>
      <c r="K364" s="364">
        <v>46015.0</v>
      </c>
      <c r="L364" s="219" t="s">
        <v>38</v>
      </c>
      <c r="M364" s="193">
        <v>509887.0</v>
      </c>
      <c r="N364" s="356">
        <v>8.88</v>
      </c>
      <c r="O364" s="363">
        <v>653752.0</v>
      </c>
      <c r="P364" s="220"/>
      <c r="Q364" s="357"/>
      <c r="R364" s="189"/>
      <c r="S364" s="141"/>
      <c r="T364" s="141"/>
      <c r="U364" s="57"/>
      <c r="V364" s="57"/>
      <c r="W364" s="57"/>
      <c r="X364" s="57"/>
      <c r="Y364" s="57"/>
      <c r="Z364" s="57"/>
      <c r="AA364" s="57"/>
      <c r="AB364" s="57"/>
    </row>
    <row r="365">
      <c r="A365" s="185" t="str">
        <f t="shared" si="1"/>
        <v>18991230-SMD</v>
      </c>
      <c r="B365" s="198" t="s">
        <v>797</v>
      </c>
      <c r="C365" s="117"/>
      <c r="D365" s="186">
        <v>1.0</v>
      </c>
      <c r="E365" s="186" t="s">
        <v>2269</v>
      </c>
      <c r="F365" s="186" t="s">
        <v>2870</v>
      </c>
      <c r="G365" s="189"/>
      <c r="H365" s="189"/>
      <c r="I365" s="48"/>
      <c r="J365" s="189"/>
      <c r="K365" s="364">
        <v>46015.0</v>
      </c>
      <c r="L365" s="219" t="s">
        <v>38</v>
      </c>
      <c r="M365" s="193">
        <v>509887.0</v>
      </c>
      <c r="N365" s="356">
        <v>156.51</v>
      </c>
      <c r="O365" s="363">
        <v>653752.0</v>
      </c>
      <c r="P365" s="220"/>
      <c r="Q365" s="358" t="s">
        <v>59</v>
      </c>
      <c r="R365" s="189"/>
      <c r="S365" s="141"/>
      <c r="T365" s="141"/>
      <c r="U365" s="57"/>
      <c r="V365" s="57"/>
      <c r="W365" s="57"/>
      <c r="X365" s="57"/>
      <c r="Y365" s="57"/>
      <c r="Z365" s="57"/>
      <c r="AA365" s="57"/>
      <c r="AB365" s="57"/>
    </row>
    <row r="366">
      <c r="A366" s="185" t="str">
        <f t="shared" si="1"/>
        <v>20251221-1K51</v>
      </c>
      <c r="B366" s="185" t="s">
        <v>2871</v>
      </c>
      <c r="C366" s="350" t="s">
        <v>1411</v>
      </c>
      <c r="D366" s="186">
        <v>1.0</v>
      </c>
      <c r="E366" s="186" t="s">
        <v>2270</v>
      </c>
      <c r="F366" s="186" t="s">
        <v>2872</v>
      </c>
      <c r="G366" s="204" t="s">
        <v>41</v>
      </c>
      <c r="H366" s="322">
        <v>46012.74676517361</v>
      </c>
      <c r="I366" s="373">
        <v>46019.0</v>
      </c>
      <c r="J366" s="204" t="s">
        <v>797</v>
      </c>
      <c r="K366" s="364">
        <v>46015.0</v>
      </c>
      <c r="L366" s="219" t="s">
        <v>38</v>
      </c>
      <c r="M366" s="193">
        <v>509887.0</v>
      </c>
      <c r="N366" s="356">
        <v>159.5</v>
      </c>
      <c r="O366" s="363">
        <v>654965.0</v>
      </c>
      <c r="P366" s="220"/>
      <c r="Q366" s="357"/>
      <c r="R366" s="189"/>
      <c r="S366" s="141"/>
      <c r="T366" s="141"/>
      <c r="U366" s="57"/>
      <c r="V366" s="57"/>
      <c r="W366" s="57"/>
      <c r="X366" s="57"/>
      <c r="Y366" s="57"/>
      <c r="Z366" s="57"/>
      <c r="AA366" s="57"/>
      <c r="AB366" s="57"/>
    </row>
    <row r="367">
      <c r="A367" s="185" t="str">
        <f t="shared" si="1"/>
        <v>18991230-VPF</v>
      </c>
      <c r="B367" s="185" t="s">
        <v>1275</v>
      </c>
      <c r="C367" s="329"/>
      <c r="D367" s="186">
        <v>1.0</v>
      </c>
      <c r="E367" s="186" t="s">
        <v>2271</v>
      </c>
      <c r="F367" s="186" t="s">
        <v>2872</v>
      </c>
      <c r="G367" s="189"/>
      <c r="H367" s="189"/>
      <c r="I367" s="48"/>
      <c r="J367" s="189"/>
      <c r="K367" s="364">
        <v>46015.0</v>
      </c>
      <c r="L367" s="219" t="s">
        <v>38</v>
      </c>
      <c r="M367" s="193">
        <v>509887.0</v>
      </c>
      <c r="N367" s="356">
        <v>159.5</v>
      </c>
      <c r="O367" s="363">
        <v>654965.0</v>
      </c>
      <c r="P367" s="220"/>
      <c r="Q367" s="357"/>
      <c r="R367" s="189"/>
      <c r="S367" s="141"/>
      <c r="T367" s="141"/>
      <c r="U367" s="57"/>
      <c r="V367" s="57"/>
      <c r="W367" s="57"/>
      <c r="X367" s="57"/>
      <c r="Y367" s="57"/>
      <c r="Z367" s="57"/>
      <c r="AA367" s="57"/>
      <c r="AB367" s="57"/>
    </row>
    <row r="368">
      <c r="A368" s="185" t="str">
        <f t="shared" si="1"/>
        <v>20251223-T6F</v>
      </c>
      <c r="B368" s="185" t="s">
        <v>1402</v>
      </c>
      <c r="C368" s="186" t="s">
        <v>1403</v>
      </c>
      <c r="D368" s="186">
        <v>1.0</v>
      </c>
      <c r="E368" s="186" t="s">
        <v>2272</v>
      </c>
      <c r="F368" s="186" t="s">
        <v>2873</v>
      </c>
      <c r="G368" s="204" t="s">
        <v>2874</v>
      </c>
      <c r="H368" s="322">
        <v>46014.0</v>
      </c>
      <c r="I368" s="373">
        <v>46019.0</v>
      </c>
      <c r="J368" s="204" t="s">
        <v>58</v>
      </c>
      <c r="K368" s="364">
        <v>46015.0</v>
      </c>
      <c r="L368" s="219" t="s">
        <v>38</v>
      </c>
      <c r="M368" s="193">
        <v>509887.0</v>
      </c>
      <c r="N368" s="356">
        <v>142.83</v>
      </c>
      <c r="O368" s="363">
        <v>653840.0</v>
      </c>
      <c r="P368" s="220"/>
      <c r="Q368" s="358"/>
      <c r="R368" s="189"/>
      <c r="S368" s="141"/>
      <c r="T368" s="141"/>
      <c r="U368" s="57"/>
      <c r="V368" s="57"/>
      <c r="W368" s="57"/>
      <c r="X368" s="57"/>
      <c r="Y368" s="57"/>
      <c r="Z368" s="57"/>
      <c r="AA368" s="57"/>
      <c r="AB368" s="57"/>
    </row>
    <row r="369">
      <c r="A369" s="185" t="str">
        <f t="shared" si="1"/>
        <v>20251223-2YDJ</v>
      </c>
      <c r="B369" s="185" t="s">
        <v>1402</v>
      </c>
      <c r="C369" s="186" t="s">
        <v>1403</v>
      </c>
      <c r="D369" s="186">
        <v>1.0</v>
      </c>
      <c r="E369" s="186" t="s">
        <v>2273</v>
      </c>
      <c r="F369" s="117"/>
      <c r="G369" s="204" t="s">
        <v>2874</v>
      </c>
      <c r="H369" s="322">
        <v>46014.0</v>
      </c>
      <c r="I369" s="373">
        <v>46019.0</v>
      </c>
      <c r="J369" s="204" t="s">
        <v>58</v>
      </c>
      <c r="K369" s="364">
        <v>46015.0</v>
      </c>
      <c r="L369" s="219" t="s">
        <v>38</v>
      </c>
      <c r="M369" s="193">
        <v>509887.0</v>
      </c>
      <c r="N369" s="356">
        <v>40.0</v>
      </c>
      <c r="O369" s="363">
        <v>653965.0</v>
      </c>
      <c r="P369" s="220"/>
      <c r="Q369" s="358"/>
      <c r="R369" s="189"/>
      <c r="S369" s="141"/>
      <c r="T369" s="141"/>
      <c r="U369" s="57"/>
      <c r="V369" s="57"/>
      <c r="W369" s="57"/>
      <c r="X369" s="57"/>
      <c r="Y369" s="57"/>
      <c r="Z369" s="57"/>
      <c r="AA369" s="57"/>
      <c r="AB369" s="57"/>
    </row>
    <row r="370">
      <c r="A370" s="185" t="str">
        <f t="shared" si="1"/>
        <v>20251221-GRL</v>
      </c>
      <c r="B370" s="185" t="s">
        <v>53</v>
      </c>
      <c r="C370" s="329"/>
      <c r="D370" s="186">
        <v>1.0</v>
      </c>
      <c r="E370" s="186" t="s">
        <v>1896</v>
      </c>
      <c r="F370" s="117"/>
      <c r="G370" s="204" t="s">
        <v>41</v>
      </c>
      <c r="H370" s="322">
        <v>46012.74676517361</v>
      </c>
      <c r="I370" s="373">
        <v>46019.0</v>
      </c>
      <c r="J370" s="204" t="s">
        <v>797</v>
      </c>
      <c r="K370" s="364">
        <v>46015.0</v>
      </c>
      <c r="L370" s="219" t="s">
        <v>38</v>
      </c>
      <c r="M370" s="193">
        <v>509887.0</v>
      </c>
      <c r="N370" s="356">
        <v>132.15</v>
      </c>
      <c r="O370" s="363">
        <v>653752.0</v>
      </c>
      <c r="P370" s="220"/>
      <c r="Q370" s="357"/>
      <c r="R370" s="189"/>
      <c r="S370" s="141"/>
      <c r="T370" s="141"/>
      <c r="U370" s="57"/>
      <c r="V370" s="57"/>
      <c r="W370" s="57"/>
      <c r="X370" s="57"/>
      <c r="Y370" s="57"/>
      <c r="Z370" s="57"/>
      <c r="AA370" s="57"/>
      <c r="AB370" s="57"/>
    </row>
    <row r="371">
      <c r="A371" s="185" t="str">
        <f t="shared" si="1"/>
        <v>18991230-1G6C</v>
      </c>
      <c r="B371" s="198" t="s">
        <v>2875</v>
      </c>
      <c r="C371" s="186" t="s">
        <v>1391</v>
      </c>
      <c r="D371" s="186">
        <v>1.0</v>
      </c>
      <c r="E371" s="186" t="s">
        <v>1392</v>
      </c>
      <c r="F371" s="117"/>
      <c r="G371" s="204" t="s">
        <v>41</v>
      </c>
      <c r="H371" s="322"/>
      <c r="I371" s="373"/>
      <c r="J371" s="204" t="s">
        <v>797</v>
      </c>
      <c r="K371" s="364">
        <v>46015.0</v>
      </c>
      <c r="L371" s="219" t="s">
        <v>38</v>
      </c>
      <c r="M371" s="193">
        <v>509887.0</v>
      </c>
      <c r="N371" s="356">
        <v>77.43</v>
      </c>
      <c r="O371" s="363">
        <v>653752.0</v>
      </c>
      <c r="P371" s="220"/>
      <c r="Q371" s="358" t="s">
        <v>43</v>
      </c>
      <c r="R371" s="204" t="s">
        <v>43</v>
      </c>
      <c r="S371" s="141"/>
      <c r="T371" s="141"/>
      <c r="U371" s="57"/>
      <c r="V371" s="57"/>
      <c r="W371" s="57"/>
      <c r="X371" s="57"/>
      <c r="Y371" s="57"/>
      <c r="Z371" s="57"/>
      <c r="AA371" s="57"/>
      <c r="AB371" s="57"/>
    </row>
    <row r="372">
      <c r="A372" s="185" t="str">
        <f t="shared" si="1"/>
        <v>18991230-L4Z</v>
      </c>
      <c r="B372" s="349" t="s">
        <v>53</v>
      </c>
      <c r="C372" s="330"/>
      <c r="D372" s="199">
        <v>1.0</v>
      </c>
      <c r="E372" s="200" t="s">
        <v>2205</v>
      </c>
      <c r="F372" s="117"/>
      <c r="G372" s="204"/>
      <c r="H372" s="322"/>
      <c r="I372" s="373"/>
      <c r="J372" s="204"/>
      <c r="K372" s="364">
        <v>46017.0</v>
      </c>
      <c r="L372" s="219" t="s">
        <v>2426</v>
      </c>
      <c r="M372" s="193">
        <v>5.00289617E8</v>
      </c>
      <c r="N372" s="356">
        <v>152.47</v>
      </c>
      <c r="O372" s="363">
        <v>1569637.0</v>
      </c>
      <c r="P372" s="220"/>
      <c r="Q372" s="358"/>
      <c r="R372" s="189"/>
      <c r="S372" s="141"/>
      <c r="T372" s="141"/>
      <c r="U372" s="57"/>
      <c r="V372" s="57"/>
      <c r="W372" s="57"/>
      <c r="X372" s="57"/>
      <c r="Y372" s="57"/>
      <c r="Z372" s="57"/>
      <c r="AA372" s="57"/>
      <c r="AB372" s="57"/>
    </row>
    <row r="373">
      <c r="A373" s="185" t="str">
        <f t="shared" si="1"/>
        <v>18991230-1ITE</v>
      </c>
      <c r="B373" s="185" t="s">
        <v>2876</v>
      </c>
      <c r="C373" s="329"/>
      <c r="D373" s="186">
        <v>1.0</v>
      </c>
      <c r="E373" s="186" t="s">
        <v>126</v>
      </c>
      <c r="F373" s="117"/>
      <c r="G373" s="204" t="s">
        <v>41</v>
      </c>
      <c r="H373" s="189"/>
      <c r="I373" s="48"/>
      <c r="J373" s="204" t="s">
        <v>2829</v>
      </c>
      <c r="K373" s="364">
        <v>46017.0</v>
      </c>
      <c r="L373" s="219" t="s">
        <v>2426</v>
      </c>
      <c r="M373" s="193">
        <v>5.00289617E8</v>
      </c>
      <c r="N373" s="356">
        <v>103.91</v>
      </c>
      <c r="O373" s="363">
        <v>1569642.0</v>
      </c>
      <c r="P373" s="220"/>
      <c r="Q373" s="358" t="s">
        <v>43</v>
      </c>
      <c r="R373" s="204" t="s">
        <v>43</v>
      </c>
      <c r="S373" s="141"/>
      <c r="T373" s="141"/>
      <c r="U373" s="57"/>
      <c r="V373" s="57"/>
      <c r="W373" s="57"/>
      <c r="X373" s="57"/>
      <c r="Y373" s="57"/>
      <c r="Z373" s="57"/>
      <c r="AA373" s="57"/>
      <c r="AB373" s="57"/>
    </row>
    <row r="374">
      <c r="A374" s="185" t="str">
        <f t="shared" si="1"/>
        <v>18991230-131M</v>
      </c>
      <c r="B374" s="198" t="s">
        <v>53</v>
      </c>
      <c r="C374" s="117"/>
      <c r="D374" s="186">
        <v>1.0</v>
      </c>
      <c r="E374" s="186" t="s">
        <v>126</v>
      </c>
      <c r="F374" s="117"/>
      <c r="G374" s="189"/>
      <c r="H374" s="189"/>
      <c r="I374" s="48"/>
      <c r="J374" s="189"/>
      <c r="K374" s="364">
        <v>46017.0</v>
      </c>
      <c r="L374" s="219" t="s">
        <v>2426</v>
      </c>
      <c r="M374" s="193">
        <v>5.00289617E8</v>
      </c>
      <c r="N374" s="356">
        <v>103.91</v>
      </c>
      <c r="O374" s="363">
        <v>1569642.0</v>
      </c>
      <c r="P374" s="220"/>
      <c r="Q374" s="358"/>
      <c r="R374" s="189"/>
      <c r="S374" s="141"/>
      <c r="T374" s="141"/>
      <c r="U374" s="57"/>
      <c r="V374" s="57"/>
      <c r="W374" s="57"/>
      <c r="X374" s="57"/>
      <c r="Y374" s="57"/>
      <c r="Z374" s="57"/>
      <c r="AA374" s="57"/>
      <c r="AB374" s="57"/>
    </row>
    <row r="375">
      <c r="A375" s="185" t="str">
        <f t="shared" si="1"/>
        <v>18991230-GRL</v>
      </c>
      <c r="B375" s="185" t="s">
        <v>53</v>
      </c>
      <c r="C375" s="329"/>
      <c r="D375" s="186">
        <v>1.0</v>
      </c>
      <c r="E375" s="186" t="s">
        <v>1896</v>
      </c>
      <c r="F375" s="117"/>
      <c r="G375" s="204"/>
      <c r="H375" s="322"/>
      <c r="I375" s="373"/>
      <c r="J375" s="204"/>
      <c r="K375" s="364">
        <v>46017.0</v>
      </c>
      <c r="L375" s="219" t="s">
        <v>2426</v>
      </c>
      <c r="M375" s="193">
        <v>5.00289617E8</v>
      </c>
      <c r="N375" s="356">
        <v>133.41</v>
      </c>
      <c r="O375" s="363">
        <v>1569637.0</v>
      </c>
      <c r="P375" s="220"/>
      <c r="Q375" s="358"/>
      <c r="R375" s="189"/>
      <c r="S375" s="141"/>
      <c r="T375" s="141"/>
      <c r="U375" s="57"/>
      <c r="V375" s="57"/>
      <c r="W375" s="57"/>
      <c r="X375" s="57"/>
      <c r="Y375" s="57"/>
      <c r="Z375" s="57"/>
      <c r="AA375" s="57"/>
      <c r="AB375" s="57"/>
    </row>
    <row r="376">
      <c r="A376" s="185" t="str">
        <f t="shared" si="1"/>
        <v>18991230-VGL</v>
      </c>
      <c r="B376" s="198" t="s">
        <v>53</v>
      </c>
      <c r="C376" s="186"/>
      <c r="D376" s="186">
        <v>1.0</v>
      </c>
      <c r="E376" s="186" t="s">
        <v>471</v>
      </c>
      <c r="F376" s="117"/>
      <c r="G376" s="204"/>
      <c r="H376" s="322"/>
      <c r="I376" s="373"/>
      <c r="J376" s="204"/>
      <c r="K376" s="364">
        <v>46017.0</v>
      </c>
      <c r="L376" s="219" t="s">
        <v>2426</v>
      </c>
      <c r="M376" s="193">
        <v>5.00289617E8</v>
      </c>
      <c r="N376" s="356">
        <v>158.82</v>
      </c>
      <c r="O376" s="363">
        <v>1569637.0</v>
      </c>
      <c r="P376" s="220"/>
      <c r="Q376" s="358"/>
      <c r="R376" s="189"/>
      <c r="S376" s="141"/>
      <c r="T376" s="141"/>
      <c r="U376" s="57"/>
      <c r="V376" s="57"/>
      <c r="W376" s="57"/>
      <c r="X376" s="57"/>
      <c r="Y376" s="57"/>
      <c r="Z376" s="57"/>
      <c r="AA376" s="57"/>
      <c r="AB376" s="57"/>
    </row>
    <row r="377">
      <c r="A377" s="185" t="str">
        <f t="shared" si="1"/>
        <v>20251221-2G2D</v>
      </c>
      <c r="B377" s="198" t="s">
        <v>2877</v>
      </c>
      <c r="C377" s="186">
        <v>5.702676102E9</v>
      </c>
      <c r="D377" s="186">
        <v>1.0</v>
      </c>
      <c r="E377" s="186" t="s">
        <v>2275</v>
      </c>
      <c r="F377" s="117"/>
      <c r="G377" s="204" t="s">
        <v>2874</v>
      </c>
      <c r="H377" s="322">
        <v>46012.74676517361</v>
      </c>
      <c r="I377" s="373">
        <v>46019.0</v>
      </c>
      <c r="J377" s="204" t="s">
        <v>58</v>
      </c>
      <c r="K377" s="364">
        <v>46020.0</v>
      </c>
      <c r="L377" s="219" t="s">
        <v>38</v>
      </c>
      <c r="M377" s="193">
        <v>510841.0</v>
      </c>
      <c r="N377" s="356">
        <v>80.75</v>
      </c>
      <c r="O377" s="363">
        <v>669920.0</v>
      </c>
      <c r="P377" s="219" t="s">
        <v>2878</v>
      </c>
      <c r="Q377" s="358"/>
      <c r="R377" s="189"/>
      <c r="S377" s="141"/>
      <c r="T377" s="141"/>
      <c r="U377" s="57"/>
      <c r="V377" s="57"/>
      <c r="W377" s="57"/>
      <c r="X377" s="57"/>
      <c r="Y377" s="57"/>
      <c r="Z377" s="57"/>
      <c r="AA377" s="57"/>
      <c r="AB377" s="57"/>
    </row>
    <row r="378">
      <c r="A378" s="185" t="str">
        <f t="shared" si="1"/>
        <v>20251221-2SG2</v>
      </c>
      <c r="B378" s="198" t="s">
        <v>2879</v>
      </c>
      <c r="C378" s="186">
        <v>5.702804981E9</v>
      </c>
      <c r="D378" s="186">
        <v>1.0</v>
      </c>
      <c r="E378" s="186" t="s">
        <v>2276</v>
      </c>
      <c r="F378" s="117"/>
      <c r="G378" s="204" t="s">
        <v>2874</v>
      </c>
      <c r="H378" s="322">
        <v>46012.74904086806</v>
      </c>
      <c r="I378" s="373">
        <v>46019.0</v>
      </c>
      <c r="J378" s="204" t="s">
        <v>58</v>
      </c>
      <c r="K378" s="364">
        <v>46020.0</v>
      </c>
      <c r="L378" s="219" t="s">
        <v>38</v>
      </c>
      <c r="M378" s="193">
        <v>510841.0</v>
      </c>
      <c r="N378" s="356">
        <v>80.75</v>
      </c>
      <c r="O378" s="363">
        <v>669920.0</v>
      </c>
      <c r="P378" s="219" t="s">
        <v>2878</v>
      </c>
      <c r="Q378" s="358"/>
      <c r="R378" s="189"/>
      <c r="S378" s="141"/>
      <c r="T378" s="141"/>
      <c r="U378" s="57"/>
      <c r="V378" s="57"/>
      <c r="W378" s="57"/>
      <c r="X378" s="57"/>
      <c r="Y378" s="57"/>
      <c r="Z378" s="57"/>
      <c r="AA378" s="57"/>
      <c r="AB378" s="57"/>
    </row>
    <row r="379">
      <c r="A379" s="185" t="str">
        <f t="shared" si="1"/>
        <v>18991230-NEE</v>
      </c>
      <c r="B379" s="198" t="s">
        <v>53</v>
      </c>
      <c r="C379" s="117"/>
      <c r="D379" s="186">
        <v>1.0</v>
      </c>
      <c r="E379" s="186" t="s">
        <v>583</v>
      </c>
      <c r="F379" s="117"/>
      <c r="G379" s="189"/>
      <c r="H379" s="189"/>
      <c r="I379" s="48"/>
      <c r="J379" s="189"/>
      <c r="K379" s="364">
        <v>46020.0</v>
      </c>
      <c r="L379" s="219" t="s">
        <v>38</v>
      </c>
      <c r="M379" s="193">
        <v>510841.0</v>
      </c>
      <c r="N379" s="356">
        <v>85.45</v>
      </c>
      <c r="O379" s="363">
        <v>654885.0</v>
      </c>
      <c r="P379" s="220"/>
      <c r="Q379" s="357"/>
      <c r="R379" s="189"/>
      <c r="S379" s="141"/>
      <c r="T379" s="141"/>
      <c r="U379" s="57"/>
      <c r="V379" s="57"/>
      <c r="W379" s="57"/>
      <c r="X379" s="57"/>
      <c r="Y379" s="57"/>
      <c r="Z379" s="57"/>
      <c r="AA379" s="57"/>
      <c r="AB379" s="57"/>
    </row>
    <row r="380">
      <c r="A380" s="185" t="str">
        <f t="shared" si="1"/>
        <v>18991230-2DDP</v>
      </c>
      <c r="B380" s="198" t="s">
        <v>763</v>
      </c>
      <c r="C380" s="186" t="s">
        <v>1981</v>
      </c>
      <c r="D380" s="186">
        <v>1.0</v>
      </c>
      <c r="E380" s="186" t="s">
        <v>2277</v>
      </c>
      <c r="F380" s="117"/>
      <c r="G380" s="189"/>
      <c r="H380" s="189"/>
      <c r="I380" s="48"/>
      <c r="J380" s="189"/>
      <c r="K380" s="364">
        <v>46020.0</v>
      </c>
      <c r="L380" s="219" t="s">
        <v>38</v>
      </c>
      <c r="M380" s="193">
        <v>510841.0</v>
      </c>
      <c r="N380" s="356">
        <v>28.03</v>
      </c>
      <c r="O380" s="363">
        <v>654885.0</v>
      </c>
      <c r="P380" s="220"/>
      <c r="Q380" s="357"/>
      <c r="R380" s="189"/>
      <c r="S380" s="141"/>
      <c r="T380" s="141"/>
      <c r="U380" s="57"/>
      <c r="V380" s="57"/>
      <c r="W380" s="57"/>
      <c r="X380" s="57"/>
      <c r="Y380" s="57"/>
      <c r="Z380" s="57"/>
      <c r="AA380" s="57"/>
      <c r="AB380" s="57"/>
    </row>
    <row r="381">
      <c r="A381" s="185" t="str">
        <f t="shared" si="1"/>
        <v>18991230-1TCG</v>
      </c>
      <c r="B381" s="198" t="s">
        <v>763</v>
      </c>
      <c r="C381" s="186" t="s">
        <v>1981</v>
      </c>
      <c r="D381" s="186">
        <v>1.0</v>
      </c>
      <c r="E381" s="186" t="s">
        <v>2278</v>
      </c>
      <c r="F381" s="117"/>
      <c r="G381" s="189"/>
      <c r="H381" s="189"/>
      <c r="I381" s="48"/>
      <c r="J381" s="189"/>
      <c r="K381" s="364">
        <v>46020.0</v>
      </c>
      <c r="L381" s="219" t="s">
        <v>38</v>
      </c>
      <c r="M381" s="193">
        <v>510841.0</v>
      </c>
      <c r="N381" s="356">
        <v>32.65</v>
      </c>
      <c r="O381" s="363">
        <v>654885.0</v>
      </c>
      <c r="P381" s="220"/>
      <c r="Q381" s="357"/>
      <c r="R381" s="189"/>
      <c r="S381" s="141"/>
      <c r="T381" s="141"/>
      <c r="U381" s="57"/>
      <c r="V381" s="57"/>
      <c r="W381" s="57"/>
      <c r="X381" s="57"/>
      <c r="Y381" s="57"/>
      <c r="Z381" s="57"/>
      <c r="AA381" s="57"/>
      <c r="AB381" s="57"/>
    </row>
    <row r="382">
      <c r="A382" s="185" t="str">
        <f t="shared" si="1"/>
        <v>18991230-35TJ</v>
      </c>
      <c r="B382" s="198" t="s">
        <v>763</v>
      </c>
      <c r="C382" s="186" t="s">
        <v>1981</v>
      </c>
      <c r="D382" s="186">
        <v>1.0</v>
      </c>
      <c r="E382" s="186" t="s">
        <v>2279</v>
      </c>
      <c r="F382" s="117"/>
      <c r="G382" s="189"/>
      <c r="H382" s="189"/>
      <c r="I382" s="48"/>
      <c r="J382" s="189"/>
      <c r="K382" s="364">
        <v>46020.0</v>
      </c>
      <c r="L382" s="219" t="s">
        <v>38</v>
      </c>
      <c r="M382" s="193">
        <v>510841.0</v>
      </c>
      <c r="N382" s="356">
        <v>34.68</v>
      </c>
      <c r="O382" s="363">
        <v>654885.0</v>
      </c>
      <c r="P382" s="220"/>
      <c r="Q382" s="357"/>
      <c r="R382" s="189"/>
      <c r="S382" s="141"/>
      <c r="T382" s="141"/>
      <c r="U382" s="57"/>
      <c r="V382" s="57"/>
      <c r="W382" s="57"/>
      <c r="X382" s="57"/>
      <c r="Y382" s="57"/>
      <c r="Z382" s="57"/>
      <c r="AA382" s="57"/>
      <c r="AB382" s="57"/>
    </row>
    <row r="383">
      <c r="A383" s="185" t="str">
        <f t="shared" si="1"/>
        <v>18991230-2S3Z</v>
      </c>
      <c r="B383" s="198" t="s">
        <v>763</v>
      </c>
      <c r="C383" s="186" t="s">
        <v>1981</v>
      </c>
      <c r="D383" s="186">
        <v>1.0</v>
      </c>
      <c r="E383" s="186" t="s">
        <v>2280</v>
      </c>
      <c r="F383" s="117"/>
      <c r="G383" s="189"/>
      <c r="H383" s="189"/>
      <c r="I383" s="48"/>
      <c r="J383" s="189"/>
      <c r="K383" s="364">
        <v>46020.0</v>
      </c>
      <c r="L383" s="219" t="s">
        <v>38</v>
      </c>
      <c r="M383" s="193">
        <v>510841.0</v>
      </c>
      <c r="N383" s="356">
        <v>37.43</v>
      </c>
      <c r="O383" s="363">
        <v>654885.0</v>
      </c>
      <c r="P383" s="220"/>
      <c r="Q383" s="357"/>
      <c r="R383" s="189"/>
      <c r="S383" s="141"/>
      <c r="T383" s="141"/>
      <c r="U383" s="57"/>
      <c r="V383" s="57"/>
      <c r="W383" s="57"/>
      <c r="X383" s="57"/>
      <c r="Y383" s="57"/>
      <c r="Z383" s="57"/>
      <c r="AA383" s="57"/>
      <c r="AB383" s="57"/>
    </row>
    <row r="384">
      <c r="A384" s="185" t="str">
        <f t="shared" si="1"/>
        <v>18991230-7UU</v>
      </c>
      <c r="B384" s="198" t="s">
        <v>53</v>
      </c>
      <c r="C384" s="117"/>
      <c r="D384" s="186">
        <v>10.0</v>
      </c>
      <c r="E384" s="186" t="s">
        <v>1859</v>
      </c>
      <c r="F384" s="117"/>
      <c r="G384" s="189"/>
      <c r="H384" s="189"/>
      <c r="I384" s="48"/>
      <c r="J384" s="189"/>
      <c r="K384" s="364">
        <v>46020.0</v>
      </c>
      <c r="L384" s="219" t="s">
        <v>38</v>
      </c>
      <c r="M384" s="193">
        <v>510841.0</v>
      </c>
      <c r="N384" s="356">
        <v>1.14</v>
      </c>
      <c r="O384" s="363">
        <v>661989.0</v>
      </c>
      <c r="P384" s="220"/>
      <c r="Q384" s="357"/>
      <c r="R384" s="189"/>
      <c r="S384" s="141"/>
      <c r="T384" s="141"/>
      <c r="U384" s="57"/>
      <c r="V384" s="57"/>
      <c r="W384" s="57"/>
      <c r="X384" s="57"/>
      <c r="Y384" s="57"/>
      <c r="Z384" s="57"/>
      <c r="AA384" s="57"/>
      <c r="AB384" s="57"/>
    </row>
    <row r="385">
      <c r="A385" s="185" t="str">
        <f t="shared" si="1"/>
        <v>18991230-X5L</v>
      </c>
      <c r="B385" s="198" t="s">
        <v>53</v>
      </c>
      <c r="C385" s="329"/>
      <c r="D385" s="186">
        <v>1.0</v>
      </c>
      <c r="E385" s="186" t="s">
        <v>2282</v>
      </c>
      <c r="F385" s="117"/>
      <c r="G385" s="189"/>
      <c r="H385" s="189"/>
      <c r="I385" s="48"/>
      <c r="J385" s="189"/>
      <c r="K385" s="364">
        <v>46020.0</v>
      </c>
      <c r="L385" s="219" t="s">
        <v>38</v>
      </c>
      <c r="M385" s="193">
        <v>510841.0</v>
      </c>
      <c r="N385" s="356">
        <v>42.47</v>
      </c>
      <c r="O385" s="363">
        <v>654885.0</v>
      </c>
      <c r="P385" s="220"/>
      <c r="Q385" s="357"/>
      <c r="R385" s="189"/>
      <c r="S385" s="141"/>
      <c r="T385" s="141"/>
      <c r="U385" s="57"/>
      <c r="V385" s="57"/>
      <c r="W385" s="57"/>
      <c r="X385" s="57"/>
      <c r="Y385" s="57"/>
      <c r="Z385" s="57"/>
      <c r="AA385" s="57"/>
      <c r="AB385" s="57"/>
    </row>
    <row r="386">
      <c r="A386" s="185" t="str">
        <f t="shared" si="1"/>
        <v>18991230-16LG</v>
      </c>
      <c r="B386" s="198" t="s">
        <v>53</v>
      </c>
      <c r="C386" s="329"/>
      <c r="D386" s="186">
        <v>1.0</v>
      </c>
      <c r="E386" s="186" t="s">
        <v>1948</v>
      </c>
      <c r="F386" s="117"/>
      <c r="G386" s="189"/>
      <c r="H386" s="189"/>
      <c r="I386" s="48"/>
      <c r="J386" s="189"/>
      <c r="K386" s="364">
        <v>46020.0</v>
      </c>
      <c r="L386" s="219" t="s">
        <v>38</v>
      </c>
      <c r="M386" s="193">
        <v>510841.0</v>
      </c>
      <c r="N386" s="356">
        <v>42.47</v>
      </c>
      <c r="O386" s="363">
        <v>654885.0</v>
      </c>
      <c r="P386" s="220"/>
      <c r="Q386" s="357"/>
      <c r="R386" s="189"/>
      <c r="S386" s="141"/>
      <c r="T386" s="141"/>
      <c r="U386" s="57"/>
      <c r="V386" s="57"/>
      <c r="W386" s="57"/>
      <c r="X386" s="57"/>
      <c r="Y386" s="57"/>
      <c r="Z386" s="57"/>
      <c r="AA386" s="57"/>
      <c r="AB386" s="57"/>
    </row>
    <row r="387">
      <c r="A387" s="185" t="str">
        <f t="shared" si="1"/>
        <v>18991230-136I</v>
      </c>
      <c r="B387" s="198" t="s">
        <v>53</v>
      </c>
      <c r="C387" s="329"/>
      <c r="D387" s="186">
        <v>1.0</v>
      </c>
      <c r="E387" s="186" t="s">
        <v>2250</v>
      </c>
      <c r="F387" s="117"/>
      <c r="G387" s="189"/>
      <c r="H387" s="189"/>
      <c r="I387" s="48"/>
      <c r="J387" s="189"/>
      <c r="K387" s="364">
        <v>46020.0</v>
      </c>
      <c r="L387" s="219" t="s">
        <v>38</v>
      </c>
      <c r="M387" s="193">
        <v>510841.0</v>
      </c>
      <c r="N387" s="356">
        <v>99.28</v>
      </c>
      <c r="O387" s="363">
        <v>654885.0</v>
      </c>
      <c r="P387" s="220"/>
      <c r="Q387" s="357"/>
      <c r="R387" s="189"/>
      <c r="S387" s="141"/>
      <c r="T387" s="141"/>
      <c r="U387" s="57"/>
      <c r="V387" s="57"/>
      <c r="W387" s="57"/>
      <c r="X387" s="57"/>
      <c r="Y387" s="57"/>
      <c r="Z387" s="57"/>
      <c r="AA387" s="57"/>
      <c r="AB387" s="57"/>
    </row>
    <row r="388">
      <c r="A388" s="185" t="str">
        <f t="shared" si="1"/>
        <v>18991230-V0C</v>
      </c>
      <c r="B388" s="198" t="s">
        <v>53</v>
      </c>
      <c r="C388" s="329"/>
      <c r="D388" s="186">
        <v>1.0</v>
      </c>
      <c r="E388" s="186" t="s">
        <v>2283</v>
      </c>
      <c r="F388" s="117"/>
      <c r="G388" s="189"/>
      <c r="H388" s="189"/>
      <c r="I388" s="48"/>
      <c r="J388" s="189"/>
      <c r="K388" s="364">
        <v>46020.0</v>
      </c>
      <c r="L388" s="219" t="s">
        <v>347</v>
      </c>
      <c r="M388" s="193" t="s">
        <v>2880</v>
      </c>
      <c r="N388" s="356">
        <v>95.4</v>
      </c>
      <c r="O388" s="363">
        <v>7414840.0</v>
      </c>
      <c r="P388" s="220"/>
      <c r="Q388" s="357"/>
      <c r="R388" s="189"/>
      <c r="S388" s="141"/>
      <c r="T388" s="141"/>
      <c r="U388" s="57"/>
      <c r="V388" s="57"/>
      <c r="W388" s="57"/>
      <c r="X388" s="57"/>
      <c r="Y388" s="57"/>
      <c r="Z388" s="57"/>
      <c r="AA388" s="57"/>
      <c r="AB388" s="57"/>
    </row>
    <row r="389">
      <c r="A389" s="185" t="str">
        <f t="shared" si="1"/>
        <v>18991230-V18</v>
      </c>
      <c r="B389" s="198" t="s">
        <v>53</v>
      </c>
      <c r="C389" s="329"/>
      <c r="D389" s="186">
        <v>1.0</v>
      </c>
      <c r="E389" s="186" t="s">
        <v>377</v>
      </c>
      <c r="F389" s="117"/>
      <c r="G389" s="189"/>
      <c r="H389" s="189"/>
      <c r="I389" s="48"/>
      <c r="J389" s="189"/>
      <c r="K389" s="364">
        <v>46020.0</v>
      </c>
      <c r="L389" s="219" t="s">
        <v>347</v>
      </c>
      <c r="M389" s="193" t="s">
        <v>2880</v>
      </c>
      <c r="N389" s="356">
        <v>95.4</v>
      </c>
      <c r="O389" s="363">
        <v>7414840.0</v>
      </c>
      <c r="P389" s="220"/>
      <c r="Q389" s="358" t="s">
        <v>92</v>
      </c>
      <c r="R389" s="189"/>
      <c r="S389" s="141"/>
      <c r="T389" s="141"/>
      <c r="U389" s="57"/>
      <c r="V389" s="57"/>
      <c r="W389" s="57"/>
      <c r="X389" s="57"/>
      <c r="Y389" s="57"/>
      <c r="Z389" s="57"/>
      <c r="AA389" s="57"/>
      <c r="AB389" s="57"/>
    </row>
    <row r="390">
      <c r="A390" s="185" t="str">
        <f t="shared" si="1"/>
        <v>18991230-L7A</v>
      </c>
      <c r="B390" s="198" t="s">
        <v>53</v>
      </c>
      <c r="C390" s="329"/>
      <c r="D390" s="186">
        <v>1.0</v>
      </c>
      <c r="E390" s="200" t="s">
        <v>2284</v>
      </c>
      <c r="F390" s="117"/>
      <c r="G390" s="189"/>
      <c r="H390" s="189"/>
      <c r="I390" s="48"/>
      <c r="J390" s="189"/>
      <c r="K390" s="364">
        <v>46020.0</v>
      </c>
      <c r="L390" s="219" t="s">
        <v>347</v>
      </c>
      <c r="M390" s="193" t="s">
        <v>2880</v>
      </c>
      <c r="N390" s="356">
        <v>95.4</v>
      </c>
      <c r="O390" s="363">
        <v>7414840.0</v>
      </c>
      <c r="P390" s="220"/>
      <c r="Q390" s="358" t="s">
        <v>92</v>
      </c>
      <c r="R390" s="189"/>
      <c r="S390" s="141"/>
      <c r="T390" s="141"/>
      <c r="U390" s="57"/>
      <c r="V390" s="57"/>
      <c r="W390" s="57"/>
      <c r="X390" s="57"/>
      <c r="Y390" s="57"/>
      <c r="Z390" s="57"/>
      <c r="AA390" s="57"/>
      <c r="AB390" s="57"/>
    </row>
    <row r="391">
      <c r="A391" s="185" t="str">
        <f t="shared" si="1"/>
        <v>18991230-1IFU</v>
      </c>
      <c r="B391" s="374" t="s">
        <v>1149</v>
      </c>
      <c r="C391" s="374" t="s">
        <v>2881</v>
      </c>
      <c r="D391" s="186">
        <v>1.0</v>
      </c>
      <c r="E391" s="186" t="s">
        <v>2224</v>
      </c>
      <c r="F391" s="117"/>
      <c r="G391" s="204"/>
      <c r="H391" s="322"/>
      <c r="I391" s="373"/>
      <c r="J391" s="204"/>
      <c r="K391" s="364">
        <v>46020.0</v>
      </c>
      <c r="L391" s="219" t="s">
        <v>347</v>
      </c>
      <c r="M391" s="193" t="s">
        <v>2880</v>
      </c>
      <c r="N391" s="356">
        <v>95.4</v>
      </c>
      <c r="O391" s="363">
        <v>7414840.0</v>
      </c>
      <c r="P391" s="220"/>
      <c r="Q391" s="357"/>
      <c r="R391" s="189"/>
      <c r="S391" s="141"/>
      <c r="T391" s="141"/>
      <c r="U391" s="57"/>
      <c r="V391" s="57"/>
      <c r="W391" s="57"/>
      <c r="X391" s="57"/>
      <c r="Y391" s="57"/>
      <c r="Z391" s="57"/>
      <c r="AA391" s="57"/>
      <c r="AB391" s="57"/>
    </row>
    <row r="392">
      <c r="A392" s="185" t="str">
        <f t="shared" si="1"/>
        <v>18991230-11J1</v>
      </c>
      <c r="B392" s="185" t="s">
        <v>2783</v>
      </c>
      <c r="C392" s="329"/>
      <c r="D392" s="186">
        <v>1.0</v>
      </c>
      <c r="E392" s="186" t="s">
        <v>2271</v>
      </c>
      <c r="F392" s="117"/>
      <c r="G392" s="189"/>
      <c r="H392" s="189"/>
      <c r="I392" s="48"/>
      <c r="J392" s="189"/>
      <c r="K392" s="364">
        <v>46022.0</v>
      </c>
      <c r="L392" s="219" t="s">
        <v>38</v>
      </c>
      <c r="M392" s="193" t="s">
        <v>673</v>
      </c>
      <c r="N392" s="356">
        <v>159.5</v>
      </c>
      <c r="O392" s="363">
        <v>656792.0</v>
      </c>
      <c r="P392" s="220"/>
      <c r="Q392" s="357"/>
      <c r="R392" s="189"/>
      <c r="S392" s="141"/>
      <c r="T392" s="141"/>
      <c r="U392" s="57"/>
      <c r="V392" s="57"/>
      <c r="W392" s="57"/>
      <c r="X392" s="57"/>
      <c r="Y392" s="57"/>
      <c r="Z392" s="57"/>
      <c r="AA392" s="57"/>
      <c r="AB392" s="57"/>
    </row>
    <row r="393">
      <c r="A393" s="185" t="str">
        <f t="shared" si="1"/>
        <v>18991230-LH1</v>
      </c>
      <c r="B393" s="185" t="s">
        <v>53</v>
      </c>
      <c r="C393" s="329"/>
      <c r="D393" s="186">
        <v>1.0</v>
      </c>
      <c r="E393" s="186" t="s">
        <v>2271</v>
      </c>
      <c r="F393" s="117"/>
      <c r="G393" s="189"/>
      <c r="H393" s="189"/>
      <c r="I393" s="48"/>
      <c r="J393" s="189"/>
      <c r="K393" s="364">
        <v>46022.0</v>
      </c>
      <c r="L393" s="219" t="s">
        <v>38</v>
      </c>
      <c r="M393" s="193" t="s">
        <v>673</v>
      </c>
      <c r="N393" s="356">
        <v>159.5</v>
      </c>
      <c r="O393" s="363">
        <v>656792.0</v>
      </c>
      <c r="P393" s="220"/>
      <c r="Q393" s="357"/>
      <c r="R393" s="189"/>
      <c r="S393" s="141"/>
      <c r="T393" s="141"/>
      <c r="U393" s="57"/>
      <c r="V393" s="57"/>
      <c r="W393" s="57"/>
      <c r="X393" s="57"/>
      <c r="Y393" s="57"/>
      <c r="Z393" s="57"/>
      <c r="AA393" s="57"/>
      <c r="AB393" s="57"/>
    </row>
    <row r="394">
      <c r="A394" s="185"/>
      <c r="B394" s="185"/>
      <c r="C394" s="186"/>
      <c r="D394" s="199"/>
      <c r="E394" s="200"/>
      <c r="F394" s="186"/>
      <c r="G394" s="204"/>
      <c r="H394" s="322"/>
      <c r="I394" s="373"/>
      <c r="J394" s="204"/>
      <c r="K394" s="220"/>
      <c r="L394" s="220"/>
      <c r="M394" s="197"/>
      <c r="N394" s="375"/>
      <c r="O394" s="376"/>
      <c r="P394" s="220"/>
      <c r="Q394" s="358"/>
      <c r="R394" s="189"/>
      <c r="S394" s="141"/>
      <c r="T394" s="141"/>
      <c r="U394" s="57"/>
      <c r="V394" s="57"/>
      <c r="W394" s="57"/>
      <c r="X394" s="57"/>
      <c r="Y394" s="57"/>
      <c r="Z394" s="57"/>
      <c r="AA394" s="57"/>
      <c r="AB394" s="57"/>
    </row>
    <row r="395">
      <c r="A395" s="185"/>
      <c r="B395" s="185"/>
      <c r="C395" s="186"/>
      <c r="D395" s="186"/>
      <c r="E395" s="186"/>
      <c r="F395" s="117"/>
      <c r="G395" s="204"/>
      <c r="H395" s="322"/>
      <c r="I395" s="373"/>
      <c r="J395" s="204"/>
      <c r="K395" s="220"/>
      <c r="L395" s="220"/>
      <c r="M395" s="197"/>
      <c r="N395" s="375"/>
      <c r="O395" s="376"/>
      <c r="P395" s="220"/>
      <c r="Q395" s="358" t="s">
        <v>92</v>
      </c>
      <c r="R395" s="189"/>
      <c r="S395" s="141"/>
      <c r="T395" s="141"/>
      <c r="U395" s="57"/>
      <c r="V395" s="57"/>
      <c r="W395" s="57"/>
      <c r="X395" s="57"/>
      <c r="Y395" s="57"/>
      <c r="Z395" s="57"/>
      <c r="AA395" s="57"/>
      <c r="AB395" s="57"/>
    </row>
    <row r="396">
      <c r="A396" s="185"/>
      <c r="B396" s="198"/>
      <c r="C396" s="117"/>
      <c r="D396" s="186"/>
      <c r="E396" s="186"/>
      <c r="F396" s="117"/>
      <c r="G396" s="189"/>
      <c r="H396" s="189"/>
      <c r="I396" s="48"/>
      <c r="J396" s="189"/>
      <c r="K396" s="220"/>
      <c r="L396" s="220"/>
      <c r="M396" s="197"/>
      <c r="N396" s="375"/>
      <c r="O396" s="376"/>
      <c r="P396" s="220"/>
      <c r="Q396" s="357"/>
      <c r="R396" s="189"/>
      <c r="S396" s="141"/>
      <c r="T396" s="141"/>
      <c r="U396" s="57"/>
      <c r="V396" s="57"/>
      <c r="W396" s="57"/>
      <c r="X396" s="57"/>
      <c r="Y396" s="57"/>
      <c r="Z396" s="57"/>
      <c r="AA396" s="57"/>
      <c r="AB396" s="57"/>
    </row>
    <row r="397">
      <c r="A397" s="185"/>
      <c r="B397" s="198"/>
      <c r="C397" s="117"/>
      <c r="D397" s="186"/>
      <c r="E397" s="186"/>
      <c r="F397" s="117"/>
      <c r="G397" s="189"/>
      <c r="H397" s="189"/>
      <c r="I397" s="48"/>
      <c r="J397" s="189"/>
      <c r="K397" s="220"/>
      <c r="L397" s="220"/>
      <c r="M397" s="197"/>
      <c r="N397" s="375"/>
      <c r="O397" s="376"/>
      <c r="P397" s="220"/>
      <c r="Q397" s="357"/>
      <c r="R397" s="189"/>
      <c r="S397" s="141"/>
      <c r="T397" s="141"/>
      <c r="U397" s="57"/>
      <c r="V397" s="57"/>
      <c r="W397" s="57"/>
      <c r="X397" s="57"/>
      <c r="Y397" s="57"/>
      <c r="Z397" s="57"/>
      <c r="AA397" s="57"/>
      <c r="AB397" s="57"/>
    </row>
    <row r="398">
      <c r="A398" s="185"/>
      <c r="B398" s="198"/>
      <c r="C398" s="117"/>
      <c r="D398" s="186"/>
      <c r="E398" s="186"/>
      <c r="F398" s="117"/>
      <c r="G398" s="189"/>
      <c r="H398" s="189"/>
      <c r="I398" s="48"/>
      <c r="J398" s="189"/>
      <c r="K398" s="220"/>
      <c r="L398" s="220"/>
      <c r="M398" s="197"/>
      <c r="N398" s="375"/>
      <c r="O398" s="376"/>
      <c r="P398" s="220"/>
      <c r="Q398" s="357"/>
      <c r="R398" s="189"/>
      <c r="S398" s="141"/>
      <c r="T398" s="141"/>
      <c r="U398" s="57"/>
      <c r="V398" s="57"/>
      <c r="W398" s="57"/>
      <c r="X398" s="57"/>
      <c r="Y398" s="57"/>
      <c r="Z398" s="57"/>
      <c r="AA398" s="57"/>
      <c r="AB398" s="57"/>
    </row>
    <row r="399">
      <c r="A399" s="185"/>
      <c r="B399" s="198"/>
      <c r="C399" s="117"/>
      <c r="D399" s="186"/>
      <c r="E399" s="186"/>
      <c r="F399" s="117"/>
      <c r="G399" s="189"/>
      <c r="H399" s="189"/>
      <c r="I399" s="48"/>
      <c r="J399" s="189"/>
      <c r="K399" s="220"/>
      <c r="L399" s="220"/>
      <c r="M399" s="197"/>
      <c r="N399" s="375"/>
      <c r="O399" s="376"/>
      <c r="P399" s="220"/>
      <c r="Q399" s="357"/>
      <c r="R399" s="189"/>
      <c r="S399" s="141"/>
      <c r="T399" s="141"/>
      <c r="U399" s="57"/>
      <c r="V399" s="57"/>
      <c r="W399" s="57"/>
      <c r="X399" s="57"/>
      <c r="Y399" s="57"/>
      <c r="Z399" s="57"/>
      <c r="AA399" s="57"/>
      <c r="AB399" s="57"/>
    </row>
    <row r="400">
      <c r="A400" s="185"/>
      <c r="B400" s="198"/>
      <c r="C400" s="117"/>
      <c r="D400" s="186"/>
      <c r="E400" s="186"/>
      <c r="F400" s="117"/>
      <c r="G400" s="189"/>
      <c r="H400" s="189"/>
      <c r="I400" s="48"/>
      <c r="J400" s="189"/>
      <c r="K400" s="220"/>
      <c r="L400" s="220"/>
      <c r="M400" s="197"/>
      <c r="N400" s="375"/>
      <c r="O400" s="376"/>
      <c r="P400" s="220"/>
      <c r="Q400" s="357"/>
      <c r="R400" s="189"/>
      <c r="S400" s="141"/>
      <c r="T400" s="141"/>
      <c r="U400" s="57"/>
      <c r="V400" s="57"/>
      <c r="W400" s="57"/>
      <c r="X400" s="57"/>
      <c r="Y400" s="57"/>
      <c r="Z400" s="57"/>
      <c r="AA400" s="57"/>
      <c r="AB400" s="57"/>
    </row>
    <row r="401">
      <c r="A401" s="185"/>
      <c r="B401" s="198"/>
      <c r="C401" s="117"/>
      <c r="D401" s="186"/>
      <c r="E401" s="186"/>
      <c r="F401" s="117"/>
      <c r="G401" s="189"/>
      <c r="H401" s="189"/>
      <c r="I401" s="48"/>
      <c r="J401" s="189"/>
      <c r="K401" s="220"/>
      <c r="L401" s="220"/>
      <c r="M401" s="197"/>
      <c r="N401" s="375"/>
      <c r="O401" s="376"/>
      <c r="P401" s="220"/>
      <c r="Q401" s="357"/>
      <c r="R401" s="189"/>
      <c r="S401" s="141"/>
      <c r="T401" s="141"/>
      <c r="U401" s="57"/>
      <c r="V401" s="57"/>
      <c r="W401" s="57"/>
      <c r="X401" s="57"/>
      <c r="Y401" s="57"/>
      <c r="Z401" s="57"/>
      <c r="AA401" s="57"/>
      <c r="AB401" s="57"/>
    </row>
    <row r="402">
      <c r="A402" s="185"/>
      <c r="B402" s="198"/>
      <c r="C402" s="117"/>
      <c r="D402" s="186"/>
      <c r="E402" s="186"/>
      <c r="F402" s="117"/>
      <c r="G402" s="189"/>
      <c r="H402" s="189"/>
      <c r="I402" s="48"/>
      <c r="J402" s="189"/>
      <c r="K402" s="220"/>
      <c r="L402" s="220"/>
      <c r="M402" s="197"/>
      <c r="N402" s="375"/>
      <c r="O402" s="376"/>
      <c r="P402" s="220"/>
      <c r="Q402" s="357"/>
      <c r="R402" s="189"/>
      <c r="S402" s="141"/>
      <c r="T402" s="141"/>
      <c r="U402" s="57"/>
      <c r="V402" s="57"/>
      <c r="W402" s="57"/>
      <c r="X402" s="57"/>
      <c r="Y402" s="57"/>
      <c r="Z402" s="57"/>
      <c r="AA402" s="57"/>
      <c r="AB402" s="57"/>
    </row>
    <row r="403">
      <c r="A403" s="185"/>
      <c r="B403" s="198"/>
      <c r="C403" s="117"/>
      <c r="D403" s="186"/>
      <c r="E403" s="186"/>
      <c r="F403" s="117"/>
      <c r="G403" s="189"/>
      <c r="H403" s="189"/>
      <c r="I403" s="48"/>
      <c r="J403" s="189"/>
      <c r="K403" s="220"/>
      <c r="L403" s="220"/>
      <c r="M403" s="197"/>
      <c r="N403" s="375"/>
      <c r="O403" s="376"/>
      <c r="P403" s="220"/>
      <c r="Q403" s="357"/>
      <c r="R403" s="189"/>
      <c r="S403" s="141"/>
      <c r="T403" s="141"/>
      <c r="U403" s="57"/>
      <c r="V403" s="57"/>
      <c r="W403" s="57"/>
      <c r="X403" s="57"/>
      <c r="Y403" s="57"/>
      <c r="Z403" s="57"/>
      <c r="AA403" s="57"/>
      <c r="AB403" s="57"/>
    </row>
    <row r="404">
      <c r="A404" s="185"/>
      <c r="B404" s="198"/>
      <c r="C404" s="117"/>
      <c r="D404" s="186"/>
      <c r="E404" s="186"/>
      <c r="F404" s="117"/>
      <c r="G404" s="189"/>
      <c r="H404" s="189"/>
      <c r="I404" s="48"/>
      <c r="J404" s="189"/>
      <c r="K404" s="220"/>
      <c r="L404" s="220"/>
      <c r="M404" s="197"/>
      <c r="N404" s="375"/>
      <c r="O404" s="376"/>
      <c r="P404" s="220"/>
      <c r="Q404" s="357"/>
      <c r="R404" s="189"/>
      <c r="S404" s="141"/>
      <c r="T404" s="141"/>
      <c r="U404" s="57"/>
      <c r="V404" s="57"/>
      <c r="W404" s="57"/>
      <c r="X404" s="57"/>
      <c r="Y404" s="57"/>
      <c r="Z404" s="57"/>
      <c r="AA404" s="57"/>
      <c r="AB404" s="57"/>
    </row>
    <row r="405">
      <c r="A405" s="185"/>
      <c r="B405" s="377"/>
      <c r="C405" s="378"/>
      <c r="D405" s="186"/>
      <c r="E405" s="186"/>
      <c r="F405" s="117"/>
      <c r="G405" s="189"/>
      <c r="H405" s="189"/>
      <c r="I405" s="48"/>
      <c r="J405" s="189"/>
      <c r="K405" s="220"/>
      <c r="L405" s="220"/>
      <c r="M405" s="197"/>
      <c r="N405" s="375"/>
      <c r="O405" s="376"/>
      <c r="P405" s="220"/>
      <c r="Q405" s="357"/>
      <c r="R405" s="189"/>
      <c r="S405" s="141"/>
      <c r="T405" s="141"/>
      <c r="U405" s="57"/>
      <c r="V405" s="57"/>
      <c r="W405" s="57"/>
      <c r="X405" s="57"/>
      <c r="Y405" s="57"/>
      <c r="Z405" s="57"/>
      <c r="AA405" s="57"/>
      <c r="AB405" s="57"/>
    </row>
    <row r="406">
      <c r="A406" s="185"/>
      <c r="B406" s="377"/>
      <c r="C406" s="379"/>
      <c r="D406" s="117"/>
      <c r="E406" s="117"/>
      <c r="F406" s="117"/>
      <c r="G406" s="189"/>
      <c r="H406" s="189"/>
      <c r="I406" s="48"/>
      <c r="J406" s="189"/>
      <c r="K406" s="220"/>
      <c r="L406" s="220"/>
      <c r="M406" s="197"/>
      <c r="N406" s="375"/>
      <c r="O406" s="376"/>
      <c r="P406" s="220"/>
      <c r="Q406" s="117"/>
      <c r="R406" s="189"/>
      <c r="S406" s="141"/>
      <c r="T406" s="141"/>
      <c r="U406" s="57"/>
      <c r="V406" s="57"/>
      <c r="W406" s="57"/>
      <c r="X406" s="57"/>
      <c r="Y406" s="57"/>
      <c r="Z406" s="57"/>
      <c r="AA406" s="57"/>
      <c r="AB406" s="57"/>
    </row>
    <row r="407">
      <c r="A407" s="117"/>
      <c r="B407" s="141"/>
      <c r="C407" s="117"/>
      <c r="D407" s="117"/>
      <c r="E407" s="117"/>
      <c r="F407" s="117"/>
      <c r="G407" s="189"/>
      <c r="H407" s="189"/>
      <c r="I407" s="48"/>
      <c r="J407" s="189"/>
      <c r="K407" s="220"/>
      <c r="L407" s="220"/>
      <c r="M407" s="197"/>
      <c r="N407" s="375"/>
      <c r="O407" s="376"/>
      <c r="P407" s="220"/>
      <c r="Q407" s="357"/>
      <c r="R407" s="189"/>
      <c r="S407" s="141"/>
      <c r="T407" s="141"/>
      <c r="U407" s="57"/>
      <c r="V407" s="57"/>
      <c r="W407" s="57"/>
      <c r="X407" s="57"/>
      <c r="Y407" s="57"/>
      <c r="Z407" s="57"/>
      <c r="AA407" s="57"/>
      <c r="AB407" s="57"/>
    </row>
    <row r="408">
      <c r="A408" s="185" t="str">
        <f t="array" ref="A408">if(isblank(B408)=true,"", TEXT(H408,"YYYYMMDD")&amp;"-"&amp;UPPER(BASE(MOD(SUMPRODUCT(CODE(MID(UPPER(B408&amp;C408&amp;D408&amp;A407),ROW(INDIRECT("1:"&amp;LEN(B408&amp;C408&amp;D408&amp;A407))),1))*ROW(INDIRECT("1:"&amp;LEN(B408&amp;C408&amp;D408&amp;A407)))),1679616),36)))</f>
        <v/>
      </c>
      <c r="B408" s="141"/>
      <c r="C408" s="117"/>
      <c r="D408" s="117"/>
      <c r="F408" s="117"/>
      <c r="G408" s="189"/>
      <c r="H408" s="189"/>
      <c r="I408" s="48"/>
      <c r="J408" s="189"/>
      <c r="K408" s="220"/>
      <c r="L408" s="220"/>
      <c r="M408" s="197"/>
      <c r="N408" s="375"/>
      <c r="O408" s="376"/>
      <c r="P408" s="220"/>
      <c r="Q408" s="357"/>
      <c r="R408" s="189"/>
      <c r="S408" s="141"/>
      <c r="T408" s="141"/>
      <c r="U408" s="57"/>
      <c r="V408" s="57"/>
      <c r="W408" s="57"/>
      <c r="X408" s="57"/>
      <c r="Y408" s="57"/>
      <c r="Z408" s="57"/>
      <c r="AA408" s="57"/>
      <c r="AB408" s="57"/>
    </row>
    <row r="409">
      <c r="A409" s="185" t="str">
        <f t="shared" ref="A409:A1013" si="17">if(isblank(B409)=true,"", TEXT(H409,"YYYYMMDD")&amp;"-"&amp;UPPER(BASE(MOD(SUMPRODUCT(CODE(MID(UPPER(B409&amp;C409&amp;D409&amp;E409),ROW(INDIRECT("1:"&amp;LEN(B409&amp;C409&amp;D409&amp;E409))),1))*ROW(INDIRECT("1:"&amp;LEN(B409&amp;C409&amp;D409&amp;E409)))),1679616),36)))</f>
        <v/>
      </c>
      <c r="B409" s="141"/>
      <c r="C409" s="117"/>
      <c r="D409" s="117"/>
      <c r="E409" s="117"/>
      <c r="F409" s="117"/>
      <c r="G409" s="189"/>
      <c r="H409" s="189"/>
      <c r="I409" s="48"/>
      <c r="J409" s="189"/>
      <c r="K409" s="220"/>
      <c r="L409" s="220"/>
      <c r="M409" s="197"/>
      <c r="N409" s="375"/>
      <c r="O409" s="376"/>
      <c r="P409" s="220"/>
      <c r="Q409" s="357"/>
      <c r="R409" s="189"/>
      <c r="S409" s="141"/>
      <c r="T409" s="141"/>
      <c r="U409" s="57"/>
      <c r="V409" s="57"/>
      <c r="W409" s="57"/>
      <c r="X409" s="57"/>
      <c r="Y409" s="57"/>
      <c r="Z409" s="57"/>
      <c r="AA409" s="57"/>
      <c r="AB409" s="57"/>
    </row>
    <row r="410">
      <c r="A410" s="185" t="str">
        <f t="shared" si="17"/>
        <v/>
      </c>
      <c r="B410" s="141"/>
      <c r="C410" s="117"/>
      <c r="D410" s="117"/>
      <c r="E410" s="117"/>
      <c r="F410" s="117"/>
      <c r="G410" s="189"/>
      <c r="H410" s="189"/>
      <c r="I410" s="48"/>
      <c r="J410" s="189"/>
      <c r="K410" s="220"/>
      <c r="L410" s="220"/>
      <c r="M410" s="197"/>
      <c r="N410" s="375"/>
      <c r="O410" s="376"/>
      <c r="P410" s="220"/>
      <c r="Q410" s="357"/>
      <c r="R410" s="189"/>
      <c r="S410" s="141"/>
      <c r="T410" s="141"/>
      <c r="U410" s="57"/>
      <c r="V410" s="57"/>
      <c r="W410" s="57"/>
      <c r="X410" s="57"/>
      <c r="Y410" s="57"/>
      <c r="Z410" s="57"/>
      <c r="AA410" s="57"/>
      <c r="AB410" s="57"/>
    </row>
    <row r="411">
      <c r="A411" s="185" t="str">
        <f t="shared" si="17"/>
        <v/>
      </c>
      <c r="B411" s="141"/>
      <c r="C411" s="117"/>
      <c r="D411" s="117"/>
      <c r="E411" s="117"/>
      <c r="F411" s="117"/>
      <c r="G411" s="189"/>
      <c r="H411" s="189"/>
      <c r="I411" s="48"/>
      <c r="J411" s="189"/>
      <c r="K411" s="220"/>
      <c r="L411" s="220"/>
      <c r="M411" s="197"/>
      <c r="N411" s="375"/>
      <c r="O411" s="376"/>
      <c r="P411" s="220"/>
      <c r="Q411" s="357"/>
      <c r="R411" s="189"/>
      <c r="S411" s="141"/>
      <c r="T411" s="141"/>
      <c r="U411" s="57"/>
      <c r="V411" s="57"/>
      <c r="W411" s="57"/>
      <c r="X411" s="57"/>
      <c r="Y411" s="57"/>
      <c r="Z411" s="57"/>
      <c r="AA411" s="57"/>
      <c r="AB411" s="57"/>
    </row>
    <row r="412">
      <c r="A412" s="185" t="str">
        <f t="shared" si="17"/>
        <v/>
      </c>
      <c r="B412" s="141"/>
      <c r="C412" s="117"/>
      <c r="D412" s="117"/>
      <c r="E412" s="117"/>
      <c r="F412" s="117"/>
      <c r="G412" s="189"/>
      <c r="H412" s="189"/>
      <c r="I412" s="48"/>
      <c r="J412" s="189"/>
      <c r="K412" s="220"/>
      <c r="L412" s="220"/>
      <c r="M412" s="197"/>
      <c r="N412" s="375"/>
      <c r="O412" s="376"/>
      <c r="P412" s="220"/>
      <c r="Q412" s="357"/>
      <c r="R412" s="189"/>
      <c r="S412" s="141"/>
      <c r="T412" s="141"/>
      <c r="U412" s="57"/>
      <c r="V412" s="57"/>
      <c r="W412" s="57"/>
      <c r="X412" s="57"/>
      <c r="Y412" s="57"/>
      <c r="Z412" s="57"/>
      <c r="AA412" s="57"/>
      <c r="AB412" s="57"/>
    </row>
    <row r="413">
      <c r="A413" s="185" t="str">
        <f t="shared" si="17"/>
        <v/>
      </c>
      <c r="B413" s="141"/>
      <c r="C413" s="117"/>
      <c r="D413" s="117"/>
      <c r="E413" s="117"/>
      <c r="F413" s="117"/>
      <c r="G413" s="189"/>
      <c r="H413" s="189"/>
      <c r="I413" s="48"/>
      <c r="J413" s="189"/>
      <c r="K413" s="220"/>
      <c r="L413" s="220"/>
      <c r="M413" s="197"/>
      <c r="N413" s="375"/>
      <c r="O413" s="376"/>
      <c r="P413" s="220"/>
      <c r="Q413" s="357"/>
      <c r="R413" s="189"/>
      <c r="S413" s="141"/>
      <c r="T413" s="141"/>
      <c r="U413" s="57"/>
      <c r="V413" s="57"/>
      <c r="W413" s="57"/>
      <c r="X413" s="57"/>
      <c r="Y413" s="57"/>
      <c r="Z413" s="57"/>
      <c r="AA413" s="57"/>
      <c r="AB413" s="57"/>
    </row>
    <row r="414">
      <c r="A414" s="185" t="str">
        <f t="shared" si="17"/>
        <v/>
      </c>
      <c r="B414" s="141"/>
      <c r="C414" s="117"/>
      <c r="D414" s="117"/>
      <c r="E414" s="117"/>
      <c r="F414" s="117"/>
      <c r="G414" s="189"/>
      <c r="H414" s="189"/>
      <c r="I414" s="48"/>
      <c r="J414" s="189"/>
      <c r="K414" s="220"/>
      <c r="L414" s="220"/>
      <c r="M414" s="197"/>
      <c r="N414" s="375"/>
      <c r="O414" s="376"/>
      <c r="P414" s="220"/>
      <c r="Q414" s="357"/>
      <c r="R414" s="189"/>
      <c r="S414" s="141"/>
      <c r="T414" s="141"/>
      <c r="U414" s="57"/>
      <c r="V414" s="57"/>
      <c r="W414" s="57"/>
      <c r="X414" s="57"/>
      <c r="Y414" s="57"/>
      <c r="Z414" s="57"/>
      <c r="AA414" s="57"/>
      <c r="AB414" s="57"/>
    </row>
    <row r="415">
      <c r="A415" s="185" t="str">
        <f t="shared" si="17"/>
        <v/>
      </c>
      <c r="B415" s="141"/>
      <c r="C415" s="117"/>
      <c r="D415" s="117"/>
      <c r="E415" s="117"/>
      <c r="F415" s="117"/>
      <c r="G415" s="189"/>
      <c r="H415" s="189"/>
      <c r="I415" s="48"/>
      <c r="J415" s="189"/>
      <c r="K415" s="220"/>
      <c r="L415" s="220"/>
      <c r="M415" s="197"/>
      <c r="N415" s="375"/>
      <c r="O415" s="376"/>
      <c r="P415" s="220"/>
      <c r="Q415" s="117"/>
      <c r="R415" s="189"/>
      <c r="S415" s="141"/>
      <c r="T415" s="141"/>
      <c r="U415" s="57"/>
      <c r="V415" s="57"/>
      <c r="W415" s="57"/>
      <c r="X415" s="57"/>
      <c r="Y415" s="57"/>
      <c r="Z415" s="57"/>
      <c r="AA415" s="57"/>
      <c r="AB415" s="57"/>
    </row>
    <row r="416">
      <c r="A416" s="185" t="str">
        <f t="shared" si="17"/>
        <v/>
      </c>
      <c r="B416" s="141"/>
      <c r="C416" s="117"/>
      <c r="D416" s="117"/>
      <c r="E416" s="117"/>
      <c r="F416" s="117"/>
      <c r="G416" s="189"/>
      <c r="H416" s="189"/>
      <c r="I416" s="48"/>
      <c r="J416" s="189"/>
      <c r="K416" s="220"/>
      <c r="L416" s="220"/>
      <c r="M416" s="197"/>
      <c r="N416" s="375"/>
      <c r="O416" s="376"/>
      <c r="P416" s="220"/>
      <c r="Q416" s="117"/>
      <c r="R416" s="189"/>
      <c r="S416" s="141"/>
      <c r="T416" s="141"/>
      <c r="U416" s="57"/>
      <c r="V416" s="57"/>
      <c r="W416" s="57"/>
      <c r="X416" s="57"/>
      <c r="Y416" s="57"/>
      <c r="Z416" s="57"/>
      <c r="AA416" s="57"/>
      <c r="AB416" s="57"/>
    </row>
    <row r="417">
      <c r="A417" s="185" t="str">
        <f t="shared" si="17"/>
        <v/>
      </c>
      <c r="B417" s="141"/>
      <c r="C417" s="117"/>
      <c r="D417" s="117"/>
      <c r="E417" s="117"/>
      <c r="F417" s="117"/>
      <c r="G417" s="189"/>
      <c r="H417" s="189"/>
      <c r="I417" s="48"/>
      <c r="J417" s="189"/>
      <c r="K417" s="220"/>
      <c r="L417" s="220"/>
      <c r="M417" s="197"/>
      <c r="N417" s="375"/>
      <c r="O417" s="376"/>
      <c r="P417" s="220"/>
      <c r="Q417" s="117"/>
      <c r="R417" s="189"/>
      <c r="S417" s="141"/>
      <c r="T417" s="141"/>
      <c r="U417" s="57"/>
      <c r="V417" s="57"/>
      <c r="W417" s="57"/>
      <c r="X417" s="57"/>
      <c r="Y417" s="57"/>
      <c r="Z417" s="57"/>
      <c r="AA417" s="57"/>
      <c r="AB417" s="57"/>
    </row>
    <row r="418">
      <c r="A418" s="185" t="str">
        <f t="shared" si="17"/>
        <v/>
      </c>
      <c r="B418" s="141"/>
      <c r="C418" s="117"/>
      <c r="D418" s="117"/>
      <c r="E418" s="117"/>
      <c r="F418" s="117"/>
      <c r="G418" s="189"/>
      <c r="H418" s="189"/>
      <c r="I418" s="48"/>
      <c r="J418" s="189"/>
      <c r="K418" s="220"/>
      <c r="L418" s="220"/>
      <c r="M418" s="197"/>
      <c r="N418" s="375"/>
      <c r="O418" s="376"/>
      <c r="P418" s="220"/>
      <c r="Q418" s="117"/>
      <c r="R418" s="189"/>
      <c r="S418" s="141"/>
      <c r="T418" s="141"/>
      <c r="U418" s="57"/>
      <c r="V418" s="57"/>
      <c r="W418" s="57"/>
      <c r="X418" s="57"/>
      <c r="Y418" s="57"/>
      <c r="Z418" s="57"/>
      <c r="AA418" s="57"/>
      <c r="AB418" s="57"/>
    </row>
    <row r="419">
      <c r="A419" s="185" t="str">
        <f t="shared" si="17"/>
        <v/>
      </c>
      <c r="B419" s="141"/>
      <c r="C419" s="117"/>
      <c r="D419" s="117"/>
      <c r="E419" s="117"/>
      <c r="F419" s="117"/>
      <c r="G419" s="189"/>
      <c r="H419" s="189"/>
      <c r="I419" s="48"/>
      <c r="J419" s="189"/>
      <c r="K419" s="220"/>
      <c r="L419" s="220"/>
      <c r="M419" s="197"/>
      <c r="N419" s="375"/>
      <c r="O419" s="376"/>
      <c r="P419" s="220"/>
      <c r="Q419" s="117"/>
      <c r="R419" s="189"/>
      <c r="S419" s="141"/>
      <c r="T419" s="141"/>
      <c r="U419" s="57"/>
      <c r="V419" s="57"/>
      <c r="W419" s="57"/>
      <c r="X419" s="57"/>
      <c r="Y419" s="57"/>
      <c r="Z419" s="57"/>
      <c r="AA419" s="57"/>
      <c r="AB419" s="57"/>
    </row>
    <row r="420">
      <c r="A420" s="185" t="str">
        <f t="shared" si="17"/>
        <v/>
      </c>
      <c r="B420" s="141"/>
      <c r="C420" s="117"/>
      <c r="D420" s="117"/>
      <c r="E420" s="117"/>
      <c r="F420" s="117"/>
      <c r="G420" s="189"/>
      <c r="H420" s="189"/>
      <c r="I420" s="48"/>
      <c r="J420" s="189"/>
      <c r="K420" s="220"/>
      <c r="L420" s="220"/>
      <c r="M420" s="197"/>
      <c r="N420" s="375"/>
      <c r="O420" s="376"/>
      <c r="P420" s="220"/>
      <c r="Q420" s="117"/>
      <c r="R420" s="189"/>
      <c r="S420" s="141"/>
      <c r="T420" s="141"/>
      <c r="U420" s="57"/>
      <c r="V420" s="57"/>
      <c r="W420" s="57"/>
      <c r="X420" s="57"/>
      <c r="Y420" s="57"/>
      <c r="Z420" s="57"/>
      <c r="AA420" s="57"/>
      <c r="AB420" s="57"/>
    </row>
    <row r="421">
      <c r="A421" s="185" t="str">
        <f t="shared" si="17"/>
        <v/>
      </c>
      <c r="B421" s="141"/>
      <c r="C421" s="117"/>
      <c r="D421" s="117"/>
      <c r="E421" s="117"/>
      <c r="F421" s="117"/>
      <c r="G421" s="189"/>
      <c r="H421" s="189"/>
      <c r="I421" s="48"/>
      <c r="J421" s="189"/>
      <c r="K421" s="220"/>
      <c r="L421" s="220"/>
      <c r="M421" s="197"/>
      <c r="N421" s="375"/>
      <c r="O421" s="376"/>
      <c r="P421" s="220"/>
      <c r="Q421" s="117"/>
      <c r="R421" s="189"/>
      <c r="S421" s="141"/>
      <c r="T421" s="141"/>
      <c r="U421" s="57"/>
      <c r="V421" s="57"/>
      <c r="W421" s="57"/>
      <c r="X421" s="57"/>
      <c r="Y421" s="57"/>
      <c r="Z421" s="57"/>
      <c r="AA421" s="57"/>
      <c r="AB421" s="57"/>
    </row>
    <row r="422">
      <c r="A422" s="185" t="str">
        <f t="shared" si="17"/>
        <v/>
      </c>
      <c r="B422" s="141"/>
      <c r="C422" s="117"/>
      <c r="D422" s="117"/>
      <c r="E422" s="117"/>
      <c r="F422" s="117"/>
      <c r="G422" s="189"/>
      <c r="H422" s="189"/>
      <c r="I422" s="48"/>
      <c r="J422" s="189"/>
      <c r="K422" s="220"/>
      <c r="L422" s="220"/>
      <c r="M422" s="197"/>
      <c r="N422" s="375"/>
      <c r="O422" s="376"/>
      <c r="P422" s="220"/>
      <c r="Q422" s="117"/>
      <c r="R422" s="189"/>
      <c r="S422" s="141"/>
      <c r="T422" s="141"/>
      <c r="U422" s="57"/>
      <c r="V422" s="57"/>
      <c r="W422" s="57"/>
      <c r="X422" s="57"/>
      <c r="Y422" s="57"/>
      <c r="Z422" s="57"/>
      <c r="AA422" s="57"/>
      <c r="AB422" s="57"/>
    </row>
    <row r="423">
      <c r="A423" s="185" t="str">
        <f t="shared" si="17"/>
        <v/>
      </c>
      <c r="B423" s="141"/>
      <c r="C423" s="117"/>
      <c r="D423" s="117"/>
      <c r="E423" s="117"/>
      <c r="F423" s="117"/>
      <c r="G423" s="189"/>
      <c r="H423" s="189"/>
      <c r="I423" s="48"/>
      <c r="J423" s="189"/>
      <c r="K423" s="220"/>
      <c r="L423" s="220"/>
      <c r="M423" s="197"/>
      <c r="N423" s="375"/>
      <c r="O423" s="376"/>
      <c r="P423" s="220"/>
      <c r="Q423" s="117"/>
      <c r="R423" s="189"/>
      <c r="S423" s="141"/>
      <c r="T423" s="141"/>
      <c r="U423" s="57"/>
      <c r="V423" s="57"/>
      <c r="W423" s="57"/>
      <c r="X423" s="57"/>
      <c r="Y423" s="57"/>
      <c r="Z423" s="57"/>
      <c r="AA423" s="57"/>
      <c r="AB423" s="57"/>
    </row>
    <row r="424">
      <c r="A424" s="185" t="str">
        <f t="shared" si="17"/>
        <v/>
      </c>
      <c r="B424" s="141"/>
      <c r="C424" s="117"/>
      <c r="D424" s="117"/>
      <c r="E424" s="117"/>
      <c r="F424" s="117"/>
      <c r="G424" s="189"/>
      <c r="H424" s="189"/>
      <c r="I424" s="48"/>
      <c r="J424" s="189"/>
      <c r="K424" s="220"/>
      <c r="L424" s="220"/>
      <c r="M424" s="197"/>
      <c r="N424" s="375"/>
      <c r="O424" s="376"/>
      <c r="P424" s="220"/>
      <c r="Q424" s="117"/>
      <c r="R424" s="189"/>
      <c r="S424" s="141"/>
      <c r="T424" s="141"/>
      <c r="U424" s="57"/>
      <c r="V424" s="57"/>
      <c r="W424" s="57"/>
      <c r="X424" s="57"/>
      <c r="Y424" s="57"/>
      <c r="Z424" s="57"/>
      <c r="AA424" s="57"/>
      <c r="AB424" s="57"/>
    </row>
    <row r="425">
      <c r="A425" s="185" t="str">
        <f t="shared" si="17"/>
        <v/>
      </c>
      <c r="B425" s="141"/>
      <c r="C425" s="117"/>
      <c r="D425" s="117"/>
      <c r="E425" s="117"/>
      <c r="F425" s="117"/>
      <c r="G425" s="189"/>
      <c r="H425" s="189"/>
      <c r="I425" s="48"/>
      <c r="J425" s="189"/>
      <c r="K425" s="220"/>
      <c r="L425" s="220"/>
      <c r="M425" s="197"/>
      <c r="N425" s="375"/>
      <c r="O425" s="376"/>
      <c r="P425" s="220"/>
      <c r="Q425" s="117"/>
      <c r="R425" s="189"/>
      <c r="S425" s="141"/>
      <c r="T425" s="141"/>
      <c r="U425" s="57"/>
      <c r="V425" s="57"/>
      <c r="W425" s="57"/>
      <c r="X425" s="57"/>
      <c r="Y425" s="57"/>
      <c r="Z425" s="57"/>
      <c r="AA425" s="57"/>
      <c r="AB425" s="57"/>
    </row>
    <row r="426">
      <c r="A426" s="185" t="str">
        <f t="shared" si="17"/>
        <v/>
      </c>
      <c r="B426" s="141"/>
      <c r="C426" s="117"/>
      <c r="D426" s="117"/>
      <c r="E426" s="117"/>
      <c r="F426" s="117"/>
      <c r="G426" s="189"/>
      <c r="H426" s="189"/>
      <c r="I426" s="48"/>
      <c r="J426" s="189"/>
      <c r="K426" s="220"/>
      <c r="L426" s="220"/>
      <c r="M426" s="197"/>
      <c r="N426" s="375"/>
      <c r="O426" s="376"/>
      <c r="P426" s="220"/>
      <c r="Q426" s="117"/>
      <c r="R426" s="189"/>
      <c r="S426" s="141"/>
      <c r="T426" s="141"/>
      <c r="U426" s="57"/>
      <c r="V426" s="57"/>
      <c r="W426" s="57"/>
      <c r="X426" s="57"/>
      <c r="Y426" s="57"/>
      <c r="Z426" s="57"/>
      <c r="AA426" s="57"/>
      <c r="AB426" s="57"/>
    </row>
    <row r="427">
      <c r="A427" s="185" t="str">
        <f t="shared" si="17"/>
        <v/>
      </c>
      <c r="B427" s="141"/>
      <c r="C427" s="117"/>
      <c r="D427" s="117"/>
      <c r="E427" s="117"/>
      <c r="F427" s="117"/>
      <c r="G427" s="189"/>
      <c r="H427" s="189"/>
      <c r="I427" s="48"/>
      <c r="J427" s="189"/>
      <c r="K427" s="220"/>
      <c r="L427" s="220"/>
      <c r="M427" s="197"/>
      <c r="N427" s="375"/>
      <c r="O427" s="376"/>
      <c r="P427" s="220"/>
      <c r="Q427" s="117"/>
      <c r="R427" s="189"/>
      <c r="S427" s="141"/>
      <c r="T427" s="141"/>
      <c r="U427" s="57"/>
      <c r="V427" s="57"/>
      <c r="W427" s="57"/>
      <c r="X427" s="57"/>
      <c r="Y427" s="57"/>
      <c r="Z427" s="57"/>
      <c r="AA427" s="57"/>
      <c r="AB427" s="57"/>
    </row>
    <row r="428">
      <c r="A428" s="185" t="str">
        <f t="shared" si="17"/>
        <v/>
      </c>
      <c r="B428" s="141"/>
      <c r="C428" s="117"/>
      <c r="D428" s="117"/>
      <c r="E428" s="117"/>
      <c r="F428" s="117"/>
      <c r="G428" s="189"/>
      <c r="H428" s="189"/>
      <c r="I428" s="48"/>
      <c r="J428" s="189"/>
      <c r="K428" s="220"/>
      <c r="L428" s="220"/>
      <c r="M428" s="197"/>
      <c r="N428" s="375"/>
      <c r="O428" s="376"/>
      <c r="P428" s="220"/>
      <c r="Q428" s="117"/>
      <c r="R428" s="189"/>
      <c r="S428" s="141"/>
      <c r="T428" s="141"/>
      <c r="U428" s="57"/>
      <c r="V428" s="57"/>
      <c r="W428" s="57"/>
      <c r="X428" s="57"/>
      <c r="Y428" s="57"/>
      <c r="Z428" s="57"/>
      <c r="AA428" s="57"/>
      <c r="AB428" s="57"/>
    </row>
    <row r="429">
      <c r="A429" s="185" t="str">
        <f t="shared" si="17"/>
        <v/>
      </c>
      <c r="B429" s="141"/>
      <c r="C429" s="117"/>
      <c r="D429" s="117"/>
      <c r="E429" s="117"/>
      <c r="F429" s="117"/>
      <c r="G429" s="189"/>
      <c r="H429" s="189"/>
      <c r="I429" s="48"/>
      <c r="J429" s="189"/>
      <c r="K429" s="220"/>
      <c r="L429" s="220"/>
      <c r="M429" s="197"/>
      <c r="N429" s="375"/>
      <c r="O429" s="376"/>
      <c r="P429" s="220"/>
      <c r="Q429" s="117"/>
      <c r="R429" s="189"/>
      <c r="S429" s="141"/>
      <c r="T429" s="141"/>
      <c r="U429" s="57"/>
      <c r="V429" s="57"/>
      <c r="W429" s="57"/>
      <c r="X429" s="57"/>
      <c r="Y429" s="57"/>
      <c r="Z429" s="57"/>
      <c r="AA429" s="57"/>
      <c r="AB429" s="57"/>
    </row>
    <row r="430">
      <c r="A430" s="185" t="str">
        <f t="shared" si="17"/>
        <v/>
      </c>
      <c r="B430" s="141"/>
      <c r="C430" s="117"/>
      <c r="D430" s="117"/>
      <c r="E430" s="117"/>
      <c r="F430" s="117"/>
      <c r="G430" s="189"/>
      <c r="H430" s="189"/>
      <c r="I430" s="48"/>
      <c r="J430" s="189"/>
      <c r="K430" s="220"/>
      <c r="L430" s="220"/>
      <c r="M430" s="197"/>
      <c r="N430" s="375"/>
      <c r="O430" s="376"/>
      <c r="P430" s="220"/>
      <c r="Q430" s="117"/>
      <c r="R430" s="189"/>
      <c r="S430" s="141"/>
      <c r="T430" s="141"/>
      <c r="U430" s="57"/>
      <c r="V430" s="57"/>
      <c r="W430" s="57"/>
      <c r="X430" s="57"/>
      <c r="Y430" s="57"/>
      <c r="Z430" s="57"/>
      <c r="AA430" s="57"/>
      <c r="AB430" s="57"/>
    </row>
    <row r="431">
      <c r="A431" s="185" t="str">
        <f t="shared" si="17"/>
        <v/>
      </c>
      <c r="B431" s="141"/>
      <c r="C431" s="117"/>
      <c r="D431" s="117"/>
      <c r="E431" s="117"/>
      <c r="F431" s="117"/>
      <c r="G431" s="189"/>
      <c r="H431" s="189"/>
      <c r="I431" s="48"/>
      <c r="J431" s="189"/>
      <c r="K431" s="220"/>
      <c r="L431" s="220"/>
      <c r="M431" s="197"/>
      <c r="N431" s="375"/>
      <c r="O431" s="376"/>
      <c r="P431" s="220"/>
      <c r="Q431" s="117"/>
      <c r="R431" s="189"/>
      <c r="S431" s="141"/>
      <c r="T431" s="141"/>
      <c r="U431" s="57"/>
      <c r="V431" s="57"/>
      <c r="W431" s="57"/>
      <c r="X431" s="57"/>
      <c r="Y431" s="57"/>
      <c r="Z431" s="57"/>
      <c r="AA431" s="57"/>
      <c r="AB431" s="57"/>
    </row>
    <row r="432">
      <c r="A432" s="185" t="str">
        <f t="shared" si="17"/>
        <v/>
      </c>
      <c r="B432" s="141"/>
      <c r="C432" s="117"/>
      <c r="D432" s="117"/>
      <c r="E432" s="117"/>
      <c r="F432" s="117"/>
      <c r="G432" s="189"/>
      <c r="H432" s="189"/>
      <c r="I432" s="48"/>
      <c r="J432" s="189"/>
      <c r="K432" s="220"/>
      <c r="L432" s="220"/>
      <c r="M432" s="197"/>
      <c r="N432" s="375"/>
      <c r="O432" s="376"/>
      <c r="P432" s="220"/>
      <c r="Q432" s="117"/>
      <c r="R432" s="189"/>
      <c r="S432" s="141"/>
      <c r="T432" s="141"/>
      <c r="U432" s="57"/>
      <c r="V432" s="57"/>
      <c r="W432" s="57"/>
      <c r="X432" s="57"/>
      <c r="Y432" s="57"/>
      <c r="Z432" s="57"/>
      <c r="AA432" s="57"/>
      <c r="AB432" s="57"/>
    </row>
    <row r="433">
      <c r="A433" s="185" t="str">
        <f t="shared" si="17"/>
        <v/>
      </c>
      <c r="B433" s="141"/>
      <c r="C433" s="117"/>
      <c r="D433" s="117"/>
      <c r="E433" s="117"/>
      <c r="F433" s="117"/>
      <c r="G433" s="189"/>
      <c r="H433" s="189"/>
      <c r="I433" s="48"/>
      <c r="J433" s="189"/>
      <c r="K433" s="220"/>
      <c r="L433" s="220"/>
      <c r="M433" s="197"/>
      <c r="N433" s="375"/>
      <c r="O433" s="376"/>
      <c r="P433" s="220"/>
      <c r="Q433" s="117"/>
      <c r="R433" s="189"/>
      <c r="S433" s="141"/>
      <c r="T433" s="141"/>
      <c r="U433" s="57"/>
      <c r="V433" s="57"/>
      <c r="W433" s="57"/>
      <c r="X433" s="57"/>
      <c r="Y433" s="57"/>
      <c r="Z433" s="57"/>
      <c r="AA433" s="57"/>
      <c r="AB433" s="57"/>
    </row>
    <row r="434">
      <c r="A434" s="185" t="str">
        <f t="shared" si="17"/>
        <v/>
      </c>
      <c r="B434" s="141"/>
      <c r="C434" s="117"/>
      <c r="D434" s="117"/>
      <c r="E434" s="117"/>
      <c r="F434" s="117"/>
      <c r="G434" s="189"/>
      <c r="H434" s="189"/>
      <c r="I434" s="48"/>
      <c r="J434" s="189"/>
      <c r="K434" s="220"/>
      <c r="L434" s="220"/>
      <c r="M434" s="197"/>
      <c r="N434" s="375"/>
      <c r="O434" s="376"/>
      <c r="P434" s="220"/>
      <c r="Q434" s="117"/>
      <c r="R434" s="189"/>
      <c r="S434" s="141"/>
      <c r="T434" s="141"/>
      <c r="U434" s="57"/>
      <c r="V434" s="57"/>
      <c r="W434" s="57"/>
      <c r="X434" s="57"/>
      <c r="Y434" s="57"/>
      <c r="Z434" s="57"/>
      <c r="AA434" s="57"/>
      <c r="AB434" s="57"/>
    </row>
    <row r="435">
      <c r="A435" s="185" t="str">
        <f t="shared" si="17"/>
        <v/>
      </c>
      <c r="B435" s="141"/>
      <c r="C435" s="117"/>
      <c r="D435" s="117"/>
      <c r="E435" s="117"/>
      <c r="F435" s="117"/>
      <c r="G435" s="189"/>
      <c r="H435" s="189"/>
      <c r="I435" s="48"/>
      <c r="J435" s="189"/>
      <c r="K435" s="220"/>
      <c r="L435" s="220"/>
      <c r="M435" s="197"/>
      <c r="N435" s="375"/>
      <c r="O435" s="376"/>
      <c r="P435" s="220"/>
      <c r="Q435" s="117"/>
      <c r="R435" s="189"/>
      <c r="S435" s="141"/>
      <c r="T435" s="141"/>
      <c r="U435" s="57"/>
      <c r="V435" s="57"/>
      <c r="W435" s="57"/>
      <c r="X435" s="57"/>
      <c r="Y435" s="57"/>
      <c r="Z435" s="57"/>
      <c r="AA435" s="57"/>
      <c r="AB435" s="57"/>
    </row>
    <row r="436">
      <c r="A436" s="185" t="str">
        <f t="shared" si="17"/>
        <v/>
      </c>
      <c r="B436" s="141"/>
      <c r="C436" s="117"/>
      <c r="D436" s="117"/>
      <c r="E436" s="117"/>
      <c r="F436" s="117"/>
      <c r="G436" s="189"/>
      <c r="H436" s="189"/>
      <c r="I436" s="48"/>
      <c r="J436" s="189"/>
      <c r="K436" s="220"/>
      <c r="L436" s="220"/>
      <c r="M436" s="197"/>
      <c r="N436" s="375"/>
      <c r="O436" s="376"/>
      <c r="P436" s="220"/>
      <c r="Q436" s="117"/>
      <c r="R436" s="189"/>
      <c r="S436" s="141"/>
      <c r="T436" s="141"/>
      <c r="U436" s="57"/>
      <c r="V436" s="57"/>
      <c r="W436" s="57"/>
      <c r="X436" s="57"/>
      <c r="Y436" s="57"/>
      <c r="Z436" s="57"/>
      <c r="AA436" s="57"/>
      <c r="AB436" s="57"/>
    </row>
    <row r="437">
      <c r="A437" s="185" t="str">
        <f t="shared" si="17"/>
        <v/>
      </c>
      <c r="B437" s="141"/>
      <c r="C437" s="117"/>
      <c r="D437" s="117"/>
      <c r="E437" s="117"/>
      <c r="F437" s="117"/>
      <c r="G437" s="189"/>
      <c r="H437" s="189"/>
      <c r="I437" s="48"/>
      <c r="J437" s="189"/>
      <c r="K437" s="220"/>
      <c r="L437" s="220"/>
      <c r="M437" s="197"/>
      <c r="N437" s="375"/>
      <c r="O437" s="376"/>
      <c r="P437" s="220"/>
      <c r="Q437" s="117"/>
      <c r="R437" s="189"/>
      <c r="S437" s="141"/>
      <c r="T437" s="141"/>
      <c r="U437" s="57"/>
      <c r="V437" s="57"/>
      <c r="W437" s="57"/>
      <c r="X437" s="57"/>
      <c r="Y437" s="57"/>
      <c r="Z437" s="57"/>
      <c r="AA437" s="57"/>
      <c r="AB437" s="57"/>
    </row>
    <row r="438">
      <c r="A438" s="185" t="str">
        <f t="shared" si="17"/>
        <v/>
      </c>
      <c r="B438" s="141"/>
      <c r="C438" s="117"/>
      <c r="D438" s="117"/>
      <c r="E438" s="117"/>
      <c r="F438" s="117"/>
      <c r="G438" s="189"/>
      <c r="H438" s="189"/>
      <c r="I438" s="48"/>
      <c r="J438" s="189"/>
      <c r="K438" s="220"/>
      <c r="L438" s="220"/>
      <c r="M438" s="197"/>
      <c r="N438" s="375"/>
      <c r="O438" s="376"/>
      <c r="P438" s="220"/>
      <c r="Q438" s="117"/>
      <c r="R438" s="189"/>
      <c r="S438" s="141"/>
      <c r="T438" s="141"/>
      <c r="U438" s="57"/>
      <c r="V438" s="57"/>
      <c r="W438" s="57"/>
      <c r="X438" s="57"/>
      <c r="Y438" s="57"/>
      <c r="Z438" s="57"/>
      <c r="AA438" s="57"/>
      <c r="AB438" s="57"/>
    </row>
    <row r="439">
      <c r="A439" s="185" t="str">
        <f t="shared" si="17"/>
        <v/>
      </c>
      <c r="B439" s="141"/>
      <c r="C439" s="117"/>
      <c r="D439" s="117"/>
      <c r="E439" s="117"/>
      <c r="F439" s="117"/>
      <c r="G439" s="189"/>
      <c r="H439" s="189"/>
      <c r="I439" s="48"/>
      <c r="J439" s="189"/>
      <c r="K439" s="220"/>
      <c r="L439" s="220"/>
      <c r="M439" s="197"/>
      <c r="N439" s="375"/>
      <c r="O439" s="376"/>
      <c r="P439" s="220"/>
      <c r="Q439" s="117"/>
      <c r="R439" s="189"/>
      <c r="S439" s="141"/>
      <c r="T439" s="141"/>
      <c r="U439" s="57"/>
      <c r="V439" s="57"/>
      <c r="W439" s="57"/>
      <c r="X439" s="57"/>
      <c r="Y439" s="57"/>
      <c r="Z439" s="57"/>
      <c r="AA439" s="57"/>
      <c r="AB439" s="57"/>
    </row>
    <row r="440">
      <c r="A440" s="185" t="str">
        <f t="shared" si="17"/>
        <v/>
      </c>
      <c r="B440" s="141"/>
      <c r="C440" s="117"/>
      <c r="D440" s="117"/>
      <c r="E440" s="117"/>
      <c r="F440" s="117"/>
      <c r="G440" s="189"/>
      <c r="H440" s="189"/>
      <c r="I440" s="48"/>
      <c r="J440" s="189"/>
      <c r="K440" s="220"/>
      <c r="L440" s="220"/>
      <c r="M440" s="197"/>
      <c r="N440" s="375"/>
      <c r="O440" s="376"/>
      <c r="P440" s="220"/>
      <c r="Q440" s="117"/>
      <c r="R440" s="189"/>
      <c r="S440" s="141"/>
      <c r="T440" s="141"/>
      <c r="U440" s="57"/>
      <c r="V440" s="57"/>
      <c r="W440" s="57"/>
      <c r="X440" s="57"/>
      <c r="Y440" s="57"/>
      <c r="Z440" s="57"/>
      <c r="AA440" s="57"/>
      <c r="AB440" s="57"/>
    </row>
    <row r="441">
      <c r="A441" s="185" t="str">
        <f t="shared" si="17"/>
        <v/>
      </c>
      <c r="B441" s="141"/>
      <c r="C441" s="117"/>
      <c r="D441" s="117"/>
      <c r="E441" s="117"/>
      <c r="F441" s="117"/>
      <c r="G441" s="189"/>
      <c r="H441" s="189"/>
      <c r="I441" s="48"/>
      <c r="J441" s="189"/>
      <c r="K441" s="220"/>
      <c r="L441" s="220"/>
      <c r="M441" s="197"/>
      <c r="N441" s="375"/>
      <c r="O441" s="376"/>
      <c r="P441" s="220"/>
      <c r="Q441" s="117"/>
      <c r="R441" s="189"/>
      <c r="S441" s="141"/>
      <c r="T441" s="141"/>
      <c r="U441" s="57"/>
      <c r="V441" s="57"/>
      <c r="W441" s="57"/>
      <c r="X441" s="57"/>
      <c r="Y441" s="57"/>
      <c r="Z441" s="57"/>
      <c r="AA441" s="57"/>
      <c r="AB441" s="57"/>
    </row>
    <row r="442">
      <c r="A442" s="185" t="str">
        <f t="shared" si="17"/>
        <v/>
      </c>
      <c r="B442" s="141"/>
      <c r="C442" s="117"/>
      <c r="D442" s="117"/>
      <c r="E442" s="117"/>
      <c r="F442" s="117"/>
      <c r="G442" s="189"/>
      <c r="H442" s="189"/>
      <c r="I442" s="48"/>
      <c r="J442" s="189"/>
      <c r="K442" s="220"/>
      <c r="L442" s="220"/>
      <c r="M442" s="197"/>
      <c r="N442" s="375"/>
      <c r="O442" s="376"/>
      <c r="P442" s="220"/>
      <c r="Q442" s="117"/>
      <c r="R442" s="189"/>
      <c r="S442" s="141"/>
      <c r="T442" s="141"/>
      <c r="U442" s="57"/>
      <c r="V442" s="57"/>
      <c r="W442" s="57"/>
      <c r="X442" s="57"/>
      <c r="Y442" s="57"/>
      <c r="Z442" s="57"/>
      <c r="AA442" s="57"/>
      <c r="AB442" s="57"/>
    </row>
    <row r="443">
      <c r="A443" s="185" t="str">
        <f t="shared" si="17"/>
        <v/>
      </c>
      <c r="B443" s="141"/>
      <c r="C443" s="117"/>
      <c r="D443" s="117"/>
      <c r="E443" s="117"/>
      <c r="F443" s="117"/>
      <c r="G443" s="189"/>
      <c r="H443" s="189"/>
      <c r="I443" s="48"/>
      <c r="J443" s="189"/>
      <c r="K443" s="220"/>
      <c r="L443" s="220"/>
      <c r="M443" s="197"/>
      <c r="N443" s="375"/>
      <c r="O443" s="376"/>
      <c r="P443" s="220"/>
      <c r="Q443" s="117"/>
      <c r="R443" s="189"/>
      <c r="S443" s="141"/>
      <c r="T443" s="141"/>
      <c r="U443" s="57"/>
      <c r="V443" s="57"/>
      <c r="W443" s="57"/>
      <c r="X443" s="57"/>
      <c r="Y443" s="57"/>
      <c r="Z443" s="57"/>
      <c r="AA443" s="57"/>
      <c r="AB443" s="57"/>
    </row>
    <row r="444">
      <c r="A444" s="185" t="str">
        <f t="shared" si="17"/>
        <v/>
      </c>
      <c r="B444" s="141"/>
      <c r="C444" s="117"/>
      <c r="D444" s="117"/>
      <c r="E444" s="117"/>
      <c r="F444" s="117"/>
      <c r="G444" s="189"/>
      <c r="H444" s="189"/>
      <c r="I444" s="48"/>
      <c r="J444" s="189"/>
      <c r="K444" s="220"/>
      <c r="L444" s="220"/>
      <c r="M444" s="197"/>
      <c r="N444" s="375"/>
      <c r="O444" s="376"/>
      <c r="P444" s="220"/>
      <c r="Q444" s="117"/>
      <c r="R444" s="189"/>
      <c r="S444" s="141"/>
      <c r="T444" s="141"/>
      <c r="U444" s="57"/>
      <c r="V444" s="57"/>
      <c r="W444" s="57"/>
      <c r="X444" s="57"/>
      <c r="Y444" s="57"/>
      <c r="Z444" s="57"/>
      <c r="AA444" s="57"/>
      <c r="AB444" s="57"/>
    </row>
    <row r="445">
      <c r="A445" s="185" t="str">
        <f t="shared" si="17"/>
        <v/>
      </c>
      <c r="B445" s="141"/>
      <c r="C445" s="117"/>
      <c r="D445" s="117"/>
      <c r="E445" s="117"/>
      <c r="F445" s="117"/>
      <c r="G445" s="189"/>
      <c r="H445" s="189"/>
      <c r="I445" s="48"/>
      <c r="J445" s="189"/>
      <c r="K445" s="220"/>
      <c r="L445" s="220"/>
      <c r="M445" s="197"/>
      <c r="N445" s="375"/>
      <c r="O445" s="376"/>
      <c r="P445" s="220"/>
      <c r="Q445" s="117"/>
      <c r="R445" s="189"/>
      <c r="S445" s="141"/>
      <c r="T445" s="141"/>
      <c r="U445" s="57"/>
      <c r="V445" s="57"/>
      <c r="W445" s="57"/>
      <c r="X445" s="57"/>
      <c r="Y445" s="57"/>
      <c r="Z445" s="57"/>
      <c r="AA445" s="57"/>
      <c r="AB445" s="57"/>
    </row>
    <row r="446">
      <c r="A446" s="185" t="str">
        <f t="shared" si="17"/>
        <v/>
      </c>
      <c r="B446" s="141"/>
      <c r="C446" s="117"/>
      <c r="D446" s="117"/>
      <c r="E446" s="117"/>
      <c r="F446" s="117"/>
      <c r="G446" s="189"/>
      <c r="H446" s="189"/>
      <c r="I446" s="48"/>
      <c r="J446" s="189"/>
      <c r="K446" s="220"/>
      <c r="L446" s="220"/>
      <c r="M446" s="197"/>
      <c r="N446" s="375"/>
      <c r="O446" s="376"/>
      <c r="P446" s="220"/>
      <c r="Q446" s="117"/>
      <c r="R446" s="189"/>
      <c r="S446" s="141"/>
      <c r="T446" s="141"/>
      <c r="U446" s="57"/>
      <c r="V446" s="57"/>
      <c r="W446" s="57"/>
      <c r="X446" s="57"/>
      <c r="Y446" s="57"/>
      <c r="Z446" s="57"/>
      <c r="AA446" s="57"/>
      <c r="AB446" s="57"/>
    </row>
    <row r="447">
      <c r="A447" s="185" t="str">
        <f t="shared" si="17"/>
        <v/>
      </c>
      <c r="B447" s="141"/>
      <c r="C447" s="117"/>
      <c r="D447" s="117"/>
      <c r="E447" s="117"/>
      <c r="F447" s="117"/>
      <c r="G447" s="189"/>
      <c r="H447" s="189"/>
      <c r="I447" s="48"/>
      <c r="J447" s="189"/>
      <c r="K447" s="220"/>
      <c r="L447" s="220"/>
      <c r="M447" s="197"/>
      <c r="N447" s="375"/>
      <c r="O447" s="376"/>
      <c r="P447" s="220"/>
      <c r="Q447" s="117"/>
      <c r="R447" s="189"/>
      <c r="S447" s="141"/>
      <c r="T447" s="141"/>
      <c r="U447" s="57"/>
      <c r="V447" s="57"/>
      <c r="W447" s="57"/>
      <c r="X447" s="57"/>
      <c r="Y447" s="57"/>
      <c r="Z447" s="57"/>
      <c r="AA447" s="57"/>
      <c r="AB447" s="57"/>
    </row>
    <row r="448">
      <c r="A448" s="185" t="str">
        <f t="shared" si="17"/>
        <v/>
      </c>
      <c r="B448" s="141"/>
      <c r="C448" s="117"/>
      <c r="D448" s="117"/>
      <c r="E448" s="117"/>
      <c r="F448" s="117"/>
      <c r="G448" s="189"/>
      <c r="H448" s="189"/>
      <c r="I448" s="48"/>
      <c r="J448" s="189"/>
      <c r="K448" s="220"/>
      <c r="L448" s="220"/>
      <c r="M448" s="197"/>
      <c r="N448" s="375"/>
      <c r="O448" s="376"/>
      <c r="P448" s="220"/>
      <c r="Q448" s="117"/>
      <c r="R448" s="189"/>
      <c r="S448" s="141"/>
      <c r="T448" s="141"/>
      <c r="U448" s="57"/>
      <c r="V448" s="57"/>
      <c r="W448" s="57"/>
      <c r="X448" s="57"/>
      <c r="Y448" s="57"/>
      <c r="Z448" s="57"/>
      <c r="AA448" s="57"/>
      <c r="AB448" s="57"/>
    </row>
    <row r="449">
      <c r="A449" s="185" t="str">
        <f t="shared" si="17"/>
        <v/>
      </c>
      <c r="B449" s="141"/>
      <c r="C449" s="117"/>
      <c r="D449" s="117"/>
      <c r="E449" s="117"/>
      <c r="F449" s="117"/>
      <c r="G449" s="189"/>
      <c r="H449" s="189"/>
      <c r="I449" s="48"/>
      <c r="J449" s="189"/>
      <c r="K449" s="220"/>
      <c r="L449" s="220"/>
      <c r="M449" s="197"/>
      <c r="N449" s="375"/>
      <c r="O449" s="376"/>
      <c r="P449" s="220"/>
      <c r="Q449" s="117"/>
      <c r="R449" s="189"/>
      <c r="S449" s="141"/>
      <c r="T449" s="141"/>
      <c r="U449" s="57"/>
      <c r="V449" s="57"/>
      <c r="W449" s="57"/>
      <c r="X449" s="57"/>
      <c r="Y449" s="57"/>
      <c r="Z449" s="57"/>
      <c r="AA449" s="57"/>
      <c r="AB449" s="57"/>
    </row>
    <row r="450">
      <c r="A450" s="185" t="str">
        <f t="shared" si="17"/>
        <v/>
      </c>
      <c r="B450" s="141"/>
      <c r="C450" s="117"/>
      <c r="D450" s="117"/>
      <c r="E450" s="117"/>
      <c r="F450" s="117"/>
      <c r="G450" s="189"/>
      <c r="H450" s="189"/>
      <c r="I450" s="48"/>
      <c r="J450" s="189"/>
      <c r="K450" s="220"/>
      <c r="L450" s="220"/>
      <c r="M450" s="197"/>
      <c r="N450" s="375"/>
      <c r="O450" s="376"/>
      <c r="P450" s="220"/>
      <c r="Q450" s="117"/>
      <c r="R450" s="189"/>
      <c r="S450" s="141"/>
      <c r="T450" s="141"/>
      <c r="U450" s="57"/>
      <c r="V450" s="57"/>
      <c r="W450" s="57"/>
      <c r="X450" s="57"/>
      <c r="Y450" s="57"/>
      <c r="Z450" s="57"/>
      <c r="AA450" s="57"/>
      <c r="AB450" s="57"/>
    </row>
    <row r="451">
      <c r="A451" s="185" t="str">
        <f t="shared" si="17"/>
        <v/>
      </c>
      <c r="B451" s="141"/>
      <c r="C451" s="117"/>
      <c r="D451" s="117"/>
      <c r="E451" s="117"/>
      <c r="F451" s="117"/>
      <c r="G451" s="189"/>
      <c r="H451" s="189"/>
      <c r="I451" s="48"/>
      <c r="J451" s="189"/>
      <c r="K451" s="220"/>
      <c r="L451" s="220"/>
      <c r="M451" s="197"/>
      <c r="N451" s="375"/>
      <c r="O451" s="376"/>
      <c r="P451" s="220"/>
      <c r="Q451" s="117"/>
      <c r="R451" s="189"/>
      <c r="S451" s="141"/>
      <c r="T451" s="141"/>
      <c r="U451" s="57"/>
      <c r="V451" s="57"/>
      <c r="W451" s="57"/>
      <c r="X451" s="57"/>
      <c r="Y451" s="57"/>
      <c r="Z451" s="57"/>
      <c r="AA451" s="57"/>
      <c r="AB451" s="57"/>
    </row>
    <row r="452">
      <c r="A452" s="185" t="str">
        <f t="shared" si="17"/>
        <v/>
      </c>
      <c r="B452" s="141"/>
      <c r="C452" s="117"/>
      <c r="D452" s="117"/>
      <c r="E452" s="117"/>
      <c r="F452" s="117"/>
      <c r="G452" s="189"/>
      <c r="H452" s="189"/>
      <c r="I452" s="48"/>
      <c r="J452" s="189"/>
      <c r="K452" s="220"/>
      <c r="L452" s="220"/>
      <c r="M452" s="197"/>
      <c r="N452" s="375"/>
      <c r="O452" s="376"/>
      <c r="P452" s="220"/>
      <c r="Q452" s="117"/>
      <c r="R452" s="189"/>
      <c r="S452" s="141"/>
      <c r="T452" s="141"/>
      <c r="U452" s="57"/>
      <c r="V452" s="57"/>
      <c r="W452" s="57"/>
      <c r="X452" s="57"/>
      <c r="Y452" s="57"/>
      <c r="Z452" s="57"/>
      <c r="AA452" s="57"/>
      <c r="AB452" s="57"/>
    </row>
    <row r="453">
      <c r="A453" s="185" t="str">
        <f t="shared" si="17"/>
        <v/>
      </c>
      <c r="B453" s="141"/>
      <c r="C453" s="117"/>
      <c r="D453" s="117"/>
      <c r="E453" s="117"/>
      <c r="F453" s="117"/>
      <c r="G453" s="189"/>
      <c r="H453" s="189"/>
      <c r="I453" s="48"/>
      <c r="J453" s="189"/>
      <c r="K453" s="220"/>
      <c r="L453" s="220"/>
      <c r="M453" s="197"/>
      <c r="N453" s="375"/>
      <c r="O453" s="376"/>
      <c r="P453" s="220"/>
      <c r="Q453" s="117"/>
      <c r="R453" s="189"/>
      <c r="S453" s="141"/>
      <c r="T453" s="141"/>
      <c r="U453" s="57"/>
      <c r="V453" s="57"/>
      <c r="W453" s="57"/>
      <c r="X453" s="57"/>
      <c r="Y453" s="57"/>
      <c r="Z453" s="57"/>
      <c r="AA453" s="57"/>
      <c r="AB453" s="57"/>
    </row>
    <row r="454">
      <c r="A454" s="185" t="str">
        <f t="shared" si="17"/>
        <v/>
      </c>
      <c r="B454" s="141"/>
      <c r="C454" s="117"/>
      <c r="D454" s="117"/>
      <c r="E454" s="117"/>
      <c r="F454" s="117"/>
      <c r="G454" s="189"/>
      <c r="H454" s="189"/>
      <c r="I454" s="48"/>
      <c r="J454" s="189"/>
      <c r="K454" s="220"/>
      <c r="L454" s="220"/>
      <c r="M454" s="197"/>
      <c r="N454" s="375"/>
      <c r="O454" s="376"/>
      <c r="P454" s="220"/>
      <c r="Q454" s="117"/>
      <c r="R454" s="189"/>
      <c r="S454" s="141"/>
      <c r="T454" s="141"/>
      <c r="U454" s="57"/>
      <c r="V454" s="57"/>
      <c r="W454" s="57"/>
      <c r="X454" s="57"/>
      <c r="Y454" s="57"/>
      <c r="Z454" s="57"/>
      <c r="AA454" s="57"/>
      <c r="AB454" s="57"/>
    </row>
    <row r="455">
      <c r="A455" s="185" t="str">
        <f t="shared" si="17"/>
        <v/>
      </c>
      <c r="B455" s="141"/>
      <c r="C455" s="117"/>
      <c r="D455" s="117"/>
      <c r="E455" s="117"/>
      <c r="F455" s="117"/>
      <c r="G455" s="189"/>
      <c r="H455" s="189"/>
      <c r="I455" s="48"/>
      <c r="J455" s="189"/>
      <c r="K455" s="220"/>
      <c r="L455" s="220"/>
      <c r="M455" s="197"/>
      <c r="N455" s="375"/>
      <c r="O455" s="376"/>
      <c r="P455" s="220"/>
      <c r="Q455" s="117"/>
      <c r="R455" s="189"/>
      <c r="S455" s="141"/>
      <c r="T455" s="141"/>
      <c r="U455" s="57"/>
      <c r="V455" s="57"/>
      <c r="W455" s="57"/>
      <c r="X455" s="57"/>
      <c r="Y455" s="57"/>
      <c r="Z455" s="57"/>
      <c r="AA455" s="57"/>
      <c r="AB455" s="57"/>
    </row>
    <row r="456">
      <c r="A456" s="185" t="str">
        <f t="shared" si="17"/>
        <v/>
      </c>
      <c r="B456" s="141"/>
      <c r="C456" s="117"/>
      <c r="D456" s="117"/>
      <c r="E456" s="117"/>
      <c r="F456" s="117"/>
      <c r="G456" s="189"/>
      <c r="H456" s="189"/>
      <c r="I456" s="48"/>
      <c r="J456" s="189"/>
      <c r="K456" s="220"/>
      <c r="L456" s="220"/>
      <c r="M456" s="197"/>
      <c r="N456" s="375"/>
      <c r="O456" s="376"/>
      <c r="P456" s="220"/>
      <c r="Q456" s="117"/>
      <c r="R456" s="189"/>
      <c r="S456" s="141"/>
      <c r="T456" s="141"/>
      <c r="U456" s="57"/>
      <c r="V456" s="57"/>
      <c r="W456" s="57"/>
      <c r="X456" s="57"/>
      <c r="Y456" s="57"/>
      <c r="Z456" s="57"/>
      <c r="AA456" s="57"/>
      <c r="AB456" s="57"/>
    </row>
    <row r="457">
      <c r="A457" s="185" t="str">
        <f t="shared" si="17"/>
        <v/>
      </c>
      <c r="B457" s="141"/>
      <c r="C457" s="117"/>
      <c r="D457" s="117"/>
      <c r="E457" s="117"/>
      <c r="F457" s="117"/>
      <c r="G457" s="189"/>
      <c r="H457" s="189"/>
      <c r="I457" s="48"/>
      <c r="J457" s="189"/>
      <c r="K457" s="220"/>
      <c r="L457" s="220"/>
      <c r="M457" s="197"/>
      <c r="N457" s="375"/>
      <c r="O457" s="376"/>
      <c r="P457" s="220"/>
      <c r="Q457" s="117"/>
      <c r="R457" s="189"/>
      <c r="S457" s="141"/>
      <c r="T457" s="141"/>
      <c r="U457" s="57"/>
      <c r="V457" s="57"/>
      <c r="W457" s="57"/>
      <c r="X457" s="57"/>
      <c r="Y457" s="57"/>
      <c r="Z457" s="57"/>
      <c r="AA457" s="57"/>
      <c r="AB457" s="57"/>
    </row>
    <row r="458">
      <c r="A458" s="185" t="str">
        <f t="shared" si="17"/>
        <v/>
      </c>
      <c r="B458" s="141"/>
      <c r="C458" s="117"/>
      <c r="D458" s="117"/>
      <c r="E458" s="117"/>
      <c r="F458" s="117"/>
      <c r="G458" s="189"/>
      <c r="H458" s="189"/>
      <c r="I458" s="48"/>
      <c r="J458" s="189"/>
      <c r="K458" s="220"/>
      <c r="L458" s="220"/>
      <c r="M458" s="197"/>
      <c r="N458" s="375"/>
      <c r="O458" s="376"/>
      <c r="P458" s="220"/>
      <c r="Q458" s="117"/>
      <c r="R458" s="189"/>
      <c r="S458" s="141"/>
      <c r="T458" s="141"/>
      <c r="U458" s="57"/>
      <c r="V458" s="57"/>
      <c r="W458" s="57"/>
      <c r="X458" s="57"/>
      <c r="Y458" s="57"/>
      <c r="Z458" s="57"/>
      <c r="AA458" s="57"/>
      <c r="AB458" s="57"/>
    </row>
    <row r="459">
      <c r="A459" s="185" t="str">
        <f t="shared" si="17"/>
        <v/>
      </c>
      <c r="B459" s="141"/>
      <c r="C459" s="117"/>
      <c r="D459" s="117"/>
      <c r="E459" s="117"/>
      <c r="F459" s="117"/>
      <c r="G459" s="189"/>
      <c r="H459" s="189"/>
      <c r="I459" s="48"/>
      <c r="J459" s="189"/>
      <c r="K459" s="220"/>
      <c r="L459" s="220"/>
      <c r="M459" s="197"/>
      <c r="N459" s="375"/>
      <c r="O459" s="376"/>
      <c r="P459" s="220"/>
      <c r="Q459" s="117"/>
      <c r="R459" s="189"/>
      <c r="S459" s="141"/>
      <c r="T459" s="141"/>
      <c r="U459" s="57"/>
      <c r="V459" s="57"/>
      <c r="W459" s="57"/>
      <c r="X459" s="57"/>
      <c r="Y459" s="57"/>
      <c r="Z459" s="57"/>
      <c r="AA459" s="57"/>
      <c r="AB459" s="57"/>
    </row>
    <row r="460">
      <c r="A460" s="185" t="str">
        <f t="shared" si="17"/>
        <v/>
      </c>
      <c r="B460" s="141"/>
      <c r="C460" s="117"/>
      <c r="D460" s="117"/>
      <c r="E460" s="117"/>
      <c r="F460" s="117"/>
      <c r="G460" s="189"/>
      <c r="H460" s="189"/>
      <c r="I460" s="48"/>
      <c r="J460" s="189"/>
      <c r="K460" s="220"/>
      <c r="L460" s="220"/>
      <c r="M460" s="197"/>
      <c r="N460" s="375"/>
      <c r="O460" s="376"/>
      <c r="P460" s="220"/>
      <c r="Q460" s="117"/>
      <c r="R460" s="189"/>
      <c r="S460" s="141"/>
      <c r="T460" s="141"/>
      <c r="U460" s="57"/>
      <c r="V460" s="57"/>
      <c r="W460" s="57"/>
      <c r="X460" s="57"/>
      <c r="Y460" s="57"/>
      <c r="Z460" s="57"/>
      <c r="AA460" s="57"/>
      <c r="AB460" s="57"/>
    </row>
    <row r="461">
      <c r="A461" s="185" t="str">
        <f t="shared" si="17"/>
        <v/>
      </c>
      <c r="B461" s="141"/>
      <c r="C461" s="117"/>
      <c r="D461" s="117"/>
      <c r="E461" s="117"/>
      <c r="F461" s="117"/>
      <c r="G461" s="189"/>
      <c r="H461" s="189"/>
      <c r="I461" s="48"/>
      <c r="J461" s="189"/>
      <c r="K461" s="220"/>
      <c r="L461" s="220"/>
      <c r="M461" s="197"/>
      <c r="N461" s="375"/>
      <c r="O461" s="376"/>
      <c r="P461" s="220"/>
      <c r="Q461" s="117"/>
      <c r="R461" s="189"/>
      <c r="S461" s="141"/>
      <c r="T461" s="141"/>
      <c r="U461" s="57"/>
      <c r="V461" s="57"/>
      <c r="W461" s="57"/>
      <c r="X461" s="57"/>
      <c r="Y461" s="57"/>
      <c r="Z461" s="57"/>
      <c r="AA461" s="57"/>
      <c r="AB461" s="57"/>
    </row>
    <row r="462">
      <c r="A462" s="185" t="str">
        <f t="shared" si="17"/>
        <v/>
      </c>
      <c r="B462" s="141"/>
      <c r="C462" s="117"/>
      <c r="D462" s="117"/>
      <c r="E462" s="117"/>
      <c r="F462" s="117"/>
      <c r="G462" s="189"/>
      <c r="H462" s="189"/>
      <c r="I462" s="48"/>
      <c r="J462" s="189"/>
      <c r="K462" s="220"/>
      <c r="L462" s="220"/>
      <c r="M462" s="197"/>
      <c r="N462" s="375"/>
      <c r="O462" s="376"/>
      <c r="P462" s="220"/>
      <c r="Q462" s="117"/>
      <c r="R462" s="189"/>
      <c r="S462" s="141"/>
      <c r="T462" s="141"/>
      <c r="U462" s="57"/>
      <c r="V462" s="57"/>
      <c r="W462" s="57"/>
      <c r="X462" s="57"/>
      <c r="Y462" s="57"/>
      <c r="Z462" s="57"/>
      <c r="AA462" s="57"/>
      <c r="AB462" s="57"/>
    </row>
    <row r="463">
      <c r="A463" s="185" t="str">
        <f t="shared" si="17"/>
        <v/>
      </c>
      <c r="B463" s="141"/>
      <c r="C463" s="117"/>
      <c r="D463" s="117"/>
      <c r="E463" s="117"/>
      <c r="F463" s="117"/>
      <c r="G463" s="189"/>
      <c r="H463" s="189"/>
      <c r="I463" s="48"/>
      <c r="J463" s="189"/>
      <c r="K463" s="220"/>
      <c r="L463" s="220"/>
      <c r="M463" s="197"/>
      <c r="N463" s="375"/>
      <c r="O463" s="376"/>
      <c r="P463" s="220"/>
      <c r="Q463" s="117"/>
      <c r="R463" s="189"/>
      <c r="S463" s="141"/>
      <c r="T463" s="141"/>
      <c r="U463" s="57"/>
      <c r="V463" s="57"/>
      <c r="W463" s="57"/>
      <c r="X463" s="57"/>
      <c r="Y463" s="57"/>
      <c r="Z463" s="57"/>
      <c r="AA463" s="57"/>
      <c r="AB463" s="57"/>
    </row>
    <row r="464">
      <c r="A464" s="185" t="str">
        <f t="shared" si="17"/>
        <v/>
      </c>
      <c r="B464" s="141"/>
      <c r="C464" s="117"/>
      <c r="D464" s="117"/>
      <c r="E464" s="117"/>
      <c r="F464" s="117"/>
      <c r="G464" s="189"/>
      <c r="H464" s="189"/>
      <c r="I464" s="48"/>
      <c r="J464" s="189"/>
      <c r="K464" s="220"/>
      <c r="L464" s="220"/>
      <c r="M464" s="197"/>
      <c r="N464" s="375"/>
      <c r="O464" s="376"/>
      <c r="P464" s="220"/>
      <c r="Q464" s="117"/>
      <c r="R464" s="189"/>
      <c r="S464" s="141"/>
      <c r="T464" s="141"/>
      <c r="U464" s="57"/>
      <c r="V464" s="57"/>
      <c r="W464" s="57"/>
      <c r="X464" s="57"/>
      <c r="Y464" s="57"/>
      <c r="Z464" s="57"/>
      <c r="AA464" s="57"/>
      <c r="AB464" s="57"/>
    </row>
    <row r="465">
      <c r="A465" s="185" t="str">
        <f t="shared" si="17"/>
        <v/>
      </c>
      <c r="B465" s="141"/>
      <c r="C465" s="117"/>
      <c r="D465" s="117"/>
      <c r="E465" s="117"/>
      <c r="F465" s="117"/>
      <c r="G465" s="189"/>
      <c r="H465" s="189"/>
      <c r="I465" s="48"/>
      <c r="J465" s="189"/>
      <c r="K465" s="220"/>
      <c r="L465" s="220"/>
      <c r="M465" s="197"/>
      <c r="N465" s="375"/>
      <c r="O465" s="376"/>
      <c r="P465" s="220"/>
      <c r="Q465" s="117"/>
      <c r="R465" s="189"/>
      <c r="S465" s="141"/>
      <c r="T465" s="141"/>
      <c r="U465" s="57"/>
      <c r="V465" s="57"/>
      <c r="W465" s="57"/>
      <c r="X465" s="57"/>
      <c r="Y465" s="57"/>
      <c r="Z465" s="57"/>
      <c r="AA465" s="57"/>
      <c r="AB465" s="57"/>
    </row>
    <row r="466">
      <c r="A466" s="185" t="str">
        <f t="shared" si="17"/>
        <v/>
      </c>
      <c r="B466" s="141"/>
      <c r="C466" s="117"/>
      <c r="D466" s="117"/>
      <c r="E466" s="117"/>
      <c r="F466" s="117"/>
      <c r="G466" s="189"/>
      <c r="H466" s="189"/>
      <c r="I466" s="48"/>
      <c r="J466" s="189"/>
      <c r="K466" s="220"/>
      <c r="L466" s="220"/>
      <c r="M466" s="197"/>
      <c r="N466" s="375"/>
      <c r="O466" s="376"/>
      <c r="P466" s="220"/>
      <c r="Q466" s="117"/>
      <c r="R466" s="189"/>
      <c r="S466" s="141"/>
      <c r="T466" s="141"/>
      <c r="U466" s="57"/>
      <c r="V466" s="57"/>
      <c r="W466" s="57"/>
      <c r="X466" s="57"/>
      <c r="Y466" s="57"/>
      <c r="Z466" s="57"/>
      <c r="AA466" s="57"/>
      <c r="AB466" s="57"/>
    </row>
    <row r="467">
      <c r="A467" s="185" t="str">
        <f t="shared" si="17"/>
        <v/>
      </c>
      <c r="B467" s="141"/>
      <c r="C467" s="117"/>
      <c r="D467" s="117"/>
      <c r="E467" s="117"/>
      <c r="F467" s="117"/>
      <c r="G467" s="189"/>
      <c r="H467" s="189"/>
      <c r="I467" s="48"/>
      <c r="J467" s="189"/>
      <c r="K467" s="220"/>
      <c r="L467" s="220"/>
      <c r="M467" s="197"/>
      <c r="N467" s="375"/>
      <c r="O467" s="376"/>
      <c r="P467" s="220"/>
      <c r="Q467" s="117"/>
      <c r="R467" s="189"/>
      <c r="S467" s="141"/>
      <c r="T467" s="141"/>
      <c r="U467" s="57"/>
      <c r="V467" s="57"/>
      <c r="W467" s="57"/>
      <c r="X467" s="57"/>
      <c r="Y467" s="57"/>
      <c r="Z467" s="57"/>
      <c r="AA467" s="57"/>
      <c r="AB467" s="57"/>
    </row>
    <row r="468">
      <c r="A468" s="185" t="str">
        <f t="shared" si="17"/>
        <v/>
      </c>
      <c r="B468" s="141"/>
      <c r="C468" s="117"/>
      <c r="D468" s="117"/>
      <c r="E468" s="117"/>
      <c r="F468" s="117"/>
      <c r="G468" s="189"/>
      <c r="H468" s="189"/>
      <c r="I468" s="48"/>
      <c r="J468" s="189"/>
      <c r="K468" s="220"/>
      <c r="L468" s="220"/>
      <c r="M468" s="197"/>
      <c r="N468" s="375"/>
      <c r="O468" s="376"/>
      <c r="P468" s="220"/>
      <c r="Q468" s="117"/>
      <c r="R468" s="189"/>
      <c r="S468" s="141"/>
      <c r="T468" s="141"/>
      <c r="U468" s="57"/>
      <c r="V468" s="57"/>
      <c r="W468" s="57"/>
      <c r="X468" s="57"/>
      <c r="Y468" s="57"/>
      <c r="Z468" s="57"/>
      <c r="AA468" s="57"/>
      <c r="AB468" s="57"/>
    </row>
    <row r="469">
      <c r="A469" s="185" t="str">
        <f t="shared" si="17"/>
        <v/>
      </c>
      <c r="B469" s="141"/>
      <c r="C469" s="117"/>
      <c r="D469" s="117"/>
      <c r="E469" s="117"/>
      <c r="F469" s="117"/>
      <c r="G469" s="189"/>
      <c r="H469" s="189"/>
      <c r="I469" s="48"/>
      <c r="J469" s="189"/>
      <c r="K469" s="220"/>
      <c r="L469" s="220"/>
      <c r="M469" s="197"/>
      <c r="N469" s="375"/>
      <c r="O469" s="376"/>
      <c r="P469" s="220"/>
      <c r="Q469" s="117"/>
      <c r="R469" s="189"/>
      <c r="S469" s="141"/>
      <c r="T469" s="141"/>
      <c r="U469" s="57"/>
      <c r="V469" s="57"/>
      <c r="W469" s="57"/>
      <c r="X469" s="57"/>
      <c r="Y469" s="57"/>
      <c r="Z469" s="57"/>
      <c r="AA469" s="57"/>
      <c r="AB469" s="57"/>
    </row>
    <row r="470">
      <c r="A470" s="185" t="str">
        <f t="shared" si="17"/>
        <v/>
      </c>
      <c r="B470" s="141"/>
      <c r="C470" s="117"/>
      <c r="D470" s="117"/>
      <c r="E470" s="117"/>
      <c r="F470" s="117"/>
      <c r="G470" s="189"/>
      <c r="H470" s="189"/>
      <c r="I470" s="48"/>
      <c r="J470" s="189"/>
      <c r="K470" s="220"/>
      <c r="L470" s="220"/>
      <c r="M470" s="197"/>
      <c r="N470" s="375"/>
      <c r="O470" s="376"/>
      <c r="P470" s="220"/>
      <c r="Q470" s="117"/>
      <c r="R470" s="189"/>
      <c r="S470" s="141"/>
      <c r="T470" s="141"/>
      <c r="U470" s="57"/>
      <c r="V470" s="57"/>
      <c r="W470" s="57"/>
      <c r="X470" s="57"/>
      <c r="Y470" s="57"/>
      <c r="Z470" s="57"/>
      <c r="AA470" s="57"/>
      <c r="AB470" s="57"/>
    </row>
    <row r="471">
      <c r="A471" s="185" t="str">
        <f t="shared" si="17"/>
        <v/>
      </c>
      <c r="B471" s="141"/>
      <c r="C471" s="117"/>
      <c r="D471" s="117"/>
      <c r="E471" s="117"/>
      <c r="F471" s="117"/>
      <c r="G471" s="189"/>
      <c r="H471" s="189"/>
      <c r="I471" s="48"/>
      <c r="J471" s="189"/>
      <c r="K471" s="220"/>
      <c r="L471" s="220"/>
      <c r="M471" s="197"/>
      <c r="N471" s="375"/>
      <c r="O471" s="376"/>
      <c r="P471" s="220"/>
      <c r="Q471" s="117"/>
      <c r="R471" s="189"/>
      <c r="S471" s="141"/>
      <c r="T471" s="141"/>
      <c r="U471" s="57"/>
      <c r="V471" s="57"/>
      <c r="W471" s="57"/>
      <c r="X471" s="57"/>
      <c r="Y471" s="57"/>
      <c r="Z471" s="57"/>
      <c r="AA471" s="57"/>
      <c r="AB471" s="57"/>
    </row>
    <row r="472">
      <c r="A472" s="185" t="str">
        <f t="shared" si="17"/>
        <v/>
      </c>
      <c r="B472" s="141"/>
      <c r="C472" s="117"/>
      <c r="D472" s="117"/>
      <c r="E472" s="117"/>
      <c r="F472" s="117"/>
      <c r="G472" s="189"/>
      <c r="H472" s="189"/>
      <c r="I472" s="48"/>
      <c r="J472" s="189"/>
      <c r="K472" s="220"/>
      <c r="L472" s="220"/>
      <c r="M472" s="197"/>
      <c r="N472" s="375"/>
      <c r="O472" s="376"/>
      <c r="P472" s="220"/>
      <c r="Q472" s="117"/>
      <c r="R472" s="189"/>
      <c r="S472" s="141"/>
      <c r="T472" s="141"/>
      <c r="U472" s="57"/>
      <c r="V472" s="57"/>
      <c r="W472" s="57"/>
      <c r="X472" s="57"/>
      <c r="Y472" s="57"/>
      <c r="Z472" s="57"/>
      <c r="AA472" s="57"/>
      <c r="AB472" s="57"/>
    </row>
    <row r="473">
      <c r="A473" s="185" t="str">
        <f t="shared" si="17"/>
        <v/>
      </c>
      <c r="B473" s="141"/>
      <c r="C473" s="117"/>
      <c r="D473" s="117"/>
      <c r="E473" s="117"/>
      <c r="F473" s="117"/>
      <c r="G473" s="189"/>
      <c r="H473" s="189"/>
      <c r="I473" s="48"/>
      <c r="J473" s="189"/>
      <c r="K473" s="220"/>
      <c r="L473" s="220"/>
      <c r="M473" s="197"/>
      <c r="N473" s="375"/>
      <c r="O473" s="376"/>
      <c r="P473" s="220"/>
      <c r="Q473" s="117"/>
      <c r="R473" s="189"/>
      <c r="S473" s="141"/>
      <c r="T473" s="141"/>
      <c r="U473" s="57"/>
      <c r="V473" s="57"/>
      <c r="W473" s="57"/>
      <c r="X473" s="57"/>
      <c r="Y473" s="57"/>
      <c r="Z473" s="57"/>
      <c r="AA473" s="57"/>
      <c r="AB473" s="57"/>
    </row>
    <row r="474">
      <c r="A474" s="185" t="str">
        <f t="shared" si="17"/>
        <v/>
      </c>
      <c r="B474" s="141"/>
      <c r="C474" s="117"/>
      <c r="D474" s="117"/>
      <c r="E474" s="117"/>
      <c r="F474" s="117"/>
      <c r="G474" s="189"/>
      <c r="H474" s="189"/>
      <c r="I474" s="48"/>
      <c r="J474" s="189"/>
      <c r="K474" s="220"/>
      <c r="L474" s="220"/>
      <c r="M474" s="197"/>
      <c r="N474" s="375"/>
      <c r="O474" s="376"/>
      <c r="P474" s="220"/>
      <c r="Q474" s="117"/>
      <c r="R474" s="189"/>
      <c r="S474" s="141"/>
      <c r="T474" s="141"/>
      <c r="U474" s="57"/>
      <c r="V474" s="57"/>
      <c r="W474" s="57"/>
      <c r="X474" s="57"/>
      <c r="Y474" s="57"/>
      <c r="Z474" s="57"/>
      <c r="AA474" s="57"/>
      <c r="AB474" s="57"/>
    </row>
    <row r="475">
      <c r="A475" s="185" t="str">
        <f t="shared" si="17"/>
        <v/>
      </c>
      <c r="B475" s="141"/>
      <c r="C475" s="117"/>
      <c r="D475" s="117"/>
      <c r="E475" s="117"/>
      <c r="F475" s="117"/>
      <c r="G475" s="189"/>
      <c r="H475" s="189"/>
      <c r="I475" s="48"/>
      <c r="J475" s="189"/>
      <c r="K475" s="220"/>
      <c r="L475" s="220"/>
      <c r="M475" s="197"/>
      <c r="N475" s="375"/>
      <c r="O475" s="376"/>
      <c r="P475" s="220"/>
      <c r="Q475" s="117"/>
      <c r="R475" s="189"/>
      <c r="S475" s="141"/>
      <c r="T475" s="141"/>
      <c r="U475" s="57"/>
      <c r="V475" s="57"/>
      <c r="W475" s="57"/>
      <c r="X475" s="57"/>
      <c r="Y475" s="57"/>
      <c r="Z475" s="57"/>
      <c r="AA475" s="57"/>
      <c r="AB475" s="57"/>
    </row>
    <row r="476">
      <c r="A476" s="185" t="str">
        <f t="shared" si="17"/>
        <v/>
      </c>
      <c r="B476" s="141"/>
      <c r="C476" s="117"/>
      <c r="D476" s="117"/>
      <c r="E476" s="117"/>
      <c r="F476" s="117"/>
      <c r="G476" s="189"/>
      <c r="H476" s="189"/>
      <c r="I476" s="48"/>
      <c r="J476" s="189"/>
      <c r="K476" s="220"/>
      <c r="L476" s="220"/>
      <c r="M476" s="197"/>
      <c r="N476" s="375"/>
      <c r="O476" s="376"/>
      <c r="P476" s="220"/>
      <c r="Q476" s="117"/>
      <c r="R476" s="189"/>
      <c r="S476" s="141"/>
      <c r="T476" s="141"/>
      <c r="U476" s="57"/>
      <c r="V476" s="57"/>
      <c r="W476" s="57"/>
      <c r="X476" s="57"/>
      <c r="Y476" s="57"/>
      <c r="Z476" s="57"/>
      <c r="AA476" s="57"/>
      <c r="AB476" s="57"/>
    </row>
    <row r="477">
      <c r="A477" s="185" t="str">
        <f t="shared" si="17"/>
        <v/>
      </c>
      <c r="B477" s="141"/>
      <c r="C477" s="117"/>
      <c r="D477" s="117"/>
      <c r="E477" s="117"/>
      <c r="F477" s="117"/>
      <c r="G477" s="189"/>
      <c r="H477" s="189"/>
      <c r="I477" s="48"/>
      <c r="J477" s="189"/>
      <c r="K477" s="220"/>
      <c r="L477" s="220"/>
      <c r="M477" s="197"/>
      <c r="N477" s="375"/>
      <c r="O477" s="376"/>
      <c r="P477" s="220"/>
      <c r="Q477" s="117"/>
      <c r="R477" s="189"/>
      <c r="S477" s="141"/>
      <c r="T477" s="141"/>
      <c r="U477" s="57"/>
      <c r="V477" s="57"/>
      <c r="W477" s="57"/>
      <c r="X477" s="57"/>
      <c r="Y477" s="57"/>
      <c r="Z477" s="57"/>
      <c r="AA477" s="57"/>
      <c r="AB477" s="57"/>
    </row>
    <row r="478">
      <c r="A478" s="185" t="str">
        <f t="shared" si="17"/>
        <v/>
      </c>
      <c r="B478" s="141"/>
      <c r="C478" s="117"/>
      <c r="D478" s="117"/>
      <c r="E478" s="117"/>
      <c r="F478" s="117"/>
      <c r="G478" s="189"/>
      <c r="H478" s="189"/>
      <c r="I478" s="48"/>
      <c r="J478" s="189"/>
      <c r="K478" s="220"/>
      <c r="L478" s="220"/>
      <c r="M478" s="197"/>
      <c r="N478" s="375"/>
      <c r="O478" s="376"/>
      <c r="P478" s="220"/>
      <c r="Q478" s="117"/>
      <c r="R478" s="189"/>
      <c r="S478" s="141"/>
      <c r="T478" s="141"/>
      <c r="U478" s="57"/>
      <c r="V478" s="57"/>
      <c r="W478" s="57"/>
      <c r="X478" s="57"/>
      <c r="Y478" s="57"/>
      <c r="Z478" s="57"/>
      <c r="AA478" s="57"/>
      <c r="AB478" s="57"/>
    </row>
    <row r="479">
      <c r="A479" s="185" t="str">
        <f t="shared" si="17"/>
        <v/>
      </c>
      <c r="B479" s="141"/>
      <c r="C479" s="117"/>
      <c r="D479" s="117"/>
      <c r="E479" s="117"/>
      <c r="F479" s="117"/>
      <c r="G479" s="189"/>
      <c r="H479" s="189"/>
      <c r="I479" s="48"/>
      <c r="J479" s="189"/>
      <c r="K479" s="220"/>
      <c r="L479" s="220"/>
      <c r="M479" s="197"/>
      <c r="N479" s="375"/>
      <c r="O479" s="376"/>
      <c r="P479" s="220"/>
      <c r="Q479" s="117"/>
      <c r="R479" s="189"/>
      <c r="S479" s="141"/>
      <c r="T479" s="141"/>
      <c r="U479" s="57"/>
      <c r="V479" s="57"/>
      <c r="W479" s="57"/>
      <c r="X479" s="57"/>
      <c r="Y479" s="57"/>
      <c r="Z479" s="57"/>
      <c r="AA479" s="57"/>
      <c r="AB479" s="57"/>
    </row>
    <row r="480">
      <c r="A480" s="185" t="str">
        <f t="shared" si="17"/>
        <v/>
      </c>
      <c r="B480" s="141"/>
      <c r="C480" s="117"/>
      <c r="D480" s="117"/>
      <c r="E480" s="117"/>
      <c r="F480" s="117"/>
      <c r="G480" s="189"/>
      <c r="H480" s="189"/>
      <c r="I480" s="48"/>
      <c r="J480" s="189"/>
      <c r="K480" s="220"/>
      <c r="L480" s="220"/>
      <c r="M480" s="197"/>
      <c r="N480" s="375"/>
      <c r="O480" s="376"/>
      <c r="P480" s="220"/>
      <c r="Q480" s="117"/>
      <c r="R480" s="189"/>
      <c r="S480" s="141"/>
      <c r="T480" s="141"/>
      <c r="U480" s="57"/>
      <c r="V480" s="57"/>
      <c r="W480" s="57"/>
      <c r="X480" s="57"/>
      <c r="Y480" s="57"/>
      <c r="Z480" s="57"/>
      <c r="AA480" s="57"/>
      <c r="AB480" s="57"/>
    </row>
    <row r="481">
      <c r="A481" s="185" t="str">
        <f t="shared" si="17"/>
        <v/>
      </c>
      <c r="B481" s="141"/>
      <c r="C481" s="117"/>
      <c r="D481" s="117"/>
      <c r="E481" s="117"/>
      <c r="F481" s="117"/>
      <c r="G481" s="189"/>
      <c r="H481" s="189"/>
      <c r="I481" s="48"/>
      <c r="J481" s="189"/>
      <c r="K481" s="220"/>
      <c r="L481" s="220"/>
      <c r="M481" s="197"/>
      <c r="N481" s="375"/>
      <c r="O481" s="376"/>
      <c r="P481" s="220"/>
      <c r="Q481" s="117"/>
      <c r="R481" s="189"/>
      <c r="S481" s="141"/>
      <c r="T481" s="141"/>
      <c r="U481" s="57"/>
      <c r="V481" s="57"/>
      <c r="W481" s="57"/>
      <c r="X481" s="57"/>
      <c r="Y481" s="57"/>
      <c r="Z481" s="57"/>
      <c r="AA481" s="57"/>
      <c r="AB481" s="57"/>
    </row>
    <row r="482">
      <c r="A482" s="185" t="str">
        <f t="shared" si="17"/>
        <v/>
      </c>
      <c r="B482" s="141"/>
      <c r="C482" s="117"/>
      <c r="D482" s="117"/>
      <c r="E482" s="117"/>
      <c r="F482" s="117"/>
      <c r="G482" s="189"/>
      <c r="H482" s="189"/>
      <c r="I482" s="48"/>
      <c r="J482" s="189"/>
      <c r="K482" s="220"/>
      <c r="L482" s="220"/>
      <c r="M482" s="197"/>
      <c r="N482" s="375"/>
      <c r="O482" s="376"/>
      <c r="P482" s="220"/>
      <c r="Q482" s="117"/>
      <c r="R482" s="189"/>
      <c r="S482" s="141"/>
      <c r="T482" s="141"/>
      <c r="U482" s="57"/>
      <c r="V482" s="57"/>
      <c r="W482" s="57"/>
      <c r="X482" s="57"/>
      <c r="Y482" s="57"/>
      <c r="Z482" s="57"/>
      <c r="AA482" s="57"/>
      <c r="AB482" s="57"/>
    </row>
    <row r="483">
      <c r="A483" s="185" t="str">
        <f t="shared" si="17"/>
        <v/>
      </c>
      <c r="B483" s="141"/>
      <c r="C483" s="117"/>
      <c r="D483" s="117"/>
      <c r="E483" s="117"/>
      <c r="F483" s="117"/>
      <c r="G483" s="189"/>
      <c r="H483" s="189"/>
      <c r="I483" s="48"/>
      <c r="J483" s="189"/>
      <c r="K483" s="220"/>
      <c r="L483" s="220"/>
      <c r="M483" s="197"/>
      <c r="N483" s="375"/>
      <c r="O483" s="376"/>
      <c r="P483" s="220"/>
      <c r="Q483" s="117"/>
      <c r="R483" s="189"/>
      <c r="S483" s="141"/>
      <c r="T483" s="141"/>
      <c r="U483" s="57"/>
      <c r="V483" s="57"/>
      <c r="W483" s="57"/>
      <c r="X483" s="57"/>
      <c r="Y483" s="57"/>
      <c r="Z483" s="57"/>
      <c r="AA483" s="57"/>
      <c r="AB483" s="57"/>
    </row>
    <row r="484">
      <c r="A484" s="185" t="str">
        <f t="shared" si="17"/>
        <v/>
      </c>
      <c r="B484" s="141"/>
      <c r="C484" s="117"/>
      <c r="D484" s="117"/>
      <c r="E484" s="117"/>
      <c r="F484" s="117"/>
      <c r="G484" s="189"/>
      <c r="H484" s="189"/>
      <c r="I484" s="48"/>
      <c r="J484" s="189"/>
      <c r="K484" s="220"/>
      <c r="L484" s="220"/>
      <c r="M484" s="197"/>
      <c r="N484" s="375"/>
      <c r="O484" s="376"/>
      <c r="P484" s="220"/>
      <c r="Q484" s="117"/>
      <c r="R484" s="189"/>
      <c r="S484" s="141"/>
      <c r="T484" s="141"/>
      <c r="U484" s="57"/>
      <c r="V484" s="57"/>
      <c r="W484" s="57"/>
      <c r="X484" s="57"/>
      <c r="Y484" s="57"/>
      <c r="Z484" s="57"/>
      <c r="AA484" s="57"/>
      <c r="AB484" s="57"/>
    </row>
    <row r="485">
      <c r="A485" s="185" t="str">
        <f t="shared" si="17"/>
        <v/>
      </c>
      <c r="B485" s="141"/>
      <c r="C485" s="117"/>
      <c r="D485" s="117"/>
      <c r="E485" s="117"/>
      <c r="F485" s="117"/>
      <c r="G485" s="189"/>
      <c r="H485" s="189"/>
      <c r="I485" s="48"/>
      <c r="J485" s="189"/>
      <c r="K485" s="220"/>
      <c r="L485" s="220"/>
      <c r="M485" s="197"/>
      <c r="N485" s="375"/>
      <c r="O485" s="376"/>
      <c r="P485" s="220"/>
      <c r="Q485" s="117"/>
      <c r="R485" s="189"/>
      <c r="S485" s="141"/>
      <c r="T485" s="141"/>
      <c r="U485" s="57"/>
      <c r="V485" s="57"/>
      <c r="W485" s="57"/>
      <c r="X485" s="57"/>
      <c r="Y485" s="57"/>
      <c r="Z485" s="57"/>
      <c r="AA485" s="57"/>
      <c r="AB485" s="57"/>
    </row>
    <row r="486">
      <c r="A486" s="185" t="str">
        <f t="shared" si="17"/>
        <v/>
      </c>
      <c r="B486" s="141"/>
      <c r="C486" s="117"/>
      <c r="D486" s="117"/>
      <c r="E486" s="117"/>
      <c r="F486" s="117"/>
      <c r="G486" s="189"/>
      <c r="H486" s="189"/>
      <c r="I486" s="48"/>
      <c r="J486" s="189"/>
      <c r="K486" s="220"/>
      <c r="L486" s="220"/>
      <c r="M486" s="197"/>
      <c r="N486" s="375"/>
      <c r="O486" s="376"/>
      <c r="P486" s="220"/>
      <c r="Q486" s="117"/>
      <c r="R486" s="189"/>
      <c r="S486" s="141"/>
      <c r="T486" s="141"/>
      <c r="U486" s="57"/>
      <c r="V486" s="57"/>
      <c r="W486" s="57"/>
      <c r="X486" s="57"/>
      <c r="Y486" s="57"/>
      <c r="Z486" s="57"/>
      <c r="AA486" s="57"/>
      <c r="AB486" s="57"/>
    </row>
    <row r="487">
      <c r="A487" s="185" t="str">
        <f t="shared" si="17"/>
        <v/>
      </c>
      <c r="B487" s="141"/>
      <c r="C487" s="117"/>
      <c r="D487" s="117"/>
      <c r="E487" s="117"/>
      <c r="F487" s="117"/>
      <c r="G487" s="189"/>
      <c r="H487" s="189"/>
      <c r="I487" s="48"/>
      <c r="J487" s="189"/>
      <c r="K487" s="220"/>
      <c r="L487" s="220"/>
      <c r="M487" s="197"/>
      <c r="N487" s="375"/>
      <c r="O487" s="376"/>
      <c r="P487" s="220"/>
      <c r="Q487" s="117"/>
      <c r="R487" s="189"/>
      <c r="S487" s="141"/>
      <c r="T487" s="141"/>
      <c r="U487" s="57"/>
      <c r="V487" s="57"/>
      <c r="W487" s="57"/>
      <c r="X487" s="57"/>
      <c r="Y487" s="57"/>
      <c r="Z487" s="57"/>
      <c r="AA487" s="57"/>
      <c r="AB487" s="57"/>
    </row>
    <row r="488">
      <c r="A488" s="185" t="str">
        <f t="shared" si="17"/>
        <v/>
      </c>
      <c r="B488" s="141"/>
      <c r="C488" s="117"/>
      <c r="D488" s="117"/>
      <c r="E488" s="117"/>
      <c r="F488" s="117"/>
      <c r="G488" s="189"/>
      <c r="H488" s="189"/>
      <c r="I488" s="48"/>
      <c r="J488" s="189"/>
      <c r="K488" s="220"/>
      <c r="L488" s="220"/>
      <c r="M488" s="197"/>
      <c r="N488" s="375"/>
      <c r="O488" s="376"/>
      <c r="P488" s="220"/>
      <c r="Q488" s="117"/>
      <c r="R488" s="189"/>
      <c r="S488" s="141"/>
      <c r="T488" s="141"/>
      <c r="U488" s="57"/>
      <c r="V488" s="57"/>
      <c r="W488" s="57"/>
      <c r="X488" s="57"/>
      <c r="Y488" s="57"/>
      <c r="Z488" s="57"/>
      <c r="AA488" s="57"/>
      <c r="AB488" s="57"/>
    </row>
    <row r="489">
      <c r="A489" s="185" t="str">
        <f t="shared" si="17"/>
        <v/>
      </c>
      <c r="B489" s="141"/>
      <c r="C489" s="117"/>
      <c r="D489" s="117"/>
      <c r="E489" s="117"/>
      <c r="F489" s="117"/>
      <c r="G489" s="189"/>
      <c r="H489" s="189"/>
      <c r="I489" s="48"/>
      <c r="J489" s="189"/>
      <c r="K489" s="220"/>
      <c r="L489" s="220"/>
      <c r="M489" s="197"/>
      <c r="N489" s="375"/>
      <c r="O489" s="376"/>
      <c r="P489" s="220"/>
      <c r="Q489" s="117"/>
      <c r="R489" s="189"/>
      <c r="S489" s="141"/>
      <c r="T489" s="141"/>
      <c r="U489" s="57"/>
      <c r="V489" s="57"/>
      <c r="W489" s="57"/>
      <c r="X489" s="57"/>
      <c r="Y489" s="57"/>
      <c r="Z489" s="57"/>
      <c r="AA489" s="57"/>
      <c r="AB489" s="57"/>
    </row>
    <row r="490">
      <c r="A490" s="185" t="str">
        <f t="shared" si="17"/>
        <v/>
      </c>
      <c r="B490" s="141"/>
      <c r="C490" s="117"/>
      <c r="D490" s="117"/>
      <c r="E490" s="117"/>
      <c r="F490" s="117"/>
      <c r="G490" s="189"/>
      <c r="H490" s="189"/>
      <c r="I490" s="48"/>
      <c r="J490" s="189"/>
      <c r="K490" s="220"/>
      <c r="L490" s="220"/>
      <c r="M490" s="197"/>
      <c r="N490" s="375"/>
      <c r="O490" s="376"/>
      <c r="P490" s="220"/>
      <c r="Q490" s="117"/>
      <c r="R490" s="189"/>
      <c r="S490" s="141"/>
      <c r="T490" s="141"/>
      <c r="U490" s="57"/>
      <c r="V490" s="57"/>
      <c r="W490" s="57"/>
      <c r="X490" s="57"/>
      <c r="Y490" s="57"/>
      <c r="Z490" s="57"/>
      <c r="AA490" s="57"/>
      <c r="AB490" s="57"/>
    </row>
    <row r="491">
      <c r="A491" s="185" t="str">
        <f t="shared" si="17"/>
        <v/>
      </c>
      <c r="B491" s="141"/>
      <c r="C491" s="117"/>
      <c r="D491" s="117"/>
      <c r="E491" s="117"/>
      <c r="F491" s="117"/>
      <c r="G491" s="189"/>
      <c r="H491" s="189"/>
      <c r="I491" s="48"/>
      <c r="J491" s="189"/>
      <c r="K491" s="220"/>
      <c r="L491" s="220"/>
      <c r="M491" s="197"/>
      <c r="N491" s="375"/>
      <c r="O491" s="376"/>
      <c r="P491" s="220"/>
      <c r="Q491" s="117"/>
      <c r="R491" s="189"/>
      <c r="S491" s="141"/>
      <c r="T491" s="141"/>
      <c r="U491" s="57"/>
      <c r="V491" s="57"/>
      <c r="W491" s="57"/>
      <c r="X491" s="57"/>
      <c r="Y491" s="57"/>
      <c r="Z491" s="57"/>
      <c r="AA491" s="57"/>
      <c r="AB491" s="57"/>
    </row>
    <row r="492">
      <c r="A492" s="185" t="str">
        <f t="shared" si="17"/>
        <v/>
      </c>
      <c r="B492" s="141"/>
      <c r="C492" s="117"/>
      <c r="D492" s="117"/>
      <c r="E492" s="117"/>
      <c r="F492" s="117"/>
      <c r="G492" s="189"/>
      <c r="H492" s="189"/>
      <c r="I492" s="48"/>
      <c r="J492" s="189"/>
      <c r="K492" s="220"/>
      <c r="L492" s="220"/>
      <c r="M492" s="197"/>
      <c r="N492" s="375"/>
      <c r="O492" s="376"/>
      <c r="P492" s="220"/>
      <c r="Q492" s="117"/>
      <c r="R492" s="189"/>
      <c r="S492" s="141"/>
      <c r="T492" s="141"/>
      <c r="U492" s="57"/>
      <c r="V492" s="57"/>
      <c r="W492" s="57"/>
      <c r="X492" s="57"/>
      <c r="Y492" s="57"/>
      <c r="Z492" s="57"/>
      <c r="AA492" s="57"/>
      <c r="AB492" s="57"/>
    </row>
    <row r="493">
      <c r="A493" s="185" t="str">
        <f t="shared" si="17"/>
        <v/>
      </c>
      <c r="B493" s="141"/>
      <c r="C493" s="117"/>
      <c r="D493" s="117"/>
      <c r="E493" s="117"/>
      <c r="F493" s="117"/>
      <c r="G493" s="189"/>
      <c r="H493" s="189"/>
      <c r="I493" s="48"/>
      <c r="J493" s="189"/>
      <c r="K493" s="220"/>
      <c r="L493" s="220"/>
      <c r="M493" s="197"/>
      <c r="N493" s="375"/>
      <c r="O493" s="376"/>
      <c r="P493" s="220"/>
      <c r="Q493" s="117"/>
      <c r="R493" s="189"/>
      <c r="S493" s="141"/>
      <c r="T493" s="141"/>
      <c r="U493" s="57"/>
      <c r="V493" s="57"/>
      <c r="W493" s="57"/>
      <c r="X493" s="57"/>
      <c r="Y493" s="57"/>
      <c r="Z493" s="57"/>
      <c r="AA493" s="57"/>
      <c r="AB493" s="57"/>
    </row>
    <row r="494">
      <c r="A494" s="185" t="str">
        <f t="shared" si="17"/>
        <v/>
      </c>
      <c r="B494" s="141"/>
      <c r="C494" s="117"/>
      <c r="D494" s="117"/>
      <c r="E494" s="117"/>
      <c r="F494" s="117"/>
      <c r="G494" s="189"/>
      <c r="H494" s="189"/>
      <c r="I494" s="48"/>
      <c r="J494" s="189"/>
      <c r="K494" s="220"/>
      <c r="L494" s="220"/>
      <c r="M494" s="197"/>
      <c r="N494" s="375"/>
      <c r="O494" s="376"/>
      <c r="P494" s="220"/>
      <c r="Q494" s="117"/>
      <c r="R494" s="189"/>
      <c r="S494" s="141"/>
      <c r="T494" s="141"/>
      <c r="U494" s="57"/>
      <c r="V494" s="57"/>
      <c r="W494" s="57"/>
      <c r="X494" s="57"/>
      <c r="Y494" s="57"/>
      <c r="Z494" s="57"/>
      <c r="AA494" s="57"/>
      <c r="AB494" s="57"/>
    </row>
    <row r="495">
      <c r="A495" s="185" t="str">
        <f t="shared" si="17"/>
        <v/>
      </c>
      <c r="B495" s="141"/>
      <c r="C495" s="117"/>
      <c r="D495" s="117"/>
      <c r="E495" s="117"/>
      <c r="F495" s="117"/>
      <c r="G495" s="189"/>
      <c r="H495" s="189"/>
      <c r="I495" s="48"/>
      <c r="J495" s="189"/>
      <c r="K495" s="220"/>
      <c r="L495" s="220"/>
      <c r="M495" s="197"/>
      <c r="N495" s="375"/>
      <c r="O495" s="376"/>
      <c r="P495" s="220"/>
      <c r="Q495" s="117"/>
      <c r="R495" s="189"/>
      <c r="S495" s="141"/>
      <c r="T495" s="141"/>
      <c r="U495" s="57"/>
      <c r="V495" s="57"/>
      <c r="W495" s="57"/>
      <c r="X495" s="57"/>
      <c r="Y495" s="57"/>
      <c r="Z495" s="57"/>
      <c r="AA495" s="57"/>
      <c r="AB495" s="57"/>
    </row>
    <row r="496">
      <c r="A496" s="185" t="str">
        <f t="shared" si="17"/>
        <v/>
      </c>
      <c r="B496" s="141"/>
      <c r="C496" s="117"/>
      <c r="D496" s="117"/>
      <c r="E496" s="117"/>
      <c r="F496" s="117"/>
      <c r="G496" s="189"/>
      <c r="H496" s="189"/>
      <c r="I496" s="48"/>
      <c r="J496" s="189"/>
      <c r="K496" s="220"/>
      <c r="L496" s="220"/>
      <c r="M496" s="197"/>
      <c r="N496" s="375"/>
      <c r="O496" s="376"/>
      <c r="P496" s="220"/>
      <c r="Q496" s="117"/>
      <c r="R496" s="189"/>
      <c r="S496" s="141"/>
      <c r="T496" s="141"/>
      <c r="U496" s="57"/>
      <c r="V496" s="57"/>
      <c r="W496" s="57"/>
      <c r="X496" s="57"/>
      <c r="Y496" s="57"/>
      <c r="Z496" s="57"/>
      <c r="AA496" s="57"/>
      <c r="AB496" s="57"/>
    </row>
    <row r="497">
      <c r="A497" s="185" t="str">
        <f t="shared" si="17"/>
        <v/>
      </c>
      <c r="B497" s="141"/>
      <c r="C497" s="117"/>
      <c r="D497" s="117"/>
      <c r="E497" s="117"/>
      <c r="F497" s="117"/>
      <c r="G497" s="189"/>
      <c r="H497" s="189"/>
      <c r="I497" s="48"/>
      <c r="J497" s="189"/>
      <c r="K497" s="220"/>
      <c r="L497" s="220"/>
      <c r="M497" s="197"/>
      <c r="N497" s="375"/>
      <c r="O497" s="376"/>
      <c r="P497" s="220"/>
      <c r="Q497" s="117"/>
      <c r="R497" s="189"/>
      <c r="S497" s="141"/>
      <c r="T497" s="141"/>
      <c r="U497" s="57"/>
      <c r="V497" s="57"/>
      <c r="W497" s="57"/>
      <c r="X497" s="57"/>
      <c r="Y497" s="57"/>
      <c r="Z497" s="57"/>
      <c r="AA497" s="57"/>
      <c r="AB497" s="57"/>
    </row>
    <row r="498">
      <c r="A498" s="185" t="str">
        <f t="shared" si="17"/>
        <v/>
      </c>
      <c r="B498" s="141"/>
      <c r="C498" s="117"/>
      <c r="D498" s="117"/>
      <c r="E498" s="117"/>
      <c r="F498" s="117"/>
      <c r="G498" s="189"/>
      <c r="H498" s="189"/>
      <c r="I498" s="48"/>
      <c r="J498" s="189"/>
      <c r="K498" s="220"/>
      <c r="L498" s="220"/>
      <c r="M498" s="197"/>
      <c r="N498" s="375"/>
      <c r="O498" s="376"/>
      <c r="P498" s="220"/>
      <c r="Q498" s="117"/>
      <c r="R498" s="189"/>
      <c r="S498" s="141"/>
      <c r="T498" s="141"/>
      <c r="U498" s="57"/>
      <c r="V498" s="57"/>
      <c r="W498" s="57"/>
      <c r="X498" s="57"/>
      <c r="Y498" s="57"/>
      <c r="Z498" s="57"/>
      <c r="AA498" s="57"/>
      <c r="AB498" s="57"/>
    </row>
    <row r="499">
      <c r="A499" s="185" t="str">
        <f t="shared" si="17"/>
        <v/>
      </c>
      <c r="B499" s="141"/>
      <c r="C499" s="117"/>
      <c r="D499" s="117"/>
      <c r="E499" s="117"/>
      <c r="F499" s="117"/>
      <c r="G499" s="189"/>
      <c r="H499" s="189"/>
      <c r="I499" s="48"/>
      <c r="J499" s="189"/>
      <c r="K499" s="220"/>
      <c r="L499" s="220"/>
      <c r="M499" s="197"/>
      <c r="N499" s="375"/>
      <c r="O499" s="376"/>
      <c r="P499" s="220"/>
      <c r="Q499" s="117"/>
      <c r="R499" s="189"/>
      <c r="S499" s="141"/>
      <c r="T499" s="141"/>
      <c r="U499" s="57"/>
      <c r="V499" s="57"/>
      <c r="W499" s="57"/>
      <c r="X499" s="57"/>
      <c r="Y499" s="57"/>
      <c r="Z499" s="57"/>
      <c r="AA499" s="57"/>
      <c r="AB499" s="57"/>
    </row>
    <row r="500">
      <c r="A500" s="185" t="str">
        <f t="shared" si="17"/>
        <v/>
      </c>
      <c r="B500" s="141"/>
      <c r="C500" s="117"/>
      <c r="D500" s="117"/>
      <c r="E500" s="117"/>
      <c r="F500" s="117"/>
      <c r="G500" s="189"/>
      <c r="H500" s="189"/>
      <c r="I500" s="48"/>
      <c r="J500" s="189"/>
      <c r="K500" s="220"/>
      <c r="L500" s="220"/>
      <c r="M500" s="197"/>
      <c r="N500" s="375"/>
      <c r="O500" s="376"/>
      <c r="P500" s="220"/>
      <c r="Q500" s="117"/>
      <c r="R500" s="189"/>
      <c r="S500" s="141"/>
      <c r="T500" s="141"/>
      <c r="U500" s="57"/>
      <c r="V500" s="57"/>
      <c r="W500" s="57"/>
      <c r="X500" s="57"/>
      <c r="Y500" s="57"/>
      <c r="Z500" s="57"/>
      <c r="AA500" s="57"/>
      <c r="AB500" s="57"/>
    </row>
    <row r="501">
      <c r="A501" s="185" t="str">
        <f t="shared" si="17"/>
        <v/>
      </c>
      <c r="B501" s="141"/>
      <c r="C501" s="117"/>
      <c r="D501" s="117"/>
      <c r="E501" s="117"/>
      <c r="F501" s="117"/>
      <c r="G501" s="189"/>
      <c r="H501" s="189"/>
      <c r="I501" s="48"/>
      <c r="J501" s="189"/>
      <c r="K501" s="220"/>
      <c r="L501" s="220"/>
      <c r="M501" s="197"/>
      <c r="N501" s="375"/>
      <c r="O501" s="376"/>
      <c r="P501" s="220"/>
      <c r="Q501" s="117"/>
      <c r="R501" s="189"/>
      <c r="S501" s="141"/>
      <c r="T501" s="141"/>
      <c r="U501" s="57"/>
      <c r="V501" s="57"/>
      <c r="W501" s="57"/>
      <c r="X501" s="57"/>
      <c r="Y501" s="57"/>
      <c r="Z501" s="57"/>
      <c r="AA501" s="57"/>
      <c r="AB501" s="57"/>
    </row>
    <row r="502">
      <c r="A502" s="185" t="str">
        <f t="shared" si="17"/>
        <v/>
      </c>
      <c r="B502" s="141"/>
      <c r="C502" s="117"/>
      <c r="D502" s="117"/>
      <c r="E502" s="117"/>
      <c r="F502" s="117"/>
      <c r="G502" s="189"/>
      <c r="H502" s="189"/>
      <c r="I502" s="48"/>
      <c r="J502" s="189"/>
      <c r="K502" s="220"/>
      <c r="L502" s="220"/>
      <c r="M502" s="197"/>
      <c r="N502" s="375"/>
      <c r="O502" s="376"/>
      <c r="P502" s="220"/>
      <c r="Q502" s="117"/>
      <c r="R502" s="189"/>
      <c r="S502" s="141"/>
      <c r="T502" s="141"/>
      <c r="U502" s="57"/>
      <c r="V502" s="57"/>
      <c r="W502" s="57"/>
      <c r="X502" s="57"/>
      <c r="Y502" s="57"/>
      <c r="Z502" s="57"/>
      <c r="AA502" s="57"/>
      <c r="AB502" s="57"/>
    </row>
    <row r="503">
      <c r="A503" s="185" t="str">
        <f t="shared" si="17"/>
        <v/>
      </c>
      <c r="B503" s="141"/>
      <c r="C503" s="117"/>
      <c r="D503" s="117"/>
      <c r="E503" s="117"/>
      <c r="F503" s="117"/>
      <c r="G503" s="189"/>
      <c r="H503" s="189"/>
      <c r="I503" s="48"/>
      <c r="J503" s="189"/>
      <c r="K503" s="220"/>
      <c r="L503" s="220"/>
      <c r="M503" s="197"/>
      <c r="N503" s="375"/>
      <c r="O503" s="376"/>
      <c r="P503" s="220"/>
      <c r="Q503" s="117"/>
      <c r="R503" s="189"/>
      <c r="S503" s="141"/>
      <c r="T503" s="141"/>
      <c r="U503" s="57"/>
      <c r="V503" s="57"/>
      <c r="W503" s="57"/>
      <c r="X503" s="57"/>
      <c r="Y503" s="57"/>
      <c r="Z503" s="57"/>
      <c r="AA503" s="57"/>
      <c r="AB503" s="57"/>
    </row>
    <row r="504">
      <c r="A504" s="185" t="str">
        <f t="shared" si="17"/>
        <v/>
      </c>
      <c r="B504" s="141"/>
      <c r="C504" s="117"/>
      <c r="D504" s="117"/>
      <c r="E504" s="117"/>
      <c r="F504" s="117"/>
      <c r="G504" s="189"/>
      <c r="H504" s="189"/>
      <c r="I504" s="48"/>
      <c r="J504" s="189"/>
      <c r="K504" s="220"/>
      <c r="L504" s="220"/>
      <c r="M504" s="197"/>
      <c r="N504" s="375"/>
      <c r="O504" s="376"/>
      <c r="P504" s="220"/>
      <c r="Q504" s="117"/>
      <c r="R504" s="189"/>
      <c r="S504" s="141"/>
      <c r="T504" s="141"/>
      <c r="U504" s="57"/>
      <c r="V504" s="57"/>
      <c r="W504" s="57"/>
      <c r="X504" s="57"/>
      <c r="Y504" s="57"/>
      <c r="Z504" s="57"/>
      <c r="AA504" s="57"/>
      <c r="AB504" s="57"/>
    </row>
    <row r="505">
      <c r="A505" s="185" t="str">
        <f t="shared" si="17"/>
        <v/>
      </c>
      <c r="B505" s="141"/>
      <c r="C505" s="117"/>
      <c r="D505" s="117"/>
      <c r="E505" s="117"/>
      <c r="F505" s="117"/>
      <c r="G505" s="189"/>
      <c r="H505" s="189"/>
      <c r="I505" s="48"/>
      <c r="J505" s="189"/>
      <c r="K505" s="220"/>
      <c r="L505" s="220"/>
      <c r="M505" s="197"/>
      <c r="N505" s="375"/>
      <c r="O505" s="376"/>
      <c r="P505" s="220"/>
      <c r="Q505" s="117"/>
      <c r="R505" s="189"/>
      <c r="S505" s="141"/>
      <c r="T505" s="141"/>
      <c r="U505" s="57"/>
      <c r="V505" s="57"/>
      <c r="W505" s="57"/>
      <c r="X505" s="57"/>
      <c r="Y505" s="57"/>
      <c r="Z505" s="57"/>
      <c r="AA505" s="57"/>
      <c r="AB505" s="57"/>
    </row>
    <row r="506">
      <c r="A506" s="185" t="str">
        <f t="shared" si="17"/>
        <v/>
      </c>
      <c r="B506" s="141"/>
      <c r="C506" s="117"/>
      <c r="D506" s="117"/>
      <c r="E506" s="117"/>
      <c r="F506" s="117"/>
      <c r="G506" s="189"/>
      <c r="H506" s="189"/>
      <c r="I506" s="48"/>
      <c r="J506" s="189"/>
      <c r="K506" s="220"/>
      <c r="L506" s="220"/>
      <c r="M506" s="197"/>
      <c r="N506" s="375"/>
      <c r="O506" s="376"/>
      <c r="P506" s="220"/>
      <c r="Q506" s="117"/>
      <c r="R506" s="189"/>
      <c r="S506" s="141"/>
      <c r="T506" s="141"/>
      <c r="U506" s="57"/>
      <c r="V506" s="57"/>
      <c r="W506" s="57"/>
      <c r="X506" s="57"/>
      <c r="Y506" s="57"/>
      <c r="Z506" s="57"/>
      <c r="AA506" s="57"/>
      <c r="AB506" s="57"/>
    </row>
    <row r="507">
      <c r="A507" s="185" t="str">
        <f t="shared" si="17"/>
        <v/>
      </c>
      <c r="B507" s="141"/>
      <c r="C507" s="117"/>
      <c r="D507" s="117"/>
      <c r="E507" s="117"/>
      <c r="F507" s="117"/>
      <c r="G507" s="189"/>
      <c r="H507" s="189"/>
      <c r="I507" s="48"/>
      <c r="J507" s="189"/>
      <c r="K507" s="220"/>
      <c r="L507" s="220"/>
      <c r="M507" s="197"/>
      <c r="N507" s="375"/>
      <c r="O507" s="376"/>
      <c r="P507" s="220"/>
      <c r="Q507" s="117"/>
      <c r="R507" s="189"/>
      <c r="S507" s="141"/>
      <c r="T507" s="141"/>
      <c r="U507" s="57"/>
      <c r="V507" s="57"/>
      <c r="W507" s="57"/>
      <c r="X507" s="57"/>
      <c r="Y507" s="57"/>
      <c r="Z507" s="57"/>
      <c r="AA507" s="57"/>
      <c r="AB507" s="57"/>
    </row>
    <row r="508">
      <c r="A508" s="185" t="str">
        <f t="shared" si="17"/>
        <v/>
      </c>
      <c r="B508" s="141"/>
      <c r="C508" s="117"/>
      <c r="D508" s="117"/>
      <c r="E508" s="117"/>
      <c r="F508" s="117"/>
      <c r="G508" s="189"/>
      <c r="H508" s="189"/>
      <c r="I508" s="48"/>
      <c r="J508" s="189"/>
      <c r="K508" s="220"/>
      <c r="L508" s="220"/>
      <c r="M508" s="197"/>
      <c r="N508" s="375"/>
      <c r="O508" s="376"/>
      <c r="P508" s="220"/>
      <c r="Q508" s="117"/>
      <c r="R508" s="189"/>
      <c r="S508" s="141"/>
      <c r="T508" s="141"/>
      <c r="U508" s="57"/>
      <c r="V508" s="57"/>
      <c r="W508" s="57"/>
      <c r="X508" s="57"/>
      <c r="Y508" s="57"/>
      <c r="Z508" s="57"/>
      <c r="AA508" s="57"/>
      <c r="AB508" s="57"/>
    </row>
    <row r="509">
      <c r="A509" s="185" t="str">
        <f t="shared" si="17"/>
        <v/>
      </c>
      <c r="B509" s="141"/>
      <c r="C509" s="117"/>
      <c r="D509" s="117"/>
      <c r="E509" s="117"/>
      <c r="F509" s="117"/>
      <c r="G509" s="189"/>
      <c r="H509" s="189"/>
      <c r="I509" s="48"/>
      <c r="J509" s="189"/>
      <c r="K509" s="220"/>
      <c r="L509" s="220"/>
      <c r="M509" s="197"/>
      <c r="N509" s="375"/>
      <c r="O509" s="376"/>
      <c r="P509" s="220"/>
      <c r="Q509" s="117"/>
      <c r="R509" s="189"/>
      <c r="S509" s="141"/>
      <c r="T509" s="141"/>
      <c r="U509" s="57"/>
      <c r="V509" s="57"/>
      <c r="W509" s="57"/>
      <c r="X509" s="57"/>
      <c r="Y509" s="57"/>
      <c r="Z509" s="57"/>
      <c r="AA509" s="57"/>
      <c r="AB509" s="57"/>
    </row>
    <row r="510">
      <c r="A510" s="185" t="str">
        <f t="shared" si="17"/>
        <v/>
      </c>
      <c r="B510" s="141"/>
      <c r="C510" s="117"/>
      <c r="D510" s="117"/>
      <c r="E510" s="117"/>
      <c r="F510" s="117"/>
      <c r="G510" s="189"/>
      <c r="H510" s="189"/>
      <c r="I510" s="48"/>
      <c r="J510" s="189"/>
      <c r="K510" s="220"/>
      <c r="L510" s="220"/>
      <c r="M510" s="197"/>
      <c r="N510" s="375"/>
      <c r="O510" s="376"/>
      <c r="P510" s="220"/>
      <c r="Q510" s="117"/>
      <c r="R510" s="189"/>
      <c r="S510" s="141"/>
      <c r="T510" s="141"/>
      <c r="U510" s="57"/>
      <c r="V510" s="57"/>
      <c r="W510" s="57"/>
      <c r="X510" s="57"/>
      <c r="Y510" s="57"/>
      <c r="Z510" s="57"/>
      <c r="AA510" s="57"/>
      <c r="AB510" s="57"/>
    </row>
    <row r="511">
      <c r="A511" s="185" t="str">
        <f t="shared" si="17"/>
        <v/>
      </c>
      <c r="B511" s="141"/>
      <c r="C511" s="117"/>
      <c r="D511" s="117"/>
      <c r="E511" s="117"/>
      <c r="F511" s="117"/>
      <c r="G511" s="189"/>
      <c r="H511" s="189"/>
      <c r="I511" s="48"/>
      <c r="J511" s="189"/>
      <c r="K511" s="220"/>
      <c r="L511" s="220"/>
      <c r="M511" s="197"/>
      <c r="N511" s="375"/>
      <c r="O511" s="376"/>
      <c r="P511" s="220"/>
      <c r="Q511" s="117"/>
      <c r="R511" s="189"/>
      <c r="S511" s="141"/>
      <c r="T511" s="141"/>
      <c r="U511" s="57"/>
      <c r="V511" s="57"/>
      <c r="W511" s="57"/>
      <c r="X511" s="57"/>
      <c r="Y511" s="57"/>
      <c r="Z511" s="57"/>
      <c r="AA511" s="57"/>
      <c r="AB511" s="57"/>
    </row>
    <row r="512">
      <c r="A512" s="185" t="str">
        <f t="shared" si="17"/>
        <v/>
      </c>
      <c r="B512" s="141"/>
      <c r="C512" s="117"/>
      <c r="D512" s="117"/>
      <c r="E512" s="117"/>
      <c r="F512" s="117"/>
      <c r="G512" s="189"/>
      <c r="H512" s="189"/>
      <c r="I512" s="48"/>
      <c r="J512" s="189"/>
      <c r="K512" s="220"/>
      <c r="L512" s="220"/>
      <c r="M512" s="197"/>
      <c r="N512" s="375"/>
      <c r="O512" s="376"/>
      <c r="P512" s="220"/>
      <c r="Q512" s="117"/>
      <c r="R512" s="189"/>
      <c r="S512" s="141"/>
      <c r="T512" s="141"/>
      <c r="U512" s="57"/>
      <c r="V512" s="57"/>
      <c r="W512" s="57"/>
      <c r="X512" s="57"/>
      <c r="Y512" s="57"/>
      <c r="Z512" s="57"/>
      <c r="AA512" s="57"/>
      <c r="AB512" s="57"/>
    </row>
    <row r="513">
      <c r="A513" s="185" t="str">
        <f t="shared" si="17"/>
        <v/>
      </c>
      <c r="B513" s="141"/>
      <c r="C513" s="117"/>
      <c r="D513" s="117"/>
      <c r="E513" s="117"/>
      <c r="F513" s="117"/>
      <c r="G513" s="189"/>
      <c r="H513" s="189"/>
      <c r="I513" s="48"/>
      <c r="J513" s="189"/>
      <c r="K513" s="220"/>
      <c r="L513" s="220"/>
      <c r="M513" s="197"/>
      <c r="N513" s="375"/>
      <c r="O513" s="376"/>
      <c r="P513" s="220"/>
      <c r="Q513" s="117"/>
      <c r="R513" s="189"/>
      <c r="S513" s="141"/>
      <c r="T513" s="141"/>
      <c r="U513" s="57"/>
      <c r="V513" s="57"/>
      <c r="W513" s="57"/>
      <c r="X513" s="57"/>
      <c r="Y513" s="57"/>
      <c r="Z513" s="57"/>
      <c r="AA513" s="57"/>
      <c r="AB513" s="57"/>
    </row>
    <row r="514">
      <c r="A514" s="185" t="str">
        <f t="shared" si="17"/>
        <v/>
      </c>
      <c r="B514" s="141"/>
      <c r="C514" s="117"/>
      <c r="D514" s="117"/>
      <c r="E514" s="117"/>
      <c r="F514" s="117"/>
      <c r="G514" s="189"/>
      <c r="H514" s="189"/>
      <c r="I514" s="48"/>
      <c r="J514" s="189"/>
      <c r="K514" s="220"/>
      <c r="L514" s="220"/>
      <c r="M514" s="197"/>
      <c r="N514" s="375"/>
      <c r="O514" s="376"/>
      <c r="P514" s="220"/>
      <c r="Q514" s="117"/>
      <c r="R514" s="189"/>
      <c r="S514" s="141"/>
      <c r="T514" s="141"/>
      <c r="U514" s="57"/>
      <c r="V514" s="57"/>
      <c r="W514" s="57"/>
      <c r="X514" s="57"/>
      <c r="Y514" s="57"/>
      <c r="Z514" s="57"/>
      <c r="AA514" s="57"/>
      <c r="AB514" s="57"/>
    </row>
    <row r="515">
      <c r="A515" s="185" t="str">
        <f t="shared" si="17"/>
        <v/>
      </c>
      <c r="B515" s="141"/>
      <c r="C515" s="117"/>
      <c r="D515" s="117"/>
      <c r="E515" s="117"/>
      <c r="F515" s="117"/>
      <c r="G515" s="189"/>
      <c r="H515" s="189"/>
      <c r="I515" s="48"/>
      <c r="J515" s="189"/>
      <c r="K515" s="220"/>
      <c r="L515" s="220"/>
      <c r="M515" s="197"/>
      <c r="N515" s="375"/>
      <c r="O515" s="376"/>
      <c r="P515" s="220"/>
      <c r="Q515" s="117"/>
      <c r="R515" s="189"/>
      <c r="S515" s="141"/>
      <c r="T515" s="141"/>
      <c r="U515" s="57"/>
      <c r="V515" s="57"/>
      <c r="W515" s="57"/>
      <c r="X515" s="57"/>
      <c r="Y515" s="57"/>
      <c r="Z515" s="57"/>
      <c r="AA515" s="57"/>
      <c r="AB515" s="57"/>
    </row>
    <row r="516">
      <c r="A516" s="185" t="str">
        <f t="shared" si="17"/>
        <v/>
      </c>
      <c r="B516" s="141"/>
      <c r="C516" s="117"/>
      <c r="D516" s="117"/>
      <c r="E516" s="117"/>
      <c r="F516" s="117"/>
      <c r="G516" s="189"/>
      <c r="H516" s="189"/>
      <c r="I516" s="48"/>
      <c r="J516" s="189"/>
      <c r="K516" s="220"/>
      <c r="L516" s="220"/>
      <c r="M516" s="197"/>
      <c r="N516" s="375"/>
      <c r="O516" s="376"/>
      <c r="P516" s="220"/>
      <c r="Q516" s="117"/>
      <c r="R516" s="189"/>
      <c r="S516" s="141"/>
      <c r="T516" s="141"/>
      <c r="U516" s="57"/>
      <c r="V516" s="57"/>
      <c r="W516" s="57"/>
      <c r="X516" s="57"/>
      <c r="Y516" s="57"/>
      <c r="Z516" s="57"/>
      <c r="AA516" s="57"/>
      <c r="AB516" s="57"/>
    </row>
    <row r="517">
      <c r="A517" s="185" t="str">
        <f t="shared" si="17"/>
        <v/>
      </c>
      <c r="B517" s="141"/>
      <c r="C517" s="117"/>
      <c r="D517" s="117"/>
      <c r="E517" s="117"/>
      <c r="F517" s="117"/>
      <c r="G517" s="189"/>
      <c r="H517" s="189"/>
      <c r="I517" s="48"/>
      <c r="J517" s="189"/>
      <c r="K517" s="220"/>
      <c r="L517" s="220"/>
      <c r="M517" s="197"/>
      <c r="N517" s="375"/>
      <c r="O517" s="376"/>
      <c r="P517" s="220"/>
      <c r="Q517" s="117"/>
      <c r="R517" s="189"/>
      <c r="S517" s="141"/>
      <c r="T517" s="141"/>
      <c r="U517" s="57"/>
      <c r="V517" s="57"/>
      <c r="W517" s="57"/>
      <c r="X517" s="57"/>
      <c r="Y517" s="57"/>
      <c r="Z517" s="57"/>
      <c r="AA517" s="57"/>
      <c r="AB517" s="57"/>
    </row>
    <row r="518">
      <c r="A518" s="185" t="str">
        <f t="shared" si="17"/>
        <v/>
      </c>
      <c r="B518" s="141"/>
      <c r="C518" s="117"/>
      <c r="D518" s="117"/>
      <c r="E518" s="117"/>
      <c r="F518" s="117"/>
      <c r="G518" s="189"/>
      <c r="H518" s="189"/>
      <c r="I518" s="48"/>
      <c r="J518" s="189"/>
      <c r="K518" s="220"/>
      <c r="L518" s="220"/>
      <c r="M518" s="197"/>
      <c r="N518" s="375"/>
      <c r="O518" s="376"/>
      <c r="P518" s="220"/>
      <c r="Q518" s="117"/>
      <c r="R518" s="189"/>
      <c r="S518" s="141"/>
      <c r="T518" s="141"/>
      <c r="U518" s="57"/>
      <c r="V518" s="57"/>
      <c r="W518" s="57"/>
      <c r="X518" s="57"/>
      <c r="Y518" s="57"/>
      <c r="Z518" s="57"/>
      <c r="AA518" s="57"/>
      <c r="AB518" s="57"/>
    </row>
    <row r="519">
      <c r="A519" s="185" t="str">
        <f t="shared" si="17"/>
        <v/>
      </c>
      <c r="B519" s="141"/>
      <c r="C519" s="117"/>
      <c r="D519" s="117"/>
      <c r="E519" s="117"/>
      <c r="F519" s="117"/>
      <c r="G519" s="189"/>
      <c r="H519" s="189"/>
      <c r="I519" s="48"/>
      <c r="J519" s="189"/>
      <c r="K519" s="220"/>
      <c r="L519" s="220"/>
      <c r="M519" s="197"/>
      <c r="N519" s="375"/>
      <c r="O519" s="376"/>
      <c r="P519" s="220"/>
      <c r="Q519" s="117"/>
      <c r="R519" s="189"/>
      <c r="S519" s="141"/>
      <c r="T519" s="141"/>
      <c r="U519" s="57"/>
      <c r="V519" s="57"/>
      <c r="W519" s="57"/>
      <c r="X519" s="57"/>
      <c r="Y519" s="57"/>
      <c r="Z519" s="57"/>
      <c r="AA519" s="57"/>
      <c r="AB519" s="57"/>
    </row>
    <row r="520">
      <c r="A520" s="185" t="str">
        <f t="shared" si="17"/>
        <v/>
      </c>
      <c r="B520" s="141"/>
      <c r="C520" s="117"/>
      <c r="D520" s="117"/>
      <c r="E520" s="117"/>
      <c r="F520" s="117"/>
      <c r="G520" s="189"/>
      <c r="H520" s="189"/>
      <c r="I520" s="48"/>
      <c r="J520" s="189"/>
      <c r="K520" s="220"/>
      <c r="L520" s="220"/>
      <c r="M520" s="197"/>
      <c r="N520" s="375"/>
      <c r="O520" s="376"/>
      <c r="P520" s="220"/>
      <c r="Q520" s="117"/>
      <c r="R520" s="189"/>
      <c r="S520" s="141"/>
      <c r="T520" s="141"/>
      <c r="U520" s="57"/>
      <c r="V520" s="57"/>
      <c r="W520" s="57"/>
      <c r="X520" s="57"/>
      <c r="Y520" s="57"/>
      <c r="Z520" s="57"/>
      <c r="AA520" s="57"/>
      <c r="AB520" s="57"/>
    </row>
    <row r="521">
      <c r="A521" s="185" t="str">
        <f t="shared" si="17"/>
        <v/>
      </c>
      <c r="B521" s="141"/>
      <c r="C521" s="117"/>
      <c r="D521" s="117"/>
      <c r="E521" s="117"/>
      <c r="F521" s="117"/>
      <c r="G521" s="189"/>
      <c r="H521" s="189"/>
      <c r="I521" s="48"/>
      <c r="J521" s="189"/>
      <c r="K521" s="220"/>
      <c r="L521" s="220"/>
      <c r="M521" s="197"/>
      <c r="N521" s="375"/>
      <c r="O521" s="376"/>
      <c r="P521" s="220"/>
      <c r="Q521" s="117"/>
      <c r="R521" s="189"/>
      <c r="S521" s="141"/>
      <c r="T521" s="141"/>
      <c r="U521" s="57"/>
      <c r="V521" s="57"/>
      <c r="W521" s="57"/>
      <c r="X521" s="57"/>
      <c r="Y521" s="57"/>
      <c r="Z521" s="57"/>
      <c r="AA521" s="57"/>
      <c r="AB521" s="57"/>
    </row>
    <row r="522">
      <c r="A522" s="185" t="str">
        <f t="shared" si="17"/>
        <v/>
      </c>
      <c r="B522" s="141"/>
      <c r="C522" s="117"/>
      <c r="D522" s="117"/>
      <c r="E522" s="117"/>
      <c r="F522" s="117"/>
      <c r="G522" s="189"/>
      <c r="H522" s="189"/>
      <c r="I522" s="48"/>
      <c r="J522" s="189"/>
      <c r="K522" s="220"/>
      <c r="L522" s="220"/>
      <c r="M522" s="197"/>
      <c r="N522" s="375"/>
      <c r="O522" s="376"/>
      <c r="P522" s="220"/>
      <c r="Q522" s="117"/>
      <c r="R522" s="189"/>
      <c r="S522" s="141"/>
      <c r="T522" s="141"/>
      <c r="U522" s="57"/>
      <c r="V522" s="57"/>
      <c r="W522" s="57"/>
      <c r="X522" s="57"/>
      <c r="Y522" s="57"/>
      <c r="Z522" s="57"/>
      <c r="AA522" s="57"/>
      <c r="AB522" s="57"/>
    </row>
    <row r="523">
      <c r="A523" s="185" t="str">
        <f t="shared" si="17"/>
        <v/>
      </c>
      <c r="B523" s="141"/>
      <c r="C523" s="117"/>
      <c r="D523" s="117"/>
      <c r="E523" s="117"/>
      <c r="F523" s="117"/>
      <c r="G523" s="189"/>
      <c r="H523" s="189"/>
      <c r="I523" s="48"/>
      <c r="J523" s="189"/>
      <c r="K523" s="220"/>
      <c r="L523" s="220"/>
      <c r="M523" s="197"/>
      <c r="N523" s="375"/>
      <c r="O523" s="376"/>
      <c r="P523" s="220"/>
      <c r="Q523" s="117"/>
      <c r="R523" s="189"/>
      <c r="S523" s="141"/>
      <c r="T523" s="141"/>
      <c r="U523" s="57"/>
      <c r="V523" s="57"/>
      <c r="W523" s="57"/>
      <c r="X523" s="57"/>
      <c r="Y523" s="57"/>
      <c r="Z523" s="57"/>
      <c r="AA523" s="57"/>
      <c r="AB523" s="57"/>
    </row>
    <row r="524">
      <c r="A524" s="185" t="str">
        <f t="shared" si="17"/>
        <v/>
      </c>
      <c r="B524" s="141"/>
      <c r="C524" s="117"/>
      <c r="D524" s="117"/>
      <c r="E524" s="117"/>
      <c r="F524" s="117"/>
      <c r="G524" s="189"/>
      <c r="H524" s="189"/>
      <c r="I524" s="48"/>
      <c r="J524" s="189"/>
      <c r="K524" s="220"/>
      <c r="L524" s="220"/>
      <c r="M524" s="197"/>
      <c r="N524" s="375"/>
      <c r="O524" s="376"/>
      <c r="P524" s="220"/>
      <c r="Q524" s="117"/>
      <c r="R524" s="189"/>
      <c r="S524" s="141"/>
      <c r="T524" s="141"/>
      <c r="U524" s="57"/>
      <c r="V524" s="57"/>
      <c r="W524" s="57"/>
      <c r="X524" s="57"/>
      <c r="Y524" s="57"/>
      <c r="Z524" s="57"/>
      <c r="AA524" s="57"/>
      <c r="AB524" s="57"/>
    </row>
    <row r="525">
      <c r="A525" s="185" t="str">
        <f t="shared" si="17"/>
        <v/>
      </c>
      <c r="B525" s="141"/>
      <c r="C525" s="117"/>
      <c r="D525" s="117"/>
      <c r="E525" s="117"/>
      <c r="F525" s="117"/>
      <c r="G525" s="189"/>
      <c r="H525" s="189"/>
      <c r="I525" s="48"/>
      <c r="J525" s="189"/>
      <c r="K525" s="220"/>
      <c r="L525" s="220"/>
      <c r="M525" s="197"/>
      <c r="N525" s="375"/>
      <c r="O525" s="376"/>
      <c r="P525" s="220"/>
      <c r="Q525" s="117"/>
      <c r="R525" s="189"/>
      <c r="S525" s="141"/>
      <c r="T525" s="141"/>
      <c r="U525" s="57"/>
      <c r="V525" s="57"/>
      <c r="W525" s="57"/>
      <c r="X525" s="57"/>
      <c r="Y525" s="57"/>
      <c r="Z525" s="57"/>
      <c r="AA525" s="57"/>
      <c r="AB525" s="57"/>
    </row>
    <row r="526">
      <c r="A526" s="185" t="str">
        <f t="shared" si="17"/>
        <v/>
      </c>
      <c r="B526" s="141"/>
      <c r="C526" s="117"/>
      <c r="D526" s="117"/>
      <c r="E526" s="117"/>
      <c r="F526" s="117"/>
      <c r="G526" s="189"/>
      <c r="H526" s="189"/>
      <c r="I526" s="48"/>
      <c r="J526" s="189"/>
      <c r="K526" s="220"/>
      <c r="L526" s="220"/>
      <c r="M526" s="197"/>
      <c r="N526" s="375"/>
      <c r="O526" s="376"/>
      <c r="P526" s="220"/>
      <c r="Q526" s="117"/>
      <c r="R526" s="189"/>
      <c r="S526" s="141"/>
      <c r="T526" s="141"/>
      <c r="U526" s="57"/>
      <c r="V526" s="57"/>
      <c r="W526" s="57"/>
      <c r="X526" s="57"/>
      <c r="Y526" s="57"/>
      <c r="Z526" s="57"/>
      <c r="AA526" s="57"/>
      <c r="AB526" s="57"/>
    </row>
    <row r="527">
      <c r="A527" s="185" t="str">
        <f t="shared" si="17"/>
        <v/>
      </c>
      <c r="B527" s="141"/>
      <c r="C527" s="117"/>
      <c r="D527" s="117"/>
      <c r="E527" s="117"/>
      <c r="F527" s="117"/>
      <c r="G527" s="189"/>
      <c r="H527" s="189"/>
      <c r="I527" s="48"/>
      <c r="J527" s="189"/>
      <c r="K527" s="220"/>
      <c r="L527" s="220"/>
      <c r="M527" s="197"/>
      <c r="N527" s="375"/>
      <c r="O527" s="376"/>
      <c r="P527" s="220"/>
      <c r="Q527" s="117"/>
      <c r="R527" s="189"/>
      <c r="S527" s="141"/>
      <c r="T527" s="141"/>
      <c r="U527" s="57"/>
      <c r="V527" s="57"/>
      <c r="W527" s="57"/>
      <c r="X527" s="57"/>
      <c r="Y527" s="57"/>
      <c r="Z527" s="57"/>
      <c r="AA527" s="57"/>
      <c r="AB527" s="57"/>
    </row>
    <row r="528">
      <c r="A528" s="185" t="str">
        <f t="shared" si="17"/>
        <v/>
      </c>
      <c r="B528" s="141"/>
      <c r="C528" s="117"/>
      <c r="D528" s="117"/>
      <c r="E528" s="117"/>
      <c r="F528" s="117"/>
      <c r="G528" s="189"/>
      <c r="H528" s="189"/>
      <c r="I528" s="48"/>
      <c r="J528" s="189"/>
      <c r="K528" s="220"/>
      <c r="L528" s="220"/>
      <c r="M528" s="197"/>
      <c r="N528" s="375"/>
      <c r="O528" s="376"/>
      <c r="P528" s="220"/>
      <c r="Q528" s="117"/>
      <c r="R528" s="189"/>
      <c r="S528" s="141"/>
      <c r="T528" s="141"/>
      <c r="U528" s="57"/>
      <c r="V528" s="57"/>
      <c r="W528" s="57"/>
      <c r="X528" s="57"/>
      <c r="Y528" s="57"/>
      <c r="Z528" s="57"/>
      <c r="AA528" s="57"/>
      <c r="AB528" s="57"/>
    </row>
    <row r="529">
      <c r="A529" s="185" t="str">
        <f t="shared" si="17"/>
        <v/>
      </c>
      <c r="B529" s="141"/>
      <c r="C529" s="117"/>
      <c r="D529" s="117"/>
      <c r="E529" s="117"/>
      <c r="F529" s="117"/>
      <c r="G529" s="189"/>
      <c r="H529" s="189"/>
      <c r="I529" s="48"/>
      <c r="J529" s="189"/>
      <c r="K529" s="220"/>
      <c r="L529" s="220"/>
      <c r="M529" s="197"/>
      <c r="N529" s="375"/>
      <c r="O529" s="376"/>
      <c r="P529" s="220"/>
      <c r="Q529" s="117"/>
      <c r="R529" s="189"/>
      <c r="S529" s="141"/>
      <c r="T529" s="141"/>
      <c r="U529" s="57"/>
      <c r="V529" s="57"/>
      <c r="W529" s="57"/>
      <c r="X529" s="57"/>
      <c r="Y529" s="57"/>
      <c r="Z529" s="57"/>
      <c r="AA529" s="57"/>
      <c r="AB529" s="57"/>
    </row>
    <row r="530">
      <c r="A530" s="185" t="str">
        <f t="shared" si="17"/>
        <v/>
      </c>
      <c r="B530" s="141"/>
      <c r="C530" s="117"/>
      <c r="D530" s="117"/>
      <c r="E530" s="117"/>
      <c r="F530" s="117"/>
      <c r="G530" s="189"/>
      <c r="H530" s="189"/>
      <c r="I530" s="48"/>
      <c r="J530" s="189"/>
      <c r="K530" s="220"/>
      <c r="L530" s="220"/>
      <c r="M530" s="197"/>
      <c r="N530" s="375"/>
      <c r="O530" s="376"/>
      <c r="P530" s="220"/>
      <c r="Q530" s="117"/>
      <c r="R530" s="189"/>
      <c r="S530" s="141"/>
      <c r="T530" s="141"/>
      <c r="U530" s="57"/>
      <c r="V530" s="57"/>
      <c r="W530" s="57"/>
      <c r="X530" s="57"/>
      <c r="Y530" s="57"/>
      <c r="Z530" s="57"/>
      <c r="AA530" s="57"/>
      <c r="AB530" s="57"/>
    </row>
    <row r="531">
      <c r="A531" s="185" t="str">
        <f t="shared" si="17"/>
        <v/>
      </c>
      <c r="B531" s="141"/>
      <c r="C531" s="117"/>
      <c r="D531" s="117"/>
      <c r="E531" s="117"/>
      <c r="F531" s="117"/>
      <c r="G531" s="189"/>
      <c r="H531" s="189"/>
      <c r="I531" s="48"/>
      <c r="J531" s="189"/>
      <c r="K531" s="220"/>
      <c r="L531" s="220"/>
      <c r="M531" s="197"/>
      <c r="N531" s="375"/>
      <c r="O531" s="376"/>
      <c r="P531" s="220"/>
      <c r="Q531" s="117"/>
      <c r="R531" s="189"/>
      <c r="S531" s="141"/>
      <c r="T531" s="141"/>
      <c r="U531" s="57"/>
      <c r="V531" s="57"/>
      <c r="W531" s="57"/>
      <c r="X531" s="57"/>
      <c r="Y531" s="57"/>
      <c r="Z531" s="57"/>
      <c r="AA531" s="57"/>
      <c r="AB531" s="57"/>
    </row>
    <row r="532">
      <c r="A532" s="185" t="str">
        <f t="shared" si="17"/>
        <v/>
      </c>
      <c r="B532" s="141"/>
      <c r="C532" s="117"/>
      <c r="D532" s="117"/>
      <c r="E532" s="117"/>
      <c r="F532" s="117"/>
      <c r="G532" s="189"/>
      <c r="H532" s="189"/>
      <c r="I532" s="48"/>
      <c r="J532" s="189"/>
      <c r="K532" s="220"/>
      <c r="L532" s="220"/>
      <c r="M532" s="197"/>
      <c r="N532" s="375"/>
      <c r="O532" s="376"/>
      <c r="P532" s="220"/>
      <c r="Q532" s="117"/>
      <c r="R532" s="189"/>
      <c r="S532" s="141"/>
      <c r="T532" s="141"/>
      <c r="U532" s="57"/>
      <c r="V532" s="57"/>
      <c r="W532" s="57"/>
      <c r="X532" s="57"/>
      <c r="Y532" s="57"/>
      <c r="Z532" s="57"/>
      <c r="AA532" s="57"/>
      <c r="AB532" s="57"/>
    </row>
    <row r="533">
      <c r="A533" s="185" t="str">
        <f t="shared" si="17"/>
        <v/>
      </c>
      <c r="B533" s="141"/>
      <c r="C533" s="117"/>
      <c r="D533" s="117"/>
      <c r="E533" s="117"/>
      <c r="F533" s="117"/>
      <c r="G533" s="189"/>
      <c r="H533" s="189"/>
      <c r="I533" s="48"/>
      <c r="J533" s="189"/>
      <c r="K533" s="220"/>
      <c r="L533" s="220"/>
      <c r="M533" s="197"/>
      <c r="N533" s="375"/>
      <c r="O533" s="376"/>
      <c r="P533" s="220"/>
      <c r="Q533" s="117"/>
      <c r="R533" s="189"/>
      <c r="S533" s="141"/>
      <c r="T533" s="141"/>
      <c r="U533" s="57"/>
      <c r="V533" s="57"/>
      <c r="W533" s="57"/>
      <c r="X533" s="57"/>
      <c r="Y533" s="57"/>
      <c r="Z533" s="57"/>
      <c r="AA533" s="57"/>
      <c r="AB533" s="57"/>
    </row>
    <row r="534">
      <c r="A534" s="185" t="str">
        <f t="shared" si="17"/>
        <v/>
      </c>
      <c r="B534" s="141"/>
      <c r="C534" s="117"/>
      <c r="D534" s="117"/>
      <c r="E534" s="117"/>
      <c r="F534" s="117"/>
      <c r="G534" s="189"/>
      <c r="H534" s="189"/>
      <c r="I534" s="48"/>
      <c r="J534" s="189"/>
      <c r="K534" s="220"/>
      <c r="L534" s="220"/>
      <c r="M534" s="197"/>
      <c r="N534" s="375"/>
      <c r="O534" s="376"/>
      <c r="P534" s="220"/>
      <c r="Q534" s="117"/>
      <c r="R534" s="189"/>
      <c r="S534" s="141"/>
      <c r="T534" s="141"/>
      <c r="U534" s="57"/>
      <c r="V534" s="57"/>
      <c r="W534" s="57"/>
      <c r="X534" s="57"/>
      <c r="Y534" s="57"/>
      <c r="Z534" s="57"/>
      <c r="AA534" s="57"/>
      <c r="AB534" s="57"/>
    </row>
    <row r="535">
      <c r="A535" s="185" t="str">
        <f t="shared" si="17"/>
        <v/>
      </c>
      <c r="B535" s="141"/>
      <c r="C535" s="117"/>
      <c r="D535" s="117"/>
      <c r="E535" s="117"/>
      <c r="F535" s="117"/>
      <c r="G535" s="189"/>
      <c r="H535" s="189"/>
      <c r="I535" s="48"/>
      <c r="J535" s="189"/>
      <c r="K535" s="220"/>
      <c r="L535" s="220"/>
      <c r="M535" s="197"/>
      <c r="N535" s="375"/>
      <c r="O535" s="376"/>
      <c r="P535" s="220"/>
      <c r="Q535" s="117"/>
      <c r="R535" s="189"/>
      <c r="S535" s="141"/>
      <c r="T535" s="141"/>
      <c r="U535" s="57"/>
      <c r="V535" s="57"/>
      <c r="W535" s="57"/>
      <c r="X535" s="57"/>
      <c r="Y535" s="57"/>
      <c r="Z535" s="57"/>
      <c r="AA535" s="57"/>
      <c r="AB535" s="57"/>
    </row>
    <row r="536">
      <c r="A536" s="185" t="str">
        <f t="shared" si="17"/>
        <v/>
      </c>
      <c r="B536" s="141"/>
      <c r="C536" s="117"/>
      <c r="D536" s="117"/>
      <c r="E536" s="117"/>
      <c r="F536" s="117"/>
      <c r="G536" s="189"/>
      <c r="H536" s="189"/>
      <c r="I536" s="48"/>
      <c r="J536" s="189"/>
      <c r="K536" s="220"/>
      <c r="L536" s="220"/>
      <c r="M536" s="197"/>
      <c r="N536" s="375"/>
      <c r="O536" s="376"/>
      <c r="P536" s="220"/>
      <c r="Q536" s="117"/>
      <c r="R536" s="189"/>
      <c r="S536" s="141"/>
      <c r="T536" s="141"/>
      <c r="U536" s="57"/>
      <c r="V536" s="57"/>
      <c r="W536" s="57"/>
      <c r="X536" s="57"/>
      <c r="Y536" s="57"/>
      <c r="Z536" s="57"/>
      <c r="AA536" s="57"/>
      <c r="AB536" s="57"/>
    </row>
    <row r="537">
      <c r="A537" s="185" t="str">
        <f t="shared" si="17"/>
        <v/>
      </c>
      <c r="B537" s="141"/>
      <c r="C537" s="117"/>
      <c r="D537" s="117"/>
      <c r="E537" s="117"/>
      <c r="F537" s="117"/>
      <c r="G537" s="189"/>
      <c r="H537" s="189"/>
      <c r="I537" s="48"/>
      <c r="J537" s="189"/>
      <c r="K537" s="220"/>
      <c r="L537" s="220"/>
      <c r="M537" s="197"/>
      <c r="N537" s="375"/>
      <c r="O537" s="376"/>
      <c r="P537" s="220"/>
      <c r="Q537" s="117"/>
      <c r="R537" s="189"/>
      <c r="S537" s="141"/>
      <c r="T537" s="141"/>
      <c r="U537" s="57"/>
      <c r="V537" s="57"/>
      <c r="W537" s="57"/>
      <c r="X537" s="57"/>
      <c r="Y537" s="57"/>
      <c r="Z537" s="57"/>
      <c r="AA537" s="57"/>
      <c r="AB537" s="57"/>
    </row>
    <row r="538">
      <c r="A538" s="185" t="str">
        <f t="shared" si="17"/>
        <v/>
      </c>
      <c r="B538" s="141"/>
      <c r="C538" s="117"/>
      <c r="D538" s="117"/>
      <c r="E538" s="117"/>
      <c r="F538" s="117"/>
      <c r="G538" s="189"/>
      <c r="H538" s="189"/>
      <c r="I538" s="48"/>
      <c r="J538" s="189"/>
      <c r="K538" s="220"/>
      <c r="L538" s="220"/>
      <c r="M538" s="197"/>
      <c r="N538" s="375"/>
      <c r="O538" s="376"/>
      <c r="P538" s="220"/>
      <c r="Q538" s="117"/>
      <c r="R538" s="189"/>
      <c r="S538" s="141"/>
      <c r="T538" s="141"/>
      <c r="U538" s="57"/>
      <c r="V538" s="57"/>
      <c r="W538" s="57"/>
      <c r="X538" s="57"/>
      <c r="Y538" s="57"/>
      <c r="Z538" s="57"/>
      <c r="AA538" s="57"/>
      <c r="AB538" s="57"/>
    </row>
    <row r="539">
      <c r="A539" s="185" t="str">
        <f t="shared" si="17"/>
        <v/>
      </c>
      <c r="B539" s="141"/>
      <c r="C539" s="117"/>
      <c r="D539" s="117"/>
      <c r="E539" s="117"/>
      <c r="F539" s="117"/>
      <c r="G539" s="189"/>
      <c r="H539" s="189"/>
      <c r="I539" s="48"/>
      <c r="J539" s="189"/>
      <c r="K539" s="220"/>
      <c r="L539" s="220"/>
      <c r="M539" s="197"/>
      <c r="N539" s="375"/>
      <c r="O539" s="376"/>
      <c r="P539" s="220"/>
      <c r="Q539" s="117"/>
      <c r="R539" s="189"/>
      <c r="S539" s="141"/>
      <c r="T539" s="141"/>
      <c r="U539" s="57"/>
      <c r="V539" s="57"/>
      <c r="W539" s="57"/>
      <c r="X539" s="57"/>
      <c r="Y539" s="57"/>
      <c r="Z539" s="57"/>
      <c r="AA539" s="57"/>
      <c r="AB539" s="57"/>
    </row>
    <row r="540">
      <c r="A540" s="185" t="str">
        <f t="shared" si="17"/>
        <v/>
      </c>
      <c r="B540" s="141"/>
      <c r="C540" s="117"/>
      <c r="D540" s="117"/>
      <c r="E540" s="117"/>
      <c r="F540" s="117"/>
      <c r="G540" s="189"/>
      <c r="H540" s="189"/>
      <c r="I540" s="48"/>
      <c r="J540" s="189"/>
      <c r="K540" s="220"/>
      <c r="L540" s="220"/>
      <c r="M540" s="197"/>
      <c r="N540" s="375"/>
      <c r="O540" s="376"/>
      <c r="P540" s="220"/>
      <c r="Q540" s="117"/>
      <c r="R540" s="189"/>
      <c r="S540" s="141"/>
      <c r="T540" s="141"/>
      <c r="U540" s="57"/>
      <c r="V540" s="57"/>
      <c r="W540" s="57"/>
      <c r="X540" s="57"/>
      <c r="Y540" s="57"/>
      <c r="Z540" s="57"/>
      <c r="AA540" s="57"/>
      <c r="AB540" s="57"/>
    </row>
    <row r="541">
      <c r="A541" s="185" t="str">
        <f t="shared" si="17"/>
        <v/>
      </c>
      <c r="B541" s="141"/>
      <c r="C541" s="117"/>
      <c r="D541" s="117"/>
      <c r="E541" s="117"/>
      <c r="F541" s="117"/>
      <c r="G541" s="189"/>
      <c r="H541" s="189"/>
      <c r="I541" s="48"/>
      <c r="J541" s="189"/>
      <c r="K541" s="220"/>
      <c r="L541" s="220"/>
      <c r="M541" s="197"/>
      <c r="N541" s="375"/>
      <c r="O541" s="376"/>
      <c r="P541" s="220"/>
      <c r="Q541" s="117"/>
      <c r="R541" s="189"/>
      <c r="S541" s="141"/>
      <c r="T541" s="141"/>
      <c r="U541" s="57"/>
      <c r="V541" s="57"/>
      <c r="W541" s="57"/>
      <c r="X541" s="57"/>
      <c r="Y541" s="57"/>
      <c r="Z541" s="57"/>
      <c r="AA541" s="57"/>
      <c r="AB541" s="57"/>
    </row>
    <row r="542">
      <c r="A542" s="185" t="str">
        <f t="shared" si="17"/>
        <v/>
      </c>
      <c r="B542" s="141"/>
      <c r="C542" s="117"/>
      <c r="D542" s="117"/>
      <c r="E542" s="117"/>
      <c r="F542" s="117"/>
      <c r="G542" s="189"/>
      <c r="H542" s="189"/>
      <c r="I542" s="48"/>
      <c r="J542" s="189"/>
      <c r="K542" s="220"/>
      <c r="L542" s="220"/>
      <c r="M542" s="197"/>
      <c r="N542" s="375"/>
      <c r="O542" s="376"/>
      <c r="P542" s="220"/>
      <c r="Q542" s="117"/>
      <c r="R542" s="189"/>
      <c r="S542" s="141"/>
      <c r="T542" s="141"/>
      <c r="U542" s="57"/>
      <c r="V542" s="57"/>
      <c r="W542" s="57"/>
      <c r="X542" s="57"/>
      <c r="Y542" s="57"/>
      <c r="Z542" s="57"/>
      <c r="AA542" s="57"/>
      <c r="AB542" s="57"/>
    </row>
    <row r="543">
      <c r="A543" s="185" t="str">
        <f t="shared" si="17"/>
        <v/>
      </c>
      <c r="B543" s="141"/>
      <c r="C543" s="117"/>
      <c r="D543" s="117"/>
      <c r="E543" s="117"/>
      <c r="F543" s="117"/>
      <c r="G543" s="189"/>
      <c r="H543" s="189"/>
      <c r="I543" s="48"/>
      <c r="J543" s="189"/>
      <c r="K543" s="220"/>
      <c r="L543" s="220"/>
      <c r="M543" s="197"/>
      <c r="N543" s="375"/>
      <c r="O543" s="376"/>
      <c r="P543" s="220"/>
      <c r="Q543" s="117"/>
      <c r="R543" s="189"/>
      <c r="S543" s="141"/>
      <c r="T543" s="141"/>
      <c r="U543" s="57"/>
      <c r="V543" s="57"/>
      <c r="W543" s="57"/>
      <c r="X543" s="57"/>
      <c r="Y543" s="57"/>
      <c r="Z543" s="57"/>
      <c r="AA543" s="57"/>
      <c r="AB543" s="57"/>
    </row>
    <row r="544">
      <c r="A544" s="185" t="str">
        <f t="shared" si="17"/>
        <v/>
      </c>
      <c r="B544" s="141"/>
      <c r="C544" s="117"/>
      <c r="D544" s="117"/>
      <c r="E544" s="117"/>
      <c r="F544" s="117"/>
      <c r="G544" s="189"/>
      <c r="H544" s="189"/>
      <c r="I544" s="48"/>
      <c r="J544" s="189"/>
      <c r="K544" s="220"/>
      <c r="L544" s="220"/>
      <c r="M544" s="197"/>
      <c r="N544" s="375"/>
      <c r="O544" s="376"/>
      <c r="P544" s="220"/>
      <c r="Q544" s="117"/>
      <c r="R544" s="189"/>
      <c r="S544" s="141"/>
      <c r="T544" s="141"/>
      <c r="U544" s="57"/>
      <c r="V544" s="57"/>
      <c r="W544" s="57"/>
      <c r="X544" s="57"/>
      <c r="Y544" s="57"/>
      <c r="Z544" s="57"/>
      <c r="AA544" s="57"/>
      <c r="AB544" s="57"/>
    </row>
    <row r="545">
      <c r="A545" s="185" t="str">
        <f t="shared" si="17"/>
        <v/>
      </c>
      <c r="B545" s="141"/>
      <c r="C545" s="117"/>
      <c r="D545" s="117"/>
      <c r="E545" s="117"/>
      <c r="F545" s="117"/>
      <c r="G545" s="189"/>
      <c r="H545" s="189"/>
      <c r="I545" s="48"/>
      <c r="J545" s="189"/>
      <c r="K545" s="220"/>
      <c r="L545" s="220"/>
      <c r="M545" s="197"/>
      <c r="N545" s="375"/>
      <c r="O545" s="376"/>
      <c r="P545" s="220"/>
      <c r="Q545" s="117"/>
      <c r="R545" s="189"/>
      <c r="S545" s="141"/>
      <c r="T545" s="141"/>
      <c r="U545" s="57"/>
      <c r="V545" s="57"/>
      <c r="W545" s="57"/>
      <c r="X545" s="57"/>
      <c r="Y545" s="57"/>
      <c r="Z545" s="57"/>
      <c r="AA545" s="57"/>
      <c r="AB545" s="57"/>
    </row>
    <row r="546">
      <c r="A546" s="185" t="str">
        <f t="shared" si="17"/>
        <v/>
      </c>
      <c r="B546" s="141"/>
      <c r="C546" s="117"/>
      <c r="D546" s="117"/>
      <c r="E546" s="117"/>
      <c r="F546" s="117"/>
      <c r="G546" s="189"/>
      <c r="H546" s="189"/>
      <c r="I546" s="48"/>
      <c r="J546" s="189"/>
      <c r="K546" s="220"/>
      <c r="L546" s="220"/>
      <c r="M546" s="197"/>
      <c r="N546" s="375"/>
      <c r="O546" s="376"/>
      <c r="P546" s="220"/>
      <c r="Q546" s="117"/>
      <c r="R546" s="189"/>
      <c r="S546" s="141"/>
      <c r="T546" s="141"/>
      <c r="U546" s="57"/>
      <c r="V546" s="57"/>
      <c r="W546" s="57"/>
      <c r="X546" s="57"/>
      <c r="Y546" s="57"/>
      <c r="Z546" s="57"/>
      <c r="AA546" s="57"/>
      <c r="AB546" s="57"/>
    </row>
    <row r="547">
      <c r="A547" s="185" t="str">
        <f t="shared" si="17"/>
        <v/>
      </c>
      <c r="B547" s="141"/>
      <c r="C547" s="117"/>
      <c r="D547" s="117"/>
      <c r="E547" s="117"/>
      <c r="F547" s="117"/>
      <c r="G547" s="189"/>
      <c r="H547" s="189"/>
      <c r="I547" s="48"/>
      <c r="J547" s="189"/>
      <c r="K547" s="220"/>
      <c r="L547" s="220"/>
      <c r="M547" s="197"/>
      <c r="N547" s="375"/>
      <c r="O547" s="376"/>
      <c r="P547" s="220"/>
      <c r="Q547" s="117"/>
      <c r="R547" s="189"/>
      <c r="S547" s="141"/>
      <c r="T547" s="141"/>
      <c r="U547" s="57"/>
      <c r="V547" s="57"/>
      <c r="W547" s="57"/>
      <c r="X547" s="57"/>
      <c r="Y547" s="57"/>
      <c r="Z547" s="57"/>
      <c r="AA547" s="57"/>
      <c r="AB547" s="57"/>
    </row>
    <row r="548">
      <c r="A548" s="185" t="str">
        <f t="shared" si="17"/>
        <v/>
      </c>
      <c r="B548" s="141"/>
      <c r="C548" s="117"/>
      <c r="D548" s="117"/>
      <c r="E548" s="117"/>
      <c r="F548" s="117"/>
      <c r="G548" s="189"/>
      <c r="H548" s="189"/>
      <c r="I548" s="48"/>
      <c r="J548" s="189"/>
      <c r="K548" s="220"/>
      <c r="L548" s="220"/>
      <c r="M548" s="197"/>
      <c r="N548" s="375"/>
      <c r="O548" s="376"/>
      <c r="P548" s="220"/>
      <c r="Q548" s="117"/>
      <c r="R548" s="189"/>
      <c r="S548" s="141"/>
      <c r="T548" s="141"/>
      <c r="U548" s="57"/>
      <c r="V548" s="57"/>
      <c r="W548" s="57"/>
      <c r="X548" s="57"/>
      <c r="Y548" s="57"/>
      <c r="Z548" s="57"/>
      <c r="AA548" s="57"/>
      <c r="AB548" s="57"/>
    </row>
    <row r="549">
      <c r="A549" s="185" t="str">
        <f t="shared" si="17"/>
        <v/>
      </c>
      <c r="B549" s="141"/>
      <c r="C549" s="117"/>
      <c r="D549" s="117"/>
      <c r="E549" s="117"/>
      <c r="F549" s="117"/>
      <c r="G549" s="189"/>
      <c r="H549" s="189"/>
      <c r="I549" s="48"/>
      <c r="J549" s="189"/>
      <c r="K549" s="220"/>
      <c r="L549" s="220"/>
      <c r="M549" s="197"/>
      <c r="N549" s="375"/>
      <c r="O549" s="376"/>
      <c r="P549" s="220"/>
      <c r="Q549" s="117"/>
      <c r="R549" s="189"/>
      <c r="S549" s="141"/>
      <c r="T549" s="141"/>
      <c r="U549" s="57"/>
      <c r="V549" s="57"/>
      <c r="W549" s="57"/>
      <c r="X549" s="57"/>
      <c r="Y549" s="57"/>
      <c r="Z549" s="57"/>
      <c r="AA549" s="57"/>
      <c r="AB549" s="57"/>
    </row>
    <row r="550">
      <c r="A550" s="185" t="str">
        <f t="shared" si="17"/>
        <v/>
      </c>
      <c r="B550" s="141"/>
      <c r="C550" s="117"/>
      <c r="D550" s="117"/>
      <c r="E550" s="117"/>
      <c r="F550" s="117"/>
      <c r="G550" s="189"/>
      <c r="H550" s="189"/>
      <c r="I550" s="48"/>
      <c r="J550" s="189"/>
      <c r="K550" s="220"/>
      <c r="L550" s="220"/>
      <c r="M550" s="197"/>
      <c r="N550" s="375"/>
      <c r="O550" s="376"/>
      <c r="P550" s="220"/>
      <c r="Q550" s="117"/>
      <c r="R550" s="189"/>
      <c r="S550" s="141"/>
      <c r="T550" s="141"/>
      <c r="U550" s="57"/>
      <c r="V550" s="57"/>
      <c r="W550" s="57"/>
      <c r="X550" s="57"/>
      <c r="Y550" s="57"/>
      <c r="Z550" s="57"/>
      <c r="AA550" s="57"/>
      <c r="AB550" s="57"/>
    </row>
    <row r="551">
      <c r="A551" s="185" t="str">
        <f t="shared" si="17"/>
        <v/>
      </c>
      <c r="B551" s="141"/>
      <c r="C551" s="117"/>
      <c r="D551" s="117"/>
      <c r="E551" s="117"/>
      <c r="F551" s="117"/>
      <c r="G551" s="189"/>
      <c r="H551" s="189"/>
      <c r="I551" s="48"/>
      <c r="J551" s="189"/>
      <c r="K551" s="220"/>
      <c r="L551" s="220"/>
      <c r="M551" s="197"/>
      <c r="N551" s="375"/>
      <c r="O551" s="376"/>
      <c r="P551" s="220"/>
      <c r="Q551" s="117"/>
      <c r="R551" s="189"/>
      <c r="S551" s="141"/>
      <c r="T551" s="141"/>
      <c r="U551" s="57"/>
      <c r="V551" s="57"/>
      <c r="W551" s="57"/>
      <c r="X551" s="57"/>
      <c r="Y551" s="57"/>
      <c r="Z551" s="57"/>
      <c r="AA551" s="57"/>
      <c r="AB551" s="57"/>
    </row>
    <row r="552">
      <c r="A552" s="185" t="str">
        <f t="shared" si="17"/>
        <v/>
      </c>
      <c r="B552" s="141"/>
      <c r="C552" s="117"/>
      <c r="D552" s="117"/>
      <c r="E552" s="117"/>
      <c r="F552" s="117"/>
      <c r="G552" s="189"/>
      <c r="H552" s="189"/>
      <c r="I552" s="48"/>
      <c r="J552" s="189"/>
      <c r="K552" s="220"/>
      <c r="L552" s="220"/>
      <c r="M552" s="197"/>
      <c r="N552" s="375"/>
      <c r="O552" s="376"/>
      <c r="P552" s="220"/>
      <c r="Q552" s="117"/>
      <c r="R552" s="189"/>
      <c r="S552" s="141"/>
      <c r="T552" s="141"/>
      <c r="U552" s="57"/>
      <c r="V552" s="57"/>
      <c r="W552" s="57"/>
      <c r="X552" s="57"/>
      <c r="Y552" s="57"/>
      <c r="Z552" s="57"/>
      <c r="AA552" s="57"/>
      <c r="AB552" s="57"/>
    </row>
    <row r="553">
      <c r="A553" s="185" t="str">
        <f t="shared" si="17"/>
        <v/>
      </c>
      <c r="B553" s="141"/>
      <c r="C553" s="117"/>
      <c r="D553" s="117"/>
      <c r="E553" s="117"/>
      <c r="F553" s="117"/>
      <c r="G553" s="189"/>
      <c r="H553" s="189"/>
      <c r="I553" s="48"/>
      <c r="J553" s="189"/>
      <c r="K553" s="220"/>
      <c r="L553" s="220"/>
      <c r="M553" s="197"/>
      <c r="N553" s="375"/>
      <c r="O553" s="376"/>
      <c r="P553" s="220"/>
      <c r="Q553" s="117"/>
      <c r="R553" s="189"/>
      <c r="S553" s="141"/>
      <c r="T553" s="141"/>
      <c r="U553" s="57"/>
      <c r="V553" s="57"/>
      <c r="W553" s="57"/>
      <c r="X553" s="57"/>
      <c r="Y553" s="57"/>
      <c r="Z553" s="57"/>
      <c r="AA553" s="57"/>
      <c r="AB553" s="57"/>
    </row>
    <row r="554">
      <c r="A554" s="185" t="str">
        <f t="shared" si="17"/>
        <v/>
      </c>
      <c r="B554" s="141"/>
      <c r="C554" s="117"/>
      <c r="D554" s="117"/>
      <c r="E554" s="117"/>
      <c r="F554" s="117"/>
      <c r="G554" s="189"/>
      <c r="H554" s="189"/>
      <c r="I554" s="48"/>
      <c r="J554" s="189"/>
      <c r="K554" s="220"/>
      <c r="L554" s="220"/>
      <c r="M554" s="197"/>
      <c r="N554" s="375"/>
      <c r="O554" s="376"/>
      <c r="P554" s="220"/>
      <c r="Q554" s="117"/>
      <c r="R554" s="189"/>
      <c r="S554" s="141"/>
      <c r="T554" s="141"/>
      <c r="U554" s="57"/>
      <c r="V554" s="57"/>
      <c r="W554" s="57"/>
      <c r="X554" s="57"/>
      <c r="Y554" s="57"/>
      <c r="Z554" s="57"/>
      <c r="AA554" s="57"/>
      <c r="AB554" s="57"/>
    </row>
    <row r="555">
      <c r="A555" s="185" t="str">
        <f t="shared" si="17"/>
        <v/>
      </c>
      <c r="B555" s="141"/>
      <c r="C555" s="117"/>
      <c r="D555" s="117"/>
      <c r="E555" s="117"/>
      <c r="F555" s="117"/>
      <c r="G555" s="189"/>
      <c r="H555" s="189"/>
      <c r="I555" s="48"/>
      <c r="J555" s="189"/>
      <c r="K555" s="220"/>
      <c r="L555" s="220"/>
      <c r="M555" s="197"/>
      <c r="N555" s="375"/>
      <c r="O555" s="376"/>
      <c r="P555" s="220"/>
      <c r="Q555" s="117"/>
      <c r="R555" s="189"/>
      <c r="S555" s="141"/>
      <c r="T555" s="141"/>
      <c r="U555" s="57"/>
      <c r="V555" s="57"/>
      <c r="W555" s="57"/>
      <c r="X555" s="57"/>
      <c r="Y555" s="57"/>
      <c r="Z555" s="57"/>
      <c r="AA555" s="57"/>
      <c r="AB555" s="57"/>
    </row>
    <row r="556">
      <c r="A556" s="185" t="str">
        <f t="shared" si="17"/>
        <v/>
      </c>
      <c r="B556" s="141"/>
      <c r="C556" s="117"/>
      <c r="D556" s="117"/>
      <c r="E556" s="117"/>
      <c r="F556" s="117"/>
      <c r="G556" s="189"/>
      <c r="H556" s="189"/>
      <c r="I556" s="48"/>
      <c r="J556" s="189"/>
      <c r="K556" s="220"/>
      <c r="L556" s="220"/>
      <c r="M556" s="197"/>
      <c r="N556" s="375"/>
      <c r="O556" s="376"/>
      <c r="P556" s="220"/>
      <c r="Q556" s="117"/>
      <c r="R556" s="189"/>
      <c r="S556" s="141"/>
      <c r="T556" s="141"/>
      <c r="U556" s="57"/>
      <c r="V556" s="57"/>
      <c r="W556" s="57"/>
      <c r="X556" s="57"/>
      <c r="Y556" s="57"/>
      <c r="Z556" s="57"/>
      <c r="AA556" s="57"/>
      <c r="AB556" s="57"/>
    </row>
    <row r="557">
      <c r="A557" s="185" t="str">
        <f t="shared" si="17"/>
        <v/>
      </c>
      <c r="B557" s="141"/>
      <c r="C557" s="117"/>
      <c r="D557" s="117"/>
      <c r="E557" s="117"/>
      <c r="F557" s="117"/>
      <c r="G557" s="189"/>
      <c r="H557" s="189"/>
      <c r="I557" s="48"/>
      <c r="J557" s="189"/>
      <c r="K557" s="220"/>
      <c r="L557" s="220"/>
      <c r="M557" s="197"/>
      <c r="N557" s="375"/>
      <c r="O557" s="376"/>
      <c r="P557" s="220"/>
      <c r="Q557" s="117"/>
      <c r="R557" s="189"/>
      <c r="S557" s="141"/>
      <c r="T557" s="141"/>
      <c r="U557" s="57"/>
      <c r="V557" s="57"/>
      <c r="W557" s="57"/>
      <c r="X557" s="57"/>
      <c r="Y557" s="57"/>
      <c r="Z557" s="57"/>
      <c r="AA557" s="57"/>
      <c r="AB557" s="57"/>
    </row>
    <row r="558">
      <c r="A558" s="185" t="str">
        <f t="shared" si="17"/>
        <v/>
      </c>
      <c r="B558" s="141"/>
      <c r="C558" s="117"/>
      <c r="D558" s="117"/>
      <c r="E558" s="117"/>
      <c r="F558" s="117"/>
      <c r="G558" s="189"/>
      <c r="H558" s="189"/>
      <c r="I558" s="48"/>
      <c r="J558" s="189"/>
      <c r="K558" s="220"/>
      <c r="L558" s="220"/>
      <c r="M558" s="197"/>
      <c r="N558" s="375"/>
      <c r="O558" s="376"/>
      <c r="P558" s="220"/>
      <c r="Q558" s="117"/>
      <c r="R558" s="189"/>
      <c r="S558" s="141"/>
      <c r="T558" s="141"/>
      <c r="U558" s="57"/>
      <c r="V558" s="57"/>
      <c r="W558" s="57"/>
      <c r="X558" s="57"/>
      <c r="Y558" s="57"/>
      <c r="Z558" s="57"/>
      <c r="AA558" s="57"/>
      <c r="AB558" s="57"/>
    </row>
    <row r="559">
      <c r="A559" s="185" t="str">
        <f t="shared" si="17"/>
        <v/>
      </c>
      <c r="B559" s="141"/>
      <c r="C559" s="117"/>
      <c r="D559" s="117"/>
      <c r="E559" s="117"/>
      <c r="F559" s="117"/>
      <c r="G559" s="189"/>
      <c r="H559" s="189"/>
      <c r="I559" s="48"/>
      <c r="J559" s="189"/>
      <c r="K559" s="220"/>
      <c r="L559" s="220"/>
      <c r="M559" s="197"/>
      <c r="N559" s="375"/>
      <c r="O559" s="376"/>
      <c r="P559" s="220"/>
      <c r="Q559" s="117"/>
      <c r="R559" s="189"/>
      <c r="S559" s="141"/>
      <c r="T559" s="141"/>
      <c r="U559" s="57"/>
      <c r="V559" s="57"/>
      <c r="W559" s="57"/>
      <c r="X559" s="57"/>
      <c r="Y559" s="57"/>
      <c r="Z559" s="57"/>
      <c r="AA559" s="57"/>
      <c r="AB559" s="57"/>
    </row>
    <row r="560">
      <c r="A560" s="185" t="str">
        <f t="shared" si="17"/>
        <v/>
      </c>
      <c r="B560" s="141"/>
      <c r="C560" s="117"/>
      <c r="D560" s="117"/>
      <c r="E560" s="117"/>
      <c r="F560" s="117"/>
      <c r="G560" s="189"/>
      <c r="H560" s="189"/>
      <c r="I560" s="48"/>
      <c r="J560" s="189"/>
      <c r="K560" s="220"/>
      <c r="L560" s="220"/>
      <c r="M560" s="197"/>
      <c r="N560" s="375"/>
      <c r="O560" s="376"/>
      <c r="P560" s="220"/>
      <c r="Q560" s="117"/>
      <c r="R560" s="189"/>
      <c r="S560" s="141"/>
      <c r="T560" s="141"/>
      <c r="U560" s="57"/>
      <c r="V560" s="57"/>
      <c r="W560" s="57"/>
      <c r="X560" s="57"/>
      <c r="Y560" s="57"/>
      <c r="Z560" s="57"/>
      <c r="AA560" s="57"/>
      <c r="AB560" s="57"/>
    </row>
    <row r="561">
      <c r="A561" s="185" t="str">
        <f t="shared" si="17"/>
        <v/>
      </c>
      <c r="B561" s="141"/>
      <c r="C561" s="117"/>
      <c r="D561" s="117"/>
      <c r="E561" s="117"/>
      <c r="F561" s="117"/>
      <c r="G561" s="189"/>
      <c r="H561" s="189"/>
      <c r="I561" s="48"/>
      <c r="J561" s="189"/>
      <c r="K561" s="220"/>
      <c r="L561" s="220"/>
      <c r="M561" s="197"/>
      <c r="N561" s="375"/>
      <c r="O561" s="376"/>
      <c r="P561" s="220"/>
      <c r="Q561" s="117"/>
      <c r="R561" s="189"/>
      <c r="S561" s="141"/>
      <c r="T561" s="141"/>
      <c r="U561" s="57"/>
      <c r="V561" s="57"/>
      <c r="W561" s="57"/>
      <c r="X561" s="57"/>
      <c r="Y561" s="57"/>
      <c r="Z561" s="57"/>
      <c r="AA561" s="57"/>
      <c r="AB561" s="57"/>
    </row>
    <row r="562">
      <c r="A562" s="185" t="str">
        <f t="shared" si="17"/>
        <v/>
      </c>
      <c r="B562" s="141"/>
      <c r="C562" s="117"/>
      <c r="D562" s="117"/>
      <c r="E562" s="117"/>
      <c r="F562" s="117"/>
      <c r="G562" s="189"/>
      <c r="H562" s="189"/>
      <c r="I562" s="48"/>
      <c r="J562" s="189"/>
      <c r="K562" s="220"/>
      <c r="L562" s="220"/>
      <c r="M562" s="197"/>
      <c r="N562" s="375"/>
      <c r="O562" s="376"/>
      <c r="P562" s="220"/>
      <c r="Q562" s="117"/>
      <c r="R562" s="189"/>
      <c r="S562" s="141"/>
      <c r="T562" s="141"/>
      <c r="U562" s="57"/>
      <c r="V562" s="57"/>
      <c r="W562" s="57"/>
      <c r="X562" s="57"/>
      <c r="Y562" s="57"/>
      <c r="Z562" s="57"/>
      <c r="AA562" s="57"/>
      <c r="AB562" s="57"/>
    </row>
    <row r="563">
      <c r="A563" s="185" t="str">
        <f t="shared" si="17"/>
        <v/>
      </c>
      <c r="B563" s="141"/>
      <c r="C563" s="117"/>
      <c r="D563" s="117"/>
      <c r="E563" s="117"/>
      <c r="F563" s="117"/>
      <c r="G563" s="189"/>
      <c r="H563" s="189"/>
      <c r="I563" s="48"/>
      <c r="J563" s="189"/>
      <c r="K563" s="220"/>
      <c r="L563" s="220"/>
      <c r="M563" s="197"/>
      <c r="N563" s="375"/>
      <c r="O563" s="376"/>
      <c r="P563" s="220"/>
      <c r="Q563" s="117"/>
      <c r="R563" s="189"/>
      <c r="S563" s="141"/>
      <c r="T563" s="141"/>
      <c r="U563" s="57"/>
      <c r="V563" s="57"/>
      <c r="W563" s="57"/>
      <c r="X563" s="57"/>
      <c r="Y563" s="57"/>
      <c r="Z563" s="57"/>
      <c r="AA563" s="57"/>
      <c r="AB563" s="57"/>
    </row>
    <row r="564">
      <c r="A564" s="185" t="str">
        <f t="shared" si="17"/>
        <v/>
      </c>
      <c r="B564" s="141"/>
      <c r="C564" s="117"/>
      <c r="D564" s="117"/>
      <c r="E564" s="117"/>
      <c r="F564" s="117"/>
      <c r="G564" s="189"/>
      <c r="H564" s="189"/>
      <c r="I564" s="48"/>
      <c r="J564" s="189"/>
      <c r="K564" s="220"/>
      <c r="L564" s="220"/>
      <c r="M564" s="197"/>
      <c r="N564" s="375"/>
      <c r="O564" s="376"/>
      <c r="P564" s="220"/>
      <c r="Q564" s="117"/>
      <c r="R564" s="189"/>
      <c r="S564" s="141"/>
      <c r="T564" s="141"/>
      <c r="U564" s="57"/>
      <c r="V564" s="57"/>
      <c r="W564" s="57"/>
      <c r="X564" s="57"/>
      <c r="Y564" s="57"/>
      <c r="Z564" s="57"/>
      <c r="AA564" s="57"/>
      <c r="AB564" s="57"/>
    </row>
    <row r="565">
      <c r="A565" s="185" t="str">
        <f t="shared" si="17"/>
        <v/>
      </c>
      <c r="B565" s="141"/>
      <c r="C565" s="117"/>
      <c r="D565" s="117"/>
      <c r="E565" s="117"/>
      <c r="F565" s="117"/>
      <c r="G565" s="189"/>
      <c r="H565" s="189"/>
      <c r="I565" s="48"/>
      <c r="J565" s="189"/>
      <c r="K565" s="220"/>
      <c r="L565" s="220"/>
      <c r="M565" s="197"/>
      <c r="N565" s="375"/>
      <c r="O565" s="376"/>
      <c r="P565" s="220"/>
      <c r="Q565" s="117"/>
      <c r="R565" s="189"/>
      <c r="S565" s="141"/>
      <c r="T565" s="141"/>
      <c r="U565" s="57"/>
      <c r="V565" s="57"/>
      <c r="W565" s="57"/>
      <c r="X565" s="57"/>
      <c r="Y565" s="57"/>
      <c r="Z565" s="57"/>
      <c r="AA565" s="57"/>
      <c r="AB565" s="57"/>
    </row>
    <row r="566">
      <c r="A566" s="185" t="str">
        <f t="shared" si="17"/>
        <v/>
      </c>
      <c r="B566" s="141"/>
      <c r="C566" s="117"/>
      <c r="D566" s="117"/>
      <c r="E566" s="117"/>
      <c r="F566" s="117"/>
      <c r="G566" s="189"/>
      <c r="H566" s="189"/>
      <c r="I566" s="48"/>
      <c r="J566" s="189"/>
      <c r="K566" s="220"/>
      <c r="L566" s="220"/>
      <c r="M566" s="197"/>
      <c r="N566" s="375"/>
      <c r="O566" s="376"/>
      <c r="P566" s="220"/>
      <c r="Q566" s="117"/>
      <c r="R566" s="189"/>
      <c r="S566" s="141"/>
      <c r="T566" s="141"/>
      <c r="U566" s="57"/>
      <c r="V566" s="57"/>
      <c r="W566" s="57"/>
      <c r="X566" s="57"/>
      <c r="Y566" s="57"/>
      <c r="Z566" s="57"/>
      <c r="AA566" s="57"/>
      <c r="AB566" s="57"/>
    </row>
    <row r="567">
      <c r="A567" s="185" t="str">
        <f t="shared" si="17"/>
        <v/>
      </c>
      <c r="B567" s="141"/>
      <c r="C567" s="117"/>
      <c r="D567" s="117"/>
      <c r="E567" s="117"/>
      <c r="F567" s="117"/>
      <c r="G567" s="189"/>
      <c r="H567" s="189"/>
      <c r="I567" s="48"/>
      <c r="J567" s="189"/>
      <c r="K567" s="220"/>
      <c r="L567" s="220"/>
      <c r="M567" s="197"/>
      <c r="N567" s="375"/>
      <c r="O567" s="376"/>
      <c r="P567" s="220"/>
      <c r="Q567" s="117"/>
      <c r="R567" s="189"/>
      <c r="S567" s="141"/>
      <c r="T567" s="141"/>
      <c r="U567" s="57"/>
      <c r="V567" s="57"/>
      <c r="W567" s="57"/>
      <c r="X567" s="57"/>
      <c r="Y567" s="57"/>
      <c r="Z567" s="57"/>
      <c r="AA567" s="57"/>
      <c r="AB567" s="57"/>
    </row>
    <row r="568">
      <c r="A568" s="185" t="str">
        <f t="shared" si="17"/>
        <v/>
      </c>
      <c r="B568" s="141"/>
      <c r="C568" s="117"/>
      <c r="D568" s="117"/>
      <c r="E568" s="117"/>
      <c r="F568" s="117"/>
      <c r="G568" s="189"/>
      <c r="H568" s="189"/>
      <c r="I568" s="48"/>
      <c r="J568" s="189"/>
      <c r="K568" s="220"/>
      <c r="L568" s="220"/>
      <c r="M568" s="197"/>
      <c r="N568" s="375"/>
      <c r="O568" s="376"/>
      <c r="P568" s="220"/>
      <c r="Q568" s="117"/>
      <c r="R568" s="189"/>
      <c r="S568" s="141"/>
      <c r="T568" s="141"/>
      <c r="U568" s="57"/>
      <c r="V568" s="57"/>
      <c r="W568" s="57"/>
      <c r="X568" s="57"/>
      <c r="Y568" s="57"/>
      <c r="Z568" s="57"/>
      <c r="AA568" s="57"/>
      <c r="AB568" s="57"/>
    </row>
    <row r="569">
      <c r="A569" s="185" t="str">
        <f t="shared" si="17"/>
        <v/>
      </c>
      <c r="B569" s="141"/>
      <c r="C569" s="117"/>
      <c r="D569" s="117"/>
      <c r="E569" s="117"/>
      <c r="F569" s="117"/>
      <c r="G569" s="189"/>
      <c r="H569" s="189"/>
      <c r="I569" s="48"/>
      <c r="J569" s="189"/>
      <c r="K569" s="220"/>
      <c r="L569" s="220"/>
      <c r="M569" s="197"/>
      <c r="N569" s="375"/>
      <c r="O569" s="376"/>
      <c r="P569" s="220"/>
      <c r="Q569" s="117"/>
      <c r="R569" s="189"/>
      <c r="S569" s="141"/>
      <c r="T569" s="141"/>
      <c r="U569" s="57"/>
      <c r="V569" s="57"/>
      <c r="W569" s="57"/>
      <c r="X569" s="57"/>
      <c r="Y569" s="57"/>
      <c r="Z569" s="57"/>
      <c r="AA569" s="57"/>
      <c r="AB569" s="57"/>
    </row>
    <row r="570">
      <c r="A570" s="185" t="str">
        <f t="shared" si="17"/>
        <v/>
      </c>
      <c r="B570" s="141"/>
      <c r="C570" s="117"/>
      <c r="D570" s="117"/>
      <c r="E570" s="117"/>
      <c r="F570" s="117"/>
      <c r="G570" s="189"/>
      <c r="H570" s="189"/>
      <c r="I570" s="48"/>
      <c r="J570" s="189"/>
      <c r="K570" s="220"/>
      <c r="L570" s="220"/>
      <c r="M570" s="197"/>
      <c r="N570" s="375"/>
      <c r="O570" s="376"/>
      <c r="P570" s="220"/>
      <c r="Q570" s="117"/>
      <c r="R570" s="189"/>
      <c r="S570" s="141"/>
      <c r="T570" s="141"/>
      <c r="U570" s="57"/>
      <c r="V570" s="57"/>
      <c r="W570" s="57"/>
      <c r="X570" s="57"/>
      <c r="Y570" s="57"/>
      <c r="Z570" s="57"/>
      <c r="AA570" s="57"/>
      <c r="AB570" s="57"/>
    </row>
    <row r="571">
      <c r="A571" s="185" t="str">
        <f t="shared" si="17"/>
        <v/>
      </c>
      <c r="B571" s="141"/>
      <c r="C571" s="117"/>
      <c r="D571" s="117"/>
      <c r="E571" s="117"/>
      <c r="F571" s="117"/>
      <c r="G571" s="189"/>
      <c r="H571" s="189"/>
      <c r="I571" s="48"/>
      <c r="J571" s="189"/>
      <c r="K571" s="220"/>
      <c r="L571" s="220"/>
      <c r="M571" s="197"/>
      <c r="N571" s="375"/>
      <c r="O571" s="376"/>
      <c r="P571" s="220"/>
      <c r="Q571" s="117"/>
      <c r="R571" s="189"/>
      <c r="S571" s="141"/>
      <c r="T571" s="141"/>
      <c r="U571" s="57"/>
      <c r="V571" s="57"/>
      <c r="W571" s="57"/>
      <c r="X571" s="57"/>
      <c r="Y571" s="57"/>
      <c r="Z571" s="57"/>
      <c r="AA571" s="57"/>
      <c r="AB571" s="57"/>
    </row>
    <row r="572">
      <c r="A572" s="185" t="str">
        <f t="shared" si="17"/>
        <v/>
      </c>
      <c r="B572" s="141"/>
      <c r="C572" s="117"/>
      <c r="D572" s="117"/>
      <c r="E572" s="117"/>
      <c r="F572" s="117"/>
      <c r="G572" s="189"/>
      <c r="H572" s="189"/>
      <c r="I572" s="48"/>
      <c r="J572" s="189"/>
      <c r="K572" s="220"/>
      <c r="L572" s="220"/>
      <c r="M572" s="197"/>
      <c r="N572" s="375"/>
      <c r="O572" s="376"/>
      <c r="P572" s="220"/>
      <c r="Q572" s="117"/>
      <c r="R572" s="189"/>
      <c r="S572" s="141"/>
      <c r="T572" s="141"/>
      <c r="U572" s="57"/>
      <c r="V572" s="57"/>
      <c r="W572" s="57"/>
      <c r="X572" s="57"/>
      <c r="Y572" s="57"/>
      <c r="Z572" s="57"/>
      <c r="AA572" s="57"/>
      <c r="AB572" s="57"/>
    </row>
    <row r="573">
      <c r="A573" s="185" t="str">
        <f t="shared" si="17"/>
        <v/>
      </c>
      <c r="B573" s="141"/>
      <c r="C573" s="117"/>
      <c r="D573" s="117"/>
      <c r="E573" s="117"/>
      <c r="F573" s="117"/>
      <c r="G573" s="189"/>
      <c r="H573" s="189"/>
      <c r="I573" s="48"/>
      <c r="J573" s="189"/>
      <c r="K573" s="220"/>
      <c r="L573" s="220"/>
      <c r="M573" s="197"/>
      <c r="N573" s="375"/>
      <c r="O573" s="376"/>
      <c r="P573" s="220"/>
      <c r="Q573" s="117"/>
      <c r="R573" s="189"/>
      <c r="S573" s="141"/>
      <c r="T573" s="141"/>
      <c r="U573" s="57"/>
      <c r="V573" s="57"/>
      <c r="W573" s="57"/>
      <c r="X573" s="57"/>
      <c r="Y573" s="57"/>
      <c r="Z573" s="57"/>
      <c r="AA573" s="57"/>
      <c r="AB573" s="57"/>
    </row>
    <row r="574">
      <c r="A574" s="185" t="str">
        <f t="shared" si="17"/>
        <v/>
      </c>
      <c r="B574" s="141"/>
      <c r="C574" s="117"/>
      <c r="D574" s="117"/>
      <c r="E574" s="117"/>
      <c r="F574" s="117"/>
      <c r="G574" s="189"/>
      <c r="H574" s="189"/>
      <c r="I574" s="48"/>
      <c r="J574" s="189"/>
      <c r="K574" s="220"/>
      <c r="L574" s="220"/>
      <c r="M574" s="197"/>
      <c r="N574" s="375"/>
      <c r="O574" s="376"/>
      <c r="P574" s="220"/>
      <c r="Q574" s="117"/>
      <c r="R574" s="189"/>
      <c r="S574" s="141"/>
      <c r="T574" s="141"/>
      <c r="U574" s="57"/>
      <c r="V574" s="57"/>
      <c r="W574" s="57"/>
      <c r="X574" s="57"/>
      <c r="Y574" s="57"/>
      <c r="Z574" s="57"/>
      <c r="AA574" s="57"/>
      <c r="AB574" s="57"/>
    </row>
    <row r="575">
      <c r="A575" s="185" t="str">
        <f t="shared" si="17"/>
        <v/>
      </c>
      <c r="B575" s="141"/>
      <c r="C575" s="117"/>
      <c r="D575" s="117"/>
      <c r="E575" s="117"/>
      <c r="F575" s="117"/>
      <c r="G575" s="189"/>
      <c r="H575" s="189"/>
      <c r="I575" s="48"/>
      <c r="J575" s="189"/>
      <c r="K575" s="220"/>
      <c r="L575" s="220"/>
      <c r="M575" s="197"/>
      <c r="N575" s="375"/>
      <c r="O575" s="376"/>
      <c r="P575" s="220"/>
      <c r="Q575" s="117"/>
      <c r="R575" s="189"/>
      <c r="S575" s="141"/>
      <c r="T575" s="141"/>
      <c r="U575" s="57"/>
      <c r="V575" s="57"/>
      <c r="W575" s="57"/>
      <c r="X575" s="57"/>
      <c r="Y575" s="57"/>
      <c r="Z575" s="57"/>
      <c r="AA575" s="57"/>
      <c r="AB575" s="57"/>
    </row>
    <row r="576">
      <c r="A576" s="185" t="str">
        <f t="shared" si="17"/>
        <v/>
      </c>
      <c r="B576" s="141"/>
      <c r="C576" s="117"/>
      <c r="D576" s="117"/>
      <c r="E576" s="117"/>
      <c r="F576" s="117"/>
      <c r="G576" s="189"/>
      <c r="H576" s="189"/>
      <c r="I576" s="48"/>
      <c r="J576" s="189"/>
      <c r="K576" s="220"/>
      <c r="L576" s="220"/>
      <c r="M576" s="197"/>
      <c r="N576" s="375"/>
      <c r="O576" s="376"/>
      <c r="P576" s="220"/>
      <c r="Q576" s="117"/>
      <c r="R576" s="189"/>
      <c r="S576" s="141"/>
      <c r="T576" s="141"/>
      <c r="U576" s="57"/>
      <c r="V576" s="57"/>
      <c r="W576" s="57"/>
      <c r="X576" s="57"/>
      <c r="Y576" s="57"/>
      <c r="Z576" s="57"/>
      <c r="AA576" s="57"/>
      <c r="AB576" s="57"/>
    </row>
    <row r="577">
      <c r="A577" s="185" t="str">
        <f t="shared" si="17"/>
        <v/>
      </c>
      <c r="B577" s="141"/>
      <c r="C577" s="117"/>
      <c r="D577" s="117"/>
      <c r="E577" s="117"/>
      <c r="F577" s="117"/>
      <c r="G577" s="189"/>
      <c r="H577" s="189"/>
      <c r="I577" s="48"/>
      <c r="J577" s="189"/>
      <c r="K577" s="220"/>
      <c r="L577" s="220"/>
      <c r="M577" s="197"/>
      <c r="N577" s="375"/>
      <c r="O577" s="376"/>
      <c r="P577" s="220"/>
      <c r="Q577" s="117"/>
      <c r="R577" s="189"/>
      <c r="S577" s="141"/>
      <c r="T577" s="141"/>
      <c r="U577" s="57"/>
      <c r="V577" s="57"/>
      <c r="W577" s="57"/>
      <c r="X577" s="57"/>
      <c r="Y577" s="57"/>
      <c r="Z577" s="57"/>
      <c r="AA577" s="57"/>
      <c r="AB577" s="57"/>
    </row>
    <row r="578">
      <c r="A578" s="185" t="str">
        <f t="shared" si="17"/>
        <v/>
      </c>
      <c r="B578" s="141"/>
      <c r="C578" s="117"/>
      <c r="D578" s="117"/>
      <c r="E578" s="117"/>
      <c r="F578" s="117"/>
      <c r="G578" s="189"/>
      <c r="H578" s="189"/>
      <c r="I578" s="48"/>
      <c r="J578" s="189"/>
      <c r="K578" s="220"/>
      <c r="L578" s="220"/>
      <c r="M578" s="197"/>
      <c r="N578" s="375"/>
      <c r="O578" s="376"/>
      <c r="P578" s="220"/>
      <c r="Q578" s="117"/>
      <c r="R578" s="189"/>
      <c r="S578" s="141"/>
      <c r="T578" s="141"/>
      <c r="U578" s="57"/>
      <c r="V578" s="57"/>
      <c r="W578" s="57"/>
      <c r="X578" s="57"/>
      <c r="Y578" s="57"/>
      <c r="Z578" s="57"/>
      <c r="AA578" s="57"/>
      <c r="AB578" s="57"/>
    </row>
    <row r="579">
      <c r="A579" s="185" t="str">
        <f t="shared" si="17"/>
        <v/>
      </c>
      <c r="B579" s="141"/>
      <c r="C579" s="117"/>
      <c r="D579" s="117"/>
      <c r="E579" s="117"/>
      <c r="F579" s="117"/>
      <c r="G579" s="189"/>
      <c r="H579" s="189"/>
      <c r="I579" s="48"/>
      <c r="J579" s="189"/>
      <c r="K579" s="220"/>
      <c r="L579" s="220"/>
      <c r="M579" s="197"/>
      <c r="N579" s="375"/>
      <c r="O579" s="376"/>
      <c r="P579" s="220"/>
      <c r="Q579" s="117"/>
      <c r="R579" s="189"/>
      <c r="S579" s="141"/>
      <c r="T579" s="141"/>
      <c r="U579" s="57"/>
      <c r="V579" s="57"/>
      <c r="W579" s="57"/>
      <c r="X579" s="57"/>
      <c r="Y579" s="57"/>
      <c r="Z579" s="57"/>
      <c r="AA579" s="57"/>
      <c r="AB579" s="57"/>
    </row>
    <row r="580">
      <c r="A580" s="185" t="str">
        <f t="shared" si="17"/>
        <v/>
      </c>
      <c r="B580" s="141"/>
      <c r="C580" s="117"/>
      <c r="D580" s="117"/>
      <c r="E580" s="117"/>
      <c r="F580" s="117"/>
      <c r="G580" s="189"/>
      <c r="H580" s="189"/>
      <c r="I580" s="48"/>
      <c r="J580" s="189"/>
      <c r="K580" s="220"/>
      <c r="L580" s="220"/>
      <c r="M580" s="197"/>
      <c r="N580" s="375"/>
      <c r="O580" s="376"/>
      <c r="P580" s="220"/>
      <c r="Q580" s="117"/>
      <c r="R580" s="189"/>
      <c r="S580" s="141"/>
      <c r="T580" s="141"/>
      <c r="U580" s="57"/>
      <c r="V580" s="57"/>
      <c r="W580" s="57"/>
      <c r="X580" s="57"/>
      <c r="Y580" s="57"/>
      <c r="Z580" s="57"/>
      <c r="AA580" s="57"/>
      <c r="AB580" s="57"/>
    </row>
    <row r="581">
      <c r="A581" s="185" t="str">
        <f t="shared" si="17"/>
        <v/>
      </c>
      <c r="B581" s="141"/>
      <c r="C581" s="117"/>
      <c r="D581" s="117"/>
      <c r="E581" s="117"/>
      <c r="F581" s="117"/>
      <c r="G581" s="189"/>
      <c r="H581" s="189"/>
      <c r="I581" s="48"/>
      <c r="J581" s="189"/>
      <c r="K581" s="220"/>
      <c r="L581" s="220"/>
      <c r="M581" s="197"/>
      <c r="N581" s="375"/>
      <c r="O581" s="376"/>
      <c r="P581" s="220"/>
      <c r="Q581" s="117"/>
      <c r="R581" s="189"/>
      <c r="S581" s="141"/>
      <c r="T581" s="141"/>
      <c r="U581" s="57"/>
      <c r="V581" s="57"/>
      <c r="W581" s="57"/>
      <c r="X581" s="57"/>
      <c r="Y581" s="57"/>
      <c r="Z581" s="57"/>
      <c r="AA581" s="57"/>
      <c r="AB581" s="57"/>
    </row>
    <row r="582">
      <c r="A582" s="185" t="str">
        <f t="shared" si="17"/>
        <v/>
      </c>
      <c r="B582" s="141"/>
      <c r="C582" s="117"/>
      <c r="D582" s="117"/>
      <c r="E582" s="117"/>
      <c r="F582" s="117"/>
      <c r="G582" s="189"/>
      <c r="H582" s="189"/>
      <c r="I582" s="48"/>
      <c r="J582" s="189"/>
      <c r="K582" s="220"/>
      <c r="L582" s="220"/>
      <c r="M582" s="197"/>
      <c r="N582" s="375"/>
      <c r="O582" s="376"/>
      <c r="P582" s="220"/>
      <c r="Q582" s="117"/>
      <c r="R582" s="189"/>
      <c r="S582" s="141"/>
      <c r="T582" s="141"/>
      <c r="U582" s="57"/>
      <c r="V582" s="57"/>
      <c r="W582" s="57"/>
      <c r="X582" s="57"/>
      <c r="Y582" s="57"/>
      <c r="Z582" s="57"/>
      <c r="AA582" s="57"/>
      <c r="AB582" s="57"/>
    </row>
    <row r="583">
      <c r="A583" s="185" t="str">
        <f t="shared" si="17"/>
        <v/>
      </c>
      <c r="B583" s="141"/>
      <c r="C583" s="117"/>
      <c r="D583" s="117"/>
      <c r="E583" s="117"/>
      <c r="F583" s="117"/>
      <c r="G583" s="189"/>
      <c r="H583" s="189"/>
      <c r="I583" s="48"/>
      <c r="J583" s="189"/>
      <c r="K583" s="220"/>
      <c r="L583" s="220"/>
      <c r="M583" s="197"/>
      <c r="N583" s="375"/>
      <c r="O583" s="376"/>
      <c r="P583" s="220"/>
      <c r="Q583" s="117"/>
      <c r="R583" s="189"/>
      <c r="S583" s="141"/>
      <c r="T583" s="141"/>
      <c r="U583" s="57"/>
      <c r="V583" s="57"/>
      <c r="W583" s="57"/>
      <c r="X583" s="57"/>
      <c r="Y583" s="57"/>
      <c r="Z583" s="57"/>
      <c r="AA583" s="57"/>
      <c r="AB583" s="57"/>
    </row>
    <row r="584">
      <c r="A584" s="185" t="str">
        <f t="shared" si="17"/>
        <v/>
      </c>
      <c r="B584" s="141"/>
      <c r="C584" s="117"/>
      <c r="D584" s="117"/>
      <c r="E584" s="117"/>
      <c r="F584" s="117"/>
      <c r="G584" s="189"/>
      <c r="H584" s="189"/>
      <c r="I584" s="48"/>
      <c r="J584" s="189"/>
      <c r="K584" s="220"/>
      <c r="L584" s="220"/>
      <c r="M584" s="197"/>
      <c r="N584" s="375"/>
      <c r="O584" s="376"/>
      <c r="P584" s="220"/>
      <c r="Q584" s="117"/>
      <c r="R584" s="189"/>
      <c r="S584" s="141"/>
      <c r="T584" s="141"/>
      <c r="U584" s="57"/>
      <c r="V584" s="57"/>
      <c r="W584" s="57"/>
      <c r="X584" s="57"/>
      <c r="Y584" s="57"/>
      <c r="Z584" s="57"/>
      <c r="AA584" s="57"/>
      <c r="AB584" s="57"/>
    </row>
    <row r="585">
      <c r="A585" s="185" t="str">
        <f t="shared" si="17"/>
        <v/>
      </c>
      <c r="B585" s="141"/>
      <c r="C585" s="117"/>
      <c r="D585" s="117"/>
      <c r="E585" s="117"/>
      <c r="F585" s="117"/>
      <c r="G585" s="189"/>
      <c r="H585" s="189"/>
      <c r="I585" s="48"/>
      <c r="J585" s="189"/>
      <c r="K585" s="220"/>
      <c r="L585" s="220"/>
      <c r="M585" s="197"/>
      <c r="N585" s="375"/>
      <c r="O585" s="376"/>
      <c r="P585" s="220"/>
      <c r="Q585" s="117"/>
      <c r="R585" s="189"/>
      <c r="S585" s="141"/>
      <c r="T585" s="141"/>
      <c r="U585" s="57"/>
      <c r="V585" s="57"/>
      <c r="W585" s="57"/>
      <c r="X585" s="57"/>
      <c r="Y585" s="57"/>
      <c r="Z585" s="57"/>
      <c r="AA585" s="57"/>
      <c r="AB585" s="57"/>
    </row>
    <row r="586">
      <c r="A586" s="185" t="str">
        <f t="shared" si="17"/>
        <v/>
      </c>
      <c r="B586" s="141"/>
      <c r="C586" s="117"/>
      <c r="D586" s="117"/>
      <c r="E586" s="117"/>
      <c r="F586" s="117"/>
      <c r="G586" s="189"/>
      <c r="H586" s="189"/>
      <c r="I586" s="48"/>
      <c r="J586" s="189"/>
      <c r="K586" s="220"/>
      <c r="L586" s="220"/>
      <c r="M586" s="197"/>
      <c r="N586" s="375"/>
      <c r="O586" s="376"/>
      <c r="P586" s="220"/>
      <c r="Q586" s="117"/>
      <c r="R586" s="189"/>
      <c r="S586" s="141"/>
      <c r="T586" s="141"/>
      <c r="U586" s="57"/>
      <c r="V586" s="57"/>
      <c r="W586" s="57"/>
      <c r="X586" s="57"/>
      <c r="Y586" s="57"/>
      <c r="Z586" s="57"/>
      <c r="AA586" s="57"/>
      <c r="AB586" s="57"/>
    </row>
    <row r="587">
      <c r="A587" s="185" t="str">
        <f t="shared" si="17"/>
        <v/>
      </c>
      <c r="B587" s="141"/>
      <c r="C587" s="117"/>
      <c r="D587" s="117"/>
      <c r="E587" s="117"/>
      <c r="F587" s="117"/>
      <c r="G587" s="189"/>
      <c r="H587" s="189"/>
      <c r="I587" s="48"/>
      <c r="J587" s="189"/>
      <c r="K587" s="220"/>
      <c r="L587" s="220"/>
      <c r="M587" s="197"/>
      <c r="N587" s="375"/>
      <c r="O587" s="376"/>
      <c r="P587" s="220"/>
      <c r="Q587" s="117"/>
      <c r="R587" s="189"/>
      <c r="S587" s="141"/>
      <c r="T587" s="141"/>
      <c r="U587" s="57"/>
      <c r="V587" s="57"/>
      <c r="W587" s="57"/>
      <c r="X587" s="57"/>
      <c r="Y587" s="57"/>
      <c r="Z587" s="57"/>
      <c r="AA587" s="57"/>
      <c r="AB587" s="57"/>
    </row>
    <row r="588">
      <c r="A588" s="185" t="str">
        <f t="shared" si="17"/>
        <v/>
      </c>
      <c r="B588" s="141"/>
      <c r="C588" s="117"/>
      <c r="D588" s="117"/>
      <c r="E588" s="117"/>
      <c r="F588" s="117"/>
      <c r="G588" s="189"/>
      <c r="H588" s="189"/>
      <c r="I588" s="48"/>
      <c r="J588" s="189"/>
      <c r="K588" s="220"/>
      <c r="L588" s="220"/>
      <c r="M588" s="197"/>
      <c r="N588" s="375"/>
      <c r="O588" s="376"/>
      <c r="P588" s="220"/>
      <c r="Q588" s="117"/>
      <c r="R588" s="189"/>
      <c r="S588" s="141"/>
      <c r="T588" s="141"/>
      <c r="U588" s="57"/>
      <c r="V588" s="57"/>
      <c r="W588" s="57"/>
      <c r="X588" s="57"/>
      <c r="Y588" s="57"/>
      <c r="Z588" s="57"/>
      <c r="AA588" s="57"/>
      <c r="AB588" s="57"/>
    </row>
    <row r="589">
      <c r="A589" s="185" t="str">
        <f t="shared" si="17"/>
        <v/>
      </c>
      <c r="B589" s="141"/>
      <c r="C589" s="117"/>
      <c r="D589" s="117"/>
      <c r="E589" s="117"/>
      <c r="F589" s="117"/>
      <c r="G589" s="189"/>
      <c r="H589" s="189"/>
      <c r="I589" s="48"/>
      <c r="J589" s="189"/>
      <c r="K589" s="220"/>
      <c r="L589" s="220"/>
      <c r="M589" s="197"/>
      <c r="N589" s="375"/>
      <c r="O589" s="376"/>
      <c r="P589" s="220"/>
      <c r="Q589" s="117"/>
      <c r="R589" s="189"/>
      <c r="S589" s="141"/>
      <c r="T589" s="141"/>
      <c r="U589" s="57"/>
      <c r="V589" s="57"/>
      <c r="W589" s="57"/>
      <c r="X589" s="57"/>
      <c r="Y589" s="57"/>
      <c r="Z589" s="57"/>
      <c r="AA589" s="57"/>
      <c r="AB589" s="57"/>
    </row>
    <row r="590">
      <c r="A590" s="185" t="str">
        <f t="shared" si="17"/>
        <v/>
      </c>
      <c r="B590" s="141"/>
      <c r="C590" s="117"/>
      <c r="D590" s="117"/>
      <c r="E590" s="117"/>
      <c r="F590" s="117"/>
      <c r="G590" s="189"/>
      <c r="H590" s="189"/>
      <c r="I590" s="48"/>
      <c r="J590" s="189"/>
      <c r="K590" s="220"/>
      <c r="L590" s="220"/>
      <c r="M590" s="197"/>
      <c r="N590" s="375"/>
      <c r="O590" s="376"/>
      <c r="P590" s="220"/>
      <c r="Q590" s="117"/>
      <c r="R590" s="189"/>
      <c r="S590" s="141"/>
      <c r="T590" s="141"/>
      <c r="U590" s="57"/>
      <c r="V590" s="57"/>
      <c r="W590" s="57"/>
      <c r="X590" s="57"/>
      <c r="Y590" s="57"/>
      <c r="Z590" s="57"/>
      <c r="AA590" s="57"/>
      <c r="AB590" s="57"/>
    </row>
    <row r="591">
      <c r="A591" s="185" t="str">
        <f t="shared" si="17"/>
        <v/>
      </c>
      <c r="B591" s="141"/>
      <c r="C591" s="117"/>
      <c r="D591" s="117"/>
      <c r="E591" s="117"/>
      <c r="F591" s="117"/>
      <c r="G591" s="189"/>
      <c r="H591" s="189"/>
      <c r="I591" s="48"/>
      <c r="J591" s="189"/>
      <c r="K591" s="220"/>
      <c r="L591" s="220"/>
      <c r="M591" s="197"/>
      <c r="N591" s="375"/>
      <c r="O591" s="376"/>
      <c r="P591" s="220"/>
      <c r="Q591" s="117"/>
      <c r="R591" s="189"/>
      <c r="S591" s="141"/>
      <c r="T591" s="141"/>
      <c r="U591" s="57"/>
      <c r="V591" s="57"/>
      <c r="W591" s="57"/>
      <c r="X591" s="57"/>
      <c r="Y591" s="57"/>
      <c r="Z591" s="57"/>
      <c r="AA591" s="57"/>
      <c r="AB591" s="57"/>
    </row>
    <row r="592">
      <c r="A592" s="185" t="str">
        <f t="shared" si="17"/>
        <v/>
      </c>
      <c r="B592" s="141"/>
      <c r="C592" s="117"/>
      <c r="D592" s="117"/>
      <c r="E592" s="117"/>
      <c r="F592" s="117"/>
      <c r="G592" s="189"/>
      <c r="H592" s="189"/>
      <c r="I592" s="48"/>
      <c r="J592" s="189"/>
      <c r="K592" s="220"/>
      <c r="L592" s="220"/>
      <c r="M592" s="197"/>
      <c r="N592" s="375"/>
      <c r="O592" s="376"/>
      <c r="P592" s="220"/>
      <c r="Q592" s="117"/>
      <c r="R592" s="189"/>
      <c r="S592" s="141"/>
      <c r="T592" s="141"/>
      <c r="U592" s="57"/>
      <c r="V592" s="57"/>
      <c r="W592" s="57"/>
      <c r="X592" s="57"/>
      <c r="Y592" s="57"/>
      <c r="Z592" s="57"/>
      <c r="AA592" s="57"/>
      <c r="AB592" s="57"/>
    </row>
    <row r="593">
      <c r="A593" s="185" t="str">
        <f t="shared" si="17"/>
        <v/>
      </c>
      <c r="B593" s="141"/>
      <c r="C593" s="117"/>
      <c r="D593" s="117"/>
      <c r="E593" s="117"/>
      <c r="F593" s="117"/>
      <c r="G593" s="189"/>
      <c r="H593" s="189"/>
      <c r="I593" s="48"/>
      <c r="J593" s="189"/>
      <c r="K593" s="220"/>
      <c r="L593" s="220"/>
      <c r="M593" s="197"/>
      <c r="N593" s="375"/>
      <c r="O593" s="376"/>
      <c r="P593" s="220"/>
      <c r="Q593" s="117"/>
      <c r="R593" s="189"/>
      <c r="S593" s="141"/>
      <c r="T593" s="141"/>
      <c r="U593" s="57"/>
      <c r="V593" s="57"/>
      <c r="W593" s="57"/>
      <c r="X593" s="57"/>
      <c r="Y593" s="57"/>
      <c r="Z593" s="57"/>
      <c r="AA593" s="57"/>
      <c r="AB593" s="57"/>
    </row>
    <row r="594">
      <c r="A594" s="185" t="str">
        <f t="shared" si="17"/>
        <v/>
      </c>
      <c r="B594" s="141"/>
      <c r="C594" s="117"/>
      <c r="D594" s="117"/>
      <c r="E594" s="117"/>
      <c r="F594" s="117"/>
      <c r="G594" s="189"/>
      <c r="H594" s="189"/>
      <c r="I594" s="48"/>
      <c r="J594" s="189"/>
      <c r="K594" s="220"/>
      <c r="L594" s="220"/>
      <c r="M594" s="197"/>
      <c r="N594" s="375"/>
      <c r="O594" s="376"/>
      <c r="P594" s="220"/>
      <c r="Q594" s="117"/>
      <c r="R594" s="189"/>
      <c r="S594" s="141"/>
      <c r="T594" s="141"/>
      <c r="U594" s="57"/>
      <c r="V594" s="57"/>
      <c r="W594" s="57"/>
      <c r="X594" s="57"/>
      <c r="Y594" s="57"/>
      <c r="Z594" s="57"/>
      <c r="AA594" s="57"/>
      <c r="AB594" s="57"/>
    </row>
    <row r="595">
      <c r="A595" s="185" t="str">
        <f t="shared" si="17"/>
        <v/>
      </c>
      <c r="B595" s="141"/>
      <c r="C595" s="117"/>
      <c r="D595" s="117"/>
      <c r="E595" s="117"/>
      <c r="F595" s="117"/>
      <c r="G595" s="189"/>
      <c r="H595" s="189"/>
      <c r="I595" s="48"/>
      <c r="J595" s="189"/>
      <c r="K595" s="220"/>
      <c r="L595" s="220"/>
      <c r="M595" s="197"/>
      <c r="N595" s="375"/>
      <c r="O595" s="376"/>
      <c r="P595" s="220"/>
      <c r="Q595" s="117"/>
      <c r="R595" s="189"/>
      <c r="S595" s="141"/>
      <c r="T595" s="141"/>
      <c r="U595" s="57"/>
      <c r="V595" s="57"/>
      <c r="W595" s="57"/>
      <c r="X595" s="57"/>
      <c r="Y595" s="57"/>
      <c r="Z595" s="57"/>
      <c r="AA595" s="57"/>
      <c r="AB595" s="57"/>
    </row>
    <row r="596">
      <c r="A596" s="185" t="str">
        <f t="shared" si="17"/>
        <v/>
      </c>
      <c r="B596" s="141"/>
      <c r="C596" s="117"/>
      <c r="D596" s="117"/>
      <c r="E596" s="117"/>
      <c r="F596" s="117"/>
      <c r="G596" s="189"/>
      <c r="H596" s="189"/>
      <c r="I596" s="48"/>
      <c r="J596" s="189"/>
      <c r="K596" s="220"/>
      <c r="L596" s="220"/>
      <c r="M596" s="197"/>
      <c r="N596" s="375"/>
      <c r="O596" s="376"/>
      <c r="P596" s="220"/>
      <c r="Q596" s="117"/>
      <c r="R596" s="189"/>
      <c r="S596" s="141"/>
      <c r="T596" s="141"/>
      <c r="U596" s="57"/>
      <c r="V596" s="57"/>
      <c r="W596" s="57"/>
      <c r="X596" s="57"/>
      <c r="Y596" s="57"/>
      <c r="Z596" s="57"/>
      <c r="AA596" s="57"/>
      <c r="AB596" s="57"/>
    </row>
    <row r="597">
      <c r="A597" s="185" t="str">
        <f t="shared" si="17"/>
        <v/>
      </c>
      <c r="B597" s="141"/>
      <c r="C597" s="117"/>
      <c r="D597" s="117"/>
      <c r="E597" s="117"/>
      <c r="F597" s="117"/>
      <c r="G597" s="189"/>
      <c r="H597" s="189"/>
      <c r="I597" s="48"/>
      <c r="J597" s="189"/>
      <c r="K597" s="220"/>
      <c r="L597" s="220"/>
      <c r="M597" s="197"/>
      <c r="N597" s="375"/>
      <c r="O597" s="376"/>
      <c r="P597" s="220"/>
      <c r="Q597" s="117"/>
      <c r="R597" s="189"/>
      <c r="S597" s="141"/>
      <c r="T597" s="141"/>
      <c r="U597" s="57"/>
      <c r="V597" s="57"/>
      <c r="W597" s="57"/>
      <c r="X597" s="57"/>
      <c r="Y597" s="57"/>
      <c r="Z597" s="57"/>
      <c r="AA597" s="57"/>
      <c r="AB597" s="57"/>
    </row>
    <row r="598">
      <c r="A598" s="185" t="str">
        <f t="shared" si="17"/>
        <v/>
      </c>
      <c r="B598" s="141"/>
      <c r="C598" s="117"/>
      <c r="D598" s="117"/>
      <c r="E598" s="117"/>
      <c r="F598" s="117"/>
      <c r="G598" s="189"/>
      <c r="H598" s="189"/>
      <c r="I598" s="48"/>
      <c r="J598" s="189"/>
      <c r="K598" s="220"/>
      <c r="L598" s="220"/>
      <c r="M598" s="197"/>
      <c r="N598" s="375"/>
      <c r="O598" s="376"/>
      <c r="P598" s="220"/>
      <c r="Q598" s="117"/>
      <c r="R598" s="189"/>
      <c r="S598" s="141"/>
      <c r="T598" s="141"/>
      <c r="U598" s="57"/>
      <c r="V598" s="57"/>
      <c r="W598" s="57"/>
      <c r="X598" s="57"/>
      <c r="Y598" s="57"/>
      <c r="Z598" s="57"/>
      <c r="AA598" s="57"/>
      <c r="AB598" s="57"/>
    </row>
    <row r="599">
      <c r="A599" s="185" t="str">
        <f t="shared" si="17"/>
        <v/>
      </c>
      <c r="B599" s="141"/>
      <c r="C599" s="117"/>
      <c r="D599" s="117"/>
      <c r="E599" s="117"/>
      <c r="F599" s="117"/>
      <c r="G599" s="189"/>
      <c r="H599" s="189"/>
      <c r="I599" s="48"/>
      <c r="J599" s="189"/>
      <c r="K599" s="220"/>
      <c r="L599" s="220"/>
      <c r="M599" s="197"/>
      <c r="N599" s="375"/>
      <c r="O599" s="376"/>
      <c r="P599" s="220"/>
      <c r="Q599" s="117"/>
      <c r="R599" s="189"/>
      <c r="S599" s="141"/>
      <c r="T599" s="141"/>
      <c r="U599" s="57"/>
      <c r="V599" s="57"/>
      <c r="W599" s="57"/>
      <c r="X599" s="57"/>
      <c r="Y599" s="57"/>
      <c r="Z599" s="57"/>
      <c r="AA599" s="57"/>
      <c r="AB599" s="57"/>
    </row>
    <row r="600">
      <c r="A600" s="185" t="str">
        <f t="shared" si="17"/>
        <v/>
      </c>
      <c r="B600" s="141"/>
      <c r="C600" s="117"/>
      <c r="D600" s="117"/>
      <c r="E600" s="117"/>
      <c r="F600" s="117"/>
      <c r="G600" s="189"/>
      <c r="H600" s="189"/>
      <c r="I600" s="48"/>
      <c r="J600" s="189"/>
      <c r="K600" s="220"/>
      <c r="L600" s="220"/>
      <c r="M600" s="197"/>
      <c r="N600" s="375"/>
      <c r="O600" s="376"/>
      <c r="P600" s="220"/>
      <c r="Q600" s="117"/>
      <c r="R600" s="189"/>
      <c r="S600" s="141"/>
      <c r="T600" s="141"/>
      <c r="U600" s="57"/>
      <c r="V600" s="57"/>
      <c r="W600" s="57"/>
      <c r="X600" s="57"/>
      <c r="Y600" s="57"/>
      <c r="Z600" s="57"/>
      <c r="AA600" s="57"/>
      <c r="AB600" s="57"/>
    </row>
    <row r="601">
      <c r="A601" s="185" t="str">
        <f t="shared" si="17"/>
        <v/>
      </c>
      <c r="B601" s="141"/>
      <c r="C601" s="117"/>
      <c r="D601" s="117"/>
      <c r="E601" s="117"/>
      <c r="F601" s="117"/>
      <c r="G601" s="189"/>
      <c r="H601" s="189"/>
      <c r="I601" s="48"/>
      <c r="J601" s="189"/>
      <c r="K601" s="220"/>
      <c r="L601" s="220"/>
      <c r="M601" s="197"/>
      <c r="N601" s="375"/>
      <c r="O601" s="376"/>
      <c r="P601" s="220"/>
      <c r="Q601" s="117"/>
      <c r="R601" s="189"/>
      <c r="S601" s="141"/>
      <c r="T601" s="141"/>
      <c r="U601" s="57"/>
      <c r="V601" s="57"/>
      <c r="W601" s="57"/>
      <c r="X601" s="57"/>
      <c r="Y601" s="57"/>
      <c r="Z601" s="57"/>
      <c r="AA601" s="57"/>
      <c r="AB601" s="57"/>
    </row>
    <row r="602">
      <c r="A602" s="185" t="str">
        <f t="shared" si="17"/>
        <v/>
      </c>
      <c r="B602" s="141"/>
      <c r="C602" s="117"/>
      <c r="D602" s="117"/>
      <c r="E602" s="117"/>
      <c r="F602" s="117"/>
      <c r="G602" s="189"/>
      <c r="H602" s="189"/>
      <c r="I602" s="48"/>
      <c r="J602" s="189"/>
      <c r="K602" s="220"/>
      <c r="L602" s="220"/>
      <c r="M602" s="197"/>
      <c r="N602" s="375"/>
      <c r="O602" s="376"/>
      <c r="P602" s="220"/>
      <c r="Q602" s="117"/>
      <c r="R602" s="189"/>
      <c r="S602" s="141"/>
      <c r="T602" s="141"/>
      <c r="U602" s="57"/>
      <c r="V602" s="57"/>
      <c r="W602" s="57"/>
      <c r="X602" s="57"/>
      <c r="Y602" s="57"/>
      <c r="Z602" s="57"/>
      <c r="AA602" s="57"/>
      <c r="AB602" s="57"/>
    </row>
    <row r="603">
      <c r="A603" s="185" t="str">
        <f t="shared" si="17"/>
        <v/>
      </c>
      <c r="B603" s="141"/>
      <c r="C603" s="117"/>
      <c r="D603" s="117"/>
      <c r="E603" s="117"/>
      <c r="F603" s="117"/>
      <c r="G603" s="189"/>
      <c r="H603" s="189"/>
      <c r="I603" s="48"/>
      <c r="J603" s="189"/>
      <c r="K603" s="220"/>
      <c r="L603" s="220"/>
      <c r="M603" s="197"/>
      <c r="N603" s="375"/>
      <c r="O603" s="376"/>
      <c r="P603" s="220"/>
      <c r="Q603" s="117"/>
      <c r="R603" s="189"/>
      <c r="S603" s="141"/>
      <c r="T603" s="141"/>
      <c r="U603" s="57"/>
      <c r="V603" s="57"/>
      <c r="W603" s="57"/>
      <c r="X603" s="57"/>
      <c r="Y603" s="57"/>
      <c r="Z603" s="57"/>
      <c r="AA603" s="57"/>
      <c r="AB603" s="57"/>
    </row>
    <row r="604">
      <c r="A604" s="185" t="str">
        <f t="shared" si="17"/>
        <v/>
      </c>
      <c r="B604" s="141"/>
      <c r="C604" s="117"/>
      <c r="D604" s="117"/>
      <c r="E604" s="117"/>
      <c r="F604" s="117"/>
      <c r="G604" s="189"/>
      <c r="H604" s="189"/>
      <c r="I604" s="48"/>
      <c r="J604" s="189"/>
      <c r="K604" s="220"/>
      <c r="L604" s="220"/>
      <c r="M604" s="197"/>
      <c r="N604" s="375"/>
      <c r="O604" s="376"/>
      <c r="P604" s="220"/>
      <c r="Q604" s="117"/>
      <c r="R604" s="189"/>
      <c r="S604" s="141"/>
      <c r="T604" s="141"/>
      <c r="U604" s="57"/>
      <c r="V604" s="57"/>
      <c r="W604" s="57"/>
      <c r="X604" s="57"/>
      <c r="Y604" s="57"/>
      <c r="Z604" s="57"/>
      <c r="AA604" s="57"/>
      <c r="AB604" s="57"/>
    </row>
    <row r="605">
      <c r="A605" s="185" t="str">
        <f t="shared" si="17"/>
        <v/>
      </c>
      <c r="B605" s="141"/>
      <c r="C605" s="117"/>
      <c r="D605" s="117"/>
      <c r="E605" s="117"/>
      <c r="F605" s="117"/>
      <c r="G605" s="189"/>
      <c r="H605" s="189"/>
      <c r="I605" s="48"/>
      <c r="J605" s="189"/>
      <c r="K605" s="220"/>
      <c r="L605" s="220"/>
      <c r="M605" s="197"/>
      <c r="N605" s="375"/>
      <c r="O605" s="376"/>
      <c r="P605" s="220"/>
      <c r="Q605" s="117"/>
      <c r="R605" s="189"/>
      <c r="S605" s="141"/>
      <c r="T605" s="141"/>
      <c r="U605" s="57"/>
      <c r="V605" s="57"/>
      <c r="W605" s="57"/>
      <c r="X605" s="57"/>
      <c r="Y605" s="57"/>
      <c r="Z605" s="57"/>
      <c r="AA605" s="57"/>
      <c r="AB605" s="57"/>
    </row>
    <row r="606">
      <c r="A606" s="185" t="str">
        <f t="shared" si="17"/>
        <v/>
      </c>
      <c r="B606" s="141"/>
      <c r="C606" s="117"/>
      <c r="D606" s="117"/>
      <c r="E606" s="117"/>
      <c r="F606" s="117"/>
      <c r="G606" s="189"/>
      <c r="H606" s="189"/>
      <c r="I606" s="48"/>
      <c r="J606" s="189"/>
      <c r="K606" s="220"/>
      <c r="L606" s="220"/>
      <c r="M606" s="197"/>
      <c r="N606" s="375"/>
      <c r="O606" s="376"/>
      <c r="P606" s="220"/>
      <c r="Q606" s="117"/>
      <c r="R606" s="189"/>
      <c r="S606" s="141"/>
      <c r="T606" s="141"/>
      <c r="U606" s="57"/>
      <c r="V606" s="57"/>
      <c r="W606" s="57"/>
      <c r="X606" s="57"/>
      <c r="Y606" s="57"/>
      <c r="Z606" s="57"/>
      <c r="AA606" s="57"/>
      <c r="AB606" s="57"/>
    </row>
    <row r="607">
      <c r="A607" s="185" t="str">
        <f t="shared" si="17"/>
        <v/>
      </c>
      <c r="B607" s="141"/>
      <c r="C607" s="117"/>
      <c r="D607" s="117"/>
      <c r="E607" s="117"/>
      <c r="F607" s="117"/>
      <c r="G607" s="189"/>
      <c r="H607" s="189"/>
      <c r="I607" s="48"/>
      <c r="J607" s="189"/>
      <c r="K607" s="220"/>
      <c r="L607" s="220"/>
      <c r="M607" s="197"/>
      <c r="N607" s="375"/>
      <c r="O607" s="376"/>
      <c r="P607" s="220"/>
      <c r="Q607" s="117"/>
      <c r="R607" s="189"/>
      <c r="S607" s="141"/>
      <c r="T607" s="141"/>
      <c r="U607" s="57"/>
      <c r="V607" s="57"/>
      <c r="W607" s="57"/>
      <c r="X607" s="57"/>
      <c r="Y607" s="57"/>
      <c r="Z607" s="57"/>
      <c r="AA607" s="57"/>
      <c r="AB607" s="57"/>
    </row>
    <row r="608">
      <c r="A608" s="185" t="str">
        <f t="shared" si="17"/>
        <v/>
      </c>
      <c r="B608" s="141"/>
      <c r="C608" s="117"/>
      <c r="D608" s="117"/>
      <c r="E608" s="117"/>
      <c r="F608" s="117"/>
      <c r="G608" s="189"/>
      <c r="H608" s="189"/>
      <c r="I608" s="48"/>
      <c r="J608" s="189"/>
      <c r="K608" s="220"/>
      <c r="L608" s="220"/>
      <c r="M608" s="197"/>
      <c r="N608" s="375"/>
      <c r="O608" s="376"/>
      <c r="P608" s="220"/>
      <c r="Q608" s="117"/>
      <c r="R608" s="189"/>
      <c r="S608" s="141"/>
      <c r="T608" s="141"/>
      <c r="U608" s="57"/>
      <c r="V608" s="57"/>
      <c r="W608" s="57"/>
      <c r="X608" s="57"/>
      <c r="Y608" s="57"/>
      <c r="Z608" s="57"/>
      <c r="AA608" s="57"/>
      <c r="AB608" s="57"/>
    </row>
    <row r="609">
      <c r="A609" s="185" t="str">
        <f t="shared" si="17"/>
        <v/>
      </c>
      <c r="B609" s="141"/>
      <c r="C609" s="117"/>
      <c r="D609" s="117"/>
      <c r="E609" s="117"/>
      <c r="F609" s="117"/>
      <c r="G609" s="189"/>
      <c r="H609" s="189"/>
      <c r="I609" s="48"/>
      <c r="J609" s="189"/>
      <c r="K609" s="220"/>
      <c r="L609" s="220"/>
      <c r="M609" s="197"/>
      <c r="N609" s="375"/>
      <c r="O609" s="376"/>
      <c r="P609" s="220"/>
      <c r="Q609" s="117"/>
      <c r="R609" s="189"/>
      <c r="S609" s="141"/>
      <c r="T609" s="141"/>
      <c r="U609" s="57"/>
      <c r="V609" s="57"/>
      <c r="W609" s="57"/>
      <c r="X609" s="57"/>
      <c r="Y609" s="57"/>
      <c r="Z609" s="57"/>
      <c r="AA609" s="57"/>
      <c r="AB609" s="57"/>
    </row>
    <row r="610">
      <c r="A610" s="185" t="str">
        <f t="shared" si="17"/>
        <v/>
      </c>
      <c r="B610" s="141"/>
      <c r="C610" s="117"/>
      <c r="D610" s="117"/>
      <c r="E610" s="117"/>
      <c r="F610" s="117"/>
      <c r="G610" s="189"/>
      <c r="H610" s="189"/>
      <c r="I610" s="48"/>
      <c r="J610" s="189"/>
      <c r="K610" s="220"/>
      <c r="L610" s="220"/>
      <c r="M610" s="197"/>
      <c r="N610" s="375"/>
      <c r="O610" s="376"/>
      <c r="P610" s="220"/>
      <c r="Q610" s="117"/>
      <c r="R610" s="189"/>
      <c r="S610" s="141"/>
      <c r="T610" s="141"/>
      <c r="U610" s="57"/>
      <c r="V610" s="57"/>
      <c r="W610" s="57"/>
      <c r="X610" s="57"/>
      <c r="Y610" s="57"/>
      <c r="Z610" s="57"/>
      <c r="AA610" s="57"/>
      <c r="AB610" s="57"/>
    </row>
    <row r="611">
      <c r="A611" s="185" t="str">
        <f t="shared" si="17"/>
        <v/>
      </c>
      <c r="B611" s="141"/>
      <c r="C611" s="117"/>
      <c r="D611" s="117"/>
      <c r="E611" s="117"/>
      <c r="F611" s="117"/>
      <c r="G611" s="189"/>
      <c r="H611" s="189"/>
      <c r="I611" s="48"/>
      <c r="J611" s="189"/>
      <c r="K611" s="220"/>
      <c r="L611" s="220"/>
      <c r="M611" s="197"/>
      <c r="N611" s="375"/>
      <c r="O611" s="376"/>
      <c r="P611" s="220"/>
      <c r="Q611" s="117"/>
      <c r="R611" s="189"/>
      <c r="S611" s="141"/>
      <c r="T611" s="141"/>
      <c r="U611" s="57"/>
      <c r="V611" s="57"/>
      <c r="W611" s="57"/>
      <c r="X611" s="57"/>
      <c r="Y611" s="57"/>
      <c r="Z611" s="57"/>
      <c r="AA611" s="57"/>
      <c r="AB611" s="57"/>
    </row>
    <row r="612">
      <c r="A612" s="185" t="str">
        <f t="shared" si="17"/>
        <v/>
      </c>
      <c r="B612" s="141"/>
      <c r="C612" s="117"/>
      <c r="D612" s="117"/>
      <c r="E612" s="117"/>
      <c r="F612" s="117"/>
      <c r="G612" s="189"/>
      <c r="H612" s="189"/>
      <c r="I612" s="48"/>
      <c r="J612" s="189"/>
      <c r="K612" s="220"/>
      <c r="L612" s="220"/>
      <c r="M612" s="197"/>
      <c r="N612" s="375"/>
      <c r="O612" s="376"/>
      <c r="P612" s="220"/>
      <c r="Q612" s="117"/>
      <c r="R612" s="189"/>
      <c r="S612" s="141"/>
      <c r="T612" s="141"/>
      <c r="U612" s="57"/>
      <c r="V612" s="57"/>
      <c r="W612" s="57"/>
      <c r="X612" s="57"/>
      <c r="Y612" s="57"/>
      <c r="Z612" s="57"/>
      <c r="AA612" s="57"/>
      <c r="AB612" s="57"/>
    </row>
    <row r="613">
      <c r="A613" s="185" t="str">
        <f t="shared" si="17"/>
        <v/>
      </c>
      <c r="B613" s="141"/>
      <c r="C613" s="117"/>
      <c r="D613" s="117"/>
      <c r="E613" s="117"/>
      <c r="F613" s="117"/>
      <c r="G613" s="189"/>
      <c r="H613" s="189"/>
      <c r="I613" s="48"/>
      <c r="J613" s="189"/>
      <c r="K613" s="220"/>
      <c r="L613" s="220"/>
      <c r="M613" s="197"/>
      <c r="N613" s="375"/>
      <c r="O613" s="376"/>
      <c r="P613" s="220"/>
      <c r="Q613" s="117"/>
      <c r="R613" s="189"/>
      <c r="S613" s="141"/>
      <c r="T613" s="141"/>
      <c r="U613" s="57"/>
      <c r="V613" s="57"/>
      <c r="W613" s="57"/>
      <c r="X613" s="57"/>
      <c r="Y613" s="57"/>
      <c r="Z613" s="57"/>
      <c r="AA613" s="57"/>
      <c r="AB613" s="57"/>
    </row>
    <row r="614">
      <c r="A614" s="185" t="str">
        <f t="shared" si="17"/>
        <v/>
      </c>
      <c r="B614" s="141"/>
      <c r="C614" s="117"/>
      <c r="D614" s="117"/>
      <c r="E614" s="117"/>
      <c r="F614" s="117"/>
      <c r="G614" s="189"/>
      <c r="H614" s="189"/>
      <c r="I614" s="48"/>
      <c r="J614" s="189"/>
      <c r="K614" s="220"/>
      <c r="L614" s="220"/>
      <c r="M614" s="197"/>
      <c r="N614" s="375"/>
      <c r="O614" s="376"/>
      <c r="P614" s="220"/>
      <c r="Q614" s="117"/>
      <c r="R614" s="189"/>
      <c r="S614" s="141"/>
      <c r="T614" s="141"/>
      <c r="U614" s="57"/>
      <c r="V614" s="57"/>
      <c r="W614" s="57"/>
      <c r="X614" s="57"/>
      <c r="Y614" s="57"/>
      <c r="Z614" s="57"/>
      <c r="AA614" s="57"/>
      <c r="AB614" s="57"/>
    </row>
    <row r="615">
      <c r="A615" s="185" t="str">
        <f t="shared" si="17"/>
        <v/>
      </c>
      <c r="B615" s="141"/>
      <c r="C615" s="117"/>
      <c r="D615" s="117"/>
      <c r="E615" s="117"/>
      <c r="F615" s="117"/>
      <c r="G615" s="189"/>
      <c r="H615" s="189"/>
      <c r="I615" s="48"/>
      <c r="J615" s="189"/>
      <c r="K615" s="220"/>
      <c r="L615" s="220"/>
      <c r="M615" s="197"/>
      <c r="N615" s="375"/>
      <c r="O615" s="376"/>
      <c r="P615" s="220"/>
      <c r="Q615" s="117"/>
      <c r="R615" s="189"/>
      <c r="S615" s="141"/>
      <c r="T615" s="141"/>
      <c r="U615" s="57"/>
      <c r="V615" s="57"/>
      <c r="W615" s="57"/>
      <c r="X615" s="57"/>
      <c r="Y615" s="57"/>
      <c r="Z615" s="57"/>
      <c r="AA615" s="57"/>
      <c r="AB615" s="57"/>
    </row>
    <row r="616">
      <c r="A616" s="185" t="str">
        <f t="shared" si="17"/>
        <v/>
      </c>
      <c r="B616" s="141"/>
      <c r="C616" s="117"/>
      <c r="D616" s="117"/>
      <c r="E616" s="117"/>
      <c r="F616" s="117"/>
      <c r="G616" s="189"/>
      <c r="H616" s="189"/>
      <c r="I616" s="48"/>
      <c r="J616" s="189"/>
      <c r="K616" s="220"/>
      <c r="L616" s="220"/>
      <c r="M616" s="197"/>
      <c r="N616" s="375"/>
      <c r="O616" s="376"/>
      <c r="P616" s="220"/>
      <c r="Q616" s="117"/>
      <c r="R616" s="189"/>
      <c r="S616" s="141"/>
      <c r="T616" s="141"/>
      <c r="U616" s="57"/>
      <c r="V616" s="57"/>
      <c r="W616" s="57"/>
      <c r="X616" s="57"/>
      <c r="Y616" s="57"/>
      <c r="Z616" s="57"/>
      <c r="AA616" s="57"/>
      <c r="AB616" s="57"/>
    </row>
    <row r="617">
      <c r="A617" s="185" t="str">
        <f t="shared" si="17"/>
        <v/>
      </c>
      <c r="B617" s="141"/>
      <c r="C617" s="117"/>
      <c r="D617" s="117"/>
      <c r="E617" s="117"/>
      <c r="F617" s="117"/>
      <c r="G617" s="189"/>
      <c r="H617" s="189"/>
      <c r="I617" s="48"/>
      <c r="J617" s="189"/>
      <c r="K617" s="220"/>
      <c r="L617" s="220"/>
      <c r="M617" s="197"/>
      <c r="N617" s="375"/>
      <c r="O617" s="376"/>
      <c r="P617" s="220"/>
      <c r="Q617" s="117"/>
      <c r="R617" s="189"/>
      <c r="S617" s="141"/>
      <c r="T617" s="141"/>
      <c r="U617" s="57"/>
      <c r="V617" s="57"/>
      <c r="W617" s="57"/>
      <c r="X617" s="57"/>
      <c r="Y617" s="57"/>
      <c r="Z617" s="57"/>
      <c r="AA617" s="57"/>
      <c r="AB617" s="57"/>
    </row>
    <row r="618">
      <c r="A618" s="185" t="str">
        <f t="shared" si="17"/>
        <v/>
      </c>
      <c r="B618" s="141"/>
      <c r="C618" s="117"/>
      <c r="D618" s="117"/>
      <c r="E618" s="117"/>
      <c r="F618" s="117"/>
      <c r="G618" s="189"/>
      <c r="H618" s="189"/>
      <c r="I618" s="48"/>
      <c r="J618" s="189"/>
      <c r="K618" s="220"/>
      <c r="L618" s="220"/>
      <c r="M618" s="197"/>
      <c r="N618" s="375"/>
      <c r="O618" s="376"/>
      <c r="P618" s="220"/>
      <c r="Q618" s="117"/>
      <c r="R618" s="189"/>
      <c r="S618" s="141"/>
      <c r="T618" s="141"/>
      <c r="U618" s="57"/>
      <c r="V618" s="57"/>
      <c r="W618" s="57"/>
      <c r="X618" s="57"/>
      <c r="Y618" s="57"/>
      <c r="Z618" s="57"/>
      <c r="AA618" s="57"/>
      <c r="AB618" s="57"/>
    </row>
    <row r="619">
      <c r="A619" s="185" t="str">
        <f t="shared" si="17"/>
        <v/>
      </c>
      <c r="B619" s="141"/>
      <c r="C619" s="117"/>
      <c r="D619" s="117"/>
      <c r="E619" s="117"/>
      <c r="F619" s="117"/>
      <c r="G619" s="189"/>
      <c r="H619" s="189"/>
      <c r="I619" s="48"/>
      <c r="J619" s="189"/>
      <c r="K619" s="220"/>
      <c r="L619" s="220"/>
      <c r="M619" s="197"/>
      <c r="N619" s="375"/>
      <c r="O619" s="376"/>
      <c r="P619" s="220"/>
      <c r="Q619" s="117"/>
      <c r="R619" s="189"/>
      <c r="S619" s="141"/>
      <c r="T619" s="141"/>
      <c r="U619" s="57"/>
      <c r="V619" s="57"/>
      <c r="W619" s="57"/>
      <c r="X619" s="57"/>
      <c r="Y619" s="57"/>
      <c r="Z619" s="57"/>
      <c r="AA619" s="57"/>
      <c r="AB619" s="57"/>
    </row>
    <row r="620">
      <c r="A620" s="185" t="str">
        <f t="shared" si="17"/>
        <v/>
      </c>
      <c r="B620" s="141"/>
      <c r="C620" s="117"/>
      <c r="D620" s="117"/>
      <c r="E620" s="117"/>
      <c r="F620" s="117"/>
      <c r="G620" s="189"/>
      <c r="H620" s="189"/>
      <c r="I620" s="48"/>
      <c r="J620" s="189"/>
      <c r="K620" s="220"/>
      <c r="L620" s="220"/>
      <c r="M620" s="197"/>
      <c r="N620" s="375"/>
      <c r="O620" s="376"/>
      <c r="P620" s="220"/>
      <c r="Q620" s="117"/>
      <c r="R620" s="189"/>
      <c r="S620" s="141"/>
      <c r="T620" s="141"/>
      <c r="U620" s="57"/>
      <c r="V620" s="57"/>
      <c r="W620" s="57"/>
      <c r="X620" s="57"/>
      <c r="Y620" s="57"/>
      <c r="Z620" s="57"/>
      <c r="AA620" s="57"/>
      <c r="AB620" s="57"/>
    </row>
    <row r="621">
      <c r="A621" s="185" t="str">
        <f t="shared" si="17"/>
        <v/>
      </c>
      <c r="B621" s="141"/>
      <c r="C621" s="117"/>
      <c r="D621" s="117"/>
      <c r="E621" s="117"/>
      <c r="F621" s="117"/>
      <c r="G621" s="189"/>
      <c r="H621" s="189"/>
      <c r="I621" s="48"/>
      <c r="J621" s="189"/>
      <c r="K621" s="220"/>
      <c r="L621" s="220"/>
      <c r="M621" s="197"/>
      <c r="N621" s="375"/>
      <c r="O621" s="376"/>
      <c r="P621" s="220"/>
      <c r="Q621" s="117"/>
      <c r="R621" s="189"/>
      <c r="S621" s="141"/>
      <c r="T621" s="141"/>
      <c r="U621" s="57"/>
      <c r="V621" s="57"/>
      <c r="W621" s="57"/>
      <c r="X621" s="57"/>
      <c r="Y621" s="57"/>
      <c r="Z621" s="57"/>
      <c r="AA621" s="57"/>
      <c r="AB621" s="57"/>
    </row>
    <row r="622">
      <c r="A622" s="185" t="str">
        <f t="shared" si="17"/>
        <v/>
      </c>
      <c r="B622" s="141"/>
      <c r="C622" s="117"/>
      <c r="D622" s="117"/>
      <c r="E622" s="117"/>
      <c r="F622" s="117"/>
      <c r="G622" s="189"/>
      <c r="H622" s="189"/>
      <c r="I622" s="48"/>
      <c r="J622" s="189"/>
      <c r="K622" s="220"/>
      <c r="L622" s="220"/>
      <c r="M622" s="197"/>
      <c r="N622" s="375"/>
      <c r="O622" s="376"/>
      <c r="P622" s="220"/>
      <c r="Q622" s="117"/>
      <c r="R622" s="189"/>
      <c r="S622" s="141"/>
      <c r="T622" s="141"/>
      <c r="U622" s="57"/>
      <c r="V622" s="57"/>
      <c r="W622" s="57"/>
      <c r="X622" s="57"/>
      <c r="Y622" s="57"/>
      <c r="Z622" s="57"/>
      <c r="AA622" s="57"/>
      <c r="AB622" s="57"/>
    </row>
    <row r="623">
      <c r="A623" s="185" t="str">
        <f t="shared" si="17"/>
        <v/>
      </c>
      <c r="B623" s="141"/>
      <c r="C623" s="117"/>
      <c r="D623" s="117"/>
      <c r="E623" s="117"/>
      <c r="F623" s="117"/>
      <c r="G623" s="189"/>
      <c r="H623" s="189"/>
      <c r="I623" s="48"/>
      <c r="J623" s="189"/>
      <c r="K623" s="220"/>
      <c r="L623" s="220"/>
      <c r="M623" s="197"/>
      <c r="N623" s="375"/>
      <c r="O623" s="376"/>
      <c r="P623" s="220"/>
      <c r="Q623" s="117"/>
      <c r="R623" s="189"/>
      <c r="S623" s="141"/>
      <c r="T623" s="141"/>
      <c r="U623" s="57"/>
      <c r="V623" s="57"/>
      <c r="W623" s="57"/>
      <c r="X623" s="57"/>
      <c r="Y623" s="57"/>
      <c r="Z623" s="57"/>
      <c r="AA623" s="57"/>
      <c r="AB623" s="57"/>
    </row>
    <row r="624">
      <c r="A624" s="185" t="str">
        <f t="shared" si="17"/>
        <v/>
      </c>
      <c r="B624" s="141"/>
      <c r="C624" s="117"/>
      <c r="D624" s="117"/>
      <c r="E624" s="117"/>
      <c r="F624" s="117"/>
      <c r="G624" s="189"/>
      <c r="H624" s="189"/>
      <c r="I624" s="48"/>
      <c r="J624" s="189"/>
      <c r="K624" s="220"/>
      <c r="L624" s="220"/>
      <c r="M624" s="197"/>
      <c r="N624" s="375"/>
      <c r="O624" s="376"/>
      <c r="P624" s="220"/>
      <c r="Q624" s="117"/>
      <c r="R624" s="189"/>
      <c r="S624" s="141"/>
      <c r="T624" s="141"/>
      <c r="U624" s="57"/>
      <c r="V624" s="57"/>
      <c r="W624" s="57"/>
      <c r="X624" s="57"/>
      <c r="Y624" s="57"/>
      <c r="Z624" s="57"/>
      <c r="AA624" s="57"/>
      <c r="AB624" s="57"/>
    </row>
    <row r="625">
      <c r="A625" s="185" t="str">
        <f t="shared" si="17"/>
        <v/>
      </c>
      <c r="B625" s="141"/>
      <c r="C625" s="117"/>
      <c r="D625" s="117"/>
      <c r="E625" s="117"/>
      <c r="F625" s="117"/>
      <c r="G625" s="189"/>
      <c r="H625" s="189"/>
      <c r="I625" s="48"/>
      <c r="J625" s="189"/>
      <c r="K625" s="220"/>
      <c r="L625" s="220"/>
      <c r="M625" s="197"/>
      <c r="N625" s="375"/>
      <c r="O625" s="376"/>
      <c r="P625" s="220"/>
      <c r="Q625" s="117"/>
      <c r="R625" s="189"/>
      <c r="S625" s="141"/>
      <c r="T625" s="141"/>
      <c r="U625" s="57"/>
      <c r="V625" s="57"/>
      <c r="W625" s="57"/>
      <c r="X625" s="57"/>
      <c r="Y625" s="57"/>
      <c r="Z625" s="57"/>
      <c r="AA625" s="57"/>
      <c r="AB625" s="57"/>
    </row>
    <row r="626">
      <c r="A626" s="185" t="str">
        <f t="shared" si="17"/>
        <v/>
      </c>
      <c r="B626" s="141"/>
      <c r="C626" s="117"/>
      <c r="D626" s="117"/>
      <c r="E626" s="117"/>
      <c r="F626" s="117"/>
      <c r="G626" s="189"/>
      <c r="H626" s="189"/>
      <c r="I626" s="48"/>
      <c r="J626" s="189"/>
      <c r="K626" s="220"/>
      <c r="L626" s="220"/>
      <c r="M626" s="197"/>
      <c r="N626" s="375"/>
      <c r="O626" s="376"/>
      <c r="P626" s="220"/>
      <c r="Q626" s="117"/>
      <c r="R626" s="189"/>
      <c r="S626" s="141"/>
      <c r="T626" s="141"/>
      <c r="U626" s="57"/>
      <c r="V626" s="57"/>
      <c r="W626" s="57"/>
      <c r="X626" s="57"/>
      <c r="Y626" s="57"/>
      <c r="Z626" s="57"/>
      <c r="AA626" s="57"/>
      <c r="AB626" s="57"/>
    </row>
    <row r="627">
      <c r="A627" s="185" t="str">
        <f t="shared" si="17"/>
        <v/>
      </c>
      <c r="B627" s="141"/>
      <c r="C627" s="117"/>
      <c r="D627" s="117"/>
      <c r="E627" s="117"/>
      <c r="F627" s="117"/>
      <c r="G627" s="189"/>
      <c r="H627" s="189"/>
      <c r="I627" s="48"/>
      <c r="J627" s="189"/>
      <c r="K627" s="220"/>
      <c r="L627" s="220"/>
      <c r="M627" s="197"/>
      <c r="N627" s="375"/>
      <c r="O627" s="376"/>
      <c r="P627" s="220"/>
      <c r="Q627" s="117"/>
      <c r="R627" s="189"/>
      <c r="S627" s="141"/>
      <c r="T627" s="141"/>
      <c r="U627" s="57"/>
      <c r="V627" s="57"/>
      <c r="W627" s="57"/>
      <c r="X627" s="57"/>
      <c r="Y627" s="57"/>
      <c r="Z627" s="57"/>
      <c r="AA627" s="57"/>
      <c r="AB627" s="57"/>
    </row>
    <row r="628">
      <c r="A628" s="185" t="str">
        <f t="shared" si="17"/>
        <v/>
      </c>
      <c r="B628" s="141"/>
      <c r="C628" s="117"/>
      <c r="D628" s="117"/>
      <c r="E628" s="117"/>
      <c r="F628" s="117"/>
      <c r="G628" s="189"/>
      <c r="H628" s="189"/>
      <c r="I628" s="48"/>
      <c r="J628" s="189"/>
      <c r="K628" s="220"/>
      <c r="L628" s="220"/>
      <c r="M628" s="197"/>
      <c r="N628" s="375"/>
      <c r="O628" s="376"/>
      <c r="P628" s="220"/>
      <c r="Q628" s="117"/>
      <c r="R628" s="189"/>
      <c r="S628" s="141"/>
      <c r="T628" s="141"/>
      <c r="U628" s="57"/>
      <c r="V628" s="57"/>
      <c r="W628" s="57"/>
      <c r="X628" s="57"/>
      <c r="Y628" s="57"/>
      <c r="Z628" s="57"/>
      <c r="AA628" s="57"/>
      <c r="AB628" s="57"/>
    </row>
    <row r="629">
      <c r="A629" s="185" t="str">
        <f t="shared" si="17"/>
        <v/>
      </c>
      <c r="B629" s="141"/>
      <c r="C629" s="117"/>
      <c r="D629" s="117"/>
      <c r="E629" s="117"/>
      <c r="F629" s="117"/>
      <c r="G629" s="189"/>
      <c r="H629" s="189"/>
      <c r="I629" s="48"/>
      <c r="J629" s="189"/>
      <c r="K629" s="220"/>
      <c r="L629" s="220"/>
      <c r="M629" s="197"/>
      <c r="N629" s="375"/>
      <c r="O629" s="376"/>
      <c r="P629" s="220"/>
      <c r="Q629" s="117"/>
      <c r="R629" s="189"/>
      <c r="S629" s="141"/>
      <c r="T629" s="141"/>
      <c r="U629" s="57"/>
      <c r="V629" s="57"/>
      <c r="W629" s="57"/>
      <c r="X629" s="57"/>
      <c r="Y629" s="57"/>
      <c r="Z629" s="57"/>
      <c r="AA629" s="57"/>
      <c r="AB629" s="57"/>
    </row>
    <row r="630">
      <c r="A630" s="185" t="str">
        <f t="shared" si="17"/>
        <v/>
      </c>
      <c r="B630" s="141"/>
      <c r="C630" s="117"/>
      <c r="D630" s="117"/>
      <c r="E630" s="117"/>
      <c r="F630" s="117"/>
      <c r="G630" s="189"/>
      <c r="H630" s="189"/>
      <c r="I630" s="48"/>
      <c r="J630" s="189"/>
      <c r="K630" s="220"/>
      <c r="L630" s="220"/>
      <c r="M630" s="197"/>
      <c r="N630" s="375"/>
      <c r="O630" s="376"/>
      <c r="P630" s="220"/>
      <c r="Q630" s="117"/>
      <c r="R630" s="189"/>
      <c r="S630" s="141"/>
      <c r="T630" s="141"/>
      <c r="U630" s="57"/>
      <c r="V630" s="57"/>
      <c r="W630" s="57"/>
      <c r="X630" s="57"/>
      <c r="Y630" s="57"/>
      <c r="Z630" s="57"/>
      <c r="AA630" s="57"/>
      <c r="AB630" s="57"/>
    </row>
    <row r="631">
      <c r="A631" s="185" t="str">
        <f t="shared" si="17"/>
        <v/>
      </c>
      <c r="B631" s="141"/>
      <c r="C631" s="117"/>
      <c r="D631" s="117"/>
      <c r="E631" s="117"/>
      <c r="F631" s="117"/>
      <c r="G631" s="189"/>
      <c r="H631" s="189"/>
      <c r="I631" s="48"/>
      <c r="J631" s="189"/>
      <c r="K631" s="220"/>
      <c r="L631" s="220"/>
      <c r="M631" s="197"/>
      <c r="N631" s="375"/>
      <c r="O631" s="376"/>
      <c r="P631" s="220"/>
      <c r="Q631" s="117"/>
      <c r="R631" s="189"/>
      <c r="S631" s="141"/>
      <c r="T631" s="141"/>
      <c r="U631" s="57"/>
      <c r="V631" s="57"/>
      <c r="W631" s="57"/>
      <c r="X631" s="57"/>
      <c r="Y631" s="57"/>
      <c r="Z631" s="57"/>
      <c r="AA631" s="57"/>
      <c r="AB631" s="57"/>
    </row>
    <row r="632">
      <c r="A632" s="185" t="str">
        <f t="shared" si="17"/>
        <v/>
      </c>
      <c r="B632" s="141"/>
      <c r="C632" s="117"/>
      <c r="D632" s="117"/>
      <c r="E632" s="117"/>
      <c r="F632" s="117"/>
      <c r="G632" s="189"/>
      <c r="H632" s="189"/>
      <c r="I632" s="48"/>
      <c r="J632" s="189"/>
      <c r="K632" s="220"/>
      <c r="L632" s="220"/>
      <c r="M632" s="197"/>
      <c r="N632" s="375"/>
      <c r="O632" s="376"/>
      <c r="P632" s="220"/>
      <c r="Q632" s="117"/>
      <c r="R632" s="189"/>
      <c r="S632" s="141"/>
      <c r="T632" s="141"/>
      <c r="U632" s="57"/>
      <c r="V632" s="57"/>
      <c r="W632" s="57"/>
      <c r="X632" s="57"/>
      <c r="Y632" s="57"/>
      <c r="Z632" s="57"/>
      <c r="AA632" s="57"/>
      <c r="AB632" s="57"/>
    </row>
    <row r="633">
      <c r="A633" s="185" t="str">
        <f t="shared" si="17"/>
        <v/>
      </c>
      <c r="B633" s="141"/>
      <c r="C633" s="117"/>
      <c r="D633" s="117"/>
      <c r="E633" s="117"/>
      <c r="F633" s="117"/>
      <c r="G633" s="189"/>
      <c r="H633" s="189"/>
      <c r="I633" s="48"/>
      <c r="J633" s="189"/>
      <c r="K633" s="220"/>
      <c r="L633" s="220"/>
      <c r="M633" s="197"/>
      <c r="N633" s="375"/>
      <c r="O633" s="376"/>
      <c r="P633" s="220"/>
      <c r="Q633" s="117"/>
      <c r="R633" s="189"/>
      <c r="S633" s="141"/>
      <c r="T633" s="141"/>
      <c r="U633" s="57"/>
      <c r="V633" s="57"/>
      <c r="W633" s="57"/>
      <c r="X633" s="57"/>
      <c r="Y633" s="57"/>
      <c r="Z633" s="57"/>
      <c r="AA633" s="57"/>
      <c r="AB633" s="57"/>
    </row>
    <row r="634">
      <c r="A634" s="185" t="str">
        <f t="shared" si="17"/>
        <v/>
      </c>
      <c r="B634" s="141"/>
      <c r="C634" s="117"/>
      <c r="D634" s="117"/>
      <c r="E634" s="117"/>
      <c r="F634" s="117"/>
      <c r="G634" s="189"/>
      <c r="H634" s="189"/>
      <c r="I634" s="48"/>
      <c r="J634" s="189"/>
      <c r="K634" s="220"/>
      <c r="L634" s="220"/>
      <c r="M634" s="197"/>
      <c r="N634" s="375"/>
      <c r="O634" s="376"/>
      <c r="P634" s="220"/>
      <c r="Q634" s="117"/>
      <c r="R634" s="189"/>
      <c r="S634" s="141"/>
      <c r="T634" s="141"/>
      <c r="U634" s="57"/>
      <c r="V634" s="57"/>
      <c r="W634" s="57"/>
      <c r="X634" s="57"/>
      <c r="Y634" s="57"/>
      <c r="Z634" s="57"/>
      <c r="AA634" s="57"/>
      <c r="AB634" s="57"/>
    </row>
    <row r="635">
      <c r="A635" s="185" t="str">
        <f t="shared" si="17"/>
        <v/>
      </c>
      <c r="B635" s="141"/>
      <c r="C635" s="117"/>
      <c r="D635" s="117"/>
      <c r="E635" s="117"/>
      <c r="F635" s="117"/>
      <c r="G635" s="189"/>
      <c r="H635" s="189"/>
      <c r="I635" s="48"/>
      <c r="J635" s="189"/>
      <c r="K635" s="220"/>
      <c r="L635" s="220"/>
      <c r="M635" s="197"/>
      <c r="N635" s="375"/>
      <c r="O635" s="376"/>
      <c r="P635" s="220"/>
      <c r="Q635" s="117"/>
      <c r="R635" s="189"/>
      <c r="S635" s="141"/>
      <c r="T635" s="141"/>
      <c r="U635" s="57"/>
      <c r="V635" s="57"/>
      <c r="W635" s="57"/>
      <c r="X635" s="57"/>
      <c r="Y635" s="57"/>
      <c r="Z635" s="57"/>
      <c r="AA635" s="57"/>
      <c r="AB635" s="57"/>
    </row>
    <row r="636">
      <c r="A636" s="185" t="str">
        <f t="shared" si="17"/>
        <v/>
      </c>
      <c r="B636" s="141"/>
      <c r="C636" s="117"/>
      <c r="D636" s="117"/>
      <c r="E636" s="117"/>
      <c r="F636" s="117"/>
      <c r="G636" s="189"/>
      <c r="H636" s="189"/>
      <c r="I636" s="48"/>
      <c r="J636" s="189"/>
      <c r="K636" s="220"/>
      <c r="L636" s="220"/>
      <c r="M636" s="197"/>
      <c r="N636" s="375"/>
      <c r="O636" s="376"/>
      <c r="P636" s="220"/>
      <c r="Q636" s="117"/>
      <c r="R636" s="189"/>
      <c r="S636" s="141"/>
      <c r="T636" s="141"/>
      <c r="U636" s="57"/>
      <c r="V636" s="57"/>
      <c r="W636" s="57"/>
      <c r="X636" s="57"/>
      <c r="Y636" s="57"/>
      <c r="Z636" s="57"/>
      <c r="AA636" s="57"/>
      <c r="AB636" s="57"/>
    </row>
    <row r="637">
      <c r="A637" s="185" t="str">
        <f t="shared" si="17"/>
        <v/>
      </c>
      <c r="B637" s="141"/>
      <c r="C637" s="117"/>
      <c r="D637" s="117"/>
      <c r="E637" s="117"/>
      <c r="F637" s="117"/>
      <c r="G637" s="189"/>
      <c r="H637" s="189"/>
      <c r="I637" s="48"/>
      <c r="J637" s="189"/>
      <c r="K637" s="220"/>
      <c r="L637" s="220"/>
      <c r="M637" s="197"/>
      <c r="N637" s="375"/>
      <c r="O637" s="376"/>
      <c r="P637" s="220"/>
      <c r="Q637" s="117"/>
      <c r="R637" s="189"/>
      <c r="S637" s="141"/>
      <c r="T637" s="141"/>
      <c r="U637" s="57"/>
      <c r="V637" s="57"/>
      <c r="W637" s="57"/>
      <c r="X637" s="57"/>
      <c r="Y637" s="57"/>
      <c r="Z637" s="57"/>
      <c r="AA637" s="57"/>
      <c r="AB637" s="57"/>
    </row>
    <row r="638">
      <c r="A638" s="185" t="str">
        <f t="shared" si="17"/>
        <v/>
      </c>
      <c r="B638" s="141"/>
      <c r="C638" s="117"/>
      <c r="D638" s="117"/>
      <c r="E638" s="117"/>
      <c r="F638" s="117"/>
      <c r="G638" s="189"/>
      <c r="H638" s="189"/>
      <c r="I638" s="48"/>
      <c r="J638" s="189"/>
      <c r="K638" s="220"/>
      <c r="L638" s="220"/>
      <c r="M638" s="197"/>
      <c r="N638" s="375"/>
      <c r="O638" s="376"/>
      <c r="P638" s="220"/>
      <c r="Q638" s="117"/>
      <c r="R638" s="189"/>
      <c r="S638" s="141"/>
      <c r="T638" s="141"/>
      <c r="U638" s="57"/>
      <c r="V638" s="57"/>
      <c r="W638" s="57"/>
      <c r="X638" s="57"/>
      <c r="Y638" s="57"/>
      <c r="Z638" s="57"/>
      <c r="AA638" s="57"/>
      <c r="AB638" s="57"/>
    </row>
    <row r="639">
      <c r="A639" s="185" t="str">
        <f t="shared" si="17"/>
        <v/>
      </c>
      <c r="B639" s="141"/>
      <c r="C639" s="117"/>
      <c r="D639" s="117"/>
      <c r="E639" s="117"/>
      <c r="F639" s="117"/>
      <c r="G639" s="189"/>
      <c r="H639" s="189"/>
      <c r="I639" s="48"/>
      <c r="J639" s="189"/>
      <c r="K639" s="220"/>
      <c r="L639" s="220"/>
      <c r="M639" s="197"/>
      <c r="N639" s="375"/>
      <c r="O639" s="376"/>
      <c r="P639" s="220"/>
      <c r="Q639" s="117"/>
      <c r="R639" s="189"/>
      <c r="S639" s="141"/>
      <c r="T639" s="141"/>
      <c r="U639" s="57"/>
      <c r="V639" s="57"/>
      <c r="W639" s="57"/>
      <c r="X639" s="57"/>
      <c r="Y639" s="57"/>
      <c r="Z639" s="57"/>
      <c r="AA639" s="57"/>
      <c r="AB639" s="57"/>
    </row>
    <row r="640">
      <c r="A640" s="185" t="str">
        <f t="shared" si="17"/>
        <v/>
      </c>
      <c r="B640" s="141"/>
      <c r="C640" s="117"/>
      <c r="D640" s="117"/>
      <c r="E640" s="117"/>
      <c r="F640" s="117"/>
      <c r="G640" s="189"/>
      <c r="H640" s="189"/>
      <c r="I640" s="48"/>
      <c r="J640" s="189"/>
      <c r="K640" s="220"/>
      <c r="L640" s="220"/>
      <c r="M640" s="197"/>
      <c r="N640" s="375"/>
      <c r="O640" s="376"/>
      <c r="P640" s="220"/>
      <c r="Q640" s="117"/>
      <c r="R640" s="189"/>
      <c r="S640" s="141"/>
      <c r="T640" s="141"/>
      <c r="U640" s="57"/>
      <c r="V640" s="57"/>
      <c r="W640" s="57"/>
      <c r="X640" s="57"/>
      <c r="Y640" s="57"/>
      <c r="Z640" s="57"/>
      <c r="AA640" s="57"/>
      <c r="AB640" s="57"/>
    </row>
    <row r="641">
      <c r="A641" s="185" t="str">
        <f t="shared" si="17"/>
        <v/>
      </c>
      <c r="B641" s="141"/>
      <c r="C641" s="117"/>
      <c r="D641" s="117"/>
      <c r="E641" s="117"/>
      <c r="F641" s="117"/>
      <c r="G641" s="189"/>
      <c r="H641" s="189"/>
      <c r="I641" s="48"/>
      <c r="J641" s="189"/>
      <c r="K641" s="220"/>
      <c r="L641" s="220"/>
      <c r="M641" s="197"/>
      <c r="N641" s="375"/>
      <c r="O641" s="376"/>
      <c r="P641" s="220"/>
      <c r="Q641" s="117"/>
      <c r="R641" s="189"/>
      <c r="S641" s="141"/>
      <c r="T641" s="141"/>
      <c r="U641" s="57"/>
      <c r="V641" s="57"/>
      <c r="W641" s="57"/>
      <c r="X641" s="57"/>
      <c r="Y641" s="57"/>
      <c r="Z641" s="57"/>
      <c r="AA641" s="57"/>
      <c r="AB641" s="57"/>
    </row>
    <row r="642">
      <c r="A642" s="185" t="str">
        <f t="shared" si="17"/>
        <v/>
      </c>
      <c r="B642" s="141"/>
      <c r="C642" s="117"/>
      <c r="D642" s="117"/>
      <c r="E642" s="117"/>
      <c r="F642" s="117"/>
      <c r="G642" s="189"/>
      <c r="H642" s="189"/>
      <c r="I642" s="48"/>
      <c r="J642" s="189"/>
      <c r="K642" s="220"/>
      <c r="L642" s="220"/>
      <c r="M642" s="197"/>
      <c r="N642" s="375"/>
      <c r="O642" s="376"/>
      <c r="P642" s="220"/>
      <c r="Q642" s="117"/>
      <c r="R642" s="189"/>
      <c r="S642" s="141"/>
      <c r="T642" s="141"/>
      <c r="U642" s="57"/>
      <c r="V642" s="57"/>
      <c r="W642" s="57"/>
      <c r="X642" s="57"/>
      <c r="Y642" s="57"/>
      <c r="Z642" s="57"/>
      <c r="AA642" s="57"/>
      <c r="AB642" s="57"/>
    </row>
    <row r="643">
      <c r="A643" s="185" t="str">
        <f t="shared" si="17"/>
        <v/>
      </c>
      <c r="B643" s="141"/>
      <c r="C643" s="117"/>
      <c r="D643" s="117"/>
      <c r="E643" s="117"/>
      <c r="F643" s="117"/>
      <c r="G643" s="189"/>
      <c r="H643" s="189"/>
      <c r="I643" s="48"/>
      <c r="J643" s="189"/>
      <c r="K643" s="220"/>
      <c r="L643" s="220"/>
      <c r="M643" s="197"/>
      <c r="N643" s="375"/>
      <c r="O643" s="376"/>
      <c r="P643" s="220"/>
      <c r="Q643" s="117"/>
      <c r="R643" s="189"/>
      <c r="S643" s="141"/>
      <c r="T643" s="141"/>
      <c r="U643" s="57"/>
      <c r="V643" s="57"/>
      <c r="W643" s="57"/>
      <c r="X643" s="57"/>
      <c r="Y643" s="57"/>
      <c r="Z643" s="57"/>
      <c r="AA643" s="57"/>
      <c r="AB643" s="57"/>
    </row>
    <row r="644">
      <c r="A644" s="185" t="str">
        <f t="shared" si="17"/>
        <v/>
      </c>
      <c r="B644" s="141"/>
      <c r="C644" s="117"/>
      <c r="D644" s="117"/>
      <c r="E644" s="117"/>
      <c r="F644" s="117"/>
      <c r="G644" s="189"/>
      <c r="H644" s="189"/>
      <c r="I644" s="48"/>
      <c r="J644" s="189"/>
      <c r="K644" s="220"/>
      <c r="L644" s="220"/>
      <c r="M644" s="197"/>
      <c r="N644" s="375"/>
      <c r="O644" s="376"/>
      <c r="P644" s="220"/>
      <c r="Q644" s="117"/>
      <c r="R644" s="189"/>
      <c r="S644" s="141"/>
      <c r="T644" s="141"/>
      <c r="U644" s="57"/>
      <c r="V644" s="57"/>
      <c r="W644" s="57"/>
      <c r="X644" s="57"/>
      <c r="Y644" s="57"/>
      <c r="Z644" s="57"/>
      <c r="AA644" s="57"/>
      <c r="AB644" s="57"/>
    </row>
    <row r="645">
      <c r="A645" s="185" t="str">
        <f t="shared" si="17"/>
        <v/>
      </c>
      <c r="B645" s="141"/>
      <c r="C645" s="117"/>
      <c r="D645" s="117"/>
      <c r="E645" s="117"/>
      <c r="F645" s="117"/>
      <c r="G645" s="189"/>
      <c r="H645" s="189"/>
      <c r="I645" s="48"/>
      <c r="J645" s="189"/>
      <c r="K645" s="220"/>
      <c r="L645" s="220"/>
      <c r="M645" s="197"/>
      <c r="N645" s="375"/>
      <c r="O645" s="376"/>
      <c r="P645" s="220"/>
      <c r="Q645" s="117"/>
      <c r="R645" s="189"/>
      <c r="S645" s="141"/>
      <c r="T645" s="141"/>
      <c r="U645" s="57"/>
      <c r="V645" s="57"/>
      <c r="W645" s="57"/>
      <c r="X645" s="57"/>
      <c r="Y645" s="57"/>
      <c r="Z645" s="57"/>
      <c r="AA645" s="57"/>
      <c r="AB645" s="57"/>
    </row>
    <row r="646">
      <c r="A646" s="185" t="str">
        <f t="shared" si="17"/>
        <v/>
      </c>
      <c r="B646" s="141"/>
      <c r="C646" s="117"/>
      <c r="D646" s="117"/>
      <c r="E646" s="117"/>
      <c r="F646" s="117"/>
      <c r="G646" s="189"/>
      <c r="H646" s="189"/>
      <c r="I646" s="48"/>
      <c r="J646" s="189"/>
      <c r="K646" s="220"/>
      <c r="L646" s="220"/>
      <c r="M646" s="197"/>
      <c r="N646" s="375"/>
      <c r="O646" s="376"/>
      <c r="P646" s="220"/>
      <c r="Q646" s="117"/>
      <c r="R646" s="189"/>
      <c r="S646" s="141"/>
      <c r="T646" s="141"/>
      <c r="U646" s="57"/>
      <c r="V646" s="57"/>
      <c r="W646" s="57"/>
      <c r="X646" s="57"/>
      <c r="Y646" s="57"/>
      <c r="Z646" s="57"/>
      <c r="AA646" s="57"/>
      <c r="AB646" s="57"/>
    </row>
    <row r="647">
      <c r="A647" s="185" t="str">
        <f t="shared" si="17"/>
        <v/>
      </c>
      <c r="B647" s="141"/>
      <c r="C647" s="117"/>
      <c r="D647" s="117"/>
      <c r="E647" s="117"/>
      <c r="F647" s="117"/>
      <c r="G647" s="189"/>
      <c r="H647" s="189"/>
      <c r="I647" s="48"/>
      <c r="J647" s="189"/>
      <c r="K647" s="220"/>
      <c r="L647" s="220"/>
      <c r="M647" s="197"/>
      <c r="N647" s="375"/>
      <c r="O647" s="376"/>
      <c r="P647" s="220"/>
      <c r="Q647" s="117"/>
      <c r="R647" s="189"/>
      <c r="S647" s="141"/>
      <c r="T647" s="141"/>
      <c r="U647" s="57"/>
      <c r="V647" s="57"/>
      <c r="W647" s="57"/>
      <c r="X647" s="57"/>
      <c r="Y647" s="57"/>
      <c r="Z647" s="57"/>
      <c r="AA647" s="57"/>
      <c r="AB647" s="57"/>
    </row>
    <row r="648">
      <c r="A648" s="185" t="str">
        <f t="shared" si="17"/>
        <v/>
      </c>
      <c r="B648" s="141"/>
      <c r="C648" s="117"/>
      <c r="D648" s="117"/>
      <c r="E648" s="117"/>
      <c r="F648" s="117"/>
      <c r="G648" s="189"/>
      <c r="H648" s="189"/>
      <c r="I648" s="48"/>
      <c r="J648" s="189"/>
      <c r="K648" s="220"/>
      <c r="L648" s="220"/>
      <c r="M648" s="197"/>
      <c r="N648" s="375"/>
      <c r="O648" s="376"/>
      <c r="P648" s="220"/>
      <c r="Q648" s="117"/>
      <c r="R648" s="189"/>
      <c r="S648" s="141"/>
      <c r="T648" s="141"/>
      <c r="U648" s="57"/>
      <c r="V648" s="57"/>
      <c r="W648" s="57"/>
      <c r="X648" s="57"/>
      <c r="Y648" s="57"/>
      <c r="Z648" s="57"/>
      <c r="AA648" s="57"/>
      <c r="AB648" s="57"/>
    </row>
    <row r="649">
      <c r="A649" s="185" t="str">
        <f t="shared" si="17"/>
        <v/>
      </c>
      <c r="B649" s="141"/>
      <c r="C649" s="117"/>
      <c r="D649" s="117"/>
      <c r="E649" s="117"/>
      <c r="F649" s="117"/>
      <c r="G649" s="189"/>
      <c r="H649" s="189"/>
      <c r="I649" s="48"/>
      <c r="J649" s="189"/>
      <c r="K649" s="220"/>
      <c r="L649" s="220"/>
      <c r="M649" s="197"/>
      <c r="N649" s="375"/>
      <c r="O649" s="376"/>
      <c r="P649" s="220"/>
      <c r="Q649" s="117"/>
      <c r="R649" s="189"/>
      <c r="S649" s="141"/>
      <c r="T649" s="141"/>
      <c r="U649" s="57"/>
      <c r="V649" s="57"/>
      <c r="W649" s="57"/>
      <c r="X649" s="57"/>
      <c r="Y649" s="57"/>
      <c r="Z649" s="57"/>
      <c r="AA649" s="57"/>
      <c r="AB649" s="57"/>
    </row>
    <row r="650">
      <c r="A650" s="185" t="str">
        <f t="shared" si="17"/>
        <v/>
      </c>
      <c r="B650" s="141"/>
      <c r="C650" s="117"/>
      <c r="D650" s="117"/>
      <c r="E650" s="117"/>
      <c r="F650" s="117"/>
      <c r="G650" s="189"/>
      <c r="H650" s="189"/>
      <c r="I650" s="48"/>
      <c r="J650" s="189"/>
      <c r="K650" s="220"/>
      <c r="L650" s="220"/>
      <c r="M650" s="197"/>
      <c r="N650" s="375"/>
      <c r="O650" s="376"/>
      <c r="P650" s="220"/>
      <c r="Q650" s="117"/>
      <c r="R650" s="189"/>
      <c r="S650" s="141"/>
      <c r="T650" s="141"/>
      <c r="U650" s="57"/>
      <c r="V650" s="57"/>
      <c r="W650" s="57"/>
      <c r="X650" s="57"/>
      <c r="Y650" s="57"/>
      <c r="Z650" s="57"/>
      <c r="AA650" s="57"/>
      <c r="AB650" s="57"/>
    </row>
    <row r="651">
      <c r="A651" s="185" t="str">
        <f t="shared" si="17"/>
        <v/>
      </c>
      <c r="B651" s="141"/>
      <c r="C651" s="117"/>
      <c r="D651" s="117"/>
      <c r="E651" s="117"/>
      <c r="F651" s="117"/>
      <c r="G651" s="189"/>
      <c r="H651" s="189"/>
      <c r="I651" s="48"/>
      <c r="J651" s="189"/>
      <c r="K651" s="220"/>
      <c r="L651" s="220"/>
      <c r="M651" s="197"/>
      <c r="N651" s="375"/>
      <c r="O651" s="376"/>
      <c r="P651" s="220"/>
      <c r="Q651" s="117"/>
      <c r="R651" s="189"/>
      <c r="S651" s="141"/>
      <c r="T651" s="141"/>
      <c r="U651" s="57"/>
      <c r="V651" s="57"/>
      <c r="W651" s="57"/>
      <c r="X651" s="57"/>
      <c r="Y651" s="57"/>
      <c r="Z651" s="57"/>
      <c r="AA651" s="57"/>
      <c r="AB651" s="57"/>
    </row>
    <row r="652">
      <c r="A652" s="185" t="str">
        <f t="shared" si="17"/>
        <v/>
      </c>
      <c r="B652" s="141"/>
      <c r="C652" s="117"/>
      <c r="D652" s="117"/>
      <c r="E652" s="117"/>
      <c r="F652" s="117"/>
      <c r="G652" s="189"/>
      <c r="H652" s="189"/>
      <c r="I652" s="48"/>
      <c r="J652" s="189"/>
      <c r="K652" s="220"/>
      <c r="L652" s="220"/>
      <c r="M652" s="197"/>
      <c r="N652" s="375"/>
      <c r="O652" s="376"/>
      <c r="P652" s="220"/>
      <c r="Q652" s="117"/>
      <c r="R652" s="189"/>
      <c r="S652" s="141"/>
      <c r="T652" s="141"/>
      <c r="U652" s="57"/>
      <c r="V652" s="57"/>
      <c r="W652" s="57"/>
      <c r="X652" s="57"/>
      <c r="Y652" s="57"/>
      <c r="Z652" s="57"/>
      <c r="AA652" s="57"/>
      <c r="AB652" s="57"/>
    </row>
    <row r="653">
      <c r="A653" s="185" t="str">
        <f t="shared" si="17"/>
        <v/>
      </c>
      <c r="B653" s="141"/>
      <c r="C653" s="117"/>
      <c r="D653" s="117"/>
      <c r="E653" s="117"/>
      <c r="F653" s="117"/>
      <c r="G653" s="189"/>
      <c r="H653" s="189"/>
      <c r="I653" s="48"/>
      <c r="J653" s="189"/>
      <c r="K653" s="220"/>
      <c r="L653" s="220"/>
      <c r="M653" s="197"/>
      <c r="N653" s="375"/>
      <c r="O653" s="376"/>
      <c r="P653" s="220"/>
      <c r="Q653" s="117"/>
      <c r="R653" s="189"/>
      <c r="S653" s="141"/>
      <c r="T653" s="141"/>
      <c r="U653" s="57"/>
      <c r="V653" s="57"/>
      <c r="W653" s="57"/>
      <c r="X653" s="57"/>
      <c r="Y653" s="57"/>
      <c r="Z653" s="57"/>
      <c r="AA653" s="57"/>
      <c r="AB653" s="57"/>
    </row>
    <row r="654">
      <c r="A654" s="185" t="str">
        <f t="shared" si="17"/>
        <v/>
      </c>
      <c r="B654" s="141"/>
      <c r="C654" s="117"/>
      <c r="D654" s="117"/>
      <c r="E654" s="117"/>
      <c r="F654" s="117"/>
      <c r="G654" s="189"/>
      <c r="H654" s="189"/>
      <c r="I654" s="48"/>
      <c r="J654" s="189"/>
      <c r="K654" s="220"/>
      <c r="L654" s="220"/>
      <c r="M654" s="197"/>
      <c r="N654" s="375"/>
      <c r="O654" s="376"/>
      <c r="P654" s="220"/>
      <c r="Q654" s="117"/>
      <c r="R654" s="189"/>
      <c r="S654" s="141"/>
      <c r="T654" s="141"/>
      <c r="U654" s="57"/>
      <c r="V654" s="57"/>
      <c r="W654" s="57"/>
      <c r="X654" s="57"/>
      <c r="Y654" s="57"/>
      <c r="Z654" s="57"/>
      <c r="AA654" s="57"/>
      <c r="AB654" s="57"/>
    </row>
    <row r="655">
      <c r="A655" s="185" t="str">
        <f t="shared" si="17"/>
        <v/>
      </c>
      <c r="B655" s="141"/>
      <c r="C655" s="117"/>
      <c r="D655" s="117"/>
      <c r="E655" s="117"/>
      <c r="F655" s="117"/>
      <c r="G655" s="189"/>
      <c r="H655" s="189"/>
      <c r="I655" s="48"/>
      <c r="J655" s="189"/>
      <c r="K655" s="220"/>
      <c r="L655" s="220"/>
      <c r="M655" s="197"/>
      <c r="N655" s="375"/>
      <c r="O655" s="376"/>
      <c r="P655" s="220"/>
      <c r="Q655" s="117"/>
      <c r="R655" s="189"/>
      <c r="S655" s="141"/>
      <c r="T655" s="141"/>
      <c r="U655" s="57"/>
      <c r="V655" s="57"/>
      <c r="W655" s="57"/>
      <c r="X655" s="57"/>
      <c r="Y655" s="57"/>
      <c r="Z655" s="57"/>
      <c r="AA655" s="57"/>
      <c r="AB655" s="57"/>
    </row>
    <row r="656">
      <c r="A656" s="185" t="str">
        <f t="shared" si="17"/>
        <v/>
      </c>
      <c r="B656" s="141"/>
      <c r="C656" s="117"/>
      <c r="D656" s="117"/>
      <c r="E656" s="117"/>
      <c r="F656" s="117"/>
      <c r="G656" s="189"/>
      <c r="H656" s="189"/>
      <c r="I656" s="48"/>
      <c r="J656" s="189"/>
      <c r="K656" s="220"/>
      <c r="L656" s="220"/>
      <c r="M656" s="197"/>
      <c r="N656" s="375"/>
      <c r="O656" s="376"/>
      <c r="P656" s="220"/>
      <c r="Q656" s="117"/>
      <c r="R656" s="189"/>
      <c r="S656" s="141"/>
      <c r="T656" s="141"/>
      <c r="U656" s="57"/>
      <c r="V656" s="57"/>
      <c r="W656" s="57"/>
      <c r="X656" s="57"/>
      <c r="Y656" s="57"/>
      <c r="Z656" s="57"/>
      <c r="AA656" s="57"/>
      <c r="AB656" s="57"/>
    </row>
    <row r="657">
      <c r="A657" s="185" t="str">
        <f t="shared" si="17"/>
        <v/>
      </c>
      <c r="B657" s="141"/>
      <c r="C657" s="117"/>
      <c r="D657" s="117"/>
      <c r="E657" s="117"/>
      <c r="F657" s="117"/>
      <c r="G657" s="189"/>
      <c r="H657" s="189"/>
      <c r="I657" s="48"/>
      <c r="J657" s="189"/>
      <c r="K657" s="220"/>
      <c r="L657" s="220"/>
      <c r="M657" s="197"/>
      <c r="N657" s="375"/>
      <c r="O657" s="376"/>
      <c r="P657" s="220"/>
      <c r="Q657" s="117"/>
      <c r="R657" s="189"/>
      <c r="S657" s="141"/>
      <c r="T657" s="141"/>
      <c r="U657" s="57"/>
      <c r="V657" s="57"/>
      <c r="W657" s="57"/>
      <c r="X657" s="57"/>
      <c r="Y657" s="57"/>
      <c r="Z657" s="57"/>
      <c r="AA657" s="57"/>
      <c r="AB657" s="57"/>
    </row>
    <row r="658">
      <c r="A658" s="185" t="str">
        <f t="shared" si="17"/>
        <v/>
      </c>
      <c r="B658" s="141"/>
      <c r="C658" s="117"/>
      <c r="D658" s="117"/>
      <c r="E658" s="117"/>
      <c r="F658" s="117"/>
      <c r="G658" s="189"/>
      <c r="H658" s="189"/>
      <c r="I658" s="48"/>
      <c r="J658" s="189"/>
      <c r="K658" s="220"/>
      <c r="L658" s="220"/>
      <c r="M658" s="197"/>
      <c r="N658" s="375"/>
      <c r="O658" s="376"/>
      <c r="P658" s="220"/>
      <c r="Q658" s="117"/>
      <c r="R658" s="189"/>
      <c r="S658" s="141"/>
      <c r="T658" s="141"/>
      <c r="U658" s="57"/>
      <c r="V658" s="57"/>
      <c r="W658" s="57"/>
      <c r="X658" s="57"/>
      <c r="Y658" s="57"/>
      <c r="Z658" s="57"/>
      <c r="AA658" s="57"/>
      <c r="AB658" s="57"/>
    </row>
    <row r="659">
      <c r="A659" s="185" t="str">
        <f t="shared" si="17"/>
        <v/>
      </c>
      <c r="B659" s="141"/>
      <c r="C659" s="117"/>
      <c r="D659" s="117"/>
      <c r="E659" s="117"/>
      <c r="F659" s="117"/>
      <c r="G659" s="189"/>
      <c r="H659" s="189"/>
      <c r="I659" s="48"/>
      <c r="J659" s="189"/>
      <c r="K659" s="220"/>
      <c r="L659" s="220"/>
      <c r="M659" s="197"/>
      <c r="N659" s="375"/>
      <c r="O659" s="376"/>
      <c r="P659" s="220"/>
      <c r="Q659" s="117"/>
      <c r="R659" s="189"/>
      <c r="S659" s="141"/>
      <c r="T659" s="141"/>
      <c r="U659" s="57"/>
      <c r="V659" s="57"/>
      <c r="W659" s="57"/>
      <c r="X659" s="57"/>
      <c r="Y659" s="57"/>
      <c r="Z659" s="57"/>
      <c r="AA659" s="57"/>
      <c r="AB659" s="57"/>
    </row>
    <row r="660">
      <c r="A660" s="185" t="str">
        <f t="shared" si="17"/>
        <v/>
      </c>
      <c r="B660" s="141"/>
      <c r="C660" s="117"/>
      <c r="D660" s="117"/>
      <c r="E660" s="117"/>
      <c r="F660" s="117"/>
      <c r="G660" s="189"/>
      <c r="H660" s="189"/>
      <c r="I660" s="48"/>
      <c r="J660" s="189"/>
      <c r="K660" s="220"/>
      <c r="L660" s="220"/>
      <c r="M660" s="197"/>
      <c r="N660" s="375"/>
      <c r="O660" s="376"/>
      <c r="P660" s="220"/>
      <c r="Q660" s="117"/>
      <c r="R660" s="189"/>
      <c r="S660" s="141"/>
      <c r="T660" s="141"/>
      <c r="U660" s="57"/>
      <c r="V660" s="57"/>
      <c r="W660" s="57"/>
      <c r="X660" s="57"/>
      <c r="Y660" s="57"/>
      <c r="Z660" s="57"/>
      <c r="AA660" s="57"/>
      <c r="AB660" s="57"/>
    </row>
    <row r="661">
      <c r="A661" s="185" t="str">
        <f t="shared" si="17"/>
        <v/>
      </c>
      <c r="B661" s="141"/>
      <c r="C661" s="117"/>
      <c r="D661" s="117"/>
      <c r="E661" s="117"/>
      <c r="F661" s="117"/>
      <c r="G661" s="189"/>
      <c r="H661" s="189"/>
      <c r="I661" s="48"/>
      <c r="J661" s="189"/>
      <c r="K661" s="220"/>
      <c r="L661" s="220"/>
      <c r="M661" s="197"/>
      <c r="N661" s="375"/>
      <c r="O661" s="376"/>
      <c r="P661" s="220"/>
      <c r="Q661" s="117"/>
      <c r="R661" s="189"/>
      <c r="S661" s="141"/>
      <c r="T661" s="141"/>
      <c r="U661" s="57"/>
      <c r="V661" s="57"/>
      <c r="W661" s="57"/>
      <c r="X661" s="57"/>
      <c r="Y661" s="57"/>
      <c r="Z661" s="57"/>
      <c r="AA661" s="57"/>
      <c r="AB661" s="57"/>
    </row>
    <row r="662">
      <c r="A662" s="185" t="str">
        <f t="shared" si="17"/>
        <v/>
      </c>
      <c r="B662" s="141"/>
      <c r="C662" s="117"/>
      <c r="D662" s="117"/>
      <c r="E662" s="117"/>
      <c r="F662" s="117"/>
      <c r="G662" s="189"/>
      <c r="H662" s="189"/>
      <c r="I662" s="48"/>
      <c r="J662" s="189"/>
      <c r="K662" s="220"/>
      <c r="L662" s="220"/>
      <c r="M662" s="197"/>
      <c r="N662" s="375"/>
      <c r="O662" s="376"/>
      <c r="P662" s="220"/>
      <c r="Q662" s="117"/>
      <c r="R662" s="189"/>
      <c r="S662" s="141"/>
      <c r="T662" s="141"/>
      <c r="U662" s="57"/>
      <c r="V662" s="57"/>
      <c r="W662" s="57"/>
      <c r="X662" s="57"/>
      <c r="Y662" s="57"/>
      <c r="Z662" s="57"/>
      <c r="AA662" s="57"/>
      <c r="AB662" s="57"/>
    </row>
    <row r="663">
      <c r="A663" s="185" t="str">
        <f t="shared" si="17"/>
        <v/>
      </c>
      <c r="B663" s="141"/>
      <c r="C663" s="117"/>
      <c r="D663" s="117"/>
      <c r="E663" s="117"/>
      <c r="F663" s="117"/>
      <c r="G663" s="189"/>
      <c r="H663" s="189"/>
      <c r="I663" s="48"/>
      <c r="J663" s="189"/>
      <c r="K663" s="220"/>
      <c r="L663" s="220"/>
      <c r="M663" s="197"/>
      <c r="N663" s="375"/>
      <c r="O663" s="376"/>
      <c r="P663" s="220"/>
      <c r="Q663" s="117"/>
      <c r="R663" s="189"/>
      <c r="S663" s="141"/>
      <c r="T663" s="141"/>
      <c r="U663" s="57"/>
      <c r="V663" s="57"/>
      <c r="W663" s="57"/>
      <c r="X663" s="57"/>
      <c r="Y663" s="57"/>
      <c r="Z663" s="57"/>
      <c r="AA663" s="57"/>
      <c r="AB663" s="57"/>
    </row>
    <row r="664">
      <c r="A664" s="185" t="str">
        <f t="shared" si="17"/>
        <v/>
      </c>
      <c r="B664" s="141"/>
      <c r="C664" s="117"/>
      <c r="D664" s="117"/>
      <c r="E664" s="117"/>
      <c r="F664" s="117"/>
      <c r="G664" s="189"/>
      <c r="H664" s="189"/>
      <c r="I664" s="48"/>
      <c r="J664" s="189"/>
      <c r="K664" s="220"/>
      <c r="L664" s="220"/>
      <c r="M664" s="197"/>
      <c r="N664" s="375"/>
      <c r="O664" s="376"/>
      <c r="P664" s="220"/>
      <c r="Q664" s="117"/>
      <c r="R664" s="189"/>
      <c r="S664" s="141"/>
      <c r="T664" s="141"/>
      <c r="U664" s="57"/>
      <c r="V664" s="57"/>
      <c r="W664" s="57"/>
      <c r="X664" s="57"/>
      <c r="Y664" s="57"/>
      <c r="Z664" s="57"/>
      <c r="AA664" s="57"/>
      <c r="AB664" s="57"/>
    </row>
    <row r="665">
      <c r="A665" s="185" t="str">
        <f t="shared" si="17"/>
        <v/>
      </c>
      <c r="B665" s="141"/>
      <c r="C665" s="117"/>
      <c r="D665" s="117"/>
      <c r="E665" s="117"/>
      <c r="F665" s="117"/>
      <c r="G665" s="189"/>
      <c r="H665" s="189"/>
      <c r="I665" s="48"/>
      <c r="J665" s="189"/>
      <c r="K665" s="220"/>
      <c r="L665" s="220"/>
      <c r="M665" s="197"/>
      <c r="N665" s="375"/>
      <c r="O665" s="376"/>
      <c r="P665" s="220"/>
      <c r="Q665" s="117"/>
      <c r="R665" s="189"/>
      <c r="S665" s="141"/>
      <c r="T665" s="141"/>
      <c r="U665" s="57"/>
      <c r="V665" s="57"/>
      <c r="W665" s="57"/>
      <c r="X665" s="57"/>
      <c r="Y665" s="57"/>
      <c r="Z665" s="57"/>
      <c r="AA665" s="57"/>
      <c r="AB665" s="57"/>
    </row>
    <row r="666">
      <c r="A666" s="185" t="str">
        <f t="shared" si="17"/>
        <v/>
      </c>
      <c r="B666" s="141"/>
      <c r="C666" s="117"/>
      <c r="D666" s="117"/>
      <c r="E666" s="117"/>
      <c r="F666" s="117"/>
      <c r="G666" s="189"/>
      <c r="H666" s="189"/>
      <c r="I666" s="48"/>
      <c r="J666" s="189"/>
      <c r="K666" s="220"/>
      <c r="L666" s="220"/>
      <c r="M666" s="197"/>
      <c r="N666" s="375"/>
      <c r="O666" s="376"/>
      <c r="P666" s="220"/>
      <c r="Q666" s="117"/>
      <c r="R666" s="189"/>
      <c r="S666" s="141"/>
      <c r="T666" s="141"/>
      <c r="U666" s="57"/>
      <c r="V666" s="57"/>
      <c r="W666" s="57"/>
      <c r="X666" s="57"/>
      <c r="Y666" s="57"/>
      <c r="Z666" s="57"/>
      <c r="AA666" s="57"/>
      <c r="AB666" s="57"/>
    </row>
    <row r="667">
      <c r="A667" s="185" t="str">
        <f t="shared" si="17"/>
        <v/>
      </c>
      <c r="B667" s="141"/>
      <c r="C667" s="117"/>
      <c r="D667" s="117"/>
      <c r="E667" s="117"/>
      <c r="F667" s="117"/>
      <c r="G667" s="189"/>
      <c r="H667" s="189"/>
      <c r="I667" s="48"/>
      <c r="J667" s="189"/>
      <c r="K667" s="220"/>
      <c r="L667" s="220"/>
      <c r="M667" s="197"/>
      <c r="N667" s="375"/>
      <c r="O667" s="376"/>
      <c r="P667" s="220"/>
      <c r="Q667" s="117"/>
      <c r="R667" s="189"/>
      <c r="S667" s="141"/>
      <c r="T667" s="141"/>
      <c r="U667" s="57"/>
      <c r="V667" s="57"/>
      <c r="W667" s="57"/>
      <c r="X667" s="57"/>
      <c r="Y667" s="57"/>
      <c r="Z667" s="57"/>
      <c r="AA667" s="57"/>
      <c r="AB667" s="57"/>
    </row>
    <row r="668">
      <c r="A668" s="185" t="str">
        <f t="shared" si="17"/>
        <v/>
      </c>
      <c r="B668" s="141"/>
      <c r="C668" s="117"/>
      <c r="D668" s="117"/>
      <c r="E668" s="117"/>
      <c r="F668" s="117"/>
      <c r="G668" s="189"/>
      <c r="H668" s="189"/>
      <c r="I668" s="48"/>
      <c r="J668" s="189"/>
      <c r="K668" s="220"/>
      <c r="L668" s="220"/>
      <c r="M668" s="197"/>
      <c r="N668" s="375"/>
      <c r="O668" s="376"/>
      <c r="P668" s="220"/>
      <c r="Q668" s="117"/>
      <c r="R668" s="189"/>
      <c r="S668" s="141"/>
      <c r="T668" s="141"/>
      <c r="U668" s="57"/>
      <c r="V668" s="57"/>
      <c r="W668" s="57"/>
      <c r="X668" s="57"/>
      <c r="Y668" s="57"/>
      <c r="Z668" s="57"/>
      <c r="AA668" s="57"/>
      <c r="AB668" s="57"/>
    </row>
    <row r="669">
      <c r="A669" s="185" t="str">
        <f t="shared" si="17"/>
        <v/>
      </c>
      <c r="B669" s="141"/>
      <c r="C669" s="117"/>
      <c r="D669" s="117"/>
      <c r="E669" s="117"/>
      <c r="F669" s="117"/>
      <c r="G669" s="189"/>
      <c r="H669" s="189"/>
      <c r="I669" s="48"/>
      <c r="J669" s="189"/>
      <c r="K669" s="220"/>
      <c r="L669" s="220"/>
      <c r="M669" s="197"/>
      <c r="N669" s="375"/>
      <c r="O669" s="376"/>
      <c r="P669" s="220"/>
      <c r="Q669" s="117"/>
      <c r="R669" s="189"/>
      <c r="S669" s="141"/>
      <c r="T669" s="141"/>
      <c r="U669" s="57"/>
      <c r="V669" s="57"/>
      <c r="W669" s="57"/>
      <c r="X669" s="57"/>
      <c r="Y669" s="57"/>
      <c r="Z669" s="57"/>
      <c r="AA669" s="57"/>
      <c r="AB669" s="57"/>
    </row>
    <row r="670">
      <c r="A670" s="185" t="str">
        <f t="shared" si="17"/>
        <v/>
      </c>
      <c r="B670" s="141"/>
      <c r="C670" s="117"/>
      <c r="D670" s="117"/>
      <c r="E670" s="117"/>
      <c r="F670" s="117"/>
      <c r="G670" s="189"/>
      <c r="H670" s="189"/>
      <c r="I670" s="48"/>
      <c r="J670" s="189"/>
      <c r="K670" s="220"/>
      <c r="L670" s="220"/>
      <c r="M670" s="197"/>
      <c r="N670" s="375"/>
      <c r="O670" s="376"/>
      <c r="P670" s="220"/>
      <c r="Q670" s="117"/>
      <c r="R670" s="189"/>
      <c r="S670" s="141"/>
      <c r="T670" s="141"/>
      <c r="U670" s="57"/>
      <c r="V670" s="57"/>
      <c r="W670" s="57"/>
      <c r="X670" s="57"/>
      <c r="Y670" s="57"/>
      <c r="Z670" s="57"/>
      <c r="AA670" s="57"/>
      <c r="AB670" s="57"/>
    </row>
    <row r="671">
      <c r="A671" s="185" t="str">
        <f t="shared" si="17"/>
        <v/>
      </c>
      <c r="B671" s="141"/>
      <c r="C671" s="117"/>
      <c r="D671" s="117"/>
      <c r="E671" s="117"/>
      <c r="F671" s="117"/>
      <c r="G671" s="189"/>
      <c r="H671" s="189"/>
      <c r="I671" s="48"/>
      <c r="J671" s="189"/>
      <c r="K671" s="220"/>
      <c r="L671" s="220"/>
      <c r="M671" s="197"/>
      <c r="N671" s="375"/>
      <c r="O671" s="376"/>
      <c r="P671" s="220"/>
      <c r="Q671" s="117"/>
      <c r="R671" s="189"/>
      <c r="S671" s="141"/>
      <c r="T671" s="141"/>
      <c r="U671" s="57"/>
      <c r="V671" s="57"/>
      <c r="W671" s="57"/>
      <c r="X671" s="57"/>
      <c r="Y671" s="57"/>
      <c r="Z671" s="57"/>
      <c r="AA671" s="57"/>
      <c r="AB671" s="57"/>
    </row>
    <row r="672">
      <c r="A672" s="185" t="str">
        <f t="shared" si="17"/>
        <v/>
      </c>
      <c r="B672" s="141"/>
      <c r="C672" s="117"/>
      <c r="D672" s="117"/>
      <c r="E672" s="117"/>
      <c r="F672" s="117"/>
      <c r="G672" s="189"/>
      <c r="H672" s="189"/>
      <c r="I672" s="48"/>
      <c r="J672" s="189"/>
      <c r="K672" s="220"/>
      <c r="L672" s="220"/>
      <c r="M672" s="197"/>
      <c r="N672" s="375"/>
      <c r="O672" s="376"/>
      <c r="P672" s="220"/>
      <c r="Q672" s="117"/>
      <c r="R672" s="189"/>
      <c r="S672" s="141"/>
      <c r="T672" s="141"/>
      <c r="U672" s="57"/>
      <c r="V672" s="57"/>
      <c r="W672" s="57"/>
      <c r="X672" s="57"/>
      <c r="Y672" s="57"/>
      <c r="Z672" s="57"/>
      <c r="AA672" s="57"/>
      <c r="AB672" s="57"/>
    </row>
    <row r="673">
      <c r="A673" s="185" t="str">
        <f t="shared" si="17"/>
        <v/>
      </c>
      <c r="B673" s="141"/>
      <c r="C673" s="117"/>
      <c r="D673" s="117"/>
      <c r="E673" s="117"/>
      <c r="F673" s="117"/>
      <c r="G673" s="189"/>
      <c r="H673" s="189"/>
      <c r="I673" s="48"/>
      <c r="J673" s="189"/>
      <c r="K673" s="220"/>
      <c r="L673" s="220"/>
      <c r="M673" s="197"/>
      <c r="N673" s="375"/>
      <c r="O673" s="376"/>
      <c r="P673" s="220"/>
      <c r="Q673" s="117"/>
      <c r="R673" s="189"/>
      <c r="S673" s="141"/>
      <c r="T673" s="141"/>
      <c r="U673" s="57"/>
      <c r="V673" s="57"/>
      <c r="W673" s="57"/>
      <c r="X673" s="57"/>
      <c r="Y673" s="57"/>
      <c r="Z673" s="57"/>
      <c r="AA673" s="57"/>
      <c r="AB673" s="57"/>
    </row>
    <row r="674">
      <c r="A674" s="185" t="str">
        <f t="shared" si="17"/>
        <v/>
      </c>
      <c r="B674" s="141"/>
      <c r="C674" s="117"/>
      <c r="D674" s="117"/>
      <c r="E674" s="117"/>
      <c r="F674" s="117"/>
      <c r="G674" s="189"/>
      <c r="H674" s="189"/>
      <c r="I674" s="48"/>
      <c r="J674" s="189"/>
      <c r="K674" s="220"/>
      <c r="L674" s="220"/>
      <c r="M674" s="197"/>
      <c r="N674" s="375"/>
      <c r="O674" s="376"/>
      <c r="P674" s="220"/>
      <c r="Q674" s="117"/>
      <c r="R674" s="189"/>
      <c r="S674" s="141"/>
      <c r="T674" s="141"/>
      <c r="U674" s="57"/>
      <c r="V674" s="57"/>
      <c r="W674" s="57"/>
      <c r="X674" s="57"/>
      <c r="Y674" s="57"/>
      <c r="Z674" s="57"/>
      <c r="AA674" s="57"/>
      <c r="AB674" s="57"/>
    </row>
    <row r="675">
      <c r="A675" s="185" t="str">
        <f t="shared" si="17"/>
        <v/>
      </c>
      <c r="B675" s="141"/>
      <c r="C675" s="117"/>
      <c r="D675" s="117"/>
      <c r="E675" s="117"/>
      <c r="F675" s="117"/>
      <c r="G675" s="189"/>
      <c r="H675" s="189"/>
      <c r="I675" s="48"/>
      <c r="J675" s="189"/>
      <c r="K675" s="220"/>
      <c r="L675" s="220"/>
      <c r="M675" s="197"/>
      <c r="N675" s="375"/>
      <c r="O675" s="376"/>
      <c r="P675" s="220"/>
      <c r="Q675" s="117"/>
      <c r="R675" s="189"/>
      <c r="S675" s="141"/>
      <c r="T675" s="141"/>
      <c r="U675" s="57"/>
      <c r="V675" s="57"/>
      <c r="W675" s="57"/>
      <c r="X675" s="57"/>
      <c r="Y675" s="57"/>
      <c r="Z675" s="57"/>
      <c r="AA675" s="57"/>
      <c r="AB675" s="57"/>
    </row>
    <row r="676">
      <c r="A676" s="185" t="str">
        <f t="shared" si="17"/>
        <v/>
      </c>
      <c r="B676" s="141"/>
      <c r="C676" s="117"/>
      <c r="D676" s="117"/>
      <c r="E676" s="117"/>
      <c r="F676" s="117"/>
      <c r="G676" s="189"/>
      <c r="H676" s="189"/>
      <c r="I676" s="48"/>
      <c r="J676" s="189"/>
      <c r="K676" s="220"/>
      <c r="L676" s="220"/>
      <c r="M676" s="197"/>
      <c r="N676" s="375"/>
      <c r="O676" s="376"/>
      <c r="P676" s="220"/>
      <c r="Q676" s="117"/>
      <c r="R676" s="189"/>
      <c r="S676" s="141"/>
      <c r="T676" s="141"/>
      <c r="U676" s="57"/>
      <c r="V676" s="57"/>
      <c r="W676" s="57"/>
      <c r="X676" s="57"/>
      <c r="Y676" s="57"/>
      <c r="Z676" s="57"/>
      <c r="AA676" s="57"/>
      <c r="AB676" s="57"/>
    </row>
    <row r="677">
      <c r="A677" s="185" t="str">
        <f t="shared" si="17"/>
        <v/>
      </c>
      <c r="B677" s="141"/>
      <c r="C677" s="117"/>
      <c r="D677" s="117"/>
      <c r="E677" s="117"/>
      <c r="F677" s="117"/>
      <c r="G677" s="189"/>
      <c r="H677" s="189"/>
      <c r="I677" s="48"/>
      <c r="J677" s="189"/>
      <c r="K677" s="220"/>
      <c r="L677" s="220"/>
      <c r="M677" s="197"/>
      <c r="N677" s="375"/>
      <c r="O677" s="376"/>
      <c r="P677" s="220"/>
      <c r="Q677" s="117"/>
      <c r="R677" s="189"/>
      <c r="S677" s="141"/>
      <c r="T677" s="141"/>
      <c r="U677" s="57"/>
      <c r="V677" s="57"/>
      <c r="W677" s="57"/>
      <c r="X677" s="57"/>
      <c r="Y677" s="57"/>
      <c r="Z677" s="57"/>
      <c r="AA677" s="57"/>
      <c r="AB677" s="57"/>
    </row>
    <row r="678">
      <c r="A678" s="185" t="str">
        <f t="shared" si="17"/>
        <v/>
      </c>
      <c r="B678" s="141"/>
      <c r="C678" s="117"/>
      <c r="D678" s="117"/>
      <c r="E678" s="117"/>
      <c r="F678" s="117"/>
      <c r="G678" s="189"/>
      <c r="H678" s="189"/>
      <c r="I678" s="48"/>
      <c r="J678" s="189"/>
      <c r="K678" s="220"/>
      <c r="L678" s="220"/>
      <c r="M678" s="197"/>
      <c r="N678" s="375"/>
      <c r="O678" s="376"/>
      <c r="P678" s="220"/>
      <c r="Q678" s="117"/>
      <c r="R678" s="189"/>
      <c r="S678" s="141"/>
      <c r="T678" s="141"/>
      <c r="U678" s="57"/>
      <c r="V678" s="57"/>
      <c r="W678" s="57"/>
      <c r="X678" s="57"/>
      <c r="Y678" s="57"/>
      <c r="Z678" s="57"/>
      <c r="AA678" s="57"/>
      <c r="AB678" s="57"/>
    </row>
    <row r="679">
      <c r="A679" s="185" t="str">
        <f t="shared" si="17"/>
        <v/>
      </c>
      <c r="B679" s="141"/>
      <c r="C679" s="117"/>
      <c r="D679" s="117"/>
      <c r="E679" s="117"/>
      <c r="F679" s="117"/>
      <c r="G679" s="189"/>
      <c r="H679" s="189"/>
      <c r="I679" s="48"/>
      <c r="J679" s="189"/>
      <c r="K679" s="220"/>
      <c r="L679" s="220"/>
      <c r="M679" s="197"/>
      <c r="N679" s="375"/>
      <c r="O679" s="376"/>
      <c r="P679" s="220"/>
      <c r="Q679" s="117"/>
      <c r="R679" s="189"/>
      <c r="S679" s="141"/>
      <c r="T679" s="141"/>
      <c r="U679" s="57"/>
      <c r="V679" s="57"/>
      <c r="W679" s="57"/>
      <c r="X679" s="57"/>
      <c r="Y679" s="57"/>
      <c r="Z679" s="57"/>
      <c r="AA679" s="57"/>
      <c r="AB679" s="57"/>
    </row>
    <row r="680">
      <c r="A680" s="185" t="str">
        <f t="shared" si="17"/>
        <v/>
      </c>
      <c r="B680" s="141"/>
      <c r="C680" s="117"/>
      <c r="D680" s="117"/>
      <c r="E680" s="117"/>
      <c r="F680" s="117"/>
      <c r="G680" s="189"/>
      <c r="H680" s="189"/>
      <c r="I680" s="48"/>
      <c r="J680" s="189"/>
      <c r="K680" s="220"/>
      <c r="L680" s="220"/>
      <c r="M680" s="197"/>
      <c r="N680" s="375"/>
      <c r="O680" s="376"/>
      <c r="P680" s="220"/>
      <c r="Q680" s="117"/>
      <c r="R680" s="189"/>
      <c r="S680" s="141"/>
      <c r="T680" s="141"/>
      <c r="U680" s="57"/>
      <c r="V680" s="57"/>
      <c r="W680" s="57"/>
      <c r="X680" s="57"/>
      <c r="Y680" s="57"/>
      <c r="Z680" s="57"/>
      <c r="AA680" s="57"/>
      <c r="AB680" s="57"/>
    </row>
    <row r="681">
      <c r="A681" s="185" t="str">
        <f t="shared" si="17"/>
        <v/>
      </c>
      <c r="B681" s="141"/>
      <c r="C681" s="117"/>
      <c r="D681" s="117"/>
      <c r="E681" s="117"/>
      <c r="F681" s="117"/>
      <c r="G681" s="189"/>
      <c r="H681" s="189"/>
      <c r="I681" s="48"/>
      <c r="J681" s="189"/>
      <c r="K681" s="220"/>
      <c r="L681" s="220"/>
      <c r="M681" s="197"/>
      <c r="N681" s="375"/>
      <c r="O681" s="376"/>
      <c r="P681" s="220"/>
      <c r="Q681" s="117"/>
      <c r="R681" s="189"/>
      <c r="S681" s="141"/>
      <c r="T681" s="141"/>
      <c r="U681" s="57"/>
      <c r="V681" s="57"/>
      <c r="W681" s="57"/>
      <c r="X681" s="57"/>
      <c r="Y681" s="57"/>
      <c r="Z681" s="57"/>
      <c r="AA681" s="57"/>
      <c r="AB681" s="57"/>
    </row>
    <row r="682">
      <c r="A682" s="185" t="str">
        <f t="shared" si="17"/>
        <v/>
      </c>
      <c r="B682" s="141"/>
      <c r="C682" s="117"/>
      <c r="D682" s="117"/>
      <c r="E682" s="117"/>
      <c r="F682" s="117"/>
      <c r="G682" s="189"/>
      <c r="H682" s="189"/>
      <c r="I682" s="48"/>
      <c r="J682" s="189"/>
      <c r="K682" s="220"/>
      <c r="L682" s="220"/>
      <c r="M682" s="197"/>
      <c r="N682" s="375"/>
      <c r="O682" s="376"/>
      <c r="P682" s="220"/>
      <c r="Q682" s="117"/>
      <c r="R682" s="189"/>
      <c r="S682" s="141"/>
      <c r="T682" s="141"/>
      <c r="U682" s="57"/>
      <c r="V682" s="57"/>
      <c r="W682" s="57"/>
      <c r="X682" s="57"/>
      <c r="Y682" s="57"/>
      <c r="Z682" s="57"/>
      <c r="AA682" s="57"/>
      <c r="AB682" s="57"/>
    </row>
    <row r="683">
      <c r="A683" s="185" t="str">
        <f t="shared" si="17"/>
        <v/>
      </c>
      <c r="B683" s="141"/>
      <c r="C683" s="117"/>
      <c r="D683" s="117"/>
      <c r="E683" s="117"/>
      <c r="F683" s="117"/>
      <c r="G683" s="189"/>
      <c r="H683" s="189"/>
      <c r="I683" s="48"/>
      <c r="J683" s="189"/>
      <c r="K683" s="220"/>
      <c r="L683" s="220"/>
      <c r="M683" s="197"/>
      <c r="N683" s="375"/>
      <c r="O683" s="376"/>
      <c r="P683" s="220"/>
      <c r="Q683" s="117"/>
      <c r="R683" s="189"/>
      <c r="S683" s="141"/>
      <c r="T683" s="141"/>
      <c r="U683" s="57"/>
      <c r="V683" s="57"/>
      <c r="W683" s="57"/>
      <c r="X683" s="57"/>
      <c r="Y683" s="57"/>
      <c r="Z683" s="57"/>
      <c r="AA683" s="57"/>
      <c r="AB683" s="57"/>
    </row>
    <row r="684">
      <c r="A684" s="185" t="str">
        <f t="shared" si="17"/>
        <v/>
      </c>
      <c r="B684" s="141"/>
      <c r="C684" s="117"/>
      <c r="D684" s="117"/>
      <c r="E684" s="117"/>
      <c r="F684" s="117"/>
      <c r="G684" s="189"/>
      <c r="H684" s="189"/>
      <c r="I684" s="48"/>
      <c r="J684" s="189"/>
      <c r="K684" s="220"/>
      <c r="L684" s="220"/>
      <c r="M684" s="197"/>
      <c r="N684" s="375"/>
      <c r="O684" s="376"/>
      <c r="P684" s="220"/>
      <c r="Q684" s="117"/>
      <c r="R684" s="189"/>
      <c r="S684" s="141"/>
      <c r="T684" s="141"/>
      <c r="U684" s="57"/>
      <c r="V684" s="57"/>
      <c r="W684" s="57"/>
      <c r="X684" s="57"/>
      <c r="Y684" s="57"/>
      <c r="Z684" s="57"/>
      <c r="AA684" s="57"/>
      <c r="AB684" s="57"/>
    </row>
    <row r="685">
      <c r="A685" s="185" t="str">
        <f t="shared" si="17"/>
        <v/>
      </c>
      <c r="B685" s="141"/>
      <c r="C685" s="117"/>
      <c r="D685" s="117"/>
      <c r="E685" s="117"/>
      <c r="F685" s="117"/>
      <c r="G685" s="189"/>
      <c r="H685" s="189"/>
      <c r="I685" s="48"/>
      <c r="J685" s="189"/>
      <c r="K685" s="220"/>
      <c r="L685" s="220"/>
      <c r="M685" s="197"/>
      <c r="N685" s="375"/>
      <c r="O685" s="376"/>
      <c r="P685" s="220"/>
      <c r="Q685" s="117"/>
      <c r="R685" s="189"/>
      <c r="S685" s="141"/>
      <c r="T685" s="141"/>
      <c r="U685" s="57"/>
      <c r="V685" s="57"/>
      <c r="W685" s="57"/>
      <c r="X685" s="57"/>
      <c r="Y685" s="57"/>
      <c r="Z685" s="57"/>
      <c r="AA685" s="57"/>
      <c r="AB685" s="57"/>
    </row>
    <row r="686">
      <c r="A686" s="185" t="str">
        <f t="shared" si="17"/>
        <v/>
      </c>
      <c r="B686" s="141"/>
      <c r="C686" s="117"/>
      <c r="D686" s="117"/>
      <c r="E686" s="117"/>
      <c r="F686" s="117"/>
      <c r="G686" s="189"/>
      <c r="H686" s="189"/>
      <c r="I686" s="48"/>
      <c r="J686" s="189"/>
      <c r="K686" s="220"/>
      <c r="L686" s="220"/>
      <c r="M686" s="197"/>
      <c r="N686" s="375"/>
      <c r="O686" s="376"/>
      <c r="P686" s="220"/>
      <c r="Q686" s="117"/>
      <c r="R686" s="189"/>
      <c r="S686" s="141"/>
      <c r="T686" s="141"/>
      <c r="U686" s="57"/>
      <c r="V686" s="57"/>
      <c r="W686" s="57"/>
      <c r="X686" s="57"/>
      <c r="Y686" s="57"/>
      <c r="Z686" s="57"/>
      <c r="AA686" s="57"/>
      <c r="AB686" s="57"/>
    </row>
    <row r="687">
      <c r="A687" s="185" t="str">
        <f t="shared" si="17"/>
        <v/>
      </c>
      <c r="B687" s="141"/>
      <c r="C687" s="117"/>
      <c r="D687" s="117"/>
      <c r="E687" s="117"/>
      <c r="F687" s="117"/>
      <c r="G687" s="189"/>
      <c r="H687" s="189"/>
      <c r="I687" s="48"/>
      <c r="J687" s="189"/>
      <c r="K687" s="220"/>
      <c r="L687" s="220"/>
      <c r="M687" s="197"/>
      <c r="N687" s="375"/>
      <c r="O687" s="376"/>
      <c r="P687" s="220"/>
      <c r="Q687" s="117"/>
      <c r="R687" s="189"/>
      <c r="S687" s="141"/>
      <c r="T687" s="141"/>
      <c r="U687" s="57"/>
      <c r="V687" s="57"/>
      <c r="W687" s="57"/>
      <c r="X687" s="57"/>
      <c r="Y687" s="57"/>
      <c r="Z687" s="57"/>
      <c r="AA687" s="57"/>
      <c r="AB687" s="57"/>
    </row>
    <row r="688">
      <c r="A688" s="185" t="str">
        <f t="shared" si="17"/>
        <v/>
      </c>
      <c r="B688" s="141"/>
      <c r="C688" s="117"/>
      <c r="D688" s="117"/>
      <c r="E688" s="117"/>
      <c r="F688" s="117"/>
      <c r="G688" s="189"/>
      <c r="H688" s="189"/>
      <c r="I688" s="48"/>
      <c r="J688" s="189"/>
      <c r="K688" s="220"/>
      <c r="L688" s="220"/>
      <c r="M688" s="197"/>
      <c r="N688" s="375"/>
      <c r="O688" s="376"/>
      <c r="P688" s="220"/>
      <c r="Q688" s="117"/>
      <c r="R688" s="189"/>
      <c r="S688" s="141"/>
      <c r="T688" s="141"/>
      <c r="U688" s="57"/>
      <c r="V688" s="57"/>
      <c r="W688" s="57"/>
      <c r="X688" s="57"/>
      <c r="Y688" s="57"/>
      <c r="Z688" s="57"/>
      <c r="AA688" s="57"/>
      <c r="AB688" s="57"/>
    </row>
    <row r="689">
      <c r="A689" s="185" t="str">
        <f t="shared" si="17"/>
        <v/>
      </c>
      <c r="B689" s="141"/>
      <c r="C689" s="117"/>
      <c r="D689" s="117"/>
      <c r="E689" s="117"/>
      <c r="F689" s="117"/>
      <c r="G689" s="189"/>
      <c r="H689" s="189"/>
      <c r="I689" s="48"/>
      <c r="J689" s="189"/>
      <c r="K689" s="220"/>
      <c r="L689" s="220"/>
      <c r="M689" s="197"/>
      <c r="N689" s="375"/>
      <c r="O689" s="376"/>
      <c r="P689" s="220"/>
      <c r="Q689" s="117"/>
      <c r="R689" s="189"/>
      <c r="S689" s="141"/>
      <c r="T689" s="141"/>
      <c r="U689" s="57"/>
      <c r="V689" s="57"/>
      <c r="W689" s="57"/>
      <c r="X689" s="57"/>
      <c r="Y689" s="57"/>
      <c r="Z689" s="57"/>
      <c r="AA689" s="57"/>
      <c r="AB689" s="57"/>
    </row>
    <row r="690">
      <c r="A690" s="185" t="str">
        <f t="shared" si="17"/>
        <v/>
      </c>
      <c r="B690" s="141"/>
      <c r="C690" s="117"/>
      <c r="D690" s="117"/>
      <c r="E690" s="117"/>
      <c r="F690" s="117"/>
      <c r="G690" s="189"/>
      <c r="H690" s="189"/>
      <c r="I690" s="48"/>
      <c r="J690" s="189"/>
      <c r="K690" s="220"/>
      <c r="L690" s="220"/>
      <c r="M690" s="197"/>
      <c r="N690" s="375"/>
      <c r="O690" s="376"/>
      <c r="P690" s="220"/>
      <c r="Q690" s="117"/>
      <c r="R690" s="189"/>
      <c r="S690" s="141"/>
      <c r="T690" s="141"/>
      <c r="U690" s="57"/>
      <c r="V690" s="57"/>
      <c r="W690" s="57"/>
      <c r="X690" s="57"/>
      <c r="Y690" s="57"/>
      <c r="Z690" s="57"/>
      <c r="AA690" s="57"/>
      <c r="AB690" s="57"/>
    </row>
    <row r="691">
      <c r="A691" s="185" t="str">
        <f t="shared" si="17"/>
        <v/>
      </c>
      <c r="B691" s="141"/>
      <c r="C691" s="117"/>
      <c r="D691" s="117"/>
      <c r="E691" s="117"/>
      <c r="F691" s="117"/>
      <c r="G691" s="189"/>
      <c r="H691" s="189"/>
      <c r="I691" s="48"/>
      <c r="J691" s="189"/>
      <c r="K691" s="220"/>
      <c r="L691" s="220"/>
      <c r="M691" s="197"/>
      <c r="N691" s="375"/>
      <c r="O691" s="376"/>
      <c r="P691" s="220"/>
      <c r="Q691" s="117"/>
      <c r="R691" s="189"/>
      <c r="S691" s="141"/>
      <c r="T691" s="141"/>
      <c r="U691" s="57"/>
      <c r="V691" s="57"/>
      <c r="W691" s="57"/>
      <c r="X691" s="57"/>
      <c r="Y691" s="57"/>
      <c r="Z691" s="57"/>
      <c r="AA691" s="57"/>
      <c r="AB691" s="57"/>
    </row>
    <row r="692">
      <c r="A692" s="185" t="str">
        <f t="shared" si="17"/>
        <v/>
      </c>
      <c r="B692" s="141"/>
      <c r="C692" s="117"/>
      <c r="D692" s="117"/>
      <c r="E692" s="117"/>
      <c r="F692" s="117"/>
      <c r="G692" s="189"/>
      <c r="H692" s="189"/>
      <c r="I692" s="48"/>
      <c r="J692" s="189"/>
      <c r="K692" s="220"/>
      <c r="L692" s="220"/>
      <c r="M692" s="197"/>
      <c r="N692" s="375"/>
      <c r="O692" s="376"/>
      <c r="P692" s="220"/>
      <c r="Q692" s="117"/>
      <c r="R692" s="189"/>
      <c r="S692" s="141"/>
      <c r="T692" s="141"/>
      <c r="U692" s="57"/>
      <c r="V692" s="57"/>
      <c r="W692" s="57"/>
      <c r="X692" s="57"/>
      <c r="Y692" s="57"/>
      <c r="Z692" s="57"/>
      <c r="AA692" s="57"/>
      <c r="AB692" s="57"/>
    </row>
    <row r="693">
      <c r="A693" s="185" t="str">
        <f t="shared" si="17"/>
        <v/>
      </c>
      <c r="B693" s="141"/>
      <c r="C693" s="117"/>
      <c r="D693" s="117"/>
      <c r="E693" s="117"/>
      <c r="F693" s="117"/>
      <c r="G693" s="189"/>
      <c r="H693" s="189"/>
      <c r="I693" s="48"/>
      <c r="J693" s="189"/>
      <c r="K693" s="220"/>
      <c r="L693" s="220"/>
      <c r="M693" s="197"/>
      <c r="N693" s="375"/>
      <c r="O693" s="376"/>
      <c r="P693" s="220"/>
      <c r="Q693" s="117"/>
      <c r="R693" s="189"/>
      <c r="S693" s="141"/>
      <c r="T693" s="141"/>
      <c r="U693" s="57"/>
      <c r="V693" s="57"/>
      <c r="W693" s="57"/>
      <c r="X693" s="57"/>
      <c r="Y693" s="57"/>
      <c r="Z693" s="57"/>
      <c r="AA693" s="57"/>
      <c r="AB693" s="57"/>
    </row>
    <row r="694">
      <c r="A694" s="185" t="str">
        <f t="shared" si="17"/>
        <v/>
      </c>
      <c r="B694" s="141"/>
      <c r="C694" s="117"/>
      <c r="D694" s="117"/>
      <c r="E694" s="117"/>
      <c r="F694" s="117"/>
      <c r="G694" s="189"/>
      <c r="H694" s="189"/>
      <c r="I694" s="48"/>
      <c r="J694" s="189"/>
      <c r="K694" s="220"/>
      <c r="L694" s="220"/>
      <c r="M694" s="197"/>
      <c r="N694" s="375"/>
      <c r="O694" s="376"/>
      <c r="P694" s="220"/>
      <c r="Q694" s="117"/>
      <c r="R694" s="189"/>
      <c r="S694" s="141"/>
      <c r="T694" s="141"/>
      <c r="U694" s="57"/>
      <c r="V694" s="57"/>
      <c r="W694" s="57"/>
      <c r="X694" s="57"/>
      <c r="Y694" s="57"/>
      <c r="Z694" s="57"/>
      <c r="AA694" s="57"/>
      <c r="AB694" s="57"/>
    </row>
    <row r="695">
      <c r="A695" s="185" t="str">
        <f t="shared" si="17"/>
        <v/>
      </c>
      <c r="B695" s="141"/>
      <c r="C695" s="117"/>
      <c r="D695" s="117"/>
      <c r="E695" s="117"/>
      <c r="F695" s="117"/>
      <c r="G695" s="189"/>
      <c r="H695" s="189"/>
      <c r="I695" s="48"/>
      <c r="J695" s="189"/>
      <c r="K695" s="220"/>
      <c r="L695" s="220"/>
      <c r="M695" s="197"/>
      <c r="N695" s="375"/>
      <c r="O695" s="376"/>
      <c r="P695" s="220"/>
      <c r="Q695" s="117"/>
      <c r="R695" s="189"/>
      <c r="S695" s="141"/>
      <c r="T695" s="141"/>
      <c r="U695" s="57"/>
      <c r="V695" s="57"/>
      <c r="W695" s="57"/>
      <c r="X695" s="57"/>
      <c r="Y695" s="57"/>
      <c r="Z695" s="57"/>
      <c r="AA695" s="57"/>
      <c r="AB695" s="57"/>
    </row>
    <row r="696">
      <c r="A696" s="185" t="str">
        <f t="shared" si="17"/>
        <v/>
      </c>
      <c r="B696" s="141"/>
      <c r="C696" s="117"/>
      <c r="D696" s="117"/>
      <c r="E696" s="117"/>
      <c r="F696" s="117"/>
      <c r="G696" s="189"/>
      <c r="H696" s="189"/>
      <c r="I696" s="48"/>
      <c r="J696" s="189"/>
      <c r="K696" s="220"/>
      <c r="L696" s="220"/>
      <c r="M696" s="197"/>
      <c r="N696" s="375"/>
      <c r="O696" s="376"/>
      <c r="P696" s="220"/>
      <c r="Q696" s="117"/>
      <c r="R696" s="189"/>
      <c r="S696" s="141"/>
      <c r="T696" s="141"/>
      <c r="U696" s="57"/>
      <c r="V696" s="57"/>
      <c r="W696" s="57"/>
      <c r="X696" s="57"/>
      <c r="Y696" s="57"/>
      <c r="Z696" s="57"/>
      <c r="AA696" s="57"/>
      <c r="AB696" s="57"/>
    </row>
    <row r="697">
      <c r="A697" s="185" t="str">
        <f t="shared" si="17"/>
        <v/>
      </c>
      <c r="B697" s="141"/>
      <c r="C697" s="117"/>
      <c r="D697" s="117"/>
      <c r="E697" s="117"/>
      <c r="F697" s="117"/>
      <c r="G697" s="189"/>
      <c r="H697" s="189"/>
      <c r="I697" s="48"/>
      <c r="J697" s="189"/>
      <c r="K697" s="220"/>
      <c r="L697" s="220"/>
      <c r="M697" s="197"/>
      <c r="N697" s="375"/>
      <c r="O697" s="376"/>
      <c r="P697" s="220"/>
      <c r="Q697" s="117"/>
      <c r="R697" s="189"/>
      <c r="S697" s="141"/>
      <c r="T697" s="141"/>
      <c r="U697" s="57"/>
      <c r="V697" s="57"/>
      <c r="W697" s="57"/>
      <c r="X697" s="57"/>
      <c r="Y697" s="57"/>
      <c r="Z697" s="57"/>
      <c r="AA697" s="57"/>
      <c r="AB697" s="57"/>
    </row>
    <row r="698">
      <c r="A698" s="185" t="str">
        <f t="shared" si="17"/>
        <v/>
      </c>
      <c r="B698" s="141"/>
      <c r="C698" s="117"/>
      <c r="D698" s="117"/>
      <c r="E698" s="117"/>
      <c r="F698" s="117"/>
      <c r="G698" s="189"/>
      <c r="H698" s="189"/>
      <c r="I698" s="48"/>
      <c r="J698" s="189"/>
      <c r="K698" s="220"/>
      <c r="L698" s="220"/>
      <c r="M698" s="197"/>
      <c r="N698" s="375"/>
      <c r="O698" s="376"/>
      <c r="P698" s="220"/>
      <c r="Q698" s="117"/>
      <c r="R698" s="189"/>
      <c r="S698" s="141"/>
      <c r="T698" s="141"/>
      <c r="U698" s="57"/>
      <c r="V698" s="57"/>
      <c r="W698" s="57"/>
      <c r="X698" s="57"/>
      <c r="Y698" s="57"/>
      <c r="Z698" s="57"/>
      <c r="AA698" s="57"/>
      <c r="AB698" s="57"/>
    </row>
    <row r="699">
      <c r="A699" s="185" t="str">
        <f t="shared" si="17"/>
        <v/>
      </c>
      <c r="B699" s="141"/>
      <c r="C699" s="117"/>
      <c r="D699" s="117"/>
      <c r="E699" s="117"/>
      <c r="F699" s="117"/>
      <c r="G699" s="189"/>
      <c r="H699" s="189"/>
      <c r="I699" s="48"/>
      <c r="J699" s="189"/>
      <c r="K699" s="220"/>
      <c r="L699" s="220"/>
      <c r="M699" s="197"/>
      <c r="N699" s="375"/>
      <c r="O699" s="376"/>
      <c r="P699" s="220"/>
      <c r="Q699" s="117"/>
      <c r="R699" s="189"/>
      <c r="S699" s="141"/>
      <c r="T699" s="141"/>
      <c r="U699" s="57"/>
      <c r="V699" s="57"/>
      <c r="W699" s="57"/>
      <c r="X699" s="57"/>
      <c r="Y699" s="57"/>
      <c r="Z699" s="57"/>
      <c r="AA699" s="57"/>
      <c r="AB699" s="57"/>
    </row>
    <row r="700">
      <c r="A700" s="185" t="str">
        <f t="shared" si="17"/>
        <v/>
      </c>
      <c r="B700" s="141"/>
      <c r="C700" s="117"/>
      <c r="D700" s="117"/>
      <c r="E700" s="117"/>
      <c r="F700" s="117"/>
      <c r="G700" s="189"/>
      <c r="H700" s="189"/>
      <c r="I700" s="48"/>
      <c r="J700" s="189"/>
      <c r="K700" s="220"/>
      <c r="L700" s="220"/>
      <c r="M700" s="197"/>
      <c r="N700" s="375"/>
      <c r="O700" s="376"/>
      <c r="P700" s="220"/>
      <c r="Q700" s="117"/>
      <c r="R700" s="189"/>
      <c r="S700" s="141"/>
      <c r="T700" s="141"/>
      <c r="U700" s="57"/>
      <c r="V700" s="57"/>
      <c r="W700" s="57"/>
      <c r="X700" s="57"/>
      <c r="Y700" s="57"/>
      <c r="Z700" s="57"/>
      <c r="AA700" s="57"/>
      <c r="AB700" s="57"/>
    </row>
    <row r="701">
      <c r="A701" s="185" t="str">
        <f t="shared" si="17"/>
        <v/>
      </c>
      <c r="B701" s="141"/>
      <c r="C701" s="117"/>
      <c r="D701" s="117"/>
      <c r="E701" s="117"/>
      <c r="F701" s="117"/>
      <c r="G701" s="189"/>
      <c r="H701" s="189"/>
      <c r="I701" s="48"/>
      <c r="J701" s="189"/>
      <c r="K701" s="220"/>
      <c r="L701" s="220"/>
      <c r="M701" s="197"/>
      <c r="N701" s="375"/>
      <c r="O701" s="376"/>
      <c r="P701" s="220"/>
      <c r="Q701" s="117"/>
      <c r="R701" s="189"/>
      <c r="S701" s="141"/>
      <c r="T701" s="141"/>
      <c r="U701" s="57"/>
      <c r="V701" s="57"/>
      <c r="W701" s="57"/>
      <c r="X701" s="57"/>
      <c r="Y701" s="57"/>
      <c r="Z701" s="57"/>
      <c r="AA701" s="57"/>
      <c r="AB701" s="57"/>
    </row>
    <row r="702">
      <c r="A702" s="185" t="str">
        <f t="shared" si="17"/>
        <v/>
      </c>
      <c r="B702" s="141"/>
      <c r="C702" s="117"/>
      <c r="D702" s="117"/>
      <c r="E702" s="117"/>
      <c r="F702" s="117"/>
      <c r="G702" s="189"/>
      <c r="H702" s="189"/>
      <c r="I702" s="48"/>
      <c r="J702" s="189"/>
      <c r="K702" s="220"/>
      <c r="L702" s="220"/>
      <c r="M702" s="197"/>
      <c r="N702" s="375"/>
      <c r="O702" s="376"/>
      <c r="P702" s="220"/>
      <c r="Q702" s="117"/>
      <c r="R702" s="189"/>
      <c r="S702" s="141"/>
      <c r="T702" s="141"/>
      <c r="U702" s="57"/>
      <c r="V702" s="57"/>
      <c r="W702" s="57"/>
      <c r="X702" s="57"/>
      <c r="Y702" s="57"/>
      <c r="Z702" s="57"/>
      <c r="AA702" s="57"/>
      <c r="AB702" s="57"/>
    </row>
    <row r="703">
      <c r="A703" s="185" t="str">
        <f t="shared" si="17"/>
        <v/>
      </c>
      <c r="B703" s="141"/>
      <c r="C703" s="117"/>
      <c r="D703" s="117"/>
      <c r="E703" s="117"/>
      <c r="F703" s="117"/>
      <c r="G703" s="189"/>
      <c r="H703" s="189"/>
      <c r="I703" s="48"/>
      <c r="J703" s="189"/>
      <c r="K703" s="220"/>
      <c r="L703" s="220"/>
      <c r="M703" s="197"/>
      <c r="N703" s="375"/>
      <c r="O703" s="376"/>
      <c r="P703" s="220"/>
      <c r="Q703" s="117"/>
      <c r="R703" s="189"/>
      <c r="S703" s="141"/>
      <c r="T703" s="141"/>
      <c r="U703" s="57"/>
      <c r="V703" s="57"/>
      <c r="W703" s="57"/>
      <c r="X703" s="57"/>
      <c r="Y703" s="57"/>
      <c r="Z703" s="57"/>
      <c r="AA703" s="57"/>
      <c r="AB703" s="57"/>
    </row>
    <row r="704">
      <c r="A704" s="185" t="str">
        <f t="shared" si="17"/>
        <v/>
      </c>
      <c r="B704" s="141"/>
      <c r="C704" s="117"/>
      <c r="D704" s="117"/>
      <c r="E704" s="117"/>
      <c r="F704" s="117"/>
      <c r="G704" s="189"/>
      <c r="H704" s="189"/>
      <c r="I704" s="48"/>
      <c r="J704" s="189"/>
      <c r="K704" s="220"/>
      <c r="L704" s="220"/>
      <c r="M704" s="197"/>
      <c r="N704" s="375"/>
      <c r="O704" s="376"/>
      <c r="P704" s="220"/>
      <c r="Q704" s="117"/>
      <c r="R704" s="189"/>
      <c r="S704" s="141"/>
      <c r="T704" s="141"/>
      <c r="U704" s="57"/>
      <c r="V704" s="57"/>
      <c r="W704" s="57"/>
      <c r="X704" s="57"/>
      <c r="Y704" s="57"/>
      <c r="Z704" s="57"/>
      <c r="AA704" s="57"/>
      <c r="AB704" s="57"/>
    </row>
    <row r="705">
      <c r="A705" s="185" t="str">
        <f t="shared" si="17"/>
        <v/>
      </c>
      <c r="B705" s="141"/>
      <c r="C705" s="117"/>
      <c r="D705" s="117"/>
      <c r="E705" s="117"/>
      <c r="F705" s="117"/>
      <c r="G705" s="189"/>
      <c r="H705" s="189"/>
      <c r="I705" s="48"/>
      <c r="J705" s="189"/>
      <c r="K705" s="220"/>
      <c r="L705" s="220"/>
      <c r="M705" s="197"/>
      <c r="N705" s="375"/>
      <c r="O705" s="376"/>
      <c r="P705" s="220"/>
      <c r="Q705" s="117"/>
      <c r="R705" s="189"/>
      <c r="S705" s="141"/>
      <c r="T705" s="141"/>
      <c r="U705" s="57"/>
      <c r="V705" s="57"/>
      <c r="W705" s="57"/>
      <c r="X705" s="57"/>
      <c r="Y705" s="57"/>
      <c r="Z705" s="57"/>
      <c r="AA705" s="57"/>
      <c r="AB705" s="57"/>
    </row>
    <row r="706">
      <c r="A706" s="185" t="str">
        <f t="shared" si="17"/>
        <v/>
      </c>
      <c r="B706" s="141"/>
      <c r="C706" s="117"/>
      <c r="D706" s="117"/>
      <c r="E706" s="117"/>
      <c r="F706" s="117"/>
      <c r="G706" s="189"/>
      <c r="H706" s="189"/>
      <c r="I706" s="48"/>
      <c r="J706" s="189"/>
      <c r="K706" s="220"/>
      <c r="L706" s="220"/>
      <c r="M706" s="197"/>
      <c r="N706" s="375"/>
      <c r="O706" s="376"/>
      <c r="P706" s="220"/>
      <c r="Q706" s="117"/>
      <c r="R706" s="189"/>
      <c r="S706" s="141"/>
      <c r="T706" s="141"/>
      <c r="U706" s="57"/>
      <c r="V706" s="57"/>
      <c r="W706" s="57"/>
      <c r="X706" s="57"/>
      <c r="Y706" s="57"/>
      <c r="Z706" s="57"/>
      <c r="AA706" s="57"/>
      <c r="AB706" s="57"/>
    </row>
    <row r="707">
      <c r="A707" s="185" t="str">
        <f t="shared" si="17"/>
        <v/>
      </c>
      <c r="B707" s="141"/>
      <c r="C707" s="117"/>
      <c r="D707" s="117"/>
      <c r="E707" s="117"/>
      <c r="F707" s="117"/>
      <c r="G707" s="189"/>
      <c r="H707" s="189"/>
      <c r="I707" s="48"/>
      <c r="J707" s="189"/>
      <c r="K707" s="220"/>
      <c r="L707" s="220"/>
      <c r="M707" s="197"/>
      <c r="N707" s="375"/>
      <c r="O707" s="376"/>
      <c r="P707" s="220"/>
      <c r="Q707" s="117"/>
      <c r="R707" s="189"/>
      <c r="S707" s="141"/>
      <c r="T707" s="141"/>
      <c r="U707" s="57"/>
      <c r="V707" s="57"/>
      <c r="W707" s="57"/>
      <c r="X707" s="57"/>
      <c r="Y707" s="57"/>
      <c r="Z707" s="57"/>
      <c r="AA707" s="57"/>
      <c r="AB707" s="57"/>
    </row>
    <row r="708">
      <c r="A708" s="185" t="str">
        <f t="shared" si="17"/>
        <v/>
      </c>
      <c r="B708" s="141"/>
      <c r="C708" s="117"/>
      <c r="D708" s="117"/>
      <c r="E708" s="117"/>
      <c r="F708" s="117"/>
      <c r="G708" s="189"/>
      <c r="H708" s="189"/>
      <c r="I708" s="48"/>
      <c r="J708" s="189"/>
      <c r="K708" s="220"/>
      <c r="L708" s="220"/>
      <c r="M708" s="197"/>
      <c r="N708" s="375"/>
      <c r="O708" s="376"/>
      <c r="P708" s="220"/>
      <c r="Q708" s="117"/>
      <c r="R708" s="189"/>
      <c r="S708" s="141"/>
      <c r="T708" s="141"/>
      <c r="U708" s="57"/>
      <c r="V708" s="57"/>
      <c r="W708" s="57"/>
      <c r="X708" s="57"/>
      <c r="Y708" s="57"/>
      <c r="Z708" s="57"/>
      <c r="AA708" s="57"/>
      <c r="AB708" s="57"/>
    </row>
    <row r="709">
      <c r="A709" s="185" t="str">
        <f t="shared" si="17"/>
        <v/>
      </c>
      <c r="B709" s="141"/>
      <c r="C709" s="117"/>
      <c r="D709" s="117"/>
      <c r="E709" s="117"/>
      <c r="F709" s="117"/>
      <c r="G709" s="189"/>
      <c r="H709" s="189"/>
      <c r="I709" s="48"/>
      <c r="J709" s="189"/>
      <c r="K709" s="220"/>
      <c r="L709" s="220"/>
      <c r="M709" s="197"/>
      <c r="N709" s="375"/>
      <c r="O709" s="376"/>
      <c r="P709" s="220"/>
      <c r="Q709" s="117"/>
      <c r="R709" s="189"/>
      <c r="S709" s="141"/>
      <c r="T709" s="141"/>
      <c r="U709" s="57"/>
      <c r="V709" s="57"/>
      <c r="W709" s="57"/>
      <c r="X709" s="57"/>
      <c r="Y709" s="57"/>
      <c r="Z709" s="57"/>
      <c r="AA709" s="57"/>
      <c r="AB709" s="57"/>
    </row>
    <row r="710">
      <c r="A710" s="185" t="str">
        <f t="shared" si="17"/>
        <v/>
      </c>
      <c r="B710" s="141"/>
      <c r="C710" s="117"/>
      <c r="D710" s="117"/>
      <c r="E710" s="117"/>
      <c r="F710" s="117"/>
      <c r="G710" s="189"/>
      <c r="H710" s="189"/>
      <c r="I710" s="48"/>
      <c r="J710" s="189"/>
      <c r="K710" s="220"/>
      <c r="L710" s="220"/>
      <c r="M710" s="197"/>
      <c r="N710" s="375"/>
      <c r="O710" s="376"/>
      <c r="P710" s="220"/>
      <c r="Q710" s="117"/>
      <c r="R710" s="189"/>
      <c r="S710" s="141"/>
      <c r="T710" s="141"/>
      <c r="U710" s="57"/>
      <c r="V710" s="57"/>
      <c r="W710" s="57"/>
      <c r="X710" s="57"/>
      <c r="Y710" s="57"/>
      <c r="Z710" s="57"/>
      <c r="AA710" s="57"/>
      <c r="AB710" s="57"/>
    </row>
    <row r="711">
      <c r="A711" s="185" t="str">
        <f t="shared" si="17"/>
        <v/>
      </c>
      <c r="B711" s="141"/>
      <c r="C711" s="117"/>
      <c r="D711" s="117"/>
      <c r="E711" s="117"/>
      <c r="F711" s="117"/>
      <c r="G711" s="189"/>
      <c r="H711" s="189"/>
      <c r="I711" s="48"/>
      <c r="J711" s="189"/>
      <c r="K711" s="220"/>
      <c r="L711" s="220"/>
      <c r="M711" s="197"/>
      <c r="N711" s="375"/>
      <c r="O711" s="376"/>
      <c r="P711" s="220"/>
      <c r="Q711" s="117"/>
      <c r="R711" s="189"/>
      <c r="S711" s="141"/>
      <c r="T711" s="141"/>
      <c r="U711" s="57"/>
      <c r="V711" s="57"/>
      <c r="W711" s="57"/>
      <c r="X711" s="57"/>
      <c r="Y711" s="57"/>
      <c r="Z711" s="57"/>
      <c r="AA711" s="57"/>
      <c r="AB711" s="57"/>
    </row>
    <row r="712">
      <c r="A712" s="185" t="str">
        <f t="shared" si="17"/>
        <v/>
      </c>
      <c r="B712" s="141"/>
      <c r="C712" s="117"/>
      <c r="D712" s="117"/>
      <c r="E712" s="117"/>
      <c r="F712" s="117"/>
      <c r="G712" s="189"/>
      <c r="H712" s="189"/>
      <c r="I712" s="48"/>
      <c r="J712" s="189"/>
      <c r="K712" s="220"/>
      <c r="L712" s="220"/>
      <c r="M712" s="197"/>
      <c r="N712" s="375"/>
      <c r="O712" s="376"/>
      <c r="P712" s="220"/>
      <c r="Q712" s="117"/>
      <c r="R712" s="189"/>
      <c r="S712" s="141"/>
      <c r="T712" s="141"/>
      <c r="U712" s="57"/>
      <c r="V712" s="57"/>
      <c r="W712" s="57"/>
      <c r="X712" s="57"/>
      <c r="Y712" s="57"/>
      <c r="Z712" s="57"/>
      <c r="AA712" s="57"/>
      <c r="AB712" s="57"/>
    </row>
    <row r="713">
      <c r="A713" s="185" t="str">
        <f t="shared" si="17"/>
        <v/>
      </c>
      <c r="B713" s="141"/>
      <c r="C713" s="117"/>
      <c r="D713" s="117"/>
      <c r="E713" s="117"/>
      <c r="F713" s="117"/>
      <c r="G713" s="189"/>
      <c r="H713" s="189"/>
      <c r="I713" s="48"/>
      <c r="J713" s="189"/>
      <c r="K713" s="220"/>
      <c r="L713" s="220"/>
      <c r="M713" s="197"/>
      <c r="N713" s="375"/>
      <c r="O713" s="376"/>
      <c r="P713" s="220"/>
      <c r="Q713" s="117"/>
      <c r="R713" s="189"/>
      <c r="S713" s="141"/>
      <c r="T713" s="141"/>
      <c r="U713" s="57"/>
      <c r="V713" s="57"/>
      <c r="W713" s="57"/>
      <c r="X713" s="57"/>
      <c r="Y713" s="57"/>
      <c r="Z713" s="57"/>
      <c r="AA713" s="57"/>
      <c r="AB713" s="57"/>
    </row>
    <row r="714">
      <c r="A714" s="185" t="str">
        <f t="shared" si="17"/>
        <v/>
      </c>
      <c r="B714" s="141"/>
      <c r="C714" s="117"/>
      <c r="D714" s="117"/>
      <c r="E714" s="117"/>
      <c r="F714" s="117"/>
      <c r="G714" s="189"/>
      <c r="H714" s="189"/>
      <c r="I714" s="48"/>
      <c r="J714" s="189"/>
      <c r="K714" s="220"/>
      <c r="L714" s="220"/>
      <c r="M714" s="197"/>
      <c r="N714" s="375"/>
      <c r="O714" s="376"/>
      <c r="P714" s="220"/>
      <c r="Q714" s="117"/>
      <c r="R714" s="189"/>
      <c r="S714" s="141"/>
      <c r="T714" s="141"/>
      <c r="U714" s="57"/>
      <c r="V714" s="57"/>
      <c r="W714" s="57"/>
      <c r="X714" s="57"/>
      <c r="Y714" s="57"/>
      <c r="Z714" s="57"/>
      <c r="AA714" s="57"/>
      <c r="AB714" s="57"/>
    </row>
    <row r="715">
      <c r="A715" s="185" t="str">
        <f t="shared" si="17"/>
        <v/>
      </c>
      <c r="B715" s="141"/>
      <c r="C715" s="117"/>
      <c r="D715" s="117"/>
      <c r="E715" s="117"/>
      <c r="F715" s="117"/>
      <c r="G715" s="189"/>
      <c r="H715" s="189"/>
      <c r="I715" s="48"/>
      <c r="J715" s="189"/>
      <c r="K715" s="220"/>
      <c r="L715" s="220"/>
      <c r="M715" s="197"/>
      <c r="N715" s="375"/>
      <c r="O715" s="376"/>
      <c r="P715" s="220"/>
      <c r="Q715" s="117"/>
      <c r="R715" s="189"/>
      <c r="S715" s="141"/>
      <c r="T715" s="141"/>
      <c r="U715" s="57"/>
      <c r="V715" s="57"/>
      <c r="W715" s="57"/>
      <c r="X715" s="57"/>
      <c r="Y715" s="57"/>
      <c r="Z715" s="57"/>
      <c r="AA715" s="57"/>
      <c r="AB715" s="57"/>
    </row>
    <row r="716">
      <c r="A716" s="185" t="str">
        <f t="shared" si="17"/>
        <v/>
      </c>
      <c r="B716" s="141"/>
      <c r="C716" s="117"/>
      <c r="D716" s="117"/>
      <c r="E716" s="117"/>
      <c r="F716" s="117"/>
      <c r="G716" s="189"/>
      <c r="H716" s="189"/>
      <c r="I716" s="48"/>
      <c r="J716" s="189"/>
      <c r="K716" s="220"/>
      <c r="L716" s="220"/>
      <c r="M716" s="197"/>
      <c r="N716" s="375"/>
      <c r="O716" s="376"/>
      <c r="P716" s="220"/>
      <c r="Q716" s="117"/>
      <c r="R716" s="189"/>
      <c r="S716" s="141"/>
      <c r="T716" s="141"/>
      <c r="U716" s="57"/>
      <c r="V716" s="57"/>
      <c r="W716" s="57"/>
      <c r="X716" s="57"/>
      <c r="Y716" s="57"/>
      <c r="Z716" s="57"/>
      <c r="AA716" s="57"/>
      <c r="AB716" s="57"/>
    </row>
    <row r="717">
      <c r="A717" s="185" t="str">
        <f t="shared" si="17"/>
        <v/>
      </c>
      <c r="B717" s="141"/>
      <c r="C717" s="117"/>
      <c r="D717" s="117"/>
      <c r="E717" s="117"/>
      <c r="F717" s="117"/>
      <c r="G717" s="189"/>
      <c r="H717" s="189"/>
      <c r="I717" s="48"/>
      <c r="J717" s="189"/>
      <c r="K717" s="220"/>
      <c r="L717" s="220"/>
      <c r="M717" s="197"/>
      <c r="N717" s="375"/>
      <c r="O717" s="376"/>
      <c r="P717" s="220"/>
      <c r="Q717" s="117"/>
      <c r="R717" s="189"/>
      <c r="S717" s="141"/>
      <c r="T717" s="141"/>
      <c r="U717" s="57"/>
      <c r="V717" s="57"/>
      <c r="W717" s="57"/>
      <c r="X717" s="57"/>
      <c r="Y717" s="57"/>
      <c r="Z717" s="57"/>
      <c r="AA717" s="57"/>
      <c r="AB717" s="57"/>
    </row>
    <row r="718">
      <c r="A718" s="185" t="str">
        <f t="shared" si="17"/>
        <v/>
      </c>
      <c r="B718" s="141"/>
      <c r="C718" s="117"/>
      <c r="D718" s="117"/>
      <c r="E718" s="117"/>
      <c r="F718" s="117"/>
      <c r="G718" s="189"/>
      <c r="H718" s="189"/>
      <c r="I718" s="48"/>
      <c r="J718" s="189"/>
      <c r="K718" s="220"/>
      <c r="L718" s="220"/>
      <c r="M718" s="197"/>
      <c r="N718" s="375"/>
      <c r="O718" s="376"/>
      <c r="P718" s="220"/>
      <c r="Q718" s="117"/>
      <c r="R718" s="189"/>
      <c r="S718" s="141"/>
      <c r="T718" s="141"/>
      <c r="U718" s="57"/>
      <c r="V718" s="57"/>
      <c r="W718" s="57"/>
      <c r="X718" s="57"/>
      <c r="Y718" s="57"/>
      <c r="Z718" s="57"/>
      <c r="AA718" s="57"/>
      <c r="AB718" s="57"/>
    </row>
    <row r="719">
      <c r="A719" s="185" t="str">
        <f t="shared" si="17"/>
        <v/>
      </c>
      <c r="B719" s="141"/>
      <c r="C719" s="117"/>
      <c r="D719" s="117"/>
      <c r="E719" s="117"/>
      <c r="F719" s="117"/>
      <c r="G719" s="189"/>
      <c r="H719" s="189"/>
      <c r="I719" s="48"/>
      <c r="J719" s="189"/>
      <c r="K719" s="220"/>
      <c r="L719" s="220"/>
      <c r="M719" s="197"/>
      <c r="N719" s="375"/>
      <c r="O719" s="376"/>
      <c r="P719" s="220"/>
      <c r="Q719" s="117"/>
      <c r="R719" s="189"/>
      <c r="S719" s="141"/>
      <c r="T719" s="141"/>
      <c r="U719" s="57"/>
      <c r="V719" s="57"/>
      <c r="W719" s="57"/>
      <c r="X719" s="57"/>
      <c r="Y719" s="57"/>
      <c r="Z719" s="57"/>
      <c r="AA719" s="57"/>
      <c r="AB719" s="57"/>
    </row>
    <row r="720">
      <c r="A720" s="185" t="str">
        <f t="shared" si="17"/>
        <v/>
      </c>
      <c r="B720" s="141"/>
      <c r="C720" s="117"/>
      <c r="D720" s="117"/>
      <c r="E720" s="117"/>
      <c r="F720" s="117"/>
      <c r="G720" s="189"/>
      <c r="H720" s="189"/>
      <c r="I720" s="48"/>
      <c r="J720" s="189"/>
      <c r="K720" s="220"/>
      <c r="L720" s="220"/>
      <c r="M720" s="197"/>
      <c r="N720" s="375"/>
      <c r="O720" s="376"/>
      <c r="P720" s="220"/>
      <c r="Q720" s="117"/>
      <c r="R720" s="189"/>
      <c r="S720" s="141"/>
      <c r="T720" s="141"/>
      <c r="U720" s="57"/>
      <c r="V720" s="57"/>
      <c r="W720" s="57"/>
      <c r="X720" s="57"/>
      <c r="Y720" s="57"/>
      <c r="Z720" s="57"/>
      <c r="AA720" s="57"/>
      <c r="AB720" s="57"/>
    </row>
    <row r="721">
      <c r="A721" s="185" t="str">
        <f t="shared" si="17"/>
        <v/>
      </c>
      <c r="B721" s="141"/>
      <c r="C721" s="117"/>
      <c r="D721" s="117"/>
      <c r="E721" s="117"/>
      <c r="F721" s="117"/>
      <c r="G721" s="189"/>
      <c r="H721" s="189"/>
      <c r="I721" s="48"/>
      <c r="J721" s="189"/>
      <c r="K721" s="220"/>
      <c r="L721" s="220"/>
      <c r="M721" s="197"/>
      <c r="N721" s="375"/>
      <c r="O721" s="376"/>
      <c r="P721" s="220"/>
      <c r="Q721" s="117"/>
      <c r="R721" s="189"/>
      <c r="S721" s="141"/>
      <c r="T721" s="141"/>
      <c r="U721" s="57"/>
      <c r="V721" s="57"/>
      <c r="W721" s="57"/>
      <c r="X721" s="57"/>
      <c r="Y721" s="57"/>
      <c r="Z721" s="57"/>
      <c r="AA721" s="57"/>
      <c r="AB721" s="57"/>
    </row>
    <row r="722">
      <c r="A722" s="185" t="str">
        <f t="shared" si="17"/>
        <v/>
      </c>
      <c r="B722" s="141"/>
      <c r="C722" s="117"/>
      <c r="D722" s="117"/>
      <c r="E722" s="117"/>
      <c r="F722" s="117"/>
      <c r="G722" s="189"/>
      <c r="H722" s="189"/>
      <c r="I722" s="48"/>
      <c r="J722" s="189"/>
      <c r="K722" s="220"/>
      <c r="L722" s="220"/>
      <c r="M722" s="197"/>
      <c r="N722" s="375"/>
      <c r="O722" s="376"/>
      <c r="P722" s="220"/>
      <c r="Q722" s="117"/>
      <c r="R722" s="189"/>
      <c r="S722" s="141"/>
      <c r="T722" s="141"/>
      <c r="U722" s="57"/>
      <c r="V722" s="57"/>
      <c r="W722" s="57"/>
      <c r="X722" s="57"/>
      <c r="Y722" s="57"/>
      <c r="Z722" s="57"/>
      <c r="AA722" s="57"/>
      <c r="AB722" s="57"/>
    </row>
    <row r="723">
      <c r="A723" s="185" t="str">
        <f t="shared" si="17"/>
        <v/>
      </c>
      <c r="B723" s="141"/>
      <c r="C723" s="117"/>
      <c r="D723" s="117"/>
      <c r="E723" s="117"/>
      <c r="F723" s="117"/>
      <c r="G723" s="189"/>
      <c r="H723" s="189"/>
      <c r="I723" s="48"/>
      <c r="J723" s="189"/>
      <c r="K723" s="220"/>
      <c r="L723" s="220"/>
      <c r="M723" s="197"/>
      <c r="N723" s="375"/>
      <c r="O723" s="376"/>
      <c r="P723" s="220"/>
      <c r="Q723" s="117"/>
      <c r="R723" s="189"/>
      <c r="S723" s="141"/>
      <c r="T723" s="141"/>
      <c r="U723" s="57"/>
      <c r="V723" s="57"/>
      <c r="W723" s="57"/>
      <c r="X723" s="57"/>
      <c r="Y723" s="57"/>
      <c r="Z723" s="57"/>
      <c r="AA723" s="57"/>
      <c r="AB723" s="57"/>
    </row>
    <row r="724">
      <c r="A724" s="185" t="str">
        <f t="shared" si="17"/>
        <v/>
      </c>
      <c r="B724" s="141"/>
      <c r="C724" s="117"/>
      <c r="D724" s="117"/>
      <c r="E724" s="117"/>
      <c r="F724" s="117"/>
      <c r="G724" s="189"/>
      <c r="H724" s="189"/>
      <c r="I724" s="48"/>
      <c r="J724" s="189"/>
      <c r="K724" s="220"/>
      <c r="L724" s="220"/>
      <c r="M724" s="197"/>
      <c r="N724" s="375"/>
      <c r="O724" s="376"/>
      <c r="P724" s="220"/>
      <c r="Q724" s="117"/>
      <c r="R724" s="189"/>
      <c r="S724" s="141"/>
      <c r="T724" s="141"/>
      <c r="U724" s="57"/>
      <c r="V724" s="57"/>
      <c r="W724" s="57"/>
      <c r="X724" s="57"/>
      <c r="Y724" s="57"/>
      <c r="Z724" s="57"/>
      <c r="AA724" s="57"/>
      <c r="AB724" s="57"/>
    </row>
    <row r="725">
      <c r="A725" s="185" t="str">
        <f t="shared" si="17"/>
        <v/>
      </c>
      <c r="B725" s="141"/>
      <c r="C725" s="117"/>
      <c r="D725" s="117"/>
      <c r="E725" s="117"/>
      <c r="F725" s="117"/>
      <c r="G725" s="189"/>
      <c r="H725" s="189"/>
      <c r="I725" s="48"/>
      <c r="J725" s="189"/>
      <c r="K725" s="220"/>
      <c r="L725" s="220"/>
      <c r="M725" s="197"/>
      <c r="N725" s="375"/>
      <c r="O725" s="376"/>
      <c r="P725" s="220"/>
      <c r="Q725" s="117"/>
      <c r="R725" s="189"/>
      <c r="S725" s="141"/>
      <c r="T725" s="141"/>
      <c r="U725" s="57"/>
      <c r="V725" s="57"/>
      <c r="W725" s="57"/>
      <c r="X725" s="57"/>
      <c r="Y725" s="57"/>
      <c r="Z725" s="57"/>
      <c r="AA725" s="57"/>
      <c r="AB725" s="57"/>
    </row>
    <row r="726">
      <c r="A726" s="185" t="str">
        <f t="shared" si="17"/>
        <v/>
      </c>
      <c r="B726" s="141"/>
      <c r="C726" s="117"/>
      <c r="D726" s="117"/>
      <c r="E726" s="117"/>
      <c r="F726" s="117"/>
      <c r="G726" s="189"/>
      <c r="H726" s="189"/>
      <c r="I726" s="48"/>
      <c r="J726" s="189"/>
      <c r="K726" s="220"/>
      <c r="L726" s="220"/>
      <c r="M726" s="197"/>
      <c r="N726" s="375"/>
      <c r="O726" s="376"/>
      <c r="P726" s="220"/>
      <c r="Q726" s="117"/>
      <c r="R726" s="189"/>
      <c r="S726" s="141"/>
      <c r="T726" s="141"/>
      <c r="U726" s="57"/>
      <c r="V726" s="57"/>
      <c r="W726" s="57"/>
      <c r="X726" s="57"/>
      <c r="Y726" s="57"/>
      <c r="Z726" s="57"/>
      <c r="AA726" s="57"/>
      <c r="AB726" s="57"/>
    </row>
    <row r="727">
      <c r="A727" s="185" t="str">
        <f t="shared" si="17"/>
        <v/>
      </c>
      <c r="B727" s="141"/>
      <c r="C727" s="117"/>
      <c r="D727" s="117"/>
      <c r="E727" s="117"/>
      <c r="F727" s="117"/>
      <c r="G727" s="189"/>
      <c r="H727" s="189"/>
      <c r="I727" s="48"/>
      <c r="J727" s="189"/>
      <c r="K727" s="220"/>
      <c r="L727" s="220"/>
      <c r="M727" s="197"/>
      <c r="N727" s="375"/>
      <c r="O727" s="376"/>
      <c r="P727" s="220"/>
      <c r="Q727" s="117"/>
      <c r="R727" s="189"/>
      <c r="S727" s="141"/>
      <c r="T727" s="141"/>
      <c r="U727" s="57"/>
      <c r="V727" s="57"/>
      <c r="W727" s="57"/>
      <c r="X727" s="57"/>
      <c r="Y727" s="57"/>
      <c r="Z727" s="57"/>
      <c r="AA727" s="57"/>
      <c r="AB727" s="57"/>
    </row>
    <row r="728">
      <c r="A728" s="185" t="str">
        <f t="shared" si="17"/>
        <v/>
      </c>
      <c r="B728" s="141"/>
      <c r="C728" s="117"/>
      <c r="D728" s="117"/>
      <c r="E728" s="117"/>
      <c r="F728" s="117"/>
      <c r="G728" s="189"/>
      <c r="H728" s="189"/>
      <c r="I728" s="48"/>
      <c r="J728" s="189"/>
      <c r="K728" s="220"/>
      <c r="L728" s="220"/>
      <c r="M728" s="197"/>
      <c r="N728" s="375"/>
      <c r="O728" s="376"/>
      <c r="P728" s="220"/>
      <c r="Q728" s="117"/>
      <c r="R728" s="189"/>
      <c r="S728" s="141"/>
      <c r="T728" s="141"/>
      <c r="U728" s="57"/>
      <c r="V728" s="57"/>
      <c r="W728" s="57"/>
      <c r="X728" s="57"/>
      <c r="Y728" s="57"/>
      <c r="Z728" s="57"/>
      <c r="AA728" s="57"/>
      <c r="AB728" s="57"/>
    </row>
    <row r="729">
      <c r="A729" s="185" t="str">
        <f t="shared" si="17"/>
        <v/>
      </c>
      <c r="B729" s="141"/>
      <c r="C729" s="117"/>
      <c r="D729" s="117"/>
      <c r="E729" s="117"/>
      <c r="F729" s="117"/>
      <c r="G729" s="189"/>
      <c r="H729" s="189"/>
      <c r="I729" s="48"/>
      <c r="J729" s="189"/>
      <c r="K729" s="220"/>
      <c r="L729" s="220"/>
      <c r="M729" s="197"/>
      <c r="N729" s="375"/>
      <c r="O729" s="376"/>
      <c r="P729" s="220"/>
      <c r="Q729" s="117"/>
      <c r="R729" s="189"/>
      <c r="S729" s="141"/>
      <c r="T729" s="141"/>
      <c r="U729" s="57"/>
      <c r="V729" s="57"/>
      <c r="W729" s="57"/>
      <c r="X729" s="57"/>
      <c r="Y729" s="57"/>
      <c r="Z729" s="57"/>
      <c r="AA729" s="57"/>
      <c r="AB729" s="57"/>
    </row>
    <row r="730">
      <c r="A730" s="185" t="str">
        <f t="shared" si="17"/>
        <v/>
      </c>
      <c r="B730" s="141"/>
      <c r="C730" s="117"/>
      <c r="D730" s="117"/>
      <c r="E730" s="117"/>
      <c r="F730" s="117"/>
      <c r="G730" s="189"/>
      <c r="H730" s="189"/>
      <c r="I730" s="48"/>
      <c r="J730" s="189"/>
      <c r="K730" s="220"/>
      <c r="L730" s="220"/>
      <c r="M730" s="197"/>
      <c r="N730" s="375"/>
      <c r="O730" s="376"/>
      <c r="P730" s="220"/>
      <c r="Q730" s="117"/>
      <c r="R730" s="189"/>
      <c r="S730" s="141"/>
      <c r="T730" s="141"/>
      <c r="U730" s="57"/>
      <c r="V730" s="57"/>
      <c r="W730" s="57"/>
      <c r="X730" s="57"/>
      <c r="Y730" s="57"/>
      <c r="Z730" s="57"/>
      <c r="AA730" s="57"/>
      <c r="AB730" s="57"/>
    </row>
    <row r="731">
      <c r="A731" s="185" t="str">
        <f t="shared" si="17"/>
        <v/>
      </c>
      <c r="B731" s="141"/>
      <c r="C731" s="117"/>
      <c r="D731" s="117"/>
      <c r="E731" s="117"/>
      <c r="F731" s="117"/>
      <c r="G731" s="189"/>
      <c r="H731" s="189"/>
      <c r="I731" s="48"/>
      <c r="J731" s="189"/>
      <c r="K731" s="220"/>
      <c r="L731" s="220"/>
      <c r="M731" s="197"/>
      <c r="N731" s="375"/>
      <c r="O731" s="376"/>
      <c r="P731" s="220"/>
      <c r="Q731" s="117"/>
      <c r="R731" s="189"/>
      <c r="S731" s="141"/>
      <c r="T731" s="141"/>
      <c r="U731" s="57"/>
      <c r="V731" s="57"/>
      <c r="W731" s="57"/>
      <c r="X731" s="57"/>
      <c r="Y731" s="57"/>
      <c r="Z731" s="57"/>
      <c r="AA731" s="57"/>
      <c r="AB731" s="57"/>
    </row>
    <row r="732">
      <c r="A732" s="185" t="str">
        <f t="shared" si="17"/>
        <v/>
      </c>
      <c r="B732" s="141"/>
      <c r="C732" s="117"/>
      <c r="D732" s="117"/>
      <c r="E732" s="117"/>
      <c r="F732" s="117"/>
      <c r="G732" s="189"/>
      <c r="H732" s="189"/>
      <c r="I732" s="48"/>
      <c r="J732" s="189"/>
      <c r="K732" s="220"/>
      <c r="L732" s="220"/>
      <c r="M732" s="197"/>
      <c r="N732" s="375"/>
      <c r="O732" s="376"/>
      <c r="P732" s="220"/>
      <c r="Q732" s="117"/>
      <c r="R732" s="189"/>
      <c r="S732" s="141"/>
      <c r="T732" s="141"/>
      <c r="U732" s="57"/>
      <c r="V732" s="57"/>
      <c r="W732" s="57"/>
      <c r="X732" s="57"/>
      <c r="Y732" s="57"/>
      <c r="Z732" s="57"/>
      <c r="AA732" s="57"/>
      <c r="AB732" s="57"/>
    </row>
    <row r="733">
      <c r="A733" s="185" t="str">
        <f t="shared" si="17"/>
        <v/>
      </c>
      <c r="B733" s="141"/>
      <c r="C733" s="117"/>
      <c r="D733" s="117"/>
      <c r="E733" s="117"/>
      <c r="F733" s="117"/>
      <c r="G733" s="189"/>
      <c r="H733" s="189"/>
      <c r="I733" s="48"/>
      <c r="J733" s="189"/>
      <c r="K733" s="220"/>
      <c r="L733" s="220"/>
      <c r="M733" s="197"/>
      <c r="N733" s="375"/>
      <c r="O733" s="376"/>
      <c r="P733" s="220"/>
      <c r="Q733" s="117"/>
      <c r="R733" s="189"/>
      <c r="S733" s="141"/>
      <c r="T733" s="141"/>
      <c r="U733" s="57"/>
      <c r="V733" s="57"/>
      <c r="W733" s="57"/>
      <c r="X733" s="57"/>
      <c r="Y733" s="57"/>
      <c r="Z733" s="57"/>
      <c r="AA733" s="57"/>
      <c r="AB733" s="57"/>
    </row>
    <row r="734">
      <c r="A734" s="185" t="str">
        <f t="shared" si="17"/>
        <v/>
      </c>
      <c r="B734" s="141"/>
      <c r="C734" s="117"/>
      <c r="D734" s="117"/>
      <c r="E734" s="117"/>
      <c r="F734" s="117"/>
      <c r="G734" s="189"/>
      <c r="H734" s="189"/>
      <c r="I734" s="48"/>
      <c r="J734" s="189"/>
      <c r="K734" s="220"/>
      <c r="L734" s="220"/>
      <c r="M734" s="197"/>
      <c r="N734" s="375"/>
      <c r="O734" s="376"/>
      <c r="P734" s="220"/>
      <c r="Q734" s="117"/>
      <c r="R734" s="189"/>
      <c r="S734" s="141"/>
      <c r="T734" s="141"/>
      <c r="U734" s="57"/>
      <c r="V734" s="57"/>
      <c r="W734" s="57"/>
      <c r="X734" s="57"/>
      <c r="Y734" s="57"/>
      <c r="Z734" s="57"/>
      <c r="AA734" s="57"/>
      <c r="AB734" s="57"/>
    </row>
    <row r="735">
      <c r="A735" s="185" t="str">
        <f t="shared" si="17"/>
        <v/>
      </c>
      <c r="B735" s="141"/>
      <c r="C735" s="117"/>
      <c r="D735" s="117"/>
      <c r="E735" s="117"/>
      <c r="F735" s="117"/>
      <c r="G735" s="189"/>
      <c r="H735" s="189"/>
      <c r="I735" s="48"/>
      <c r="J735" s="189"/>
      <c r="K735" s="220"/>
      <c r="L735" s="220"/>
      <c r="M735" s="197"/>
      <c r="N735" s="375"/>
      <c r="O735" s="376"/>
      <c r="P735" s="220"/>
      <c r="Q735" s="117"/>
      <c r="R735" s="189"/>
      <c r="S735" s="141"/>
      <c r="T735" s="141"/>
      <c r="U735" s="57"/>
      <c r="V735" s="57"/>
      <c r="W735" s="57"/>
      <c r="X735" s="57"/>
      <c r="Y735" s="57"/>
      <c r="Z735" s="57"/>
      <c r="AA735" s="57"/>
      <c r="AB735" s="57"/>
    </row>
    <row r="736">
      <c r="A736" s="185" t="str">
        <f t="shared" si="17"/>
        <v/>
      </c>
      <c r="B736" s="141"/>
      <c r="C736" s="117"/>
      <c r="D736" s="117"/>
      <c r="E736" s="117"/>
      <c r="F736" s="117"/>
      <c r="G736" s="189"/>
      <c r="H736" s="189"/>
      <c r="I736" s="48"/>
      <c r="J736" s="189"/>
      <c r="K736" s="220"/>
      <c r="L736" s="220"/>
      <c r="M736" s="197"/>
      <c r="N736" s="375"/>
      <c r="O736" s="376"/>
      <c r="P736" s="220"/>
      <c r="Q736" s="117"/>
      <c r="R736" s="189"/>
      <c r="S736" s="141"/>
      <c r="T736" s="141"/>
      <c r="U736" s="57"/>
      <c r="V736" s="57"/>
      <c r="W736" s="57"/>
      <c r="X736" s="57"/>
      <c r="Y736" s="57"/>
      <c r="Z736" s="57"/>
      <c r="AA736" s="57"/>
      <c r="AB736" s="57"/>
    </row>
    <row r="737">
      <c r="A737" s="185" t="str">
        <f t="shared" si="17"/>
        <v/>
      </c>
      <c r="B737" s="141"/>
      <c r="C737" s="117"/>
      <c r="D737" s="117"/>
      <c r="E737" s="117"/>
      <c r="F737" s="117"/>
      <c r="G737" s="189"/>
      <c r="H737" s="189"/>
      <c r="I737" s="48"/>
      <c r="J737" s="189"/>
      <c r="K737" s="220"/>
      <c r="L737" s="220"/>
      <c r="M737" s="197"/>
      <c r="N737" s="375"/>
      <c r="O737" s="376"/>
      <c r="P737" s="220"/>
      <c r="Q737" s="117"/>
      <c r="R737" s="189"/>
      <c r="S737" s="141"/>
      <c r="T737" s="141"/>
      <c r="U737" s="57"/>
      <c r="V737" s="57"/>
      <c r="W737" s="57"/>
      <c r="X737" s="57"/>
      <c r="Y737" s="57"/>
      <c r="Z737" s="57"/>
      <c r="AA737" s="57"/>
      <c r="AB737" s="57"/>
    </row>
    <row r="738">
      <c r="A738" s="185" t="str">
        <f t="shared" si="17"/>
        <v/>
      </c>
      <c r="B738" s="141"/>
      <c r="C738" s="117"/>
      <c r="D738" s="117"/>
      <c r="E738" s="117"/>
      <c r="F738" s="117"/>
      <c r="G738" s="189"/>
      <c r="H738" s="189"/>
      <c r="I738" s="48"/>
      <c r="J738" s="189"/>
      <c r="K738" s="220"/>
      <c r="L738" s="220"/>
      <c r="M738" s="197"/>
      <c r="N738" s="375"/>
      <c r="O738" s="376"/>
      <c r="P738" s="220"/>
      <c r="Q738" s="117"/>
      <c r="R738" s="189"/>
      <c r="S738" s="141"/>
      <c r="T738" s="141"/>
      <c r="U738" s="57"/>
      <c r="V738" s="57"/>
      <c r="W738" s="57"/>
      <c r="X738" s="57"/>
      <c r="Y738" s="57"/>
      <c r="Z738" s="57"/>
      <c r="AA738" s="57"/>
      <c r="AB738" s="57"/>
    </row>
    <row r="739">
      <c r="A739" s="185" t="str">
        <f t="shared" si="17"/>
        <v/>
      </c>
      <c r="B739" s="141"/>
      <c r="C739" s="117"/>
      <c r="D739" s="117"/>
      <c r="E739" s="117"/>
      <c r="F739" s="117"/>
      <c r="G739" s="189"/>
      <c r="H739" s="189"/>
      <c r="I739" s="48"/>
      <c r="J739" s="189"/>
      <c r="K739" s="220"/>
      <c r="L739" s="220"/>
      <c r="M739" s="197"/>
      <c r="N739" s="375"/>
      <c r="O739" s="376"/>
      <c r="P739" s="220"/>
      <c r="Q739" s="117"/>
      <c r="R739" s="189"/>
      <c r="S739" s="141"/>
      <c r="T739" s="141"/>
      <c r="U739" s="57"/>
      <c r="V739" s="57"/>
      <c r="W739" s="57"/>
      <c r="X739" s="57"/>
      <c r="Y739" s="57"/>
      <c r="Z739" s="57"/>
      <c r="AA739" s="57"/>
      <c r="AB739" s="57"/>
    </row>
    <row r="740">
      <c r="A740" s="185" t="str">
        <f t="shared" si="17"/>
        <v/>
      </c>
      <c r="B740" s="141"/>
      <c r="C740" s="117"/>
      <c r="D740" s="117"/>
      <c r="E740" s="117"/>
      <c r="F740" s="117"/>
      <c r="G740" s="189"/>
      <c r="H740" s="189"/>
      <c r="I740" s="48"/>
      <c r="J740" s="189"/>
      <c r="K740" s="220"/>
      <c r="L740" s="220"/>
      <c r="M740" s="197"/>
      <c r="N740" s="375"/>
      <c r="O740" s="376"/>
      <c r="P740" s="220"/>
      <c r="Q740" s="117"/>
      <c r="R740" s="189"/>
      <c r="S740" s="141"/>
      <c r="T740" s="141"/>
      <c r="U740" s="57"/>
      <c r="V740" s="57"/>
      <c r="W740" s="57"/>
      <c r="X740" s="57"/>
      <c r="Y740" s="57"/>
      <c r="Z740" s="57"/>
      <c r="AA740" s="57"/>
      <c r="AB740" s="57"/>
    </row>
    <row r="741">
      <c r="A741" s="185" t="str">
        <f t="shared" si="17"/>
        <v/>
      </c>
      <c r="B741" s="141"/>
      <c r="C741" s="117"/>
      <c r="D741" s="117"/>
      <c r="E741" s="117"/>
      <c r="F741" s="117"/>
      <c r="G741" s="189"/>
      <c r="H741" s="189"/>
      <c r="I741" s="48"/>
      <c r="J741" s="189"/>
      <c r="K741" s="220"/>
      <c r="L741" s="220"/>
      <c r="M741" s="197"/>
      <c r="N741" s="375"/>
      <c r="O741" s="376"/>
      <c r="P741" s="220"/>
      <c r="Q741" s="117"/>
      <c r="R741" s="189"/>
      <c r="S741" s="141"/>
      <c r="T741" s="141"/>
      <c r="U741" s="57"/>
      <c r="V741" s="57"/>
      <c r="W741" s="57"/>
      <c r="X741" s="57"/>
      <c r="Y741" s="57"/>
      <c r="Z741" s="57"/>
      <c r="AA741" s="57"/>
      <c r="AB741" s="57"/>
    </row>
    <row r="742">
      <c r="A742" s="185" t="str">
        <f t="shared" si="17"/>
        <v/>
      </c>
      <c r="B742" s="141"/>
      <c r="C742" s="117"/>
      <c r="D742" s="117"/>
      <c r="E742" s="117"/>
      <c r="F742" s="117"/>
      <c r="G742" s="189"/>
      <c r="H742" s="189"/>
      <c r="I742" s="48"/>
      <c r="J742" s="189"/>
      <c r="K742" s="220"/>
      <c r="L742" s="220"/>
      <c r="M742" s="197"/>
      <c r="N742" s="375"/>
      <c r="O742" s="376"/>
      <c r="P742" s="220"/>
      <c r="Q742" s="117"/>
      <c r="R742" s="189"/>
      <c r="S742" s="141"/>
      <c r="T742" s="141"/>
      <c r="U742" s="57"/>
      <c r="V742" s="57"/>
      <c r="W742" s="57"/>
      <c r="X742" s="57"/>
      <c r="Y742" s="57"/>
      <c r="Z742" s="57"/>
      <c r="AA742" s="57"/>
      <c r="AB742" s="57"/>
    </row>
    <row r="743">
      <c r="A743" s="185" t="str">
        <f t="shared" si="17"/>
        <v/>
      </c>
      <c r="B743" s="141"/>
      <c r="C743" s="117"/>
      <c r="D743" s="117"/>
      <c r="E743" s="117"/>
      <c r="F743" s="117"/>
      <c r="G743" s="189"/>
      <c r="H743" s="189"/>
      <c r="I743" s="48"/>
      <c r="J743" s="189"/>
      <c r="K743" s="220"/>
      <c r="L743" s="220"/>
      <c r="M743" s="197"/>
      <c r="N743" s="375"/>
      <c r="O743" s="376"/>
      <c r="P743" s="220"/>
      <c r="Q743" s="117"/>
      <c r="R743" s="189"/>
      <c r="S743" s="141"/>
      <c r="T743" s="141"/>
      <c r="U743" s="57"/>
      <c r="V743" s="57"/>
      <c r="W743" s="57"/>
      <c r="X743" s="57"/>
      <c r="Y743" s="57"/>
      <c r="Z743" s="57"/>
      <c r="AA743" s="57"/>
      <c r="AB743" s="57"/>
    </row>
    <row r="744">
      <c r="A744" s="185" t="str">
        <f t="shared" si="17"/>
        <v/>
      </c>
      <c r="B744" s="141"/>
      <c r="C744" s="117"/>
      <c r="D744" s="117"/>
      <c r="E744" s="117"/>
      <c r="F744" s="117"/>
      <c r="G744" s="189"/>
      <c r="H744" s="189"/>
      <c r="I744" s="48"/>
      <c r="J744" s="189"/>
      <c r="K744" s="220"/>
      <c r="L744" s="220"/>
      <c r="M744" s="197"/>
      <c r="N744" s="375"/>
      <c r="O744" s="376"/>
      <c r="P744" s="220"/>
      <c r="Q744" s="117"/>
      <c r="R744" s="189"/>
      <c r="S744" s="141"/>
      <c r="T744" s="141"/>
      <c r="U744" s="57"/>
      <c r="V744" s="57"/>
      <c r="W744" s="57"/>
      <c r="X744" s="57"/>
      <c r="Y744" s="57"/>
      <c r="Z744" s="57"/>
      <c r="AA744" s="57"/>
      <c r="AB744" s="57"/>
    </row>
    <row r="745">
      <c r="A745" s="185" t="str">
        <f t="shared" si="17"/>
        <v/>
      </c>
      <c r="B745" s="141"/>
      <c r="C745" s="117"/>
      <c r="D745" s="117"/>
      <c r="E745" s="117"/>
      <c r="F745" s="117"/>
      <c r="G745" s="189"/>
      <c r="H745" s="189"/>
      <c r="I745" s="48"/>
      <c r="J745" s="189"/>
      <c r="K745" s="220"/>
      <c r="L745" s="220"/>
      <c r="M745" s="197"/>
      <c r="N745" s="375"/>
      <c r="O745" s="376"/>
      <c r="P745" s="220"/>
      <c r="Q745" s="117"/>
      <c r="R745" s="189"/>
      <c r="S745" s="141"/>
      <c r="T745" s="141"/>
      <c r="U745" s="57"/>
      <c r="V745" s="57"/>
      <c r="W745" s="57"/>
      <c r="X745" s="57"/>
      <c r="Y745" s="57"/>
      <c r="Z745" s="57"/>
      <c r="AA745" s="57"/>
      <c r="AB745" s="57"/>
    </row>
    <row r="746">
      <c r="A746" s="185" t="str">
        <f t="shared" si="17"/>
        <v/>
      </c>
      <c r="B746" s="141"/>
      <c r="C746" s="117"/>
      <c r="D746" s="117"/>
      <c r="E746" s="117"/>
      <c r="F746" s="117"/>
      <c r="G746" s="189"/>
      <c r="H746" s="189"/>
      <c r="I746" s="48"/>
      <c r="J746" s="189"/>
      <c r="K746" s="220"/>
      <c r="L746" s="220"/>
      <c r="M746" s="197"/>
      <c r="N746" s="375"/>
      <c r="O746" s="376"/>
      <c r="P746" s="220"/>
      <c r="Q746" s="117"/>
      <c r="R746" s="189"/>
      <c r="S746" s="141"/>
      <c r="T746" s="141"/>
      <c r="U746" s="57"/>
      <c r="V746" s="57"/>
      <c r="W746" s="57"/>
      <c r="X746" s="57"/>
      <c r="Y746" s="57"/>
      <c r="Z746" s="57"/>
      <c r="AA746" s="57"/>
      <c r="AB746" s="57"/>
    </row>
    <row r="747">
      <c r="A747" s="185" t="str">
        <f t="shared" si="17"/>
        <v/>
      </c>
      <c r="B747" s="141"/>
      <c r="C747" s="117"/>
      <c r="D747" s="117"/>
      <c r="E747" s="117"/>
      <c r="F747" s="117"/>
      <c r="G747" s="189"/>
      <c r="H747" s="189"/>
      <c r="I747" s="48"/>
      <c r="J747" s="189"/>
      <c r="K747" s="220"/>
      <c r="L747" s="220"/>
      <c r="M747" s="197"/>
      <c r="N747" s="375"/>
      <c r="O747" s="376"/>
      <c r="P747" s="220"/>
      <c r="Q747" s="117"/>
      <c r="R747" s="189"/>
      <c r="S747" s="141"/>
      <c r="T747" s="141"/>
      <c r="U747" s="57"/>
      <c r="V747" s="57"/>
      <c r="W747" s="57"/>
      <c r="X747" s="57"/>
      <c r="Y747" s="57"/>
      <c r="Z747" s="57"/>
      <c r="AA747" s="57"/>
      <c r="AB747" s="57"/>
    </row>
    <row r="748">
      <c r="A748" s="185" t="str">
        <f t="shared" si="17"/>
        <v/>
      </c>
      <c r="B748" s="141"/>
      <c r="C748" s="117"/>
      <c r="D748" s="117"/>
      <c r="E748" s="117"/>
      <c r="F748" s="117"/>
      <c r="G748" s="189"/>
      <c r="H748" s="189"/>
      <c r="I748" s="48"/>
      <c r="J748" s="189"/>
      <c r="K748" s="220"/>
      <c r="L748" s="220"/>
      <c r="M748" s="197"/>
      <c r="N748" s="375"/>
      <c r="O748" s="376"/>
      <c r="P748" s="220"/>
      <c r="Q748" s="117"/>
      <c r="R748" s="189"/>
      <c r="S748" s="141"/>
      <c r="T748" s="141"/>
      <c r="U748" s="57"/>
      <c r="V748" s="57"/>
      <c r="W748" s="57"/>
      <c r="X748" s="57"/>
      <c r="Y748" s="57"/>
      <c r="Z748" s="57"/>
      <c r="AA748" s="57"/>
      <c r="AB748" s="57"/>
    </row>
    <row r="749">
      <c r="A749" s="185" t="str">
        <f t="shared" si="17"/>
        <v/>
      </c>
      <c r="B749" s="141"/>
      <c r="C749" s="117"/>
      <c r="D749" s="117"/>
      <c r="E749" s="117"/>
      <c r="F749" s="117"/>
      <c r="G749" s="189"/>
      <c r="H749" s="189"/>
      <c r="I749" s="48"/>
      <c r="J749" s="189"/>
      <c r="K749" s="220"/>
      <c r="L749" s="220"/>
      <c r="M749" s="197"/>
      <c r="N749" s="375"/>
      <c r="O749" s="376"/>
      <c r="P749" s="220"/>
      <c r="Q749" s="117"/>
      <c r="R749" s="189"/>
      <c r="S749" s="141"/>
      <c r="T749" s="141"/>
      <c r="U749" s="57"/>
      <c r="V749" s="57"/>
      <c r="W749" s="57"/>
      <c r="X749" s="57"/>
      <c r="Y749" s="57"/>
      <c r="Z749" s="57"/>
      <c r="AA749" s="57"/>
      <c r="AB749" s="57"/>
    </row>
    <row r="750">
      <c r="A750" s="185" t="str">
        <f t="shared" si="17"/>
        <v/>
      </c>
      <c r="B750" s="141"/>
      <c r="C750" s="117"/>
      <c r="D750" s="117"/>
      <c r="E750" s="117"/>
      <c r="F750" s="117"/>
      <c r="G750" s="189"/>
      <c r="H750" s="189"/>
      <c r="I750" s="48"/>
      <c r="J750" s="189"/>
      <c r="K750" s="220"/>
      <c r="L750" s="220"/>
      <c r="M750" s="197"/>
      <c r="N750" s="375"/>
      <c r="O750" s="376"/>
      <c r="P750" s="220"/>
      <c r="Q750" s="117"/>
      <c r="R750" s="189"/>
      <c r="S750" s="141"/>
      <c r="T750" s="141"/>
      <c r="U750" s="57"/>
      <c r="V750" s="57"/>
      <c r="W750" s="57"/>
      <c r="X750" s="57"/>
      <c r="Y750" s="57"/>
      <c r="Z750" s="57"/>
      <c r="AA750" s="57"/>
      <c r="AB750" s="57"/>
    </row>
    <row r="751">
      <c r="A751" s="185" t="str">
        <f t="shared" si="17"/>
        <v/>
      </c>
      <c r="B751" s="141"/>
      <c r="C751" s="117"/>
      <c r="D751" s="117"/>
      <c r="E751" s="117"/>
      <c r="F751" s="117"/>
      <c r="G751" s="189"/>
      <c r="H751" s="189"/>
      <c r="I751" s="48"/>
      <c r="J751" s="189"/>
      <c r="K751" s="220"/>
      <c r="L751" s="220"/>
      <c r="M751" s="197"/>
      <c r="N751" s="375"/>
      <c r="O751" s="376"/>
      <c r="P751" s="220"/>
      <c r="Q751" s="117"/>
      <c r="R751" s="189"/>
      <c r="S751" s="141"/>
      <c r="T751" s="141"/>
      <c r="U751" s="57"/>
      <c r="V751" s="57"/>
      <c r="W751" s="57"/>
      <c r="X751" s="57"/>
      <c r="Y751" s="57"/>
      <c r="Z751" s="57"/>
      <c r="AA751" s="57"/>
      <c r="AB751" s="57"/>
    </row>
    <row r="752">
      <c r="A752" s="185" t="str">
        <f t="shared" si="17"/>
        <v/>
      </c>
      <c r="B752" s="141"/>
      <c r="C752" s="117"/>
      <c r="D752" s="117"/>
      <c r="E752" s="117"/>
      <c r="F752" s="117"/>
      <c r="G752" s="189"/>
      <c r="H752" s="189"/>
      <c r="I752" s="48"/>
      <c r="J752" s="189"/>
      <c r="K752" s="220"/>
      <c r="L752" s="220"/>
      <c r="M752" s="197"/>
      <c r="N752" s="375"/>
      <c r="O752" s="376"/>
      <c r="P752" s="220"/>
      <c r="Q752" s="117"/>
      <c r="R752" s="189"/>
      <c r="S752" s="141"/>
      <c r="T752" s="141"/>
      <c r="U752" s="57"/>
      <c r="V752" s="57"/>
      <c r="W752" s="57"/>
      <c r="X752" s="57"/>
      <c r="Y752" s="57"/>
      <c r="Z752" s="57"/>
      <c r="AA752" s="57"/>
      <c r="AB752" s="57"/>
    </row>
    <row r="753">
      <c r="A753" s="185" t="str">
        <f t="shared" si="17"/>
        <v/>
      </c>
      <c r="B753" s="141"/>
      <c r="C753" s="117"/>
      <c r="D753" s="117"/>
      <c r="E753" s="117"/>
      <c r="F753" s="117"/>
      <c r="G753" s="189"/>
      <c r="H753" s="189"/>
      <c r="I753" s="48"/>
      <c r="J753" s="189"/>
      <c r="K753" s="220"/>
      <c r="L753" s="220"/>
      <c r="M753" s="197"/>
      <c r="N753" s="375"/>
      <c r="O753" s="376"/>
      <c r="P753" s="220"/>
      <c r="Q753" s="117"/>
      <c r="R753" s="189"/>
      <c r="S753" s="141"/>
      <c r="T753" s="141"/>
      <c r="U753" s="57"/>
      <c r="V753" s="57"/>
      <c r="W753" s="57"/>
      <c r="X753" s="57"/>
      <c r="Y753" s="57"/>
      <c r="Z753" s="57"/>
      <c r="AA753" s="57"/>
      <c r="AB753" s="57"/>
    </row>
    <row r="754">
      <c r="A754" s="185" t="str">
        <f t="shared" si="17"/>
        <v/>
      </c>
      <c r="B754" s="141"/>
      <c r="C754" s="117"/>
      <c r="D754" s="117"/>
      <c r="E754" s="117"/>
      <c r="F754" s="117"/>
      <c r="G754" s="189"/>
      <c r="H754" s="189"/>
      <c r="I754" s="48"/>
      <c r="J754" s="189"/>
      <c r="K754" s="220"/>
      <c r="L754" s="220"/>
      <c r="M754" s="197"/>
      <c r="N754" s="375"/>
      <c r="O754" s="376"/>
      <c r="P754" s="220"/>
      <c r="Q754" s="117"/>
      <c r="R754" s="189"/>
      <c r="S754" s="141"/>
      <c r="T754" s="141"/>
      <c r="U754" s="57"/>
      <c r="V754" s="57"/>
      <c r="W754" s="57"/>
      <c r="X754" s="57"/>
      <c r="Y754" s="57"/>
      <c r="Z754" s="57"/>
      <c r="AA754" s="57"/>
      <c r="AB754" s="57"/>
    </row>
    <row r="755">
      <c r="A755" s="185" t="str">
        <f t="shared" si="17"/>
        <v/>
      </c>
      <c r="B755" s="141"/>
      <c r="C755" s="117"/>
      <c r="D755" s="117"/>
      <c r="E755" s="117"/>
      <c r="F755" s="117"/>
      <c r="G755" s="189"/>
      <c r="H755" s="189"/>
      <c r="I755" s="48"/>
      <c r="J755" s="189"/>
      <c r="K755" s="220"/>
      <c r="L755" s="220"/>
      <c r="M755" s="197"/>
      <c r="N755" s="375"/>
      <c r="O755" s="376"/>
      <c r="P755" s="220"/>
      <c r="Q755" s="117"/>
      <c r="R755" s="189"/>
      <c r="S755" s="141"/>
      <c r="T755" s="141"/>
      <c r="U755" s="57"/>
      <c r="V755" s="57"/>
      <c r="W755" s="57"/>
      <c r="X755" s="57"/>
      <c r="Y755" s="57"/>
      <c r="Z755" s="57"/>
      <c r="AA755" s="57"/>
      <c r="AB755" s="57"/>
    </row>
    <row r="756">
      <c r="A756" s="185" t="str">
        <f t="shared" si="17"/>
        <v/>
      </c>
      <c r="B756" s="141"/>
      <c r="C756" s="117"/>
      <c r="D756" s="117"/>
      <c r="E756" s="117"/>
      <c r="F756" s="117"/>
      <c r="G756" s="189"/>
      <c r="H756" s="189"/>
      <c r="I756" s="48"/>
      <c r="J756" s="189"/>
      <c r="K756" s="220"/>
      <c r="L756" s="220"/>
      <c r="M756" s="197"/>
      <c r="N756" s="375"/>
      <c r="O756" s="376"/>
      <c r="P756" s="220"/>
      <c r="Q756" s="117"/>
      <c r="R756" s="189"/>
      <c r="S756" s="141"/>
      <c r="T756" s="141"/>
      <c r="U756" s="57"/>
      <c r="V756" s="57"/>
      <c r="W756" s="57"/>
      <c r="X756" s="57"/>
      <c r="Y756" s="57"/>
      <c r="Z756" s="57"/>
      <c r="AA756" s="57"/>
      <c r="AB756" s="57"/>
    </row>
    <row r="757">
      <c r="A757" s="185" t="str">
        <f t="shared" si="17"/>
        <v/>
      </c>
      <c r="B757" s="141"/>
      <c r="C757" s="117"/>
      <c r="D757" s="117"/>
      <c r="E757" s="117"/>
      <c r="F757" s="117"/>
      <c r="G757" s="189"/>
      <c r="H757" s="189"/>
      <c r="I757" s="48"/>
      <c r="J757" s="189"/>
      <c r="K757" s="220"/>
      <c r="L757" s="220"/>
      <c r="M757" s="197"/>
      <c r="N757" s="375"/>
      <c r="O757" s="376"/>
      <c r="P757" s="220"/>
      <c r="Q757" s="117"/>
      <c r="R757" s="189"/>
      <c r="S757" s="141"/>
      <c r="T757" s="141"/>
      <c r="U757" s="57"/>
      <c r="V757" s="57"/>
      <c r="W757" s="57"/>
      <c r="X757" s="57"/>
      <c r="Y757" s="57"/>
      <c r="Z757" s="57"/>
      <c r="AA757" s="57"/>
      <c r="AB757" s="57"/>
    </row>
    <row r="758">
      <c r="A758" s="185" t="str">
        <f t="shared" si="17"/>
        <v/>
      </c>
      <c r="B758" s="141"/>
      <c r="C758" s="117"/>
      <c r="D758" s="117"/>
      <c r="E758" s="117"/>
      <c r="F758" s="117"/>
      <c r="G758" s="189"/>
      <c r="H758" s="189"/>
      <c r="I758" s="48"/>
      <c r="J758" s="189"/>
      <c r="K758" s="220"/>
      <c r="L758" s="220"/>
      <c r="M758" s="197"/>
      <c r="N758" s="375"/>
      <c r="O758" s="376"/>
      <c r="P758" s="220"/>
      <c r="Q758" s="117"/>
      <c r="R758" s="189"/>
      <c r="S758" s="141"/>
      <c r="T758" s="141"/>
      <c r="U758" s="57"/>
      <c r="V758" s="57"/>
      <c r="W758" s="57"/>
      <c r="X758" s="57"/>
      <c r="Y758" s="57"/>
      <c r="Z758" s="57"/>
      <c r="AA758" s="57"/>
      <c r="AB758" s="57"/>
    </row>
    <row r="759">
      <c r="A759" s="185" t="str">
        <f t="shared" si="17"/>
        <v/>
      </c>
      <c r="B759" s="141"/>
      <c r="C759" s="117"/>
      <c r="D759" s="117"/>
      <c r="E759" s="117"/>
      <c r="F759" s="117"/>
      <c r="G759" s="189"/>
      <c r="H759" s="189"/>
      <c r="I759" s="48"/>
      <c r="J759" s="189"/>
      <c r="K759" s="220"/>
      <c r="L759" s="220"/>
      <c r="M759" s="197"/>
      <c r="N759" s="375"/>
      <c r="O759" s="376"/>
      <c r="P759" s="220"/>
      <c r="Q759" s="117"/>
      <c r="R759" s="189"/>
      <c r="S759" s="141"/>
      <c r="T759" s="141"/>
      <c r="U759" s="57"/>
      <c r="V759" s="57"/>
      <c r="W759" s="57"/>
      <c r="X759" s="57"/>
      <c r="Y759" s="57"/>
      <c r="Z759" s="57"/>
      <c r="AA759" s="57"/>
      <c r="AB759" s="57"/>
    </row>
    <row r="760">
      <c r="A760" s="185" t="str">
        <f t="shared" si="17"/>
        <v/>
      </c>
      <c r="B760" s="141"/>
      <c r="C760" s="117"/>
      <c r="D760" s="117"/>
      <c r="E760" s="117"/>
      <c r="F760" s="117"/>
      <c r="G760" s="189"/>
      <c r="H760" s="189"/>
      <c r="I760" s="48"/>
      <c r="J760" s="189"/>
      <c r="K760" s="220"/>
      <c r="L760" s="220"/>
      <c r="M760" s="197"/>
      <c r="N760" s="375"/>
      <c r="O760" s="376"/>
      <c r="P760" s="220"/>
      <c r="Q760" s="117"/>
      <c r="R760" s="189"/>
      <c r="S760" s="141"/>
      <c r="T760" s="141"/>
      <c r="U760" s="57"/>
      <c r="V760" s="57"/>
      <c r="W760" s="57"/>
      <c r="X760" s="57"/>
      <c r="Y760" s="57"/>
      <c r="Z760" s="57"/>
      <c r="AA760" s="57"/>
      <c r="AB760" s="57"/>
    </row>
    <row r="761">
      <c r="A761" s="185" t="str">
        <f t="shared" si="17"/>
        <v/>
      </c>
      <c r="B761" s="141"/>
      <c r="C761" s="117"/>
      <c r="D761" s="117"/>
      <c r="E761" s="117"/>
      <c r="F761" s="117"/>
      <c r="G761" s="189"/>
      <c r="H761" s="189"/>
      <c r="I761" s="48"/>
      <c r="J761" s="189"/>
      <c r="K761" s="220"/>
      <c r="L761" s="220"/>
      <c r="M761" s="197"/>
      <c r="N761" s="375"/>
      <c r="O761" s="376"/>
      <c r="P761" s="220"/>
      <c r="Q761" s="117"/>
      <c r="R761" s="189"/>
      <c r="S761" s="141"/>
      <c r="T761" s="141"/>
      <c r="U761" s="57"/>
      <c r="V761" s="57"/>
      <c r="W761" s="57"/>
      <c r="X761" s="57"/>
      <c r="Y761" s="57"/>
      <c r="Z761" s="57"/>
      <c r="AA761" s="57"/>
      <c r="AB761" s="57"/>
    </row>
    <row r="762">
      <c r="A762" s="185" t="str">
        <f t="shared" si="17"/>
        <v/>
      </c>
      <c r="B762" s="141"/>
      <c r="C762" s="117"/>
      <c r="D762" s="117"/>
      <c r="E762" s="117"/>
      <c r="F762" s="117"/>
      <c r="G762" s="189"/>
      <c r="H762" s="189"/>
      <c r="I762" s="48"/>
      <c r="J762" s="189"/>
      <c r="K762" s="220"/>
      <c r="L762" s="220"/>
      <c r="M762" s="197"/>
      <c r="N762" s="375"/>
      <c r="O762" s="376"/>
      <c r="P762" s="220"/>
      <c r="Q762" s="117"/>
      <c r="R762" s="189"/>
      <c r="S762" s="141"/>
      <c r="T762" s="141"/>
      <c r="U762" s="57"/>
      <c r="V762" s="57"/>
      <c r="W762" s="57"/>
      <c r="X762" s="57"/>
      <c r="Y762" s="57"/>
      <c r="Z762" s="57"/>
      <c r="AA762" s="57"/>
      <c r="AB762" s="57"/>
    </row>
    <row r="763">
      <c r="A763" s="185" t="str">
        <f t="shared" si="17"/>
        <v/>
      </c>
      <c r="B763" s="141"/>
      <c r="C763" s="117"/>
      <c r="D763" s="117"/>
      <c r="E763" s="117"/>
      <c r="F763" s="117"/>
      <c r="G763" s="189"/>
      <c r="H763" s="189"/>
      <c r="I763" s="48"/>
      <c r="J763" s="189"/>
      <c r="K763" s="220"/>
      <c r="L763" s="220"/>
      <c r="M763" s="197"/>
      <c r="N763" s="375"/>
      <c r="O763" s="376"/>
      <c r="P763" s="220"/>
      <c r="Q763" s="117"/>
      <c r="R763" s="189"/>
      <c r="S763" s="141"/>
      <c r="T763" s="141"/>
      <c r="U763" s="57"/>
      <c r="V763" s="57"/>
      <c r="W763" s="57"/>
      <c r="X763" s="57"/>
      <c r="Y763" s="57"/>
      <c r="Z763" s="57"/>
      <c r="AA763" s="57"/>
      <c r="AB763" s="57"/>
    </row>
    <row r="764">
      <c r="A764" s="185" t="str">
        <f t="shared" si="17"/>
        <v/>
      </c>
      <c r="B764" s="141"/>
      <c r="C764" s="117"/>
      <c r="D764" s="117"/>
      <c r="E764" s="117"/>
      <c r="F764" s="117"/>
      <c r="G764" s="189"/>
      <c r="H764" s="189"/>
      <c r="I764" s="48"/>
      <c r="J764" s="189"/>
      <c r="K764" s="220"/>
      <c r="L764" s="220"/>
      <c r="M764" s="197"/>
      <c r="N764" s="375"/>
      <c r="O764" s="376"/>
      <c r="P764" s="220"/>
      <c r="Q764" s="117"/>
      <c r="R764" s="189"/>
      <c r="S764" s="141"/>
      <c r="T764" s="141"/>
      <c r="U764" s="57"/>
      <c r="V764" s="57"/>
      <c r="W764" s="57"/>
      <c r="X764" s="57"/>
      <c r="Y764" s="57"/>
      <c r="Z764" s="57"/>
      <c r="AA764" s="57"/>
      <c r="AB764" s="57"/>
    </row>
    <row r="765">
      <c r="A765" s="185" t="str">
        <f t="shared" si="17"/>
        <v/>
      </c>
      <c r="B765" s="141"/>
      <c r="C765" s="117"/>
      <c r="D765" s="117"/>
      <c r="E765" s="117"/>
      <c r="F765" s="117"/>
      <c r="G765" s="189"/>
      <c r="H765" s="189"/>
      <c r="I765" s="48"/>
      <c r="J765" s="189"/>
      <c r="K765" s="220"/>
      <c r="L765" s="220"/>
      <c r="M765" s="197"/>
      <c r="N765" s="375"/>
      <c r="O765" s="376"/>
      <c r="P765" s="220"/>
      <c r="Q765" s="117"/>
      <c r="R765" s="189"/>
      <c r="S765" s="141"/>
      <c r="T765" s="141"/>
      <c r="U765" s="57"/>
      <c r="V765" s="57"/>
      <c r="W765" s="57"/>
      <c r="X765" s="57"/>
      <c r="Y765" s="57"/>
      <c r="Z765" s="57"/>
      <c r="AA765" s="57"/>
      <c r="AB765" s="57"/>
    </row>
    <row r="766">
      <c r="A766" s="185" t="str">
        <f t="shared" si="17"/>
        <v/>
      </c>
      <c r="B766" s="141"/>
      <c r="C766" s="117"/>
      <c r="D766" s="117"/>
      <c r="E766" s="117"/>
      <c r="F766" s="117"/>
      <c r="G766" s="189"/>
      <c r="H766" s="189"/>
      <c r="I766" s="48"/>
      <c r="J766" s="189"/>
      <c r="K766" s="220"/>
      <c r="L766" s="220"/>
      <c r="M766" s="197"/>
      <c r="N766" s="375"/>
      <c r="O766" s="376"/>
      <c r="P766" s="220"/>
      <c r="Q766" s="117"/>
      <c r="R766" s="189"/>
      <c r="S766" s="141"/>
      <c r="T766" s="141"/>
      <c r="U766" s="57"/>
      <c r="V766" s="57"/>
      <c r="W766" s="57"/>
      <c r="X766" s="57"/>
      <c r="Y766" s="57"/>
      <c r="Z766" s="57"/>
      <c r="AA766" s="57"/>
      <c r="AB766" s="57"/>
    </row>
    <row r="767">
      <c r="A767" s="185" t="str">
        <f t="shared" si="17"/>
        <v/>
      </c>
      <c r="B767" s="141"/>
      <c r="C767" s="117"/>
      <c r="D767" s="117"/>
      <c r="E767" s="117"/>
      <c r="F767" s="117"/>
      <c r="G767" s="189"/>
      <c r="H767" s="189"/>
      <c r="I767" s="48"/>
      <c r="J767" s="189"/>
      <c r="K767" s="220"/>
      <c r="L767" s="220"/>
      <c r="M767" s="197"/>
      <c r="N767" s="375"/>
      <c r="O767" s="376"/>
      <c r="P767" s="220"/>
      <c r="Q767" s="117"/>
      <c r="R767" s="189"/>
      <c r="S767" s="141"/>
      <c r="T767" s="141"/>
      <c r="U767" s="57"/>
      <c r="V767" s="57"/>
      <c r="W767" s="57"/>
      <c r="X767" s="57"/>
      <c r="Y767" s="57"/>
      <c r="Z767" s="57"/>
      <c r="AA767" s="57"/>
      <c r="AB767" s="57"/>
    </row>
    <row r="768">
      <c r="A768" s="185" t="str">
        <f t="shared" si="17"/>
        <v/>
      </c>
      <c r="B768" s="141"/>
      <c r="C768" s="117"/>
      <c r="D768" s="117"/>
      <c r="E768" s="117"/>
      <c r="F768" s="117"/>
      <c r="G768" s="189"/>
      <c r="H768" s="189"/>
      <c r="I768" s="48"/>
      <c r="J768" s="189"/>
      <c r="K768" s="220"/>
      <c r="L768" s="220"/>
      <c r="M768" s="197"/>
      <c r="N768" s="375"/>
      <c r="O768" s="376"/>
      <c r="P768" s="220"/>
      <c r="Q768" s="117"/>
      <c r="R768" s="189"/>
      <c r="S768" s="141"/>
      <c r="T768" s="141"/>
      <c r="U768" s="57"/>
      <c r="V768" s="57"/>
      <c r="W768" s="57"/>
      <c r="X768" s="57"/>
      <c r="Y768" s="57"/>
      <c r="Z768" s="57"/>
      <c r="AA768" s="57"/>
      <c r="AB768" s="57"/>
    </row>
    <row r="769">
      <c r="A769" s="185" t="str">
        <f t="shared" si="17"/>
        <v/>
      </c>
      <c r="B769" s="141"/>
      <c r="C769" s="117"/>
      <c r="D769" s="117"/>
      <c r="E769" s="117"/>
      <c r="F769" s="117"/>
      <c r="G769" s="189"/>
      <c r="H769" s="189"/>
      <c r="I769" s="48"/>
      <c r="J769" s="189"/>
      <c r="K769" s="220"/>
      <c r="L769" s="220"/>
      <c r="M769" s="197"/>
      <c r="N769" s="375"/>
      <c r="O769" s="376"/>
      <c r="P769" s="220"/>
      <c r="Q769" s="117"/>
      <c r="R769" s="189"/>
      <c r="S769" s="141"/>
      <c r="T769" s="141"/>
      <c r="U769" s="57"/>
      <c r="V769" s="57"/>
      <c r="W769" s="57"/>
      <c r="X769" s="57"/>
      <c r="Y769" s="57"/>
      <c r="Z769" s="57"/>
      <c r="AA769" s="57"/>
      <c r="AB769" s="57"/>
    </row>
    <row r="770">
      <c r="A770" s="185" t="str">
        <f t="shared" si="17"/>
        <v/>
      </c>
      <c r="B770" s="141"/>
      <c r="C770" s="117"/>
      <c r="D770" s="117"/>
      <c r="E770" s="117"/>
      <c r="F770" s="117"/>
      <c r="G770" s="189"/>
      <c r="H770" s="189"/>
      <c r="I770" s="48"/>
      <c r="J770" s="189"/>
      <c r="K770" s="220"/>
      <c r="L770" s="220"/>
      <c r="M770" s="197"/>
      <c r="N770" s="375"/>
      <c r="O770" s="376"/>
      <c r="P770" s="220"/>
      <c r="Q770" s="117"/>
      <c r="R770" s="189"/>
      <c r="S770" s="141"/>
      <c r="T770" s="141"/>
      <c r="U770" s="57"/>
      <c r="V770" s="57"/>
      <c r="W770" s="57"/>
      <c r="X770" s="57"/>
      <c r="Y770" s="57"/>
      <c r="Z770" s="57"/>
      <c r="AA770" s="57"/>
      <c r="AB770" s="57"/>
    </row>
    <row r="771">
      <c r="A771" s="185" t="str">
        <f t="shared" si="17"/>
        <v/>
      </c>
      <c r="B771" s="141"/>
      <c r="C771" s="117"/>
      <c r="D771" s="117"/>
      <c r="E771" s="117"/>
      <c r="F771" s="117"/>
      <c r="G771" s="189"/>
      <c r="H771" s="189"/>
      <c r="I771" s="48"/>
      <c r="J771" s="189"/>
      <c r="K771" s="220"/>
      <c r="L771" s="220"/>
      <c r="M771" s="197"/>
      <c r="N771" s="375"/>
      <c r="O771" s="376"/>
      <c r="P771" s="220"/>
      <c r="Q771" s="117"/>
      <c r="R771" s="189"/>
      <c r="S771" s="141"/>
      <c r="T771" s="141"/>
      <c r="U771" s="57"/>
      <c r="V771" s="57"/>
      <c r="W771" s="57"/>
      <c r="X771" s="57"/>
      <c r="Y771" s="57"/>
      <c r="Z771" s="57"/>
      <c r="AA771" s="57"/>
      <c r="AB771" s="57"/>
    </row>
    <row r="772">
      <c r="A772" s="185" t="str">
        <f t="shared" si="17"/>
        <v/>
      </c>
      <c r="B772" s="141"/>
      <c r="C772" s="117"/>
      <c r="D772" s="117"/>
      <c r="E772" s="117"/>
      <c r="F772" s="117"/>
      <c r="G772" s="189"/>
      <c r="H772" s="189"/>
      <c r="I772" s="48"/>
      <c r="J772" s="189"/>
      <c r="K772" s="220"/>
      <c r="L772" s="220"/>
      <c r="M772" s="197"/>
      <c r="N772" s="375"/>
      <c r="O772" s="376"/>
      <c r="P772" s="220"/>
      <c r="Q772" s="117"/>
      <c r="R772" s="189"/>
      <c r="S772" s="141"/>
      <c r="T772" s="141"/>
      <c r="U772" s="57"/>
      <c r="V772" s="57"/>
      <c r="W772" s="57"/>
      <c r="X772" s="57"/>
      <c r="Y772" s="57"/>
      <c r="Z772" s="57"/>
      <c r="AA772" s="57"/>
      <c r="AB772" s="57"/>
    </row>
    <row r="773">
      <c r="A773" s="185" t="str">
        <f t="shared" si="17"/>
        <v/>
      </c>
      <c r="B773" s="141"/>
      <c r="C773" s="117"/>
      <c r="D773" s="117"/>
      <c r="E773" s="117"/>
      <c r="F773" s="117"/>
      <c r="G773" s="189"/>
      <c r="H773" s="189"/>
      <c r="I773" s="48"/>
      <c r="J773" s="189"/>
      <c r="K773" s="220"/>
      <c r="L773" s="220"/>
      <c r="M773" s="197"/>
      <c r="N773" s="375"/>
      <c r="O773" s="376"/>
      <c r="P773" s="220"/>
      <c r="Q773" s="117"/>
      <c r="R773" s="189"/>
      <c r="S773" s="141"/>
      <c r="T773" s="141"/>
      <c r="U773" s="57"/>
      <c r="V773" s="57"/>
      <c r="W773" s="57"/>
      <c r="X773" s="57"/>
      <c r="Y773" s="57"/>
      <c r="Z773" s="57"/>
      <c r="AA773" s="57"/>
      <c r="AB773" s="57"/>
    </row>
    <row r="774">
      <c r="A774" s="185" t="str">
        <f t="shared" si="17"/>
        <v/>
      </c>
      <c r="B774" s="141"/>
      <c r="C774" s="117"/>
      <c r="D774" s="117"/>
      <c r="E774" s="117"/>
      <c r="F774" s="117"/>
      <c r="G774" s="189"/>
      <c r="H774" s="189"/>
      <c r="I774" s="48"/>
      <c r="J774" s="189"/>
      <c r="K774" s="220"/>
      <c r="L774" s="220"/>
      <c r="M774" s="197"/>
      <c r="N774" s="375"/>
      <c r="O774" s="376"/>
      <c r="P774" s="220"/>
      <c r="Q774" s="117"/>
      <c r="R774" s="189"/>
      <c r="S774" s="141"/>
      <c r="T774" s="141"/>
      <c r="U774" s="57"/>
      <c r="V774" s="57"/>
      <c r="W774" s="57"/>
      <c r="X774" s="57"/>
      <c r="Y774" s="57"/>
      <c r="Z774" s="57"/>
      <c r="AA774" s="57"/>
      <c r="AB774" s="57"/>
    </row>
    <row r="775">
      <c r="A775" s="185" t="str">
        <f t="shared" si="17"/>
        <v/>
      </c>
      <c r="B775" s="141"/>
      <c r="C775" s="117"/>
      <c r="D775" s="117"/>
      <c r="E775" s="117"/>
      <c r="F775" s="117"/>
      <c r="G775" s="189"/>
      <c r="H775" s="189"/>
      <c r="I775" s="48"/>
      <c r="J775" s="189"/>
      <c r="K775" s="220"/>
      <c r="L775" s="220"/>
      <c r="M775" s="197"/>
      <c r="N775" s="375"/>
      <c r="O775" s="376"/>
      <c r="P775" s="220"/>
      <c r="Q775" s="117"/>
      <c r="R775" s="189"/>
      <c r="S775" s="141"/>
      <c r="T775" s="141"/>
      <c r="U775" s="57"/>
      <c r="V775" s="57"/>
      <c r="W775" s="57"/>
      <c r="X775" s="57"/>
      <c r="Y775" s="57"/>
      <c r="Z775" s="57"/>
      <c r="AA775" s="57"/>
      <c r="AB775" s="57"/>
    </row>
    <row r="776">
      <c r="A776" s="185" t="str">
        <f t="shared" si="17"/>
        <v/>
      </c>
      <c r="B776" s="141"/>
      <c r="C776" s="117"/>
      <c r="D776" s="117"/>
      <c r="E776" s="117"/>
      <c r="F776" s="117"/>
      <c r="G776" s="189"/>
      <c r="H776" s="189"/>
      <c r="I776" s="48"/>
      <c r="J776" s="189"/>
      <c r="K776" s="220"/>
      <c r="L776" s="220"/>
      <c r="M776" s="197"/>
      <c r="N776" s="375"/>
      <c r="O776" s="376"/>
      <c r="P776" s="220"/>
      <c r="Q776" s="117"/>
      <c r="R776" s="189"/>
      <c r="S776" s="141"/>
      <c r="T776" s="141"/>
      <c r="U776" s="57"/>
      <c r="V776" s="57"/>
      <c r="W776" s="57"/>
      <c r="X776" s="57"/>
      <c r="Y776" s="57"/>
      <c r="Z776" s="57"/>
      <c r="AA776" s="57"/>
      <c r="AB776" s="57"/>
    </row>
    <row r="777">
      <c r="A777" s="185" t="str">
        <f t="shared" si="17"/>
        <v/>
      </c>
      <c r="B777" s="141"/>
      <c r="C777" s="117"/>
      <c r="D777" s="117"/>
      <c r="E777" s="117"/>
      <c r="F777" s="117"/>
      <c r="G777" s="189"/>
      <c r="H777" s="189"/>
      <c r="I777" s="48"/>
      <c r="J777" s="189"/>
      <c r="K777" s="220"/>
      <c r="L777" s="220"/>
      <c r="M777" s="197"/>
      <c r="N777" s="375"/>
      <c r="O777" s="376"/>
      <c r="P777" s="220"/>
      <c r="Q777" s="117"/>
      <c r="R777" s="189"/>
      <c r="S777" s="141"/>
      <c r="T777" s="141"/>
      <c r="U777" s="57"/>
      <c r="V777" s="57"/>
      <c r="W777" s="57"/>
      <c r="X777" s="57"/>
      <c r="Y777" s="57"/>
      <c r="Z777" s="57"/>
      <c r="AA777" s="57"/>
      <c r="AB777" s="57"/>
    </row>
    <row r="778">
      <c r="A778" s="185" t="str">
        <f t="shared" si="17"/>
        <v/>
      </c>
      <c r="B778" s="141"/>
      <c r="C778" s="117"/>
      <c r="D778" s="117"/>
      <c r="E778" s="117"/>
      <c r="F778" s="117"/>
      <c r="G778" s="189"/>
      <c r="H778" s="189"/>
      <c r="I778" s="48"/>
      <c r="J778" s="189"/>
      <c r="K778" s="220"/>
      <c r="L778" s="220"/>
      <c r="M778" s="197"/>
      <c r="N778" s="375"/>
      <c r="O778" s="376"/>
      <c r="P778" s="220"/>
      <c r="Q778" s="117"/>
      <c r="R778" s="189"/>
      <c r="S778" s="141"/>
      <c r="T778" s="141"/>
      <c r="U778" s="57"/>
      <c r="V778" s="57"/>
      <c r="W778" s="57"/>
      <c r="X778" s="57"/>
      <c r="Y778" s="57"/>
      <c r="Z778" s="57"/>
      <c r="AA778" s="57"/>
      <c r="AB778" s="57"/>
    </row>
    <row r="779">
      <c r="A779" s="185" t="str">
        <f t="shared" si="17"/>
        <v/>
      </c>
      <c r="B779" s="141"/>
      <c r="C779" s="117"/>
      <c r="D779" s="117"/>
      <c r="E779" s="117"/>
      <c r="F779" s="117"/>
      <c r="G779" s="189"/>
      <c r="H779" s="189"/>
      <c r="I779" s="48"/>
      <c r="J779" s="189"/>
      <c r="K779" s="220"/>
      <c r="L779" s="220"/>
      <c r="M779" s="197"/>
      <c r="N779" s="375"/>
      <c r="O779" s="376"/>
      <c r="P779" s="220"/>
      <c r="Q779" s="117"/>
      <c r="R779" s="189"/>
      <c r="S779" s="141"/>
      <c r="T779" s="141"/>
      <c r="U779" s="57"/>
      <c r="V779" s="57"/>
      <c r="W779" s="57"/>
      <c r="X779" s="57"/>
      <c r="Y779" s="57"/>
      <c r="Z779" s="57"/>
      <c r="AA779" s="57"/>
      <c r="AB779" s="57"/>
    </row>
    <row r="780">
      <c r="A780" s="185" t="str">
        <f t="shared" si="17"/>
        <v/>
      </c>
      <c r="B780" s="141"/>
      <c r="C780" s="117"/>
      <c r="D780" s="117"/>
      <c r="E780" s="117"/>
      <c r="F780" s="117"/>
      <c r="G780" s="189"/>
      <c r="H780" s="189"/>
      <c r="I780" s="48"/>
      <c r="J780" s="189"/>
      <c r="K780" s="220"/>
      <c r="L780" s="220"/>
      <c r="M780" s="197"/>
      <c r="N780" s="375"/>
      <c r="O780" s="376"/>
      <c r="P780" s="220"/>
      <c r="Q780" s="117"/>
      <c r="R780" s="189"/>
      <c r="S780" s="141"/>
      <c r="T780" s="141"/>
      <c r="U780" s="57"/>
      <c r="V780" s="57"/>
      <c r="W780" s="57"/>
      <c r="X780" s="57"/>
      <c r="Y780" s="57"/>
      <c r="Z780" s="57"/>
      <c r="AA780" s="57"/>
      <c r="AB780" s="57"/>
    </row>
    <row r="781">
      <c r="A781" s="185" t="str">
        <f t="shared" si="17"/>
        <v/>
      </c>
      <c r="B781" s="141"/>
      <c r="C781" s="117"/>
      <c r="D781" s="117"/>
      <c r="E781" s="117"/>
      <c r="F781" s="117"/>
      <c r="G781" s="189"/>
      <c r="H781" s="189"/>
      <c r="I781" s="48"/>
      <c r="J781" s="189"/>
      <c r="K781" s="220"/>
      <c r="L781" s="220"/>
      <c r="M781" s="197"/>
      <c r="N781" s="375"/>
      <c r="O781" s="376"/>
      <c r="P781" s="220"/>
      <c r="Q781" s="117"/>
      <c r="R781" s="189"/>
      <c r="S781" s="141"/>
      <c r="T781" s="141"/>
      <c r="U781" s="57"/>
      <c r="V781" s="57"/>
      <c r="W781" s="57"/>
      <c r="X781" s="57"/>
      <c r="Y781" s="57"/>
      <c r="Z781" s="57"/>
      <c r="AA781" s="57"/>
      <c r="AB781" s="57"/>
    </row>
    <row r="782">
      <c r="A782" s="185" t="str">
        <f t="shared" si="17"/>
        <v/>
      </c>
      <c r="B782" s="141"/>
      <c r="C782" s="117"/>
      <c r="D782" s="117"/>
      <c r="E782" s="117"/>
      <c r="F782" s="117"/>
      <c r="G782" s="189"/>
      <c r="H782" s="189"/>
      <c r="I782" s="48"/>
      <c r="J782" s="189"/>
      <c r="K782" s="220"/>
      <c r="L782" s="220"/>
      <c r="M782" s="197"/>
      <c r="N782" s="375"/>
      <c r="O782" s="376"/>
      <c r="P782" s="220"/>
      <c r="Q782" s="117"/>
      <c r="R782" s="189"/>
      <c r="S782" s="141"/>
      <c r="T782" s="141"/>
      <c r="U782" s="57"/>
      <c r="V782" s="57"/>
      <c r="W782" s="57"/>
      <c r="X782" s="57"/>
      <c r="Y782" s="57"/>
      <c r="Z782" s="57"/>
      <c r="AA782" s="57"/>
      <c r="AB782" s="57"/>
    </row>
    <row r="783">
      <c r="A783" s="185" t="str">
        <f t="shared" si="17"/>
        <v/>
      </c>
      <c r="B783" s="141"/>
      <c r="C783" s="117"/>
      <c r="D783" s="117"/>
      <c r="E783" s="117"/>
      <c r="F783" s="117"/>
      <c r="G783" s="189"/>
      <c r="H783" s="189"/>
      <c r="I783" s="48"/>
      <c r="J783" s="189"/>
      <c r="K783" s="220"/>
      <c r="L783" s="220"/>
      <c r="M783" s="197"/>
      <c r="N783" s="375"/>
      <c r="O783" s="376"/>
      <c r="P783" s="220"/>
      <c r="Q783" s="117"/>
      <c r="R783" s="189"/>
      <c r="S783" s="141"/>
      <c r="T783" s="141"/>
      <c r="U783" s="57"/>
      <c r="V783" s="57"/>
      <c r="W783" s="57"/>
      <c r="X783" s="57"/>
      <c r="Y783" s="57"/>
      <c r="Z783" s="57"/>
      <c r="AA783" s="57"/>
      <c r="AB783" s="57"/>
    </row>
    <row r="784">
      <c r="A784" s="185" t="str">
        <f t="shared" si="17"/>
        <v/>
      </c>
      <c r="B784" s="141"/>
      <c r="C784" s="117"/>
      <c r="D784" s="117"/>
      <c r="E784" s="117"/>
      <c r="F784" s="117"/>
      <c r="G784" s="189"/>
      <c r="H784" s="189"/>
      <c r="I784" s="48"/>
      <c r="J784" s="189"/>
      <c r="K784" s="220"/>
      <c r="L784" s="220"/>
      <c r="M784" s="197"/>
      <c r="N784" s="375"/>
      <c r="O784" s="376"/>
      <c r="P784" s="220"/>
      <c r="Q784" s="117"/>
      <c r="R784" s="189"/>
      <c r="S784" s="141"/>
      <c r="T784" s="141"/>
      <c r="U784" s="57"/>
      <c r="V784" s="57"/>
      <c r="W784" s="57"/>
      <c r="X784" s="57"/>
      <c r="Y784" s="57"/>
      <c r="Z784" s="57"/>
      <c r="AA784" s="57"/>
      <c r="AB784" s="57"/>
    </row>
    <row r="785">
      <c r="A785" s="185" t="str">
        <f t="shared" si="17"/>
        <v/>
      </c>
      <c r="B785" s="141"/>
      <c r="C785" s="117"/>
      <c r="D785" s="117"/>
      <c r="E785" s="117"/>
      <c r="F785" s="117"/>
      <c r="G785" s="189"/>
      <c r="H785" s="189"/>
      <c r="I785" s="48"/>
      <c r="J785" s="189"/>
      <c r="K785" s="220"/>
      <c r="L785" s="220"/>
      <c r="M785" s="197"/>
      <c r="N785" s="375"/>
      <c r="O785" s="376"/>
      <c r="P785" s="220"/>
      <c r="Q785" s="117"/>
      <c r="R785" s="189"/>
      <c r="S785" s="141"/>
      <c r="T785" s="141"/>
      <c r="U785" s="57"/>
      <c r="V785" s="57"/>
      <c r="W785" s="57"/>
      <c r="X785" s="57"/>
      <c r="Y785" s="57"/>
      <c r="Z785" s="57"/>
      <c r="AA785" s="57"/>
      <c r="AB785" s="57"/>
    </row>
    <row r="786">
      <c r="A786" s="185" t="str">
        <f t="shared" si="17"/>
        <v/>
      </c>
      <c r="B786" s="141"/>
      <c r="C786" s="117"/>
      <c r="D786" s="117"/>
      <c r="E786" s="117"/>
      <c r="F786" s="117"/>
      <c r="G786" s="189"/>
      <c r="H786" s="189"/>
      <c r="I786" s="48"/>
      <c r="J786" s="189"/>
      <c r="K786" s="220"/>
      <c r="L786" s="220"/>
      <c r="M786" s="197"/>
      <c r="N786" s="375"/>
      <c r="O786" s="376"/>
      <c r="P786" s="220"/>
      <c r="Q786" s="117"/>
      <c r="R786" s="189"/>
      <c r="S786" s="141"/>
      <c r="T786" s="141"/>
      <c r="U786" s="57"/>
      <c r="V786" s="57"/>
      <c r="W786" s="57"/>
      <c r="X786" s="57"/>
      <c r="Y786" s="57"/>
      <c r="Z786" s="57"/>
      <c r="AA786" s="57"/>
      <c r="AB786" s="57"/>
    </row>
    <row r="787">
      <c r="A787" s="185" t="str">
        <f t="shared" si="17"/>
        <v/>
      </c>
      <c r="B787" s="141"/>
      <c r="C787" s="117"/>
      <c r="D787" s="117"/>
      <c r="E787" s="117"/>
      <c r="F787" s="117"/>
      <c r="G787" s="189"/>
      <c r="H787" s="189"/>
      <c r="I787" s="48"/>
      <c r="J787" s="189"/>
      <c r="K787" s="220"/>
      <c r="L787" s="220"/>
      <c r="M787" s="197"/>
      <c r="N787" s="375"/>
      <c r="O787" s="376"/>
      <c r="P787" s="220"/>
      <c r="Q787" s="117"/>
      <c r="R787" s="189"/>
      <c r="S787" s="141"/>
      <c r="T787" s="141"/>
      <c r="U787" s="57"/>
      <c r="V787" s="57"/>
      <c r="W787" s="57"/>
      <c r="X787" s="57"/>
      <c r="Y787" s="57"/>
      <c r="Z787" s="57"/>
      <c r="AA787" s="57"/>
      <c r="AB787" s="57"/>
    </row>
    <row r="788">
      <c r="A788" s="185" t="str">
        <f t="shared" si="17"/>
        <v/>
      </c>
      <c r="B788" s="141"/>
      <c r="C788" s="117"/>
      <c r="D788" s="117"/>
      <c r="E788" s="117"/>
      <c r="F788" s="117"/>
      <c r="G788" s="189"/>
      <c r="H788" s="189"/>
      <c r="I788" s="48"/>
      <c r="J788" s="189"/>
      <c r="K788" s="220"/>
      <c r="L788" s="220"/>
      <c r="M788" s="197"/>
      <c r="N788" s="375"/>
      <c r="O788" s="376"/>
      <c r="P788" s="220"/>
      <c r="Q788" s="117"/>
      <c r="R788" s="189"/>
      <c r="S788" s="141"/>
      <c r="T788" s="141"/>
      <c r="U788" s="57"/>
      <c r="V788" s="57"/>
      <c r="W788" s="57"/>
      <c r="X788" s="57"/>
      <c r="Y788" s="57"/>
      <c r="Z788" s="57"/>
      <c r="AA788" s="57"/>
      <c r="AB788" s="57"/>
    </row>
    <row r="789">
      <c r="A789" s="185" t="str">
        <f t="shared" si="17"/>
        <v/>
      </c>
      <c r="B789" s="141"/>
      <c r="C789" s="117"/>
      <c r="D789" s="117"/>
      <c r="E789" s="117"/>
      <c r="F789" s="117"/>
      <c r="G789" s="189"/>
      <c r="H789" s="189"/>
      <c r="I789" s="48"/>
      <c r="J789" s="189"/>
      <c r="K789" s="220"/>
      <c r="L789" s="220"/>
      <c r="M789" s="197"/>
      <c r="N789" s="375"/>
      <c r="O789" s="376"/>
      <c r="P789" s="220"/>
      <c r="Q789" s="117"/>
      <c r="R789" s="189"/>
      <c r="S789" s="141"/>
      <c r="T789" s="141"/>
      <c r="U789" s="57"/>
      <c r="V789" s="57"/>
      <c r="W789" s="57"/>
      <c r="X789" s="57"/>
      <c r="Y789" s="57"/>
      <c r="Z789" s="57"/>
      <c r="AA789" s="57"/>
      <c r="AB789" s="57"/>
    </row>
    <row r="790">
      <c r="A790" s="185" t="str">
        <f t="shared" si="17"/>
        <v/>
      </c>
      <c r="B790" s="141"/>
      <c r="C790" s="117"/>
      <c r="D790" s="117"/>
      <c r="E790" s="117"/>
      <c r="F790" s="117"/>
      <c r="G790" s="189"/>
      <c r="H790" s="189"/>
      <c r="I790" s="48"/>
      <c r="J790" s="189"/>
      <c r="K790" s="220"/>
      <c r="L790" s="220"/>
      <c r="M790" s="197"/>
      <c r="N790" s="375"/>
      <c r="O790" s="376"/>
      <c r="P790" s="220"/>
      <c r="Q790" s="117"/>
      <c r="R790" s="189"/>
      <c r="S790" s="141"/>
      <c r="T790" s="141"/>
      <c r="U790" s="57"/>
      <c r="V790" s="57"/>
      <c r="W790" s="57"/>
      <c r="X790" s="57"/>
      <c r="Y790" s="57"/>
      <c r="Z790" s="57"/>
      <c r="AA790" s="57"/>
      <c r="AB790" s="57"/>
    </row>
    <row r="791">
      <c r="A791" s="185" t="str">
        <f t="shared" si="17"/>
        <v/>
      </c>
      <c r="B791" s="141"/>
      <c r="C791" s="117"/>
      <c r="D791" s="117"/>
      <c r="E791" s="117"/>
      <c r="F791" s="117"/>
      <c r="G791" s="189"/>
      <c r="H791" s="189"/>
      <c r="I791" s="48"/>
      <c r="J791" s="189"/>
      <c r="K791" s="220"/>
      <c r="L791" s="220"/>
      <c r="M791" s="197"/>
      <c r="N791" s="375"/>
      <c r="O791" s="376"/>
      <c r="P791" s="220"/>
      <c r="Q791" s="117"/>
      <c r="R791" s="189"/>
      <c r="S791" s="141"/>
      <c r="T791" s="141"/>
      <c r="U791" s="57"/>
      <c r="V791" s="57"/>
      <c r="W791" s="57"/>
      <c r="X791" s="57"/>
      <c r="Y791" s="57"/>
      <c r="Z791" s="57"/>
      <c r="AA791" s="57"/>
      <c r="AB791" s="57"/>
    </row>
    <row r="792">
      <c r="A792" s="185" t="str">
        <f t="shared" si="17"/>
        <v/>
      </c>
      <c r="B792" s="141"/>
      <c r="C792" s="117"/>
      <c r="D792" s="117"/>
      <c r="E792" s="117"/>
      <c r="F792" s="117"/>
      <c r="G792" s="189"/>
      <c r="H792" s="189"/>
      <c r="I792" s="48"/>
      <c r="J792" s="189"/>
      <c r="K792" s="220"/>
      <c r="L792" s="220"/>
      <c r="M792" s="197"/>
      <c r="N792" s="375"/>
      <c r="O792" s="376"/>
      <c r="P792" s="220"/>
      <c r="Q792" s="117"/>
      <c r="R792" s="189"/>
      <c r="S792" s="141"/>
      <c r="T792" s="141"/>
      <c r="U792" s="57"/>
      <c r="V792" s="57"/>
      <c r="W792" s="57"/>
      <c r="X792" s="57"/>
      <c r="Y792" s="57"/>
      <c r="Z792" s="57"/>
      <c r="AA792" s="57"/>
      <c r="AB792" s="57"/>
    </row>
    <row r="793">
      <c r="A793" s="185" t="str">
        <f t="shared" si="17"/>
        <v/>
      </c>
      <c r="B793" s="141"/>
      <c r="C793" s="117"/>
      <c r="D793" s="117"/>
      <c r="E793" s="117"/>
      <c r="F793" s="117"/>
      <c r="G793" s="189"/>
      <c r="H793" s="189"/>
      <c r="I793" s="48"/>
      <c r="J793" s="189"/>
      <c r="K793" s="220"/>
      <c r="L793" s="220"/>
      <c r="M793" s="197"/>
      <c r="N793" s="375"/>
      <c r="O793" s="376"/>
      <c r="P793" s="220"/>
      <c r="Q793" s="117"/>
      <c r="R793" s="189"/>
      <c r="S793" s="141"/>
      <c r="T793" s="141"/>
      <c r="U793" s="57"/>
      <c r="V793" s="57"/>
      <c r="W793" s="57"/>
      <c r="X793" s="57"/>
      <c r="Y793" s="57"/>
      <c r="Z793" s="57"/>
      <c r="AA793" s="57"/>
      <c r="AB793" s="57"/>
    </row>
    <row r="794">
      <c r="A794" s="185" t="str">
        <f t="shared" si="17"/>
        <v/>
      </c>
      <c r="B794" s="141"/>
      <c r="C794" s="117"/>
      <c r="D794" s="117"/>
      <c r="E794" s="117"/>
      <c r="F794" s="117"/>
      <c r="G794" s="189"/>
      <c r="H794" s="189"/>
      <c r="I794" s="48"/>
      <c r="J794" s="189"/>
      <c r="K794" s="220"/>
      <c r="L794" s="220"/>
      <c r="M794" s="197"/>
      <c r="N794" s="375"/>
      <c r="O794" s="376"/>
      <c r="P794" s="220"/>
      <c r="Q794" s="117"/>
      <c r="R794" s="189"/>
      <c r="S794" s="141"/>
      <c r="T794" s="141"/>
      <c r="U794" s="57"/>
      <c r="V794" s="57"/>
      <c r="W794" s="57"/>
      <c r="X794" s="57"/>
      <c r="Y794" s="57"/>
      <c r="Z794" s="57"/>
      <c r="AA794" s="57"/>
      <c r="AB794" s="57"/>
    </row>
    <row r="795">
      <c r="A795" s="185" t="str">
        <f t="shared" si="17"/>
        <v/>
      </c>
      <c r="B795" s="141"/>
      <c r="C795" s="117"/>
      <c r="D795" s="117"/>
      <c r="E795" s="117"/>
      <c r="F795" s="117"/>
      <c r="G795" s="189"/>
      <c r="H795" s="189"/>
      <c r="I795" s="48"/>
      <c r="J795" s="189"/>
      <c r="K795" s="220"/>
      <c r="L795" s="220"/>
      <c r="M795" s="197"/>
      <c r="N795" s="375"/>
      <c r="O795" s="376"/>
      <c r="P795" s="220"/>
      <c r="Q795" s="117"/>
      <c r="R795" s="189"/>
      <c r="S795" s="141"/>
      <c r="T795" s="141"/>
      <c r="U795" s="57"/>
      <c r="V795" s="57"/>
      <c r="W795" s="57"/>
      <c r="X795" s="57"/>
      <c r="Y795" s="57"/>
      <c r="Z795" s="57"/>
      <c r="AA795" s="57"/>
      <c r="AB795" s="57"/>
    </row>
    <row r="796">
      <c r="A796" s="185" t="str">
        <f t="shared" si="17"/>
        <v/>
      </c>
      <c r="B796" s="141"/>
      <c r="C796" s="117"/>
      <c r="D796" s="117"/>
      <c r="E796" s="117"/>
      <c r="F796" s="117"/>
      <c r="G796" s="189"/>
      <c r="H796" s="189"/>
      <c r="I796" s="48"/>
      <c r="J796" s="189"/>
      <c r="K796" s="220"/>
      <c r="L796" s="220"/>
      <c r="M796" s="197"/>
      <c r="N796" s="375"/>
      <c r="O796" s="376"/>
      <c r="P796" s="220"/>
      <c r="Q796" s="117"/>
      <c r="R796" s="189"/>
      <c r="S796" s="141"/>
      <c r="T796" s="141"/>
      <c r="U796" s="57"/>
      <c r="V796" s="57"/>
      <c r="W796" s="57"/>
      <c r="X796" s="57"/>
      <c r="Y796" s="57"/>
      <c r="Z796" s="57"/>
      <c r="AA796" s="57"/>
      <c r="AB796" s="57"/>
    </row>
    <row r="797">
      <c r="A797" s="185" t="str">
        <f t="shared" si="17"/>
        <v/>
      </c>
      <c r="B797" s="141"/>
      <c r="C797" s="117"/>
      <c r="D797" s="117"/>
      <c r="E797" s="117"/>
      <c r="F797" s="117"/>
      <c r="G797" s="189"/>
      <c r="H797" s="189"/>
      <c r="I797" s="48"/>
      <c r="J797" s="189"/>
      <c r="K797" s="220"/>
      <c r="L797" s="220"/>
      <c r="M797" s="197"/>
      <c r="N797" s="375"/>
      <c r="O797" s="376"/>
      <c r="P797" s="220"/>
      <c r="Q797" s="117"/>
      <c r="R797" s="189"/>
      <c r="S797" s="141"/>
      <c r="T797" s="141"/>
      <c r="U797" s="57"/>
      <c r="V797" s="57"/>
      <c r="W797" s="57"/>
      <c r="X797" s="57"/>
      <c r="Y797" s="57"/>
      <c r="Z797" s="57"/>
      <c r="AA797" s="57"/>
      <c r="AB797" s="57"/>
    </row>
    <row r="798">
      <c r="A798" s="185" t="str">
        <f t="shared" si="17"/>
        <v/>
      </c>
      <c r="B798" s="141"/>
      <c r="C798" s="117"/>
      <c r="D798" s="117"/>
      <c r="E798" s="117"/>
      <c r="F798" s="117"/>
      <c r="G798" s="189"/>
      <c r="H798" s="189"/>
      <c r="I798" s="48"/>
      <c r="J798" s="189"/>
      <c r="K798" s="220"/>
      <c r="L798" s="220"/>
      <c r="M798" s="197"/>
      <c r="N798" s="375"/>
      <c r="O798" s="376"/>
      <c r="P798" s="220"/>
      <c r="Q798" s="117"/>
      <c r="R798" s="189"/>
      <c r="S798" s="141"/>
      <c r="T798" s="141"/>
      <c r="U798" s="57"/>
      <c r="V798" s="57"/>
      <c r="W798" s="57"/>
      <c r="X798" s="57"/>
      <c r="Y798" s="57"/>
      <c r="Z798" s="57"/>
      <c r="AA798" s="57"/>
      <c r="AB798" s="57"/>
    </row>
    <row r="799">
      <c r="A799" s="185" t="str">
        <f t="shared" si="17"/>
        <v/>
      </c>
      <c r="B799" s="141"/>
      <c r="C799" s="117"/>
      <c r="D799" s="117"/>
      <c r="E799" s="117"/>
      <c r="F799" s="117"/>
      <c r="G799" s="189"/>
      <c r="H799" s="189"/>
      <c r="I799" s="48"/>
      <c r="J799" s="189"/>
      <c r="K799" s="220"/>
      <c r="L799" s="220"/>
      <c r="M799" s="197"/>
      <c r="N799" s="375"/>
      <c r="O799" s="376"/>
      <c r="P799" s="220"/>
      <c r="Q799" s="117"/>
      <c r="R799" s="189"/>
      <c r="S799" s="141"/>
      <c r="T799" s="141"/>
      <c r="U799" s="57"/>
      <c r="V799" s="57"/>
      <c r="W799" s="57"/>
      <c r="X799" s="57"/>
      <c r="Y799" s="57"/>
      <c r="Z799" s="57"/>
      <c r="AA799" s="57"/>
      <c r="AB799" s="57"/>
    </row>
    <row r="800">
      <c r="A800" s="185" t="str">
        <f t="shared" si="17"/>
        <v/>
      </c>
      <c r="B800" s="141"/>
      <c r="C800" s="117"/>
      <c r="D800" s="117"/>
      <c r="E800" s="117"/>
      <c r="F800" s="117"/>
      <c r="G800" s="189"/>
      <c r="H800" s="189"/>
      <c r="I800" s="48"/>
      <c r="J800" s="189"/>
      <c r="K800" s="220"/>
      <c r="L800" s="220"/>
      <c r="M800" s="197"/>
      <c r="N800" s="375"/>
      <c r="O800" s="376"/>
      <c r="P800" s="220"/>
      <c r="Q800" s="117"/>
      <c r="R800" s="189"/>
      <c r="S800" s="141"/>
      <c r="T800" s="141"/>
      <c r="U800" s="57"/>
      <c r="V800" s="57"/>
      <c r="W800" s="57"/>
      <c r="X800" s="57"/>
      <c r="Y800" s="57"/>
      <c r="Z800" s="57"/>
      <c r="AA800" s="57"/>
      <c r="AB800" s="57"/>
    </row>
    <row r="801">
      <c r="A801" s="185" t="str">
        <f t="shared" si="17"/>
        <v/>
      </c>
      <c r="B801" s="141"/>
      <c r="C801" s="117"/>
      <c r="D801" s="117"/>
      <c r="E801" s="117"/>
      <c r="F801" s="117"/>
      <c r="G801" s="189"/>
      <c r="H801" s="189"/>
      <c r="I801" s="48"/>
      <c r="J801" s="189"/>
      <c r="K801" s="220"/>
      <c r="L801" s="220"/>
      <c r="M801" s="197"/>
      <c r="N801" s="375"/>
      <c r="O801" s="376"/>
      <c r="P801" s="220"/>
      <c r="Q801" s="117"/>
      <c r="R801" s="189"/>
      <c r="S801" s="141"/>
      <c r="T801" s="141"/>
      <c r="U801" s="57"/>
      <c r="V801" s="57"/>
      <c r="W801" s="57"/>
      <c r="X801" s="57"/>
      <c r="Y801" s="57"/>
      <c r="Z801" s="57"/>
      <c r="AA801" s="57"/>
      <c r="AB801" s="57"/>
    </row>
    <row r="802">
      <c r="A802" s="185" t="str">
        <f t="shared" si="17"/>
        <v/>
      </c>
      <c r="B802" s="141"/>
      <c r="C802" s="117"/>
      <c r="D802" s="117"/>
      <c r="E802" s="117"/>
      <c r="F802" s="117"/>
      <c r="G802" s="189"/>
      <c r="H802" s="189"/>
      <c r="I802" s="48"/>
      <c r="J802" s="189"/>
      <c r="K802" s="220"/>
      <c r="L802" s="220"/>
      <c r="M802" s="197"/>
      <c r="N802" s="375"/>
      <c r="O802" s="376"/>
      <c r="P802" s="220"/>
      <c r="Q802" s="117"/>
      <c r="R802" s="189"/>
      <c r="S802" s="141"/>
      <c r="T802" s="141"/>
      <c r="U802" s="57"/>
      <c r="V802" s="57"/>
      <c r="W802" s="57"/>
      <c r="X802" s="57"/>
      <c r="Y802" s="57"/>
      <c r="Z802" s="57"/>
      <c r="AA802" s="57"/>
      <c r="AB802" s="57"/>
    </row>
    <row r="803">
      <c r="A803" s="185" t="str">
        <f t="shared" si="17"/>
        <v/>
      </c>
      <c r="B803" s="141"/>
      <c r="C803" s="117"/>
      <c r="D803" s="117"/>
      <c r="E803" s="117"/>
      <c r="F803" s="117"/>
      <c r="G803" s="189"/>
      <c r="H803" s="189"/>
      <c r="I803" s="48"/>
      <c r="J803" s="189"/>
      <c r="K803" s="220"/>
      <c r="L803" s="220"/>
      <c r="M803" s="197"/>
      <c r="N803" s="375"/>
      <c r="O803" s="376"/>
      <c r="P803" s="220"/>
      <c r="Q803" s="117"/>
      <c r="R803" s="189"/>
      <c r="S803" s="141"/>
      <c r="T803" s="141"/>
      <c r="U803" s="57"/>
      <c r="V803" s="57"/>
      <c r="W803" s="57"/>
      <c r="X803" s="57"/>
      <c r="Y803" s="57"/>
      <c r="Z803" s="57"/>
      <c r="AA803" s="57"/>
      <c r="AB803" s="57"/>
    </row>
    <row r="804">
      <c r="A804" s="185" t="str">
        <f t="shared" si="17"/>
        <v/>
      </c>
      <c r="B804" s="141"/>
      <c r="C804" s="117"/>
      <c r="D804" s="117"/>
      <c r="E804" s="117"/>
      <c r="F804" s="117"/>
      <c r="G804" s="189"/>
      <c r="H804" s="189"/>
      <c r="I804" s="48"/>
      <c r="J804" s="189"/>
      <c r="K804" s="220"/>
      <c r="L804" s="220"/>
      <c r="M804" s="197"/>
      <c r="N804" s="375"/>
      <c r="O804" s="376"/>
      <c r="P804" s="220"/>
      <c r="Q804" s="117"/>
      <c r="R804" s="189"/>
      <c r="S804" s="141"/>
      <c r="T804" s="141"/>
      <c r="U804" s="57"/>
      <c r="V804" s="57"/>
      <c r="W804" s="57"/>
      <c r="X804" s="57"/>
      <c r="Y804" s="57"/>
      <c r="Z804" s="57"/>
      <c r="AA804" s="57"/>
      <c r="AB804" s="57"/>
    </row>
    <row r="805">
      <c r="A805" s="185" t="str">
        <f t="shared" si="17"/>
        <v/>
      </c>
      <c r="B805" s="141"/>
      <c r="C805" s="117"/>
      <c r="D805" s="117"/>
      <c r="E805" s="117"/>
      <c r="F805" s="117"/>
      <c r="G805" s="189"/>
      <c r="H805" s="189"/>
      <c r="I805" s="48"/>
      <c r="J805" s="189"/>
      <c r="K805" s="220"/>
      <c r="L805" s="220"/>
      <c r="M805" s="197"/>
      <c r="N805" s="375"/>
      <c r="O805" s="376"/>
      <c r="P805" s="220"/>
      <c r="Q805" s="117"/>
      <c r="R805" s="189"/>
      <c r="S805" s="141"/>
      <c r="T805" s="141"/>
      <c r="U805" s="57"/>
      <c r="V805" s="57"/>
      <c r="W805" s="57"/>
      <c r="X805" s="57"/>
      <c r="Y805" s="57"/>
      <c r="Z805" s="57"/>
      <c r="AA805" s="57"/>
      <c r="AB805" s="57"/>
    </row>
    <row r="806">
      <c r="A806" s="185" t="str">
        <f t="shared" si="17"/>
        <v/>
      </c>
      <c r="B806" s="141"/>
      <c r="C806" s="117"/>
      <c r="D806" s="117"/>
      <c r="E806" s="117"/>
      <c r="F806" s="117"/>
      <c r="G806" s="189"/>
      <c r="H806" s="189"/>
      <c r="I806" s="48"/>
      <c r="J806" s="189"/>
      <c r="K806" s="220"/>
      <c r="L806" s="220"/>
      <c r="M806" s="197"/>
      <c r="N806" s="375"/>
      <c r="O806" s="376"/>
      <c r="P806" s="220"/>
      <c r="Q806" s="117"/>
      <c r="R806" s="189"/>
      <c r="S806" s="141"/>
      <c r="T806" s="141"/>
      <c r="U806" s="57"/>
      <c r="V806" s="57"/>
      <c r="W806" s="57"/>
      <c r="X806" s="57"/>
      <c r="Y806" s="57"/>
      <c r="Z806" s="57"/>
      <c r="AA806" s="57"/>
      <c r="AB806" s="57"/>
    </row>
    <row r="807">
      <c r="A807" s="185" t="str">
        <f t="shared" si="17"/>
        <v/>
      </c>
      <c r="B807" s="141"/>
      <c r="C807" s="117"/>
      <c r="D807" s="117"/>
      <c r="E807" s="117"/>
      <c r="F807" s="117"/>
      <c r="G807" s="189"/>
      <c r="H807" s="189"/>
      <c r="I807" s="48"/>
      <c r="J807" s="189"/>
      <c r="K807" s="220"/>
      <c r="L807" s="220"/>
      <c r="M807" s="197"/>
      <c r="N807" s="375"/>
      <c r="O807" s="376"/>
      <c r="P807" s="220"/>
      <c r="Q807" s="117"/>
      <c r="R807" s="189"/>
      <c r="S807" s="141"/>
      <c r="T807" s="141"/>
      <c r="U807" s="57"/>
      <c r="V807" s="57"/>
      <c r="W807" s="57"/>
      <c r="X807" s="57"/>
      <c r="Y807" s="57"/>
      <c r="Z807" s="57"/>
      <c r="AA807" s="57"/>
      <c r="AB807" s="57"/>
    </row>
    <row r="808">
      <c r="A808" s="185" t="str">
        <f t="shared" si="17"/>
        <v/>
      </c>
      <c r="B808" s="141"/>
      <c r="C808" s="117"/>
      <c r="D808" s="117"/>
      <c r="E808" s="117"/>
      <c r="F808" s="117"/>
      <c r="G808" s="189"/>
      <c r="H808" s="189"/>
      <c r="I808" s="48"/>
      <c r="J808" s="189"/>
      <c r="K808" s="220"/>
      <c r="L808" s="220"/>
      <c r="M808" s="197"/>
      <c r="N808" s="375"/>
      <c r="O808" s="376"/>
      <c r="P808" s="220"/>
      <c r="Q808" s="117"/>
      <c r="R808" s="189"/>
      <c r="S808" s="141"/>
      <c r="T808" s="141"/>
      <c r="U808" s="57"/>
      <c r="V808" s="57"/>
      <c r="W808" s="57"/>
      <c r="X808" s="57"/>
      <c r="Y808" s="57"/>
      <c r="Z808" s="57"/>
      <c r="AA808" s="57"/>
      <c r="AB808" s="57"/>
    </row>
    <row r="809">
      <c r="A809" s="185" t="str">
        <f t="shared" si="17"/>
        <v/>
      </c>
      <c r="B809" s="141"/>
      <c r="C809" s="117"/>
      <c r="D809" s="117"/>
      <c r="E809" s="117"/>
      <c r="F809" s="117"/>
      <c r="G809" s="189"/>
      <c r="H809" s="189"/>
      <c r="I809" s="48"/>
      <c r="J809" s="189"/>
      <c r="K809" s="220"/>
      <c r="L809" s="220"/>
      <c r="M809" s="197"/>
      <c r="N809" s="375"/>
      <c r="O809" s="376"/>
      <c r="P809" s="220"/>
      <c r="Q809" s="117"/>
      <c r="R809" s="189"/>
      <c r="S809" s="141"/>
      <c r="T809" s="141"/>
      <c r="U809" s="57"/>
      <c r="V809" s="57"/>
      <c r="W809" s="57"/>
      <c r="X809" s="57"/>
      <c r="Y809" s="57"/>
      <c r="Z809" s="57"/>
      <c r="AA809" s="57"/>
      <c r="AB809" s="57"/>
    </row>
    <row r="810">
      <c r="A810" s="185" t="str">
        <f t="shared" si="17"/>
        <v/>
      </c>
      <c r="B810" s="141"/>
      <c r="C810" s="117"/>
      <c r="D810" s="117"/>
      <c r="E810" s="117"/>
      <c r="F810" s="117"/>
      <c r="G810" s="189"/>
      <c r="H810" s="189"/>
      <c r="I810" s="48"/>
      <c r="J810" s="189"/>
      <c r="K810" s="220"/>
      <c r="L810" s="220"/>
      <c r="M810" s="197"/>
      <c r="N810" s="375"/>
      <c r="O810" s="376"/>
      <c r="P810" s="220"/>
      <c r="Q810" s="117"/>
      <c r="R810" s="189"/>
      <c r="S810" s="141"/>
      <c r="T810" s="141"/>
      <c r="U810" s="57"/>
      <c r="V810" s="57"/>
      <c r="W810" s="57"/>
      <c r="X810" s="57"/>
      <c r="Y810" s="57"/>
      <c r="Z810" s="57"/>
      <c r="AA810" s="57"/>
      <c r="AB810" s="57"/>
    </row>
    <row r="811">
      <c r="A811" s="185" t="str">
        <f t="shared" si="17"/>
        <v/>
      </c>
      <c r="B811" s="141"/>
      <c r="C811" s="117"/>
      <c r="D811" s="117"/>
      <c r="E811" s="117"/>
      <c r="F811" s="117"/>
      <c r="G811" s="189"/>
      <c r="H811" s="189"/>
      <c r="I811" s="48"/>
      <c r="J811" s="189"/>
      <c r="K811" s="220"/>
      <c r="L811" s="220"/>
      <c r="M811" s="197"/>
      <c r="N811" s="375"/>
      <c r="O811" s="376"/>
      <c r="P811" s="220"/>
      <c r="Q811" s="117"/>
      <c r="R811" s="189"/>
      <c r="S811" s="141"/>
      <c r="T811" s="141"/>
      <c r="U811" s="57"/>
      <c r="V811" s="57"/>
      <c r="W811" s="57"/>
      <c r="X811" s="57"/>
      <c r="Y811" s="57"/>
      <c r="Z811" s="57"/>
      <c r="AA811" s="57"/>
      <c r="AB811" s="57"/>
    </row>
    <row r="812">
      <c r="A812" s="185" t="str">
        <f t="shared" si="17"/>
        <v/>
      </c>
      <c r="B812" s="141"/>
      <c r="C812" s="117"/>
      <c r="D812" s="117"/>
      <c r="E812" s="117"/>
      <c r="F812" s="117"/>
      <c r="G812" s="189"/>
      <c r="H812" s="189"/>
      <c r="I812" s="48"/>
      <c r="J812" s="189"/>
      <c r="K812" s="220"/>
      <c r="L812" s="220"/>
      <c r="M812" s="197"/>
      <c r="N812" s="375"/>
      <c r="O812" s="376"/>
      <c r="P812" s="220"/>
      <c r="Q812" s="117"/>
      <c r="R812" s="189"/>
      <c r="S812" s="141"/>
      <c r="T812" s="141"/>
      <c r="U812" s="57"/>
      <c r="V812" s="57"/>
      <c r="W812" s="57"/>
      <c r="X812" s="57"/>
      <c r="Y812" s="57"/>
      <c r="Z812" s="57"/>
      <c r="AA812" s="57"/>
      <c r="AB812" s="57"/>
    </row>
    <row r="813">
      <c r="A813" s="185" t="str">
        <f t="shared" si="17"/>
        <v/>
      </c>
      <c r="B813" s="141"/>
      <c r="C813" s="117"/>
      <c r="D813" s="117"/>
      <c r="E813" s="117"/>
      <c r="F813" s="117"/>
      <c r="G813" s="189"/>
      <c r="H813" s="189"/>
      <c r="I813" s="48"/>
      <c r="J813" s="189"/>
      <c r="K813" s="220"/>
      <c r="L813" s="220"/>
      <c r="M813" s="197"/>
      <c r="N813" s="375"/>
      <c r="O813" s="376"/>
      <c r="P813" s="220"/>
      <c r="Q813" s="117"/>
      <c r="R813" s="189"/>
      <c r="S813" s="141"/>
      <c r="T813" s="141"/>
      <c r="U813" s="57"/>
      <c r="V813" s="57"/>
      <c r="W813" s="57"/>
      <c r="X813" s="57"/>
      <c r="Y813" s="57"/>
      <c r="Z813" s="57"/>
      <c r="AA813" s="57"/>
      <c r="AB813" s="57"/>
    </row>
    <row r="814">
      <c r="A814" s="185" t="str">
        <f t="shared" si="17"/>
        <v/>
      </c>
      <c r="B814" s="141"/>
      <c r="C814" s="117"/>
      <c r="D814" s="117"/>
      <c r="E814" s="117"/>
      <c r="F814" s="117"/>
      <c r="G814" s="189"/>
      <c r="H814" s="189"/>
      <c r="I814" s="48"/>
      <c r="J814" s="189"/>
      <c r="K814" s="220"/>
      <c r="L814" s="220"/>
      <c r="M814" s="197"/>
      <c r="N814" s="375"/>
      <c r="O814" s="376"/>
      <c r="P814" s="220"/>
      <c r="Q814" s="117"/>
      <c r="R814" s="189"/>
      <c r="S814" s="141"/>
      <c r="T814" s="141"/>
      <c r="U814" s="57"/>
      <c r="V814" s="57"/>
      <c r="W814" s="57"/>
      <c r="X814" s="57"/>
      <c r="Y814" s="57"/>
      <c r="Z814" s="57"/>
      <c r="AA814" s="57"/>
      <c r="AB814" s="57"/>
    </row>
    <row r="815">
      <c r="A815" s="185" t="str">
        <f t="shared" si="17"/>
        <v/>
      </c>
      <c r="B815" s="141"/>
      <c r="C815" s="117"/>
      <c r="D815" s="117"/>
      <c r="E815" s="117"/>
      <c r="F815" s="117"/>
      <c r="G815" s="189"/>
      <c r="H815" s="189"/>
      <c r="I815" s="48"/>
      <c r="J815" s="189"/>
      <c r="K815" s="220"/>
      <c r="L815" s="220"/>
      <c r="M815" s="197"/>
      <c r="N815" s="375"/>
      <c r="O815" s="376"/>
      <c r="P815" s="220"/>
      <c r="Q815" s="117"/>
      <c r="R815" s="189"/>
      <c r="S815" s="141"/>
      <c r="T815" s="141"/>
      <c r="U815" s="57"/>
      <c r="V815" s="57"/>
      <c r="W815" s="57"/>
      <c r="X815" s="57"/>
      <c r="Y815" s="57"/>
      <c r="Z815" s="57"/>
      <c r="AA815" s="57"/>
      <c r="AB815" s="57"/>
    </row>
    <row r="816">
      <c r="A816" s="185" t="str">
        <f t="shared" si="17"/>
        <v/>
      </c>
      <c r="B816" s="141"/>
      <c r="C816" s="117"/>
      <c r="D816" s="117"/>
      <c r="E816" s="117"/>
      <c r="F816" s="117"/>
      <c r="G816" s="189"/>
      <c r="H816" s="189"/>
      <c r="I816" s="48"/>
      <c r="J816" s="189"/>
      <c r="K816" s="220"/>
      <c r="L816" s="220"/>
      <c r="M816" s="197"/>
      <c r="N816" s="375"/>
      <c r="O816" s="376"/>
      <c r="P816" s="220"/>
      <c r="Q816" s="117"/>
      <c r="R816" s="189"/>
      <c r="S816" s="141"/>
      <c r="T816" s="141"/>
      <c r="U816" s="57"/>
      <c r="V816" s="57"/>
      <c r="W816" s="57"/>
      <c r="X816" s="57"/>
      <c r="Y816" s="57"/>
      <c r="Z816" s="57"/>
      <c r="AA816" s="57"/>
      <c r="AB816" s="57"/>
    </row>
    <row r="817">
      <c r="A817" s="185" t="str">
        <f t="shared" si="17"/>
        <v/>
      </c>
      <c r="B817" s="141"/>
      <c r="C817" s="117"/>
      <c r="D817" s="117"/>
      <c r="E817" s="117"/>
      <c r="F817" s="117"/>
      <c r="G817" s="189"/>
      <c r="H817" s="189"/>
      <c r="I817" s="48"/>
      <c r="J817" s="189"/>
      <c r="K817" s="220"/>
      <c r="L817" s="220"/>
      <c r="M817" s="197"/>
      <c r="N817" s="375"/>
      <c r="O817" s="376"/>
      <c r="P817" s="220"/>
      <c r="Q817" s="117"/>
      <c r="R817" s="189"/>
      <c r="S817" s="141"/>
      <c r="T817" s="141"/>
      <c r="U817" s="57"/>
      <c r="V817" s="57"/>
      <c r="W817" s="57"/>
      <c r="X817" s="57"/>
      <c r="Y817" s="57"/>
      <c r="Z817" s="57"/>
      <c r="AA817" s="57"/>
      <c r="AB817" s="57"/>
    </row>
    <row r="818">
      <c r="A818" s="185" t="str">
        <f t="shared" si="17"/>
        <v/>
      </c>
      <c r="B818" s="141"/>
      <c r="C818" s="117"/>
      <c r="D818" s="117"/>
      <c r="E818" s="117"/>
      <c r="F818" s="117"/>
      <c r="G818" s="189"/>
      <c r="H818" s="189"/>
      <c r="I818" s="48"/>
      <c r="J818" s="189"/>
      <c r="K818" s="220"/>
      <c r="L818" s="220"/>
      <c r="M818" s="197"/>
      <c r="N818" s="375"/>
      <c r="O818" s="376"/>
      <c r="P818" s="220"/>
      <c r="Q818" s="117"/>
      <c r="R818" s="189"/>
      <c r="S818" s="141"/>
      <c r="T818" s="141"/>
      <c r="U818" s="57"/>
      <c r="V818" s="57"/>
      <c r="W818" s="57"/>
      <c r="X818" s="57"/>
      <c r="Y818" s="57"/>
      <c r="Z818" s="57"/>
      <c r="AA818" s="57"/>
      <c r="AB818" s="57"/>
    </row>
    <row r="819">
      <c r="A819" s="185" t="str">
        <f t="shared" si="17"/>
        <v/>
      </c>
      <c r="B819" s="141"/>
      <c r="C819" s="117"/>
      <c r="D819" s="117"/>
      <c r="E819" s="117"/>
      <c r="F819" s="117"/>
      <c r="G819" s="189"/>
      <c r="H819" s="189"/>
      <c r="I819" s="48"/>
      <c r="J819" s="189"/>
      <c r="K819" s="220"/>
      <c r="L819" s="220"/>
      <c r="M819" s="197"/>
      <c r="N819" s="375"/>
      <c r="O819" s="376"/>
      <c r="P819" s="220"/>
      <c r="Q819" s="117"/>
      <c r="R819" s="189"/>
      <c r="S819" s="141"/>
      <c r="T819" s="141"/>
      <c r="U819" s="57"/>
      <c r="V819" s="57"/>
      <c r="W819" s="57"/>
      <c r="X819" s="57"/>
      <c r="Y819" s="57"/>
      <c r="Z819" s="57"/>
      <c r="AA819" s="57"/>
      <c r="AB819" s="57"/>
    </row>
    <row r="820">
      <c r="A820" s="185" t="str">
        <f t="shared" si="17"/>
        <v/>
      </c>
      <c r="B820" s="141"/>
      <c r="C820" s="117"/>
      <c r="D820" s="117"/>
      <c r="E820" s="117"/>
      <c r="F820" s="117"/>
      <c r="G820" s="189"/>
      <c r="H820" s="189"/>
      <c r="I820" s="48"/>
      <c r="J820" s="189"/>
      <c r="K820" s="220"/>
      <c r="L820" s="220"/>
      <c r="M820" s="197"/>
      <c r="N820" s="375"/>
      <c r="O820" s="376"/>
      <c r="P820" s="220"/>
      <c r="Q820" s="117"/>
      <c r="R820" s="189"/>
      <c r="S820" s="141"/>
      <c r="T820" s="141"/>
      <c r="U820" s="57"/>
      <c r="V820" s="57"/>
      <c r="W820" s="57"/>
      <c r="X820" s="57"/>
      <c r="Y820" s="57"/>
      <c r="Z820" s="57"/>
      <c r="AA820" s="57"/>
      <c r="AB820" s="57"/>
    </row>
    <row r="821">
      <c r="A821" s="185" t="str">
        <f t="shared" si="17"/>
        <v/>
      </c>
      <c r="B821" s="141"/>
      <c r="C821" s="117"/>
      <c r="D821" s="117"/>
      <c r="E821" s="117"/>
      <c r="F821" s="117"/>
      <c r="G821" s="189"/>
      <c r="H821" s="189"/>
      <c r="I821" s="48"/>
      <c r="J821" s="189"/>
      <c r="K821" s="220"/>
      <c r="L821" s="220"/>
      <c r="M821" s="197"/>
      <c r="N821" s="375"/>
      <c r="O821" s="376"/>
      <c r="P821" s="220"/>
      <c r="Q821" s="117"/>
      <c r="R821" s="189"/>
      <c r="S821" s="141"/>
      <c r="T821" s="141"/>
      <c r="U821" s="57"/>
      <c r="V821" s="57"/>
      <c r="W821" s="57"/>
      <c r="X821" s="57"/>
      <c r="Y821" s="57"/>
      <c r="Z821" s="57"/>
      <c r="AA821" s="57"/>
      <c r="AB821" s="57"/>
    </row>
    <row r="822">
      <c r="A822" s="185" t="str">
        <f t="shared" si="17"/>
        <v/>
      </c>
      <c r="B822" s="141"/>
      <c r="C822" s="117"/>
      <c r="D822" s="117"/>
      <c r="E822" s="117"/>
      <c r="F822" s="117"/>
      <c r="G822" s="189"/>
      <c r="H822" s="189"/>
      <c r="I822" s="48"/>
      <c r="J822" s="189"/>
      <c r="K822" s="220"/>
      <c r="L822" s="220"/>
      <c r="M822" s="197"/>
      <c r="N822" s="375"/>
      <c r="O822" s="376"/>
      <c r="P822" s="220"/>
      <c r="Q822" s="117"/>
      <c r="R822" s="189"/>
      <c r="S822" s="141"/>
      <c r="T822" s="141"/>
      <c r="U822" s="57"/>
      <c r="V822" s="57"/>
      <c r="W822" s="57"/>
      <c r="X822" s="57"/>
      <c r="Y822" s="57"/>
      <c r="Z822" s="57"/>
      <c r="AA822" s="57"/>
      <c r="AB822" s="57"/>
    </row>
    <row r="823">
      <c r="A823" s="185" t="str">
        <f t="shared" si="17"/>
        <v/>
      </c>
      <c r="B823" s="141"/>
      <c r="C823" s="117"/>
      <c r="D823" s="117"/>
      <c r="E823" s="117"/>
      <c r="F823" s="117"/>
      <c r="G823" s="189"/>
      <c r="H823" s="189"/>
      <c r="I823" s="48"/>
      <c r="J823" s="189"/>
      <c r="K823" s="220"/>
      <c r="L823" s="220"/>
      <c r="M823" s="197"/>
      <c r="N823" s="375"/>
      <c r="O823" s="376"/>
      <c r="P823" s="220"/>
      <c r="Q823" s="117"/>
      <c r="R823" s="189"/>
      <c r="S823" s="141"/>
      <c r="T823" s="141"/>
      <c r="U823" s="57"/>
      <c r="V823" s="57"/>
      <c r="W823" s="57"/>
      <c r="X823" s="57"/>
      <c r="Y823" s="57"/>
      <c r="Z823" s="57"/>
      <c r="AA823" s="57"/>
      <c r="AB823" s="57"/>
    </row>
    <row r="824">
      <c r="A824" s="185" t="str">
        <f t="shared" si="17"/>
        <v/>
      </c>
      <c r="B824" s="141"/>
      <c r="C824" s="117"/>
      <c r="D824" s="117"/>
      <c r="E824" s="117"/>
      <c r="F824" s="117"/>
      <c r="G824" s="189"/>
      <c r="H824" s="189"/>
      <c r="I824" s="48"/>
      <c r="J824" s="189"/>
      <c r="K824" s="220"/>
      <c r="L824" s="220"/>
      <c r="M824" s="197"/>
      <c r="N824" s="375"/>
      <c r="O824" s="376"/>
      <c r="P824" s="220"/>
      <c r="Q824" s="117"/>
      <c r="R824" s="189"/>
      <c r="S824" s="141"/>
      <c r="T824" s="141"/>
      <c r="U824" s="57"/>
      <c r="V824" s="57"/>
      <c r="W824" s="57"/>
      <c r="X824" s="57"/>
      <c r="Y824" s="57"/>
      <c r="Z824" s="57"/>
      <c r="AA824" s="57"/>
      <c r="AB824" s="57"/>
    </row>
    <row r="825">
      <c r="A825" s="185" t="str">
        <f t="shared" si="17"/>
        <v/>
      </c>
      <c r="B825" s="141"/>
      <c r="C825" s="117"/>
      <c r="D825" s="117"/>
      <c r="E825" s="117"/>
      <c r="F825" s="117"/>
      <c r="G825" s="189"/>
      <c r="H825" s="189"/>
      <c r="I825" s="48"/>
      <c r="J825" s="189"/>
      <c r="K825" s="220"/>
      <c r="L825" s="220"/>
      <c r="M825" s="197"/>
      <c r="N825" s="375"/>
      <c r="O825" s="376"/>
      <c r="P825" s="220"/>
      <c r="Q825" s="117"/>
      <c r="R825" s="189"/>
      <c r="S825" s="141"/>
      <c r="T825" s="141"/>
      <c r="U825" s="57"/>
      <c r="V825" s="57"/>
      <c r="W825" s="57"/>
      <c r="X825" s="57"/>
      <c r="Y825" s="57"/>
      <c r="Z825" s="57"/>
      <c r="AA825" s="57"/>
      <c r="AB825" s="57"/>
    </row>
    <row r="826">
      <c r="A826" s="185" t="str">
        <f t="shared" si="17"/>
        <v/>
      </c>
      <c r="B826" s="141"/>
      <c r="C826" s="117"/>
      <c r="D826" s="117"/>
      <c r="E826" s="117"/>
      <c r="F826" s="117"/>
      <c r="G826" s="189"/>
      <c r="H826" s="189"/>
      <c r="I826" s="48"/>
      <c r="J826" s="189"/>
      <c r="K826" s="220"/>
      <c r="L826" s="220"/>
      <c r="M826" s="197"/>
      <c r="N826" s="375"/>
      <c r="O826" s="376"/>
      <c r="P826" s="220"/>
      <c r="Q826" s="117"/>
      <c r="R826" s="189"/>
      <c r="S826" s="141"/>
      <c r="T826" s="141"/>
      <c r="U826" s="57"/>
      <c r="V826" s="57"/>
      <c r="W826" s="57"/>
      <c r="X826" s="57"/>
      <c r="Y826" s="57"/>
      <c r="Z826" s="57"/>
      <c r="AA826" s="57"/>
      <c r="AB826" s="57"/>
    </row>
    <row r="827">
      <c r="A827" s="185" t="str">
        <f t="shared" si="17"/>
        <v/>
      </c>
      <c r="B827" s="141"/>
      <c r="C827" s="117"/>
      <c r="D827" s="117"/>
      <c r="E827" s="117"/>
      <c r="F827" s="117"/>
      <c r="G827" s="189"/>
      <c r="H827" s="189"/>
      <c r="I827" s="48"/>
      <c r="J827" s="189"/>
      <c r="K827" s="220"/>
      <c r="L827" s="220"/>
      <c r="M827" s="197"/>
      <c r="N827" s="375"/>
      <c r="O827" s="376"/>
      <c r="P827" s="220"/>
      <c r="Q827" s="117"/>
      <c r="R827" s="189"/>
      <c r="S827" s="141"/>
      <c r="T827" s="141"/>
      <c r="U827" s="57"/>
      <c r="V827" s="57"/>
      <c r="W827" s="57"/>
      <c r="X827" s="57"/>
      <c r="Y827" s="57"/>
      <c r="Z827" s="57"/>
      <c r="AA827" s="57"/>
      <c r="AB827" s="57"/>
    </row>
    <row r="828">
      <c r="A828" s="185" t="str">
        <f t="shared" si="17"/>
        <v/>
      </c>
      <c r="B828" s="141"/>
      <c r="C828" s="117"/>
      <c r="D828" s="117"/>
      <c r="E828" s="117"/>
      <c r="F828" s="117"/>
      <c r="G828" s="189"/>
      <c r="H828" s="189"/>
      <c r="I828" s="48"/>
      <c r="J828" s="189"/>
      <c r="K828" s="220"/>
      <c r="L828" s="220"/>
      <c r="M828" s="197"/>
      <c r="N828" s="375"/>
      <c r="O828" s="376"/>
      <c r="P828" s="220"/>
      <c r="Q828" s="117"/>
      <c r="R828" s="189"/>
      <c r="S828" s="141"/>
      <c r="T828" s="141"/>
      <c r="U828" s="57"/>
      <c r="V828" s="57"/>
      <c r="W828" s="57"/>
      <c r="X828" s="57"/>
      <c r="Y828" s="57"/>
      <c r="Z828" s="57"/>
      <c r="AA828" s="57"/>
      <c r="AB828" s="57"/>
    </row>
    <row r="829">
      <c r="A829" s="185" t="str">
        <f t="shared" si="17"/>
        <v/>
      </c>
      <c r="B829" s="141"/>
      <c r="C829" s="117"/>
      <c r="D829" s="117"/>
      <c r="E829" s="117"/>
      <c r="F829" s="117"/>
      <c r="G829" s="189"/>
      <c r="H829" s="189"/>
      <c r="I829" s="48"/>
      <c r="J829" s="189"/>
      <c r="K829" s="220"/>
      <c r="L829" s="220"/>
      <c r="M829" s="197"/>
      <c r="N829" s="375"/>
      <c r="O829" s="376"/>
      <c r="P829" s="220"/>
      <c r="Q829" s="117"/>
      <c r="R829" s="189"/>
      <c r="S829" s="141"/>
      <c r="T829" s="141"/>
      <c r="U829" s="57"/>
      <c r="V829" s="57"/>
      <c r="W829" s="57"/>
      <c r="X829" s="57"/>
      <c r="Y829" s="57"/>
      <c r="Z829" s="57"/>
      <c r="AA829" s="57"/>
      <c r="AB829" s="57"/>
    </row>
    <row r="830">
      <c r="A830" s="185" t="str">
        <f t="shared" si="17"/>
        <v/>
      </c>
      <c r="B830" s="141"/>
      <c r="C830" s="117"/>
      <c r="D830" s="117"/>
      <c r="E830" s="117"/>
      <c r="F830" s="117"/>
      <c r="G830" s="189"/>
      <c r="H830" s="189"/>
      <c r="I830" s="48"/>
      <c r="J830" s="189"/>
      <c r="K830" s="220"/>
      <c r="L830" s="220"/>
      <c r="M830" s="197"/>
      <c r="N830" s="375"/>
      <c r="O830" s="376"/>
      <c r="P830" s="220"/>
      <c r="Q830" s="117"/>
      <c r="R830" s="189"/>
      <c r="S830" s="141"/>
      <c r="T830" s="141"/>
      <c r="U830" s="57"/>
      <c r="V830" s="57"/>
      <c r="W830" s="57"/>
      <c r="X830" s="57"/>
      <c r="Y830" s="57"/>
      <c r="Z830" s="57"/>
      <c r="AA830" s="57"/>
      <c r="AB830" s="57"/>
    </row>
    <row r="831">
      <c r="A831" s="185" t="str">
        <f t="shared" si="17"/>
        <v/>
      </c>
      <c r="B831" s="141"/>
      <c r="C831" s="117"/>
      <c r="D831" s="117"/>
      <c r="E831" s="117"/>
      <c r="F831" s="117"/>
      <c r="G831" s="189"/>
      <c r="H831" s="189"/>
      <c r="I831" s="48"/>
      <c r="J831" s="189"/>
      <c r="K831" s="220"/>
      <c r="L831" s="220"/>
      <c r="M831" s="197"/>
      <c r="N831" s="375"/>
      <c r="O831" s="376"/>
      <c r="P831" s="220"/>
      <c r="Q831" s="117"/>
      <c r="R831" s="189"/>
      <c r="S831" s="141"/>
      <c r="T831" s="141"/>
      <c r="U831" s="57"/>
      <c r="V831" s="57"/>
      <c r="W831" s="57"/>
      <c r="X831" s="57"/>
      <c r="Y831" s="57"/>
      <c r="Z831" s="57"/>
      <c r="AA831" s="57"/>
      <c r="AB831" s="57"/>
    </row>
    <row r="832">
      <c r="A832" s="185" t="str">
        <f t="shared" si="17"/>
        <v/>
      </c>
      <c r="B832" s="141"/>
      <c r="C832" s="117"/>
      <c r="D832" s="117"/>
      <c r="E832" s="117"/>
      <c r="F832" s="117"/>
      <c r="G832" s="189"/>
      <c r="H832" s="189"/>
      <c r="I832" s="48"/>
      <c r="J832" s="189"/>
      <c r="K832" s="220"/>
      <c r="L832" s="220"/>
      <c r="M832" s="197"/>
      <c r="N832" s="375"/>
      <c r="O832" s="376"/>
      <c r="P832" s="220"/>
      <c r="Q832" s="117"/>
      <c r="R832" s="189"/>
      <c r="S832" s="141"/>
      <c r="T832" s="141"/>
      <c r="U832" s="57"/>
      <c r="V832" s="57"/>
      <c r="W832" s="57"/>
      <c r="X832" s="57"/>
      <c r="Y832" s="57"/>
      <c r="Z832" s="57"/>
      <c r="AA832" s="57"/>
      <c r="AB832" s="57"/>
    </row>
    <row r="833">
      <c r="A833" s="185" t="str">
        <f t="shared" si="17"/>
        <v/>
      </c>
      <c r="B833" s="141"/>
      <c r="C833" s="117"/>
      <c r="D833" s="117"/>
      <c r="E833" s="117"/>
      <c r="F833" s="117"/>
      <c r="G833" s="189"/>
      <c r="H833" s="189"/>
      <c r="I833" s="48"/>
      <c r="J833" s="189"/>
      <c r="K833" s="220"/>
      <c r="L833" s="220"/>
      <c r="M833" s="197"/>
      <c r="N833" s="375"/>
      <c r="O833" s="376"/>
      <c r="P833" s="220"/>
      <c r="Q833" s="117"/>
      <c r="R833" s="189"/>
      <c r="S833" s="141"/>
      <c r="T833" s="141"/>
      <c r="U833" s="57"/>
      <c r="V833" s="57"/>
      <c r="W833" s="57"/>
      <c r="X833" s="57"/>
      <c r="Y833" s="57"/>
      <c r="Z833" s="57"/>
      <c r="AA833" s="57"/>
      <c r="AB833" s="57"/>
    </row>
    <row r="834">
      <c r="A834" s="185" t="str">
        <f t="shared" si="17"/>
        <v/>
      </c>
      <c r="B834" s="141"/>
      <c r="C834" s="117"/>
      <c r="D834" s="117"/>
      <c r="E834" s="117"/>
      <c r="F834" s="117"/>
      <c r="G834" s="189"/>
      <c r="H834" s="189"/>
      <c r="I834" s="48"/>
      <c r="J834" s="189"/>
      <c r="K834" s="220"/>
      <c r="L834" s="220"/>
      <c r="M834" s="197"/>
      <c r="N834" s="375"/>
      <c r="O834" s="376"/>
      <c r="P834" s="220"/>
      <c r="Q834" s="117"/>
      <c r="R834" s="189"/>
      <c r="S834" s="141"/>
      <c r="T834" s="141"/>
      <c r="U834" s="57"/>
      <c r="V834" s="57"/>
      <c r="W834" s="57"/>
      <c r="X834" s="57"/>
      <c r="Y834" s="57"/>
      <c r="Z834" s="57"/>
      <c r="AA834" s="57"/>
      <c r="AB834" s="57"/>
    </row>
    <row r="835">
      <c r="A835" s="185" t="str">
        <f t="shared" si="17"/>
        <v/>
      </c>
      <c r="B835" s="141"/>
      <c r="C835" s="117"/>
      <c r="D835" s="117"/>
      <c r="E835" s="117"/>
      <c r="F835" s="117"/>
      <c r="G835" s="189"/>
      <c r="H835" s="189"/>
      <c r="I835" s="48"/>
      <c r="J835" s="189"/>
      <c r="K835" s="220"/>
      <c r="L835" s="220"/>
      <c r="M835" s="197"/>
      <c r="N835" s="375"/>
      <c r="O835" s="376"/>
      <c r="P835" s="220"/>
      <c r="Q835" s="117"/>
      <c r="R835" s="189"/>
      <c r="S835" s="141"/>
      <c r="T835" s="141"/>
      <c r="U835" s="57"/>
      <c r="V835" s="57"/>
      <c r="W835" s="57"/>
      <c r="X835" s="57"/>
      <c r="Y835" s="57"/>
      <c r="Z835" s="57"/>
      <c r="AA835" s="57"/>
      <c r="AB835" s="57"/>
    </row>
    <row r="836">
      <c r="A836" s="185" t="str">
        <f t="shared" si="17"/>
        <v/>
      </c>
      <c r="B836" s="141"/>
      <c r="C836" s="117"/>
      <c r="D836" s="117"/>
      <c r="E836" s="117"/>
      <c r="F836" s="117"/>
      <c r="G836" s="189"/>
      <c r="H836" s="189"/>
      <c r="I836" s="48"/>
      <c r="J836" s="189"/>
      <c r="K836" s="220"/>
      <c r="L836" s="220"/>
      <c r="M836" s="197"/>
      <c r="N836" s="375"/>
      <c r="O836" s="376"/>
      <c r="P836" s="220"/>
      <c r="Q836" s="117"/>
      <c r="R836" s="189"/>
      <c r="S836" s="141"/>
      <c r="T836" s="141"/>
      <c r="U836" s="57"/>
      <c r="V836" s="57"/>
      <c r="W836" s="57"/>
      <c r="X836" s="57"/>
      <c r="Y836" s="57"/>
      <c r="Z836" s="57"/>
      <c r="AA836" s="57"/>
      <c r="AB836" s="57"/>
    </row>
    <row r="837">
      <c r="A837" s="185" t="str">
        <f t="shared" si="17"/>
        <v/>
      </c>
      <c r="B837" s="141"/>
      <c r="C837" s="117"/>
      <c r="D837" s="117"/>
      <c r="E837" s="117"/>
      <c r="F837" s="117"/>
      <c r="G837" s="189"/>
      <c r="H837" s="189"/>
      <c r="I837" s="48"/>
      <c r="J837" s="189"/>
      <c r="K837" s="220"/>
      <c r="L837" s="220"/>
      <c r="M837" s="197"/>
      <c r="N837" s="375"/>
      <c r="O837" s="376"/>
      <c r="P837" s="220"/>
      <c r="Q837" s="117"/>
      <c r="R837" s="189"/>
      <c r="S837" s="141"/>
      <c r="T837" s="141"/>
      <c r="U837" s="57"/>
      <c r="V837" s="57"/>
      <c r="W837" s="57"/>
      <c r="X837" s="57"/>
      <c r="Y837" s="57"/>
      <c r="Z837" s="57"/>
      <c r="AA837" s="57"/>
      <c r="AB837" s="57"/>
    </row>
    <row r="838">
      <c r="A838" s="185" t="str">
        <f t="shared" si="17"/>
        <v/>
      </c>
      <c r="B838" s="141"/>
      <c r="C838" s="117"/>
      <c r="D838" s="117"/>
      <c r="E838" s="117"/>
      <c r="F838" s="117"/>
      <c r="G838" s="189"/>
      <c r="H838" s="189"/>
      <c r="I838" s="48"/>
      <c r="J838" s="189"/>
      <c r="K838" s="220"/>
      <c r="L838" s="220"/>
      <c r="M838" s="197"/>
      <c r="N838" s="375"/>
      <c r="O838" s="376"/>
      <c r="P838" s="220"/>
      <c r="Q838" s="117"/>
      <c r="R838" s="189"/>
      <c r="S838" s="141"/>
      <c r="T838" s="141"/>
      <c r="U838" s="57"/>
      <c r="V838" s="57"/>
      <c r="W838" s="57"/>
      <c r="X838" s="57"/>
      <c r="Y838" s="57"/>
      <c r="Z838" s="57"/>
      <c r="AA838" s="57"/>
      <c r="AB838" s="57"/>
    </row>
    <row r="839">
      <c r="A839" s="185" t="str">
        <f t="shared" si="17"/>
        <v/>
      </c>
      <c r="B839" s="141"/>
      <c r="C839" s="117"/>
      <c r="D839" s="117"/>
      <c r="E839" s="117"/>
      <c r="F839" s="117"/>
      <c r="G839" s="189"/>
      <c r="H839" s="189"/>
      <c r="I839" s="48"/>
      <c r="J839" s="189"/>
      <c r="K839" s="220"/>
      <c r="L839" s="220"/>
      <c r="M839" s="197"/>
      <c r="N839" s="375"/>
      <c r="O839" s="376"/>
      <c r="P839" s="220"/>
      <c r="Q839" s="117"/>
      <c r="R839" s="189"/>
      <c r="S839" s="141"/>
      <c r="T839" s="141"/>
      <c r="U839" s="57"/>
      <c r="V839" s="57"/>
      <c r="W839" s="57"/>
      <c r="X839" s="57"/>
      <c r="Y839" s="57"/>
      <c r="Z839" s="57"/>
      <c r="AA839" s="57"/>
      <c r="AB839" s="57"/>
    </row>
    <row r="840">
      <c r="A840" s="185" t="str">
        <f t="shared" si="17"/>
        <v/>
      </c>
      <c r="B840" s="141"/>
      <c r="C840" s="117"/>
      <c r="D840" s="117"/>
      <c r="E840" s="117"/>
      <c r="F840" s="117"/>
      <c r="G840" s="189"/>
      <c r="H840" s="189"/>
      <c r="I840" s="48"/>
      <c r="J840" s="189"/>
      <c r="K840" s="220"/>
      <c r="L840" s="220"/>
      <c r="M840" s="197"/>
      <c r="N840" s="375"/>
      <c r="O840" s="376"/>
      <c r="P840" s="220"/>
      <c r="Q840" s="117"/>
      <c r="R840" s="189"/>
      <c r="S840" s="141"/>
      <c r="T840" s="141"/>
      <c r="U840" s="57"/>
      <c r="V840" s="57"/>
      <c r="W840" s="57"/>
      <c r="X840" s="57"/>
      <c r="Y840" s="57"/>
      <c r="Z840" s="57"/>
      <c r="AA840" s="57"/>
      <c r="AB840" s="57"/>
    </row>
    <row r="841">
      <c r="A841" s="185" t="str">
        <f t="shared" si="17"/>
        <v/>
      </c>
      <c r="B841" s="141"/>
      <c r="C841" s="117"/>
      <c r="D841" s="117"/>
      <c r="E841" s="117"/>
      <c r="F841" s="117"/>
      <c r="G841" s="189"/>
      <c r="H841" s="189"/>
      <c r="I841" s="48"/>
      <c r="J841" s="189"/>
      <c r="K841" s="220"/>
      <c r="L841" s="220"/>
      <c r="M841" s="197"/>
      <c r="N841" s="375"/>
      <c r="O841" s="376"/>
      <c r="P841" s="220"/>
      <c r="Q841" s="117"/>
      <c r="R841" s="189"/>
      <c r="S841" s="141"/>
      <c r="T841" s="141"/>
      <c r="U841" s="57"/>
      <c r="V841" s="57"/>
      <c r="W841" s="57"/>
      <c r="X841" s="57"/>
      <c r="Y841" s="57"/>
      <c r="Z841" s="57"/>
      <c r="AA841" s="57"/>
      <c r="AB841" s="57"/>
    </row>
    <row r="842">
      <c r="A842" s="185" t="str">
        <f t="shared" si="17"/>
        <v/>
      </c>
      <c r="B842" s="141"/>
      <c r="C842" s="117"/>
      <c r="D842" s="117"/>
      <c r="E842" s="117"/>
      <c r="F842" s="117"/>
      <c r="G842" s="189"/>
      <c r="H842" s="189"/>
      <c r="I842" s="48"/>
      <c r="J842" s="189"/>
      <c r="K842" s="220"/>
      <c r="L842" s="220"/>
      <c r="M842" s="197"/>
      <c r="N842" s="375"/>
      <c r="O842" s="376"/>
      <c r="P842" s="220"/>
      <c r="Q842" s="117"/>
      <c r="R842" s="189"/>
      <c r="S842" s="141"/>
      <c r="T842" s="141"/>
      <c r="U842" s="57"/>
      <c r="V842" s="57"/>
      <c r="W842" s="57"/>
      <c r="X842" s="57"/>
      <c r="Y842" s="57"/>
      <c r="Z842" s="57"/>
      <c r="AA842" s="57"/>
      <c r="AB842" s="57"/>
    </row>
    <row r="843">
      <c r="A843" s="185" t="str">
        <f t="shared" si="17"/>
        <v/>
      </c>
      <c r="B843" s="141"/>
      <c r="C843" s="117"/>
      <c r="D843" s="117"/>
      <c r="E843" s="117"/>
      <c r="F843" s="117"/>
      <c r="G843" s="189"/>
      <c r="H843" s="189"/>
      <c r="I843" s="48"/>
      <c r="J843" s="189"/>
      <c r="K843" s="220"/>
      <c r="L843" s="220"/>
      <c r="M843" s="197"/>
      <c r="N843" s="375"/>
      <c r="O843" s="376"/>
      <c r="P843" s="220"/>
      <c r="Q843" s="117"/>
      <c r="R843" s="189"/>
      <c r="S843" s="141"/>
      <c r="T843" s="141"/>
      <c r="U843" s="57"/>
      <c r="V843" s="57"/>
      <c r="W843" s="57"/>
      <c r="X843" s="57"/>
      <c r="Y843" s="57"/>
      <c r="Z843" s="57"/>
      <c r="AA843" s="57"/>
      <c r="AB843" s="57"/>
    </row>
    <row r="844">
      <c r="A844" s="185" t="str">
        <f t="shared" si="17"/>
        <v/>
      </c>
      <c r="B844" s="141"/>
      <c r="C844" s="117"/>
      <c r="D844" s="117"/>
      <c r="E844" s="117"/>
      <c r="F844" s="117"/>
      <c r="G844" s="189"/>
      <c r="H844" s="189"/>
      <c r="I844" s="48"/>
      <c r="J844" s="189"/>
      <c r="K844" s="220"/>
      <c r="L844" s="220"/>
      <c r="M844" s="197"/>
      <c r="N844" s="375"/>
      <c r="O844" s="376"/>
      <c r="P844" s="220"/>
      <c r="Q844" s="117"/>
      <c r="R844" s="189"/>
      <c r="S844" s="141"/>
      <c r="T844" s="141"/>
      <c r="U844" s="57"/>
      <c r="V844" s="57"/>
      <c r="W844" s="57"/>
      <c r="X844" s="57"/>
      <c r="Y844" s="57"/>
      <c r="Z844" s="57"/>
      <c r="AA844" s="57"/>
      <c r="AB844" s="57"/>
    </row>
    <row r="845">
      <c r="A845" s="185" t="str">
        <f t="shared" si="17"/>
        <v/>
      </c>
      <c r="B845" s="141"/>
      <c r="C845" s="117"/>
      <c r="D845" s="117"/>
      <c r="E845" s="117"/>
      <c r="F845" s="117"/>
      <c r="G845" s="189"/>
      <c r="H845" s="189"/>
      <c r="I845" s="48"/>
      <c r="J845" s="189"/>
      <c r="K845" s="220"/>
      <c r="L845" s="220"/>
      <c r="M845" s="197"/>
      <c r="N845" s="375"/>
      <c r="O845" s="376"/>
      <c r="P845" s="220"/>
      <c r="Q845" s="117"/>
      <c r="R845" s="189"/>
      <c r="S845" s="141"/>
      <c r="T845" s="141"/>
      <c r="U845" s="57"/>
      <c r="V845" s="57"/>
      <c r="W845" s="57"/>
      <c r="X845" s="57"/>
      <c r="Y845" s="57"/>
      <c r="Z845" s="57"/>
      <c r="AA845" s="57"/>
      <c r="AB845" s="57"/>
    </row>
    <row r="846">
      <c r="A846" s="185" t="str">
        <f t="shared" si="17"/>
        <v/>
      </c>
      <c r="B846" s="141"/>
      <c r="C846" s="117"/>
      <c r="D846" s="117"/>
      <c r="E846" s="117"/>
      <c r="F846" s="117"/>
      <c r="G846" s="189"/>
      <c r="H846" s="189"/>
      <c r="I846" s="48"/>
      <c r="J846" s="189"/>
      <c r="K846" s="220"/>
      <c r="L846" s="220"/>
      <c r="M846" s="197"/>
      <c r="N846" s="375"/>
      <c r="O846" s="376"/>
      <c r="P846" s="220"/>
      <c r="Q846" s="117"/>
      <c r="R846" s="189"/>
      <c r="S846" s="141"/>
      <c r="T846" s="141"/>
      <c r="U846" s="57"/>
      <c r="V846" s="57"/>
      <c r="W846" s="57"/>
      <c r="X846" s="57"/>
      <c r="Y846" s="57"/>
      <c r="Z846" s="57"/>
      <c r="AA846" s="57"/>
      <c r="AB846" s="57"/>
    </row>
    <row r="847">
      <c r="A847" s="185" t="str">
        <f t="shared" si="17"/>
        <v/>
      </c>
      <c r="B847" s="141"/>
      <c r="C847" s="117"/>
      <c r="D847" s="117"/>
      <c r="E847" s="117"/>
      <c r="F847" s="117"/>
      <c r="G847" s="189"/>
      <c r="H847" s="189"/>
      <c r="I847" s="48"/>
      <c r="J847" s="189"/>
      <c r="K847" s="220"/>
      <c r="L847" s="220"/>
      <c r="M847" s="197"/>
      <c r="N847" s="375"/>
      <c r="O847" s="376"/>
      <c r="P847" s="220"/>
      <c r="Q847" s="117"/>
      <c r="R847" s="189"/>
      <c r="S847" s="141"/>
      <c r="T847" s="141"/>
      <c r="U847" s="57"/>
      <c r="V847" s="57"/>
      <c r="W847" s="57"/>
      <c r="X847" s="57"/>
      <c r="Y847" s="57"/>
      <c r="Z847" s="57"/>
      <c r="AA847" s="57"/>
      <c r="AB847" s="57"/>
    </row>
    <row r="848">
      <c r="A848" s="185" t="str">
        <f t="shared" si="17"/>
        <v/>
      </c>
      <c r="B848" s="141"/>
      <c r="C848" s="117"/>
      <c r="D848" s="117"/>
      <c r="E848" s="117"/>
      <c r="F848" s="117"/>
      <c r="G848" s="189"/>
      <c r="H848" s="189"/>
      <c r="I848" s="48"/>
      <c r="J848" s="189"/>
      <c r="K848" s="220"/>
      <c r="L848" s="220"/>
      <c r="M848" s="197"/>
      <c r="N848" s="375"/>
      <c r="O848" s="376"/>
      <c r="P848" s="220"/>
      <c r="Q848" s="117"/>
      <c r="R848" s="189"/>
      <c r="S848" s="141"/>
      <c r="T848" s="141"/>
      <c r="U848" s="57"/>
      <c r="V848" s="57"/>
      <c r="W848" s="57"/>
      <c r="X848" s="57"/>
      <c r="Y848" s="57"/>
      <c r="Z848" s="57"/>
      <c r="AA848" s="57"/>
      <c r="AB848" s="57"/>
    </row>
    <row r="849">
      <c r="A849" s="185" t="str">
        <f t="shared" si="17"/>
        <v/>
      </c>
      <c r="B849" s="141"/>
      <c r="C849" s="117"/>
      <c r="D849" s="117"/>
      <c r="E849" s="117"/>
      <c r="F849" s="117"/>
      <c r="G849" s="189"/>
      <c r="H849" s="189"/>
      <c r="I849" s="48"/>
      <c r="J849" s="189"/>
      <c r="K849" s="220"/>
      <c r="L849" s="220"/>
      <c r="M849" s="197"/>
      <c r="N849" s="375"/>
      <c r="O849" s="376"/>
      <c r="P849" s="220"/>
      <c r="Q849" s="117"/>
      <c r="R849" s="189"/>
      <c r="S849" s="141"/>
      <c r="T849" s="141"/>
      <c r="U849" s="57"/>
      <c r="V849" s="57"/>
      <c r="W849" s="57"/>
      <c r="X849" s="57"/>
      <c r="Y849" s="57"/>
      <c r="Z849" s="57"/>
      <c r="AA849" s="57"/>
      <c r="AB849" s="57"/>
    </row>
    <row r="850">
      <c r="A850" s="185" t="str">
        <f t="shared" si="17"/>
        <v/>
      </c>
      <c r="B850" s="141"/>
      <c r="C850" s="117"/>
      <c r="D850" s="117"/>
      <c r="E850" s="117"/>
      <c r="F850" s="117"/>
      <c r="G850" s="189"/>
      <c r="H850" s="189"/>
      <c r="I850" s="48"/>
      <c r="J850" s="189"/>
      <c r="K850" s="220"/>
      <c r="L850" s="220"/>
      <c r="M850" s="197"/>
      <c r="N850" s="375"/>
      <c r="O850" s="376"/>
      <c r="P850" s="220"/>
      <c r="Q850" s="117"/>
      <c r="R850" s="189"/>
      <c r="S850" s="141"/>
      <c r="T850" s="141"/>
      <c r="U850" s="57"/>
      <c r="V850" s="57"/>
      <c r="W850" s="57"/>
      <c r="X850" s="57"/>
      <c r="Y850" s="57"/>
      <c r="Z850" s="57"/>
      <c r="AA850" s="57"/>
      <c r="AB850" s="57"/>
    </row>
    <row r="851">
      <c r="A851" s="185" t="str">
        <f t="shared" si="17"/>
        <v/>
      </c>
      <c r="B851" s="141"/>
      <c r="C851" s="117"/>
      <c r="D851" s="117"/>
      <c r="E851" s="117"/>
      <c r="F851" s="117"/>
      <c r="G851" s="189"/>
      <c r="H851" s="189"/>
      <c r="I851" s="48"/>
      <c r="J851" s="189"/>
      <c r="K851" s="220"/>
      <c r="L851" s="220"/>
      <c r="M851" s="197"/>
      <c r="N851" s="375"/>
      <c r="O851" s="376"/>
      <c r="P851" s="220"/>
      <c r="Q851" s="117"/>
      <c r="R851" s="189"/>
      <c r="S851" s="141"/>
      <c r="T851" s="141"/>
      <c r="U851" s="57"/>
      <c r="V851" s="57"/>
      <c r="W851" s="57"/>
      <c r="X851" s="57"/>
      <c r="Y851" s="57"/>
      <c r="Z851" s="57"/>
      <c r="AA851" s="57"/>
      <c r="AB851" s="57"/>
    </row>
    <row r="852">
      <c r="A852" s="185" t="str">
        <f t="shared" si="17"/>
        <v/>
      </c>
      <c r="B852" s="141"/>
      <c r="C852" s="117"/>
      <c r="D852" s="117"/>
      <c r="E852" s="117"/>
      <c r="F852" s="117"/>
      <c r="G852" s="189"/>
      <c r="H852" s="189"/>
      <c r="I852" s="48"/>
      <c r="J852" s="189"/>
      <c r="K852" s="220"/>
      <c r="L852" s="220"/>
      <c r="M852" s="197"/>
      <c r="N852" s="375"/>
      <c r="O852" s="376"/>
      <c r="P852" s="220"/>
      <c r="Q852" s="117"/>
      <c r="R852" s="189"/>
      <c r="S852" s="141"/>
      <c r="T852" s="141"/>
      <c r="U852" s="57"/>
      <c r="V852" s="57"/>
      <c r="W852" s="57"/>
      <c r="X852" s="57"/>
      <c r="Y852" s="57"/>
      <c r="Z852" s="57"/>
      <c r="AA852" s="57"/>
      <c r="AB852" s="57"/>
    </row>
    <row r="853">
      <c r="A853" s="185" t="str">
        <f t="shared" si="17"/>
        <v/>
      </c>
      <c r="B853" s="141"/>
      <c r="C853" s="117"/>
      <c r="D853" s="117"/>
      <c r="E853" s="117"/>
      <c r="F853" s="117"/>
      <c r="G853" s="189"/>
      <c r="H853" s="189"/>
      <c r="I853" s="48"/>
      <c r="J853" s="189"/>
      <c r="K853" s="220"/>
      <c r="L853" s="220"/>
      <c r="M853" s="197"/>
      <c r="N853" s="375"/>
      <c r="O853" s="376"/>
      <c r="P853" s="220"/>
      <c r="Q853" s="117"/>
      <c r="R853" s="189"/>
      <c r="S853" s="141"/>
      <c r="T853" s="141"/>
      <c r="U853" s="57"/>
      <c r="V853" s="57"/>
      <c r="W853" s="57"/>
      <c r="X853" s="57"/>
      <c r="Y853" s="57"/>
      <c r="Z853" s="57"/>
      <c r="AA853" s="57"/>
      <c r="AB853" s="57"/>
    </row>
    <row r="854">
      <c r="A854" s="185" t="str">
        <f t="shared" si="17"/>
        <v/>
      </c>
      <c r="B854" s="141"/>
      <c r="C854" s="117"/>
      <c r="D854" s="117"/>
      <c r="E854" s="117"/>
      <c r="F854" s="117"/>
      <c r="G854" s="189"/>
      <c r="H854" s="189"/>
      <c r="I854" s="48"/>
      <c r="J854" s="189"/>
      <c r="K854" s="220"/>
      <c r="L854" s="220"/>
      <c r="M854" s="197"/>
      <c r="N854" s="375"/>
      <c r="O854" s="376"/>
      <c r="P854" s="220"/>
      <c r="Q854" s="117"/>
      <c r="R854" s="189"/>
      <c r="S854" s="141"/>
      <c r="T854" s="141"/>
      <c r="U854" s="57"/>
      <c r="V854" s="57"/>
      <c r="W854" s="57"/>
      <c r="X854" s="57"/>
      <c r="Y854" s="57"/>
      <c r="Z854" s="57"/>
      <c r="AA854" s="57"/>
      <c r="AB854" s="57"/>
    </row>
    <row r="855">
      <c r="A855" s="185" t="str">
        <f t="shared" si="17"/>
        <v/>
      </c>
      <c r="B855" s="141"/>
      <c r="C855" s="117"/>
      <c r="D855" s="117"/>
      <c r="E855" s="117"/>
      <c r="F855" s="117"/>
      <c r="G855" s="189"/>
      <c r="H855" s="189"/>
      <c r="I855" s="48"/>
      <c r="J855" s="189"/>
      <c r="K855" s="220"/>
      <c r="L855" s="220"/>
      <c r="M855" s="197"/>
      <c r="N855" s="375"/>
      <c r="O855" s="376"/>
      <c r="P855" s="220"/>
      <c r="Q855" s="117"/>
      <c r="R855" s="189"/>
      <c r="S855" s="141"/>
      <c r="T855" s="141"/>
      <c r="U855" s="57"/>
      <c r="V855" s="57"/>
      <c r="W855" s="57"/>
      <c r="X855" s="57"/>
      <c r="Y855" s="57"/>
      <c r="Z855" s="57"/>
      <c r="AA855" s="57"/>
      <c r="AB855" s="57"/>
    </row>
    <row r="856">
      <c r="A856" s="185" t="str">
        <f t="shared" si="17"/>
        <v/>
      </c>
      <c r="B856" s="141"/>
      <c r="C856" s="117"/>
      <c r="D856" s="117"/>
      <c r="E856" s="117"/>
      <c r="F856" s="117"/>
      <c r="G856" s="189"/>
      <c r="H856" s="189"/>
      <c r="I856" s="48"/>
      <c r="J856" s="189"/>
      <c r="K856" s="220"/>
      <c r="L856" s="220"/>
      <c r="M856" s="197"/>
      <c r="N856" s="375"/>
      <c r="O856" s="376"/>
      <c r="P856" s="220"/>
      <c r="Q856" s="117"/>
      <c r="R856" s="189"/>
      <c r="S856" s="141"/>
      <c r="T856" s="141"/>
      <c r="U856" s="57"/>
      <c r="V856" s="57"/>
      <c r="W856" s="57"/>
      <c r="X856" s="57"/>
      <c r="Y856" s="57"/>
      <c r="Z856" s="57"/>
      <c r="AA856" s="57"/>
      <c r="AB856" s="57"/>
    </row>
    <row r="857">
      <c r="A857" s="185" t="str">
        <f t="shared" si="17"/>
        <v/>
      </c>
      <c r="B857" s="141"/>
      <c r="C857" s="117"/>
      <c r="D857" s="117"/>
      <c r="E857" s="117"/>
      <c r="F857" s="117"/>
      <c r="G857" s="189"/>
      <c r="H857" s="189"/>
      <c r="I857" s="48"/>
      <c r="J857" s="189"/>
      <c r="K857" s="220"/>
      <c r="L857" s="220"/>
      <c r="M857" s="197"/>
      <c r="N857" s="375"/>
      <c r="O857" s="376"/>
      <c r="P857" s="220"/>
      <c r="Q857" s="117"/>
      <c r="R857" s="189"/>
      <c r="S857" s="141"/>
      <c r="T857" s="141"/>
      <c r="U857" s="57"/>
      <c r="V857" s="57"/>
      <c r="W857" s="57"/>
      <c r="X857" s="57"/>
      <c r="Y857" s="57"/>
      <c r="Z857" s="57"/>
      <c r="AA857" s="57"/>
      <c r="AB857" s="57"/>
    </row>
    <row r="858">
      <c r="A858" s="185" t="str">
        <f t="shared" si="17"/>
        <v/>
      </c>
      <c r="B858" s="141"/>
      <c r="C858" s="117"/>
      <c r="D858" s="117"/>
      <c r="E858" s="117"/>
      <c r="F858" s="117"/>
      <c r="G858" s="189"/>
      <c r="H858" s="189"/>
      <c r="I858" s="48"/>
      <c r="J858" s="189"/>
      <c r="K858" s="220"/>
      <c r="L858" s="220"/>
      <c r="M858" s="197"/>
      <c r="N858" s="375"/>
      <c r="O858" s="376"/>
      <c r="P858" s="220"/>
      <c r="Q858" s="117"/>
      <c r="R858" s="189"/>
      <c r="S858" s="141"/>
      <c r="T858" s="141"/>
      <c r="U858" s="57"/>
      <c r="V858" s="57"/>
      <c r="W858" s="57"/>
      <c r="X858" s="57"/>
      <c r="Y858" s="57"/>
      <c r="Z858" s="57"/>
      <c r="AA858" s="57"/>
      <c r="AB858" s="57"/>
    </row>
    <row r="859">
      <c r="A859" s="185" t="str">
        <f t="shared" si="17"/>
        <v/>
      </c>
      <c r="B859" s="141"/>
      <c r="C859" s="117"/>
      <c r="D859" s="117"/>
      <c r="E859" s="117"/>
      <c r="F859" s="117"/>
      <c r="G859" s="189"/>
      <c r="H859" s="189"/>
      <c r="I859" s="48"/>
      <c r="J859" s="189"/>
      <c r="K859" s="220"/>
      <c r="L859" s="220"/>
      <c r="M859" s="197"/>
      <c r="N859" s="375"/>
      <c r="O859" s="376"/>
      <c r="P859" s="220"/>
      <c r="Q859" s="117"/>
      <c r="R859" s="189"/>
      <c r="S859" s="141"/>
      <c r="T859" s="141"/>
      <c r="U859" s="57"/>
      <c r="V859" s="57"/>
      <c r="W859" s="57"/>
      <c r="X859" s="57"/>
      <c r="Y859" s="57"/>
      <c r="Z859" s="57"/>
      <c r="AA859" s="57"/>
      <c r="AB859" s="57"/>
    </row>
    <row r="860">
      <c r="A860" s="185" t="str">
        <f t="shared" si="17"/>
        <v/>
      </c>
      <c r="B860" s="141"/>
      <c r="C860" s="117"/>
      <c r="D860" s="117"/>
      <c r="E860" s="117"/>
      <c r="F860" s="117"/>
      <c r="G860" s="189"/>
      <c r="H860" s="189"/>
      <c r="I860" s="48"/>
      <c r="J860" s="189"/>
      <c r="K860" s="220"/>
      <c r="L860" s="220"/>
      <c r="M860" s="197"/>
      <c r="N860" s="375"/>
      <c r="O860" s="376"/>
      <c r="P860" s="220"/>
      <c r="Q860" s="117"/>
      <c r="R860" s="189"/>
      <c r="S860" s="141"/>
      <c r="T860" s="141"/>
      <c r="U860" s="57"/>
      <c r="V860" s="57"/>
      <c r="W860" s="57"/>
      <c r="X860" s="57"/>
      <c r="Y860" s="57"/>
      <c r="Z860" s="57"/>
      <c r="AA860" s="57"/>
      <c r="AB860" s="57"/>
    </row>
    <row r="861">
      <c r="A861" s="185" t="str">
        <f t="shared" si="17"/>
        <v/>
      </c>
      <c r="B861" s="141"/>
      <c r="C861" s="117"/>
      <c r="D861" s="117"/>
      <c r="E861" s="117"/>
      <c r="F861" s="117"/>
      <c r="G861" s="189"/>
      <c r="H861" s="189"/>
      <c r="I861" s="48"/>
      <c r="J861" s="189"/>
      <c r="K861" s="220"/>
      <c r="L861" s="220"/>
      <c r="M861" s="197"/>
      <c r="N861" s="375"/>
      <c r="O861" s="376"/>
      <c r="P861" s="220"/>
      <c r="Q861" s="117"/>
      <c r="R861" s="189"/>
      <c r="S861" s="141"/>
      <c r="T861" s="141"/>
      <c r="U861" s="57"/>
      <c r="V861" s="57"/>
      <c r="W861" s="57"/>
      <c r="X861" s="57"/>
      <c r="Y861" s="57"/>
      <c r="Z861" s="57"/>
      <c r="AA861" s="57"/>
      <c r="AB861" s="57"/>
    </row>
    <row r="862">
      <c r="A862" s="185" t="str">
        <f t="shared" si="17"/>
        <v/>
      </c>
      <c r="B862" s="141"/>
      <c r="C862" s="117"/>
      <c r="D862" s="117"/>
      <c r="E862" s="117"/>
      <c r="F862" s="117"/>
      <c r="G862" s="189"/>
      <c r="H862" s="189"/>
      <c r="I862" s="48"/>
      <c r="J862" s="189"/>
      <c r="K862" s="220"/>
      <c r="L862" s="220"/>
      <c r="M862" s="197"/>
      <c r="N862" s="375"/>
      <c r="O862" s="376"/>
      <c r="P862" s="220"/>
      <c r="Q862" s="117"/>
      <c r="R862" s="189"/>
      <c r="S862" s="141"/>
      <c r="T862" s="141"/>
      <c r="U862" s="57"/>
      <c r="V862" s="57"/>
      <c r="W862" s="57"/>
      <c r="X862" s="57"/>
      <c r="Y862" s="57"/>
      <c r="Z862" s="57"/>
      <c r="AA862" s="57"/>
      <c r="AB862" s="57"/>
    </row>
    <row r="863">
      <c r="A863" s="185" t="str">
        <f t="shared" si="17"/>
        <v/>
      </c>
      <c r="B863" s="141"/>
      <c r="C863" s="117"/>
      <c r="D863" s="117"/>
      <c r="E863" s="117"/>
      <c r="F863" s="117"/>
      <c r="G863" s="189"/>
      <c r="H863" s="189"/>
      <c r="I863" s="48"/>
      <c r="J863" s="189"/>
      <c r="K863" s="220"/>
      <c r="L863" s="220"/>
      <c r="M863" s="197"/>
      <c r="N863" s="375"/>
      <c r="O863" s="376"/>
      <c r="P863" s="220"/>
      <c r="Q863" s="117"/>
      <c r="R863" s="189"/>
      <c r="S863" s="141"/>
      <c r="T863" s="141"/>
      <c r="U863" s="57"/>
      <c r="V863" s="57"/>
      <c r="W863" s="57"/>
      <c r="X863" s="57"/>
      <c r="Y863" s="57"/>
      <c r="Z863" s="57"/>
      <c r="AA863" s="57"/>
      <c r="AB863" s="57"/>
    </row>
    <row r="864">
      <c r="A864" s="185" t="str">
        <f t="shared" si="17"/>
        <v/>
      </c>
      <c r="B864" s="141"/>
      <c r="C864" s="117"/>
      <c r="D864" s="117"/>
      <c r="E864" s="117"/>
      <c r="F864" s="117"/>
      <c r="G864" s="189"/>
      <c r="H864" s="189"/>
      <c r="I864" s="48"/>
      <c r="J864" s="189"/>
      <c r="K864" s="220"/>
      <c r="L864" s="220"/>
      <c r="M864" s="197"/>
      <c r="N864" s="375"/>
      <c r="O864" s="376"/>
      <c r="P864" s="220"/>
      <c r="Q864" s="117"/>
      <c r="R864" s="189"/>
      <c r="S864" s="141"/>
      <c r="T864" s="141"/>
      <c r="U864" s="57"/>
      <c r="V864" s="57"/>
      <c r="W864" s="57"/>
      <c r="X864" s="57"/>
      <c r="Y864" s="57"/>
      <c r="Z864" s="57"/>
      <c r="AA864" s="57"/>
      <c r="AB864" s="57"/>
    </row>
    <row r="865">
      <c r="A865" s="185" t="str">
        <f t="shared" si="17"/>
        <v/>
      </c>
      <c r="B865" s="141"/>
      <c r="C865" s="117"/>
      <c r="D865" s="117"/>
      <c r="E865" s="117"/>
      <c r="F865" s="117"/>
      <c r="G865" s="189"/>
      <c r="H865" s="189"/>
      <c r="I865" s="48"/>
      <c r="J865" s="189"/>
      <c r="K865" s="220"/>
      <c r="L865" s="220"/>
      <c r="M865" s="197"/>
      <c r="N865" s="375"/>
      <c r="O865" s="376"/>
      <c r="P865" s="220"/>
      <c r="Q865" s="117"/>
      <c r="R865" s="189"/>
      <c r="S865" s="141"/>
      <c r="T865" s="141"/>
      <c r="U865" s="57"/>
      <c r="V865" s="57"/>
      <c r="W865" s="57"/>
      <c r="X865" s="57"/>
      <c r="Y865" s="57"/>
      <c r="Z865" s="57"/>
      <c r="AA865" s="57"/>
      <c r="AB865" s="57"/>
    </row>
    <row r="866">
      <c r="A866" s="185" t="str">
        <f t="shared" si="17"/>
        <v/>
      </c>
      <c r="B866" s="141"/>
      <c r="C866" s="117"/>
      <c r="D866" s="117"/>
      <c r="E866" s="117"/>
      <c r="F866" s="117"/>
      <c r="G866" s="189"/>
      <c r="H866" s="189"/>
      <c r="I866" s="48"/>
      <c r="J866" s="189"/>
      <c r="K866" s="220"/>
      <c r="L866" s="220"/>
      <c r="M866" s="197"/>
      <c r="N866" s="375"/>
      <c r="O866" s="376"/>
      <c r="P866" s="220"/>
      <c r="Q866" s="117"/>
      <c r="R866" s="189"/>
      <c r="S866" s="141"/>
      <c r="T866" s="141"/>
      <c r="U866" s="57"/>
      <c r="V866" s="57"/>
      <c r="W866" s="57"/>
      <c r="X866" s="57"/>
      <c r="Y866" s="57"/>
      <c r="Z866" s="57"/>
      <c r="AA866" s="57"/>
      <c r="AB866" s="57"/>
    </row>
    <row r="867">
      <c r="A867" s="185" t="str">
        <f t="shared" si="17"/>
        <v/>
      </c>
      <c r="B867" s="141"/>
      <c r="C867" s="117"/>
      <c r="D867" s="117"/>
      <c r="E867" s="117"/>
      <c r="F867" s="117"/>
      <c r="G867" s="189"/>
      <c r="H867" s="189"/>
      <c r="I867" s="48"/>
      <c r="J867" s="189"/>
      <c r="K867" s="220"/>
      <c r="L867" s="220"/>
      <c r="M867" s="197"/>
      <c r="N867" s="375"/>
      <c r="O867" s="376"/>
      <c r="P867" s="220"/>
      <c r="Q867" s="117"/>
      <c r="R867" s="189"/>
      <c r="S867" s="141"/>
      <c r="T867" s="141"/>
      <c r="U867" s="57"/>
      <c r="V867" s="57"/>
      <c r="W867" s="57"/>
      <c r="X867" s="57"/>
      <c r="Y867" s="57"/>
      <c r="Z867" s="57"/>
      <c r="AA867" s="57"/>
      <c r="AB867" s="57"/>
    </row>
    <row r="868">
      <c r="A868" s="185" t="str">
        <f t="shared" si="17"/>
        <v/>
      </c>
      <c r="B868" s="141"/>
      <c r="C868" s="117"/>
      <c r="D868" s="117"/>
      <c r="E868" s="117"/>
      <c r="F868" s="117"/>
      <c r="G868" s="189"/>
      <c r="H868" s="189"/>
      <c r="I868" s="48"/>
      <c r="J868" s="189"/>
      <c r="K868" s="220"/>
      <c r="L868" s="220"/>
      <c r="M868" s="197"/>
      <c r="N868" s="375"/>
      <c r="O868" s="376"/>
      <c r="P868" s="220"/>
      <c r="Q868" s="117"/>
      <c r="R868" s="189"/>
      <c r="S868" s="141"/>
      <c r="T868" s="141"/>
      <c r="U868" s="57"/>
      <c r="V868" s="57"/>
      <c r="W868" s="57"/>
      <c r="X868" s="57"/>
      <c r="Y868" s="57"/>
      <c r="Z868" s="57"/>
      <c r="AA868" s="57"/>
      <c r="AB868" s="57"/>
    </row>
    <row r="869">
      <c r="A869" s="185" t="str">
        <f t="shared" si="17"/>
        <v/>
      </c>
      <c r="B869" s="141"/>
      <c r="C869" s="117"/>
      <c r="D869" s="117"/>
      <c r="E869" s="117"/>
      <c r="F869" s="117"/>
      <c r="G869" s="189"/>
      <c r="H869" s="189"/>
      <c r="I869" s="48"/>
      <c r="J869" s="189"/>
      <c r="K869" s="220"/>
      <c r="L869" s="220"/>
      <c r="M869" s="197"/>
      <c r="N869" s="375"/>
      <c r="O869" s="376"/>
      <c r="P869" s="220"/>
      <c r="Q869" s="117"/>
      <c r="R869" s="189"/>
      <c r="S869" s="141"/>
      <c r="T869" s="141"/>
      <c r="U869" s="57"/>
      <c r="V869" s="57"/>
      <c r="W869" s="57"/>
      <c r="X869" s="57"/>
      <c r="Y869" s="57"/>
      <c r="Z869" s="57"/>
      <c r="AA869" s="57"/>
      <c r="AB869" s="57"/>
    </row>
    <row r="870">
      <c r="A870" s="185" t="str">
        <f t="shared" si="17"/>
        <v/>
      </c>
      <c r="B870" s="141"/>
      <c r="C870" s="117"/>
      <c r="D870" s="117"/>
      <c r="E870" s="117"/>
      <c r="F870" s="117"/>
      <c r="G870" s="189"/>
      <c r="H870" s="189"/>
      <c r="I870" s="48"/>
      <c r="J870" s="189"/>
      <c r="K870" s="220"/>
      <c r="L870" s="220"/>
      <c r="M870" s="197"/>
      <c r="N870" s="375"/>
      <c r="O870" s="376"/>
      <c r="P870" s="220"/>
      <c r="Q870" s="117"/>
      <c r="R870" s="189"/>
      <c r="S870" s="141"/>
      <c r="T870" s="141"/>
      <c r="U870" s="57"/>
      <c r="V870" s="57"/>
      <c r="W870" s="57"/>
      <c r="X870" s="57"/>
      <c r="Y870" s="57"/>
      <c r="Z870" s="57"/>
      <c r="AA870" s="57"/>
      <c r="AB870" s="57"/>
    </row>
    <row r="871">
      <c r="A871" s="185" t="str">
        <f t="shared" si="17"/>
        <v/>
      </c>
      <c r="B871" s="141"/>
      <c r="C871" s="117"/>
      <c r="D871" s="117"/>
      <c r="E871" s="117"/>
      <c r="F871" s="117"/>
      <c r="G871" s="189"/>
      <c r="H871" s="189"/>
      <c r="I871" s="48"/>
      <c r="J871" s="189"/>
      <c r="K871" s="220"/>
      <c r="L871" s="220"/>
      <c r="M871" s="197"/>
      <c r="N871" s="375"/>
      <c r="O871" s="376"/>
      <c r="P871" s="220"/>
      <c r="Q871" s="117"/>
      <c r="R871" s="189"/>
      <c r="S871" s="141"/>
      <c r="T871" s="141"/>
      <c r="U871" s="57"/>
      <c r="V871" s="57"/>
      <c r="W871" s="57"/>
      <c r="X871" s="57"/>
      <c r="Y871" s="57"/>
      <c r="Z871" s="57"/>
      <c r="AA871" s="57"/>
      <c r="AB871" s="57"/>
    </row>
    <row r="872">
      <c r="A872" s="185" t="str">
        <f t="shared" si="17"/>
        <v/>
      </c>
      <c r="B872" s="141"/>
      <c r="C872" s="117"/>
      <c r="D872" s="117"/>
      <c r="E872" s="117"/>
      <c r="F872" s="117"/>
      <c r="G872" s="189"/>
      <c r="H872" s="189"/>
      <c r="I872" s="48"/>
      <c r="J872" s="189"/>
      <c r="K872" s="220"/>
      <c r="L872" s="220"/>
      <c r="M872" s="197"/>
      <c r="N872" s="375"/>
      <c r="O872" s="376"/>
      <c r="P872" s="220"/>
      <c r="Q872" s="117"/>
      <c r="R872" s="189"/>
      <c r="S872" s="141"/>
      <c r="T872" s="141"/>
      <c r="U872" s="57"/>
      <c r="V872" s="57"/>
      <c r="W872" s="57"/>
      <c r="X872" s="57"/>
      <c r="Y872" s="57"/>
      <c r="Z872" s="57"/>
      <c r="AA872" s="57"/>
      <c r="AB872" s="57"/>
    </row>
    <row r="873">
      <c r="A873" s="185" t="str">
        <f t="shared" si="17"/>
        <v/>
      </c>
      <c r="B873" s="141"/>
      <c r="C873" s="117"/>
      <c r="D873" s="117"/>
      <c r="E873" s="117"/>
      <c r="F873" s="117"/>
      <c r="G873" s="189"/>
      <c r="H873" s="189"/>
      <c r="I873" s="48"/>
      <c r="J873" s="189"/>
      <c r="K873" s="220"/>
      <c r="L873" s="220"/>
      <c r="M873" s="197"/>
      <c r="N873" s="375"/>
      <c r="O873" s="376"/>
      <c r="P873" s="220"/>
      <c r="Q873" s="117"/>
      <c r="R873" s="189"/>
      <c r="S873" s="141"/>
      <c r="T873" s="141"/>
      <c r="U873" s="57"/>
      <c r="V873" s="57"/>
      <c r="W873" s="57"/>
      <c r="X873" s="57"/>
      <c r="Y873" s="57"/>
      <c r="Z873" s="57"/>
      <c r="AA873" s="57"/>
      <c r="AB873" s="57"/>
    </row>
    <row r="874">
      <c r="A874" s="185" t="str">
        <f t="shared" si="17"/>
        <v/>
      </c>
      <c r="B874" s="141"/>
      <c r="C874" s="117"/>
      <c r="D874" s="117"/>
      <c r="E874" s="117"/>
      <c r="F874" s="117"/>
      <c r="G874" s="189"/>
      <c r="H874" s="189"/>
      <c r="I874" s="48"/>
      <c r="J874" s="189"/>
      <c r="K874" s="220"/>
      <c r="L874" s="220"/>
      <c r="M874" s="197"/>
      <c r="N874" s="375"/>
      <c r="O874" s="376"/>
      <c r="P874" s="220"/>
      <c r="Q874" s="117"/>
      <c r="R874" s="189"/>
      <c r="S874" s="141"/>
      <c r="T874" s="141"/>
      <c r="U874" s="57"/>
      <c r="V874" s="57"/>
      <c r="W874" s="57"/>
      <c r="X874" s="57"/>
      <c r="Y874" s="57"/>
      <c r="Z874" s="57"/>
      <c r="AA874" s="57"/>
      <c r="AB874" s="57"/>
    </row>
    <row r="875">
      <c r="A875" s="185" t="str">
        <f t="shared" si="17"/>
        <v/>
      </c>
      <c r="B875" s="141"/>
      <c r="C875" s="117"/>
      <c r="D875" s="117"/>
      <c r="E875" s="117"/>
      <c r="F875" s="117"/>
      <c r="G875" s="189"/>
      <c r="H875" s="189"/>
      <c r="I875" s="48"/>
      <c r="J875" s="189"/>
      <c r="K875" s="220"/>
      <c r="L875" s="220"/>
      <c r="M875" s="197"/>
      <c r="N875" s="375"/>
      <c r="O875" s="376"/>
      <c r="P875" s="220"/>
      <c r="Q875" s="117"/>
      <c r="R875" s="189"/>
      <c r="S875" s="141"/>
      <c r="T875" s="141"/>
      <c r="U875" s="57"/>
      <c r="V875" s="57"/>
      <c r="W875" s="57"/>
      <c r="X875" s="57"/>
      <c r="Y875" s="57"/>
      <c r="Z875" s="57"/>
      <c r="AA875" s="57"/>
      <c r="AB875" s="57"/>
    </row>
    <row r="876">
      <c r="A876" s="185" t="str">
        <f t="shared" si="17"/>
        <v/>
      </c>
      <c r="B876" s="141"/>
      <c r="C876" s="117"/>
      <c r="D876" s="117"/>
      <c r="E876" s="117"/>
      <c r="F876" s="117"/>
      <c r="G876" s="189"/>
      <c r="H876" s="189"/>
      <c r="I876" s="48"/>
      <c r="J876" s="189"/>
      <c r="K876" s="220"/>
      <c r="L876" s="220"/>
      <c r="M876" s="197"/>
      <c r="N876" s="375"/>
      <c r="O876" s="376"/>
      <c r="P876" s="220"/>
      <c r="Q876" s="117"/>
      <c r="R876" s="189"/>
      <c r="S876" s="141"/>
      <c r="T876" s="141"/>
      <c r="U876" s="57"/>
      <c r="V876" s="57"/>
      <c r="W876" s="57"/>
      <c r="X876" s="57"/>
      <c r="Y876" s="57"/>
      <c r="Z876" s="57"/>
      <c r="AA876" s="57"/>
      <c r="AB876" s="57"/>
    </row>
    <row r="877">
      <c r="A877" s="185" t="str">
        <f t="shared" si="17"/>
        <v/>
      </c>
      <c r="B877" s="141"/>
      <c r="C877" s="117"/>
      <c r="D877" s="117"/>
      <c r="E877" s="117"/>
      <c r="F877" s="117"/>
      <c r="G877" s="189"/>
      <c r="H877" s="189"/>
      <c r="I877" s="48"/>
      <c r="J877" s="189"/>
      <c r="K877" s="220"/>
      <c r="L877" s="220"/>
      <c r="M877" s="197"/>
      <c r="N877" s="375"/>
      <c r="O877" s="376"/>
      <c r="P877" s="220"/>
      <c r="Q877" s="117"/>
      <c r="R877" s="189"/>
      <c r="S877" s="141"/>
      <c r="T877" s="141"/>
      <c r="U877" s="57"/>
      <c r="V877" s="57"/>
      <c r="W877" s="57"/>
      <c r="X877" s="57"/>
      <c r="Y877" s="57"/>
      <c r="Z877" s="57"/>
      <c r="AA877" s="57"/>
      <c r="AB877" s="57"/>
    </row>
    <row r="878">
      <c r="A878" s="185" t="str">
        <f t="shared" si="17"/>
        <v/>
      </c>
      <c r="B878" s="141"/>
      <c r="C878" s="117"/>
      <c r="D878" s="117"/>
      <c r="E878" s="117"/>
      <c r="F878" s="117"/>
      <c r="G878" s="189"/>
      <c r="H878" s="189"/>
      <c r="I878" s="48"/>
      <c r="J878" s="189"/>
      <c r="K878" s="220"/>
      <c r="L878" s="220"/>
      <c r="M878" s="197"/>
      <c r="N878" s="375"/>
      <c r="O878" s="376"/>
      <c r="P878" s="220"/>
      <c r="Q878" s="117"/>
      <c r="R878" s="189"/>
      <c r="S878" s="141"/>
      <c r="T878" s="141"/>
      <c r="U878" s="57"/>
      <c r="V878" s="57"/>
      <c r="W878" s="57"/>
      <c r="X878" s="57"/>
      <c r="Y878" s="57"/>
      <c r="Z878" s="57"/>
      <c r="AA878" s="57"/>
      <c r="AB878" s="57"/>
    </row>
    <row r="879">
      <c r="A879" s="185" t="str">
        <f t="shared" si="17"/>
        <v/>
      </c>
      <c r="B879" s="141"/>
      <c r="C879" s="117"/>
      <c r="D879" s="117"/>
      <c r="E879" s="117"/>
      <c r="F879" s="117"/>
      <c r="G879" s="189"/>
      <c r="H879" s="189"/>
      <c r="I879" s="48"/>
      <c r="J879" s="189"/>
      <c r="K879" s="220"/>
      <c r="L879" s="220"/>
      <c r="M879" s="197"/>
      <c r="N879" s="375"/>
      <c r="O879" s="376"/>
      <c r="P879" s="220"/>
      <c r="Q879" s="117"/>
      <c r="R879" s="189"/>
      <c r="S879" s="141"/>
      <c r="T879" s="141"/>
      <c r="U879" s="57"/>
      <c r="V879" s="57"/>
      <c r="W879" s="57"/>
      <c r="X879" s="57"/>
      <c r="Y879" s="57"/>
      <c r="Z879" s="57"/>
      <c r="AA879" s="57"/>
      <c r="AB879" s="57"/>
    </row>
    <row r="880">
      <c r="A880" s="185" t="str">
        <f t="shared" si="17"/>
        <v/>
      </c>
      <c r="B880" s="141"/>
      <c r="C880" s="117"/>
      <c r="D880" s="117"/>
      <c r="E880" s="117"/>
      <c r="F880" s="117"/>
      <c r="G880" s="189"/>
      <c r="H880" s="189"/>
      <c r="I880" s="48"/>
      <c r="J880" s="189"/>
      <c r="K880" s="220"/>
      <c r="L880" s="220"/>
      <c r="M880" s="197"/>
      <c r="N880" s="375"/>
      <c r="O880" s="376"/>
      <c r="P880" s="220"/>
      <c r="Q880" s="117"/>
      <c r="R880" s="189"/>
      <c r="S880" s="141"/>
      <c r="T880" s="141"/>
      <c r="U880" s="57"/>
      <c r="V880" s="57"/>
      <c r="W880" s="57"/>
      <c r="X880" s="57"/>
      <c r="Y880" s="57"/>
      <c r="Z880" s="57"/>
      <c r="AA880" s="57"/>
      <c r="AB880" s="57"/>
    </row>
    <row r="881">
      <c r="A881" s="185" t="str">
        <f t="shared" si="17"/>
        <v/>
      </c>
      <c r="B881" s="141"/>
      <c r="C881" s="117"/>
      <c r="D881" s="117"/>
      <c r="E881" s="117"/>
      <c r="F881" s="117"/>
      <c r="G881" s="189"/>
      <c r="H881" s="189"/>
      <c r="I881" s="48"/>
      <c r="J881" s="189"/>
      <c r="K881" s="220"/>
      <c r="L881" s="220"/>
      <c r="M881" s="197"/>
      <c r="N881" s="375"/>
      <c r="O881" s="376"/>
      <c r="P881" s="220"/>
      <c r="Q881" s="117"/>
      <c r="R881" s="189"/>
      <c r="S881" s="141"/>
      <c r="T881" s="141"/>
      <c r="U881" s="57"/>
      <c r="V881" s="57"/>
      <c r="W881" s="57"/>
      <c r="X881" s="57"/>
      <c r="Y881" s="57"/>
      <c r="Z881" s="57"/>
      <c r="AA881" s="57"/>
      <c r="AB881" s="57"/>
    </row>
    <row r="882">
      <c r="A882" s="185" t="str">
        <f t="shared" si="17"/>
        <v/>
      </c>
      <c r="B882" s="141"/>
      <c r="C882" s="117"/>
      <c r="D882" s="117"/>
      <c r="E882" s="117"/>
      <c r="F882" s="117"/>
      <c r="G882" s="189"/>
      <c r="H882" s="189"/>
      <c r="I882" s="48"/>
      <c r="J882" s="189"/>
      <c r="K882" s="220"/>
      <c r="L882" s="220"/>
      <c r="M882" s="197"/>
      <c r="N882" s="375"/>
      <c r="O882" s="376"/>
      <c r="P882" s="220"/>
      <c r="Q882" s="117"/>
      <c r="R882" s="189"/>
      <c r="S882" s="141"/>
      <c r="T882" s="141"/>
      <c r="U882" s="57"/>
      <c r="V882" s="57"/>
      <c r="W882" s="57"/>
      <c r="X882" s="57"/>
      <c r="Y882" s="57"/>
      <c r="Z882" s="57"/>
      <c r="AA882" s="57"/>
      <c r="AB882" s="57"/>
    </row>
    <row r="883">
      <c r="A883" s="185" t="str">
        <f t="shared" si="17"/>
        <v/>
      </c>
      <c r="B883" s="141"/>
      <c r="C883" s="117"/>
      <c r="D883" s="117"/>
      <c r="E883" s="117"/>
      <c r="F883" s="117"/>
      <c r="G883" s="189"/>
      <c r="H883" s="189"/>
      <c r="I883" s="48"/>
      <c r="J883" s="189"/>
      <c r="K883" s="220"/>
      <c r="L883" s="220"/>
      <c r="M883" s="197"/>
      <c r="N883" s="375"/>
      <c r="O883" s="376"/>
      <c r="P883" s="220"/>
      <c r="Q883" s="117"/>
      <c r="R883" s="189"/>
      <c r="S883" s="141"/>
      <c r="T883" s="141"/>
      <c r="U883" s="57"/>
      <c r="V883" s="57"/>
      <c r="W883" s="57"/>
      <c r="X883" s="57"/>
      <c r="Y883" s="57"/>
      <c r="Z883" s="57"/>
      <c r="AA883" s="57"/>
      <c r="AB883" s="57"/>
    </row>
    <row r="884">
      <c r="A884" s="185" t="str">
        <f t="shared" si="17"/>
        <v/>
      </c>
      <c r="B884" s="141"/>
      <c r="C884" s="117"/>
      <c r="D884" s="117"/>
      <c r="E884" s="117"/>
      <c r="F884" s="117"/>
      <c r="G884" s="189"/>
      <c r="H884" s="189"/>
      <c r="I884" s="48"/>
      <c r="J884" s="189"/>
      <c r="K884" s="220"/>
      <c r="L884" s="220"/>
      <c r="M884" s="197"/>
      <c r="N884" s="375"/>
      <c r="O884" s="376"/>
      <c r="P884" s="220"/>
      <c r="Q884" s="117"/>
      <c r="R884" s="189"/>
      <c r="S884" s="141"/>
      <c r="T884" s="141"/>
      <c r="U884" s="57"/>
      <c r="V884" s="57"/>
      <c r="W884" s="57"/>
      <c r="X884" s="57"/>
      <c r="Y884" s="57"/>
      <c r="Z884" s="57"/>
      <c r="AA884" s="57"/>
      <c r="AB884" s="57"/>
    </row>
    <row r="885">
      <c r="A885" s="185" t="str">
        <f t="shared" si="17"/>
        <v/>
      </c>
      <c r="B885" s="141"/>
      <c r="C885" s="117"/>
      <c r="D885" s="117"/>
      <c r="E885" s="117"/>
      <c r="F885" s="117"/>
      <c r="G885" s="189"/>
      <c r="H885" s="189"/>
      <c r="I885" s="48"/>
      <c r="J885" s="189"/>
      <c r="K885" s="220"/>
      <c r="L885" s="220"/>
      <c r="M885" s="197"/>
      <c r="N885" s="375"/>
      <c r="O885" s="376"/>
      <c r="P885" s="220"/>
      <c r="Q885" s="117"/>
      <c r="R885" s="189"/>
      <c r="S885" s="141"/>
      <c r="T885" s="141"/>
      <c r="U885" s="57"/>
      <c r="V885" s="57"/>
      <c r="W885" s="57"/>
      <c r="X885" s="57"/>
      <c r="Y885" s="57"/>
      <c r="Z885" s="57"/>
      <c r="AA885" s="57"/>
      <c r="AB885" s="57"/>
    </row>
    <row r="886">
      <c r="A886" s="185" t="str">
        <f t="shared" si="17"/>
        <v/>
      </c>
      <c r="B886" s="141"/>
      <c r="C886" s="117"/>
      <c r="D886" s="117"/>
      <c r="E886" s="117"/>
      <c r="F886" s="117"/>
      <c r="G886" s="189"/>
      <c r="H886" s="189"/>
      <c r="I886" s="48"/>
      <c r="J886" s="189"/>
      <c r="K886" s="220"/>
      <c r="L886" s="220"/>
      <c r="M886" s="197"/>
      <c r="N886" s="375"/>
      <c r="O886" s="376"/>
      <c r="P886" s="220"/>
      <c r="Q886" s="117"/>
      <c r="R886" s="189"/>
      <c r="S886" s="141"/>
      <c r="T886" s="141"/>
      <c r="U886" s="57"/>
      <c r="V886" s="57"/>
      <c r="W886" s="57"/>
      <c r="X886" s="57"/>
      <c r="Y886" s="57"/>
      <c r="Z886" s="57"/>
      <c r="AA886" s="57"/>
      <c r="AB886" s="57"/>
    </row>
    <row r="887">
      <c r="A887" s="185" t="str">
        <f t="shared" si="17"/>
        <v/>
      </c>
      <c r="B887" s="141"/>
      <c r="C887" s="117"/>
      <c r="D887" s="117"/>
      <c r="E887" s="117"/>
      <c r="F887" s="117"/>
      <c r="G887" s="189"/>
      <c r="H887" s="189"/>
      <c r="I887" s="48"/>
      <c r="J887" s="189"/>
      <c r="K887" s="220"/>
      <c r="L887" s="220"/>
      <c r="M887" s="197"/>
      <c r="N887" s="375"/>
      <c r="O887" s="376"/>
      <c r="P887" s="220"/>
      <c r="Q887" s="117"/>
      <c r="R887" s="189"/>
      <c r="S887" s="141"/>
      <c r="T887" s="141"/>
      <c r="U887" s="57"/>
      <c r="V887" s="57"/>
      <c r="W887" s="57"/>
      <c r="X887" s="57"/>
      <c r="Y887" s="57"/>
      <c r="Z887" s="57"/>
      <c r="AA887" s="57"/>
      <c r="AB887" s="57"/>
    </row>
    <row r="888">
      <c r="A888" s="185" t="str">
        <f t="shared" si="17"/>
        <v/>
      </c>
      <c r="B888" s="141"/>
      <c r="C888" s="117"/>
      <c r="D888" s="117"/>
      <c r="E888" s="117"/>
      <c r="F888" s="117"/>
      <c r="G888" s="189"/>
      <c r="H888" s="189"/>
      <c r="I888" s="48"/>
      <c r="J888" s="189"/>
      <c r="K888" s="220"/>
      <c r="L888" s="220"/>
      <c r="M888" s="197"/>
      <c r="N888" s="375"/>
      <c r="O888" s="376"/>
      <c r="P888" s="220"/>
      <c r="Q888" s="117"/>
      <c r="R888" s="189"/>
      <c r="S888" s="141"/>
      <c r="T888" s="141"/>
      <c r="U888" s="57"/>
      <c r="V888" s="57"/>
      <c r="W888" s="57"/>
      <c r="X888" s="57"/>
      <c r="Y888" s="57"/>
      <c r="Z888" s="57"/>
      <c r="AA888" s="57"/>
      <c r="AB888" s="57"/>
    </row>
    <row r="889">
      <c r="A889" s="185" t="str">
        <f t="shared" si="17"/>
        <v/>
      </c>
      <c r="B889" s="141"/>
      <c r="C889" s="117"/>
      <c r="D889" s="117"/>
      <c r="E889" s="117"/>
      <c r="F889" s="117"/>
      <c r="G889" s="189"/>
      <c r="H889" s="189"/>
      <c r="I889" s="48"/>
      <c r="J889" s="189"/>
      <c r="K889" s="220"/>
      <c r="L889" s="220"/>
      <c r="M889" s="197"/>
      <c r="N889" s="375"/>
      <c r="O889" s="376"/>
      <c r="P889" s="220"/>
      <c r="Q889" s="117"/>
      <c r="R889" s="189"/>
      <c r="S889" s="141"/>
      <c r="T889" s="141"/>
      <c r="U889" s="57"/>
      <c r="V889" s="57"/>
      <c r="W889" s="57"/>
      <c r="X889" s="57"/>
      <c r="Y889" s="57"/>
      <c r="Z889" s="57"/>
      <c r="AA889" s="57"/>
      <c r="AB889" s="57"/>
    </row>
    <row r="890">
      <c r="A890" s="185" t="str">
        <f t="shared" si="17"/>
        <v/>
      </c>
      <c r="B890" s="141"/>
      <c r="C890" s="117"/>
      <c r="D890" s="117"/>
      <c r="E890" s="117"/>
      <c r="F890" s="117"/>
      <c r="G890" s="189"/>
      <c r="H890" s="189"/>
      <c r="I890" s="48"/>
      <c r="J890" s="189"/>
      <c r="K890" s="220"/>
      <c r="L890" s="220"/>
      <c r="M890" s="197"/>
      <c r="N890" s="375"/>
      <c r="O890" s="376"/>
      <c r="P890" s="220"/>
      <c r="Q890" s="117"/>
      <c r="R890" s="189"/>
      <c r="S890" s="141"/>
      <c r="T890" s="141"/>
      <c r="U890" s="57"/>
      <c r="V890" s="57"/>
      <c r="W890" s="57"/>
      <c r="X890" s="57"/>
      <c r="Y890" s="57"/>
      <c r="Z890" s="57"/>
      <c r="AA890" s="57"/>
      <c r="AB890" s="57"/>
    </row>
    <row r="891">
      <c r="A891" s="185" t="str">
        <f t="shared" si="17"/>
        <v/>
      </c>
      <c r="B891" s="141"/>
      <c r="C891" s="117"/>
      <c r="D891" s="117"/>
      <c r="E891" s="117"/>
      <c r="F891" s="117"/>
      <c r="G891" s="189"/>
      <c r="H891" s="189"/>
      <c r="I891" s="48"/>
      <c r="J891" s="189"/>
      <c r="K891" s="220"/>
      <c r="L891" s="220"/>
      <c r="M891" s="197"/>
      <c r="N891" s="375"/>
      <c r="O891" s="376"/>
      <c r="P891" s="220"/>
      <c r="Q891" s="117"/>
      <c r="R891" s="189"/>
      <c r="S891" s="141"/>
      <c r="T891" s="141"/>
      <c r="U891" s="57"/>
      <c r="V891" s="57"/>
      <c r="W891" s="57"/>
      <c r="X891" s="57"/>
      <c r="Y891" s="57"/>
      <c r="Z891" s="57"/>
      <c r="AA891" s="57"/>
      <c r="AB891" s="57"/>
    </row>
    <row r="892">
      <c r="A892" s="185" t="str">
        <f t="shared" si="17"/>
        <v/>
      </c>
      <c r="B892" s="141"/>
      <c r="C892" s="117"/>
      <c r="D892" s="117"/>
      <c r="E892" s="117"/>
      <c r="F892" s="117"/>
      <c r="G892" s="189"/>
      <c r="H892" s="189"/>
      <c r="I892" s="48"/>
      <c r="J892" s="189"/>
      <c r="K892" s="220"/>
      <c r="L892" s="220"/>
      <c r="M892" s="197"/>
      <c r="N892" s="375"/>
      <c r="O892" s="376"/>
      <c r="P892" s="220"/>
      <c r="Q892" s="117"/>
      <c r="R892" s="189"/>
      <c r="S892" s="141"/>
      <c r="T892" s="141"/>
      <c r="U892" s="57"/>
      <c r="V892" s="57"/>
      <c r="W892" s="57"/>
      <c r="X892" s="57"/>
      <c r="Y892" s="57"/>
      <c r="Z892" s="57"/>
      <c r="AA892" s="57"/>
      <c r="AB892" s="57"/>
    </row>
    <row r="893">
      <c r="A893" s="185" t="str">
        <f t="shared" si="17"/>
        <v/>
      </c>
      <c r="B893" s="141"/>
      <c r="C893" s="117"/>
      <c r="D893" s="117"/>
      <c r="E893" s="117"/>
      <c r="F893" s="117"/>
      <c r="G893" s="189"/>
      <c r="H893" s="189"/>
      <c r="I893" s="48"/>
      <c r="J893" s="189"/>
      <c r="K893" s="220"/>
      <c r="L893" s="220"/>
      <c r="M893" s="197"/>
      <c r="N893" s="375"/>
      <c r="O893" s="376"/>
      <c r="P893" s="220"/>
      <c r="Q893" s="117"/>
      <c r="R893" s="189"/>
      <c r="S893" s="141"/>
      <c r="T893" s="141"/>
      <c r="U893" s="57"/>
      <c r="V893" s="57"/>
      <c r="W893" s="57"/>
      <c r="X893" s="57"/>
      <c r="Y893" s="57"/>
      <c r="Z893" s="57"/>
      <c r="AA893" s="57"/>
      <c r="AB893" s="57"/>
    </row>
    <row r="894">
      <c r="A894" s="185" t="str">
        <f t="shared" si="17"/>
        <v/>
      </c>
      <c r="B894" s="141"/>
      <c r="C894" s="117"/>
      <c r="D894" s="117"/>
      <c r="E894" s="117"/>
      <c r="F894" s="117"/>
      <c r="G894" s="189"/>
      <c r="H894" s="189"/>
      <c r="I894" s="48"/>
      <c r="J894" s="189"/>
      <c r="K894" s="220"/>
      <c r="L894" s="220"/>
      <c r="M894" s="197"/>
      <c r="N894" s="375"/>
      <c r="O894" s="376"/>
      <c r="P894" s="220"/>
      <c r="Q894" s="117"/>
      <c r="R894" s="189"/>
      <c r="S894" s="141"/>
      <c r="T894" s="141"/>
      <c r="U894" s="57"/>
      <c r="V894" s="57"/>
      <c r="W894" s="57"/>
      <c r="X894" s="57"/>
      <c r="Y894" s="57"/>
      <c r="Z894" s="57"/>
      <c r="AA894" s="57"/>
      <c r="AB894" s="57"/>
    </row>
    <row r="895">
      <c r="A895" s="185" t="str">
        <f t="shared" si="17"/>
        <v/>
      </c>
      <c r="B895" s="141"/>
      <c r="C895" s="117"/>
      <c r="D895" s="117"/>
      <c r="E895" s="117"/>
      <c r="F895" s="117"/>
      <c r="G895" s="189"/>
      <c r="H895" s="189"/>
      <c r="I895" s="48"/>
      <c r="J895" s="189"/>
      <c r="K895" s="220"/>
      <c r="L895" s="220"/>
      <c r="M895" s="197"/>
      <c r="N895" s="375"/>
      <c r="O895" s="376"/>
      <c r="P895" s="220"/>
      <c r="Q895" s="117"/>
      <c r="R895" s="189"/>
      <c r="S895" s="141"/>
      <c r="T895" s="141"/>
      <c r="U895" s="57"/>
      <c r="V895" s="57"/>
      <c r="W895" s="57"/>
      <c r="X895" s="57"/>
      <c r="Y895" s="57"/>
      <c r="Z895" s="57"/>
      <c r="AA895" s="57"/>
      <c r="AB895" s="57"/>
    </row>
    <row r="896">
      <c r="A896" s="185" t="str">
        <f t="shared" si="17"/>
        <v/>
      </c>
      <c r="B896" s="141"/>
      <c r="C896" s="117"/>
      <c r="D896" s="117"/>
      <c r="E896" s="117"/>
      <c r="F896" s="117"/>
      <c r="G896" s="189"/>
      <c r="H896" s="189"/>
      <c r="I896" s="48"/>
      <c r="J896" s="189"/>
      <c r="K896" s="220"/>
      <c r="L896" s="220"/>
      <c r="M896" s="197"/>
      <c r="N896" s="375"/>
      <c r="O896" s="376"/>
      <c r="P896" s="220"/>
      <c r="Q896" s="117"/>
      <c r="R896" s="189"/>
      <c r="S896" s="141"/>
      <c r="T896" s="141"/>
      <c r="U896" s="57"/>
      <c r="V896" s="57"/>
      <c r="W896" s="57"/>
      <c r="X896" s="57"/>
      <c r="Y896" s="57"/>
      <c r="Z896" s="57"/>
      <c r="AA896" s="57"/>
      <c r="AB896" s="57"/>
    </row>
    <row r="897">
      <c r="A897" s="185" t="str">
        <f t="shared" si="17"/>
        <v/>
      </c>
      <c r="B897" s="141"/>
      <c r="C897" s="117"/>
      <c r="D897" s="117"/>
      <c r="E897" s="117"/>
      <c r="F897" s="117"/>
      <c r="G897" s="189"/>
      <c r="H897" s="189"/>
      <c r="I897" s="48"/>
      <c r="J897" s="189"/>
      <c r="K897" s="220"/>
      <c r="L897" s="220"/>
      <c r="M897" s="197"/>
      <c r="N897" s="375"/>
      <c r="O897" s="376"/>
      <c r="P897" s="220"/>
      <c r="Q897" s="117"/>
      <c r="R897" s="189"/>
      <c r="S897" s="141"/>
      <c r="T897" s="141"/>
      <c r="U897" s="57"/>
      <c r="V897" s="57"/>
      <c r="W897" s="57"/>
      <c r="X897" s="57"/>
      <c r="Y897" s="57"/>
      <c r="Z897" s="57"/>
      <c r="AA897" s="57"/>
      <c r="AB897" s="57"/>
    </row>
    <row r="898">
      <c r="A898" s="185" t="str">
        <f t="shared" si="17"/>
        <v/>
      </c>
      <c r="B898" s="141"/>
      <c r="C898" s="117"/>
      <c r="D898" s="117"/>
      <c r="E898" s="117"/>
      <c r="F898" s="117"/>
      <c r="G898" s="189"/>
      <c r="H898" s="189"/>
      <c r="I898" s="48"/>
      <c r="J898" s="189"/>
      <c r="K898" s="220"/>
      <c r="L898" s="220"/>
      <c r="M898" s="197"/>
      <c r="N898" s="375"/>
      <c r="O898" s="376"/>
      <c r="P898" s="220"/>
      <c r="Q898" s="117"/>
      <c r="R898" s="189"/>
      <c r="S898" s="141"/>
      <c r="T898" s="141"/>
      <c r="U898" s="57"/>
      <c r="V898" s="57"/>
      <c r="W898" s="57"/>
      <c r="X898" s="57"/>
      <c r="Y898" s="57"/>
      <c r="Z898" s="57"/>
      <c r="AA898" s="57"/>
      <c r="AB898" s="57"/>
    </row>
    <row r="899">
      <c r="A899" s="185" t="str">
        <f t="shared" si="17"/>
        <v/>
      </c>
      <c r="B899" s="141"/>
      <c r="C899" s="117"/>
      <c r="D899" s="117"/>
      <c r="E899" s="117"/>
      <c r="F899" s="117"/>
      <c r="G899" s="189"/>
      <c r="H899" s="189"/>
      <c r="I899" s="48"/>
      <c r="J899" s="189"/>
      <c r="K899" s="220"/>
      <c r="L899" s="220"/>
      <c r="M899" s="197"/>
      <c r="N899" s="375"/>
      <c r="O899" s="376"/>
      <c r="P899" s="220"/>
      <c r="Q899" s="117"/>
      <c r="R899" s="189"/>
      <c r="S899" s="141"/>
      <c r="T899" s="141"/>
      <c r="U899" s="57"/>
      <c r="V899" s="57"/>
      <c r="W899" s="57"/>
      <c r="X899" s="57"/>
      <c r="Y899" s="57"/>
      <c r="Z899" s="57"/>
      <c r="AA899" s="57"/>
      <c r="AB899" s="57"/>
    </row>
    <row r="900">
      <c r="A900" s="185" t="str">
        <f t="shared" si="17"/>
        <v/>
      </c>
      <c r="B900" s="141"/>
      <c r="C900" s="117"/>
      <c r="D900" s="117"/>
      <c r="E900" s="117"/>
      <c r="F900" s="117"/>
      <c r="G900" s="189"/>
      <c r="H900" s="189"/>
      <c r="I900" s="48"/>
      <c r="J900" s="189"/>
      <c r="K900" s="220"/>
      <c r="L900" s="220"/>
      <c r="M900" s="197"/>
      <c r="N900" s="375"/>
      <c r="O900" s="376"/>
      <c r="P900" s="220"/>
      <c r="Q900" s="117"/>
      <c r="R900" s="189"/>
      <c r="S900" s="141"/>
      <c r="T900" s="141"/>
      <c r="U900" s="57"/>
      <c r="V900" s="57"/>
      <c r="W900" s="57"/>
      <c r="X900" s="57"/>
      <c r="Y900" s="57"/>
      <c r="Z900" s="57"/>
      <c r="AA900" s="57"/>
      <c r="AB900" s="57"/>
    </row>
    <row r="901">
      <c r="A901" s="185" t="str">
        <f t="shared" si="17"/>
        <v/>
      </c>
      <c r="B901" s="141"/>
      <c r="C901" s="117"/>
      <c r="D901" s="117"/>
      <c r="E901" s="117"/>
      <c r="F901" s="117"/>
      <c r="G901" s="189"/>
      <c r="H901" s="189"/>
      <c r="I901" s="48"/>
      <c r="J901" s="189"/>
      <c r="K901" s="220"/>
      <c r="L901" s="220"/>
      <c r="M901" s="197"/>
      <c r="N901" s="375"/>
      <c r="O901" s="376"/>
      <c r="P901" s="220"/>
      <c r="Q901" s="117"/>
      <c r="R901" s="189"/>
      <c r="S901" s="141"/>
      <c r="T901" s="141"/>
      <c r="U901" s="57"/>
      <c r="V901" s="57"/>
      <c r="W901" s="57"/>
      <c r="X901" s="57"/>
      <c r="Y901" s="57"/>
      <c r="Z901" s="57"/>
      <c r="AA901" s="57"/>
      <c r="AB901" s="57"/>
    </row>
    <row r="902">
      <c r="A902" s="185" t="str">
        <f t="shared" si="17"/>
        <v/>
      </c>
      <c r="B902" s="141"/>
      <c r="C902" s="117"/>
      <c r="D902" s="117"/>
      <c r="E902" s="117"/>
      <c r="F902" s="117"/>
      <c r="G902" s="189"/>
      <c r="H902" s="189"/>
      <c r="I902" s="48"/>
      <c r="J902" s="189"/>
      <c r="K902" s="220"/>
      <c r="L902" s="220"/>
      <c r="M902" s="197"/>
      <c r="N902" s="375"/>
      <c r="O902" s="376"/>
      <c r="P902" s="220"/>
      <c r="Q902" s="117"/>
      <c r="R902" s="189"/>
      <c r="S902" s="141"/>
      <c r="T902" s="141"/>
      <c r="U902" s="57"/>
      <c r="V902" s="57"/>
      <c r="W902" s="57"/>
      <c r="X902" s="57"/>
      <c r="Y902" s="57"/>
      <c r="Z902" s="57"/>
      <c r="AA902" s="57"/>
      <c r="AB902" s="57"/>
    </row>
    <row r="903">
      <c r="A903" s="185" t="str">
        <f t="shared" si="17"/>
        <v/>
      </c>
      <c r="B903" s="141"/>
      <c r="C903" s="117"/>
      <c r="D903" s="117"/>
      <c r="E903" s="117"/>
      <c r="F903" s="117"/>
      <c r="G903" s="189"/>
      <c r="H903" s="189"/>
      <c r="I903" s="48"/>
      <c r="J903" s="189"/>
      <c r="K903" s="220"/>
      <c r="L903" s="220"/>
      <c r="M903" s="197"/>
      <c r="N903" s="375"/>
      <c r="O903" s="376"/>
      <c r="P903" s="220"/>
      <c r="Q903" s="117"/>
      <c r="R903" s="189"/>
      <c r="S903" s="141"/>
      <c r="T903" s="141"/>
      <c r="U903" s="57"/>
      <c r="V903" s="57"/>
      <c r="W903" s="57"/>
      <c r="X903" s="57"/>
      <c r="Y903" s="57"/>
      <c r="Z903" s="57"/>
      <c r="AA903" s="57"/>
      <c r="AB903" s="57"/>
    </row>
    <row r="904">
      <c r="A904" s="185" t="str">
        <f t="shared" si="17"/>
        <v/>
      </c>
      <c r="B904" s="141"/>
      <c r="C904" s="117"/>
      <c r="D904" s="117"/>
      <c r="E904" s="117"/>
      <c r="F904" s="117"/>
      <c r="G904" s="189"/>
      <c r="H904" s="189"/>
      <c r="I904" s="48"/>
      <c r="J904" s="189"/>
      <c r="K904" s="220"/>
      <c r="L904" s="220"/>
      <c r="M904" s="197"/>
      <c r="N904" s="375"/>
      <c r="O904" s="376"/>
      <c r="P904" s="220"/>
      <c r="Q904" s="117"/>
      <c r="R904" s="189"/>
      <c r="S904" s="141"/>
      <c r="T904" s="141"/>
      <c r="U904" s="57"/>
      <c r="V904" s="57"/>
      <c r="W904" s="57"/>
      <c r="X904" s="57"/>
      <c r="Y904" s="57"/>
      <c r="Z904" s="57"/>
      <c r="AA904" s="57"/>
      <c r="AB904" s="57"/>
    </row>
    <row r="905">
      <c r="A905" s="185" t="str">
        <f t="shared" si="17"/>
        <v/>
      </c>
      <c r="B905" s="141"/>
      <c r="C905" s="117"/>
      <c r="D905" s="117"/>
      <c r="E905" s="117"/>
      <c r="F905" s="117"/>
      <c r="G905" s="189"/>
      <c r="H905" s="189"/>
      <c r="I905" s="48"/>
      <c r="J905" s="189"/>
      <c r="K905" s="220"/>
      <c r="L905" s="220"/>
      <c r="M905" s="197"/>
      <c r="N905" s="375"/>
      <c r="O905" s="376"/>
      <c r="P905" s="220"/>
      <c r="Q905" s="117"/>
      <c r="R905" s="189"/>
      <c r="S905" s="141"/>
      <c r="T905" s="141"/>
      <c r="U905" s="57"/>
      <c r="V905" s="57"/>
      <c r="W905" s="57"/>
      <c r="X905" s="57"/>
      <c r="Y905" s="57"/>
      <c r="Z905" s="57"/>
      <c r="AA905" s="57"/>
      <c r="AB905" s="57"/>
    </row>
    <row r="906">
      <c r="A906" s="185" t="str">
        <f t="shared" si="17"/>
        <v/>
      </c>
      <c r="B906" s="141"/>
      <c r="C906" s="117"/>
      <c r="D906" s="117"/>
      <c r="E906" s="117"/>
      <c r="F906" s="117"/>
      <c r="G906" s="189"/>
      <c r="H906" s="189"/>
      <c r="I906" s="48"/>
      <c r="J906" s="189"/>
      <c r="K906" s="220"/>
      <c r="L906" s="220"/>
      <c r="M906" s="197"/>
      <c r="N906" s="375"/>
      <c r="O906" s="376"/>
      <c r="P906" s="220"/>
      <c r="Q906" s="117"/>
      <c r="R906" s="189"/>
      <c r="S906" s="141"/>
      <c r="T906" s="141"/>
      <c r="U906" s="57"/>
      <c r="V906" s="57"/>
      <c r="W906" s="57"/>
      <c r="X906" s="57"/>
      <c r="Y906" s="57"/>
      <c r="Z906" s="57"/>
      <c r="AA906" s="57"/>
      <c r="AB906" s="57"/>
    </row>
    <row r="907">
      <c r="A907" s="185" t="str">
        <f t="shared" si="17"/>
        <v/>
      </c>
      <c r="B907" s="141"/>
      <c r="C907" s="117"/>
      <c r="D907" s="117"/>
      <c r="E907" s="117"/>
      <c r="F907" s="117"/>
      <c r="G907" s="189"/>
      <c r="H907" s="189"/>
      <c r="I907" s="48"/>
      <c r="J907" s="189"/>
      <c r="K907" s="220"/>
      <c r="L907" s="220"/>
      <c r="M907" s="197"/>
      <c r="N907" s="375"/>
      <c r="O907" s="376"/>
      <c r="P907" s="220"/>
      <c r="Q907" s="117"/>
      <c r="R907" s="189"/>
      <c r="S907" s="141"/>
      <c r="T907" s="141"/>
      <c r="U907" s="57"/>
      <c r="V907" s="57"/>
      <c r="W907" s="57"/>
      <c r="X907" s="57"/>
      <c r="Y907" s="57"/>
      <c r="Z907" s="57"/>
      <c r="AA907" s="57"/>
      <c r="AB907" s="57"/>
    </row>
    <row r="908">
      <c r="A908" s="185" t="str">
        <f t="shared" si="17"/>
        <v/>
      </c>
      <c r="B908" s="141"/>
      <c r="C908" s="117"/>
      <c r="D908" s="117"/>
      <c r="E908" s="117"/>
      <c r="F908" s="117"/>
      <c r="G908" s="189"/>
      <c r="H908" s="189"/>
      <c r="I908" s="48"/>
      <c r="J908" s="189"/>
      <c r="K908" s="220"/>
      <c r="L908" s="220"/>
      <c r="M908" s="197"/>
      <c r="N908" s="375"/>
      <c r="O908" s="376"/>
      <c r="P908" s="220"/>
      <c r="Q908" s="117"/>
      <c r="R908" s="189"/>
      <c r="S908" s="141"/>
      <c r="T908" s="141"/>
      <c r="U908" s="57"/>
      <c r="V908" s="57"/>
      <c r="W908" s="57"/>
      <c r="X908" s="57"/>
      <c r="Y908" s="57"/>
      <c r="Z908" s="57"/>
      <c r="AA908" s="57"/>
      <c r="AB908" s="57"/>
    </row>
    <row r="909">
      <c r="A909" s="185" t="str">
        <f t="shared" si="17"/>
        <v/>
      </c>
      <c r="B909" s="141"/>
      <c r="C909" s="117"/>
      <c r="D909" s="117"/>
      <c r="E909" s="117"/>
      <c r="F909" s="117"/>
      <c r="G909" s="189"/>
      <c r="H909" s="189"/>
      <c r="I909" s="48"/>
      <c r="J909" s="189"/>
      <c r="K909" s="220"/>
      <c r="L909" s="220"/>
      <c r="M909" s="197"/>
      <c r="N909" s="375"/>
      <c r="O909" s="376"/>
      <c r="P909" s="220"/>
      <c r="Q909" s="117"/>
      <c r="R909" s="189"/>
      <c r="S909" s="141"/>
      <c r="T909" s="141"/>
      <c r="U909" s="57"/>
      <c r="V909" s="57"/>
      <c r="W909" s="57"/>
      <c r="X909" s="57"/>
      <c r="Y909" s="57"/>
      <c r="Z909" s="57"/>
      <c r="AA909" s="57"/>
      <c r="AB909" s="57"/>
    </row>
    <row r="910">
      <c r="A910" s="185" t="str">
        <f t="shared" si="17"/>
        <v/>
      </c>
      <c r="B910" s="141"/>
      <c r="C910" s="117"/>
      <c r="D910" s="117"/>
      <c r="E910" s="117"/>
      <c r="F910" s="117"/>
      <c r="G910" s="189"/>
      <c r="H910" s="189"/>
      <c r="I910" s="48"/>
      <c r="J910" s="189"/>
      <c r="K910" s="220"/>
      <c r="L910" s="220"/>
      <c r="M910" s="197"/>
      <c r="N910" s="375"/>
      <c r="O910" s="376"/>
      <c r="P910" s="220"/>
      <c r="Q910" s="117"/>
      <c r="R910" s="189"/>
      <c r="S910" s="141"/>
      <c r="T910" s="141"/>
      <c r="U910" s="57"/>
      <c r="V910" s="57"/>
      <c r="W910" s="57"/>
      <c r="X910" s="57"/>
      <c r="Y910" s="57"/>
      <c r="Z910" s="57"/>
      <c r="AA910" s="57"/>
      <c r="AB910" s="57"/>
    </row>
    <row r="911">
      <c r="A911" s="185" t="str">
        <f t="shared" si="17"/>
        <v/>
      </c>
      <c r="B911" s="141"/>
      <c r="C911" s="117"/>
      <c r="D911" s="117"/>
      <c r="E911" s="117"/>
      <c r="F911" s="117"/>
      <c r="G911" s="189"/>
      <c r="H911" s="189"/>
      <c r="I911" s="48"/>
      <c r="J911" s="189"/>
      <c r="K911" s="220"/>
      <c r="L911" s="220"/>
      <c r="M911" s="197"/>
      <c r="N911" s="375"/>
      <c r="O911" s="376"/>
      <c r="P911" s="220"/>
      <c r="Q911" s="117"/>
      <c r="R911" s="189"/>
      <c r="S911" s="141"/>
      <c r="T911" s="141"/>
      <c r="U911" s="57"/>
      <c r="V911" s="57"/>
      <c r="W911" s="57"/>
      <c r="X911" s="57"/>
      <c r="Y911" s="57"/>
      <c r="Z911" s="57"/>
      <c r="AA911" s="57"/>
      <c r="AB911" s="57"/>
    </row>
    <row r="912">
      <c r="A912" s="185" t="str">
        <f t="shared" si="17"/>
        <v/>
      </c>
      <c r="B912" s="141"/>
      <c r="C912" s="117"/>
      <c r="D912" s="117"/>
      <c r="E912" s="117"/>
      <c r="F912" s="117"/>
      <c r="G912" s="189"/>
      <c r="H912" s="189"/>
      <c r="I912" s="48"/>
      <c r="J912" s="189"/>
      <c r="K912" s="220"/>
      <c r="L912" s="220"/>
      <c r="M912" s="197"/>
      <c r="N912" s="375"/>
      <c r="O912" s="376"/>
      <c r="P912" s="220"/>
      <c r="Q912" s="117"/>
      <c r="R912" s="189"/>
      <c r="S912" s="141"/>
      <c r="T912" s="141"/>
      <c r="U912" s="57"/>
      <c r="V912" s="57"/>
      <c r="W912" s="57"/>
      <c r="X912" s="57"/>
      <c r="Y912" s="57"/>
      <c r="Z912" s="57"/>
      <c r="AA912" s="57"/>
      <c r="AB912" s="57"/>
    </row>
    <row r="913">
      <c r="A913" s="185" t="str">
        <f t="shared" si="17"/>
        <v/>
      </c>
      <c r="B913" s="141"/>
      <c r="C913" s="117"/>
      <c r="D913" s="117"/>
      <c r="E913" s="117"/>
      <c r="F913" s="117"/>
      <c r="G913" s="189"/>
      <c r="H913" s="189"/>
      <c r="I913" s="48"/>
      <c r="J913" s="189"/>
      <c r="K913" s="220"/>
      <c r="L913" s="220"/>
      <c r="M913" s="197"/>
      <c r="N913" s="375"/>
      <c r="O913" s="376"/>
      <c r="P913" s="220"/>
      <c r="Q913" s="117"/>
      <c r="R913" s="189"/>
      <c r="S913" s="141"/>
      <c r="T913" s="141"/>
      <c r="U913" s="57"/>
      <c r="V913" s="57"/>
      <c r="W913" s="57"/>
      <c r="X913" s="57"/>
      <c r="Y913" s="57"/>
      <c r="Z913" s="57"/>
      <c r="AA913" s="57"/>
      <c r="AB913" s="57"/>
    </row>
    <row r="914">
      <c r="A914" s="185" t="str">
        <f t="shared" si="17"/>
        <v/>
      </c>
      <c r="B914" s="141"/>
      <c r="C914" s="117"/>
      <c r="D914" s="117"/>
      <c r="E914" s="117"/>
      <c r="F914" s="117"/>
      <c r="G914" s="189"/>
      <c r="H914" s="189"/>
      <c r="I914" s="48"/>
      <c r="J914" s="189"/>
      <c r="K914" s="220"/>
      <c r="L914" s="220"/>
      <c r="M914" s="197"/>
      <c r="N914" s="375"/>
      <c r="O914" s="376"/>
      <c r="P914" s="220"/>
      <c r="Q914" s="117"/>
      <c r="R914" s="189"/>
      <c r="S914" s="141"/>
      <c r="T914" s="141"/>
      <c r="U914" s="57"/>
      <c r="V914" s="57"/>
      <c r="W914" s="57"/>
      <c r="X914" s="57"/>
      <c r="Y914" s="57"/>
      <c r="Z914" s="57"/>
      <c r="AA914" s="57"/>
      <c r="AB914" s="57"/>
    </row>
    <row r="915">
      <c r="A915" s="185" t="str">
        <f t="shared" si="17"/>
        <v/>
      </c>
      <c r="B915" s="141"/>
      <c r="C915" s="117"/>
      <c r="D915" s="117"/>
      <c r="E915" s="117"/>
      <c r="F915" s="117"/>
      <c r="G915" s="189"/>
      <c r="H915" s="189"/>
      <c r="I915" s="48"/>
      <c r="J915" s="189"/>
      <c r="K915" s="220"/>
      <c r="L915" s="220"/>
      <c r="M915" s="197"/>
      <c r="N915" s="375"/>
      <c r="O915" s="376"/>
      <c r="P915" s="220"/>
      <c r="Q915" s="117"/>
      <c r="R915" s="189"/>
      <c r="S915" s="141"/>
      <c r="T915" s="141"/>
      <c r="U915" s="57"/>
      <c r="V915" s="57"/>
      <c r="W915" s="57"/>
      <c r="X915" s="57"/>
      <c r="Y915" s="57"/>
      <c r="Z915" s="57"/>
      <c r="AA915" s="57"/>
      <c r="AB915" s="57"/>
    </row>
    <row r="916">
      <c r="A916" s="185" t="str">
        <f t="shared" si="17"/>
        <v/>
      </c>
      <c r="B916" s="141"/>
      <c r="C916" s="117"/>
      <c r="D916" s="117"/>
      <c r="E916" s="117"/>
      <c r="F916" s="117"/>
      <c r="G916" s="189"/>
      <c r="H916" s="189"/>
      <c r="I916" s="48"/>
      <c r="J916" s="189"/>
      <c r="K916" s="220"/>
      <c r="L916" s="220"/>
      <c r="M916" s="197"/>
      <c r="N916" s="375"/>
      <c r="O916" s="376"/>
      <c r="P916" s="220"/>
      <c r="Q916" s="117"/>
      <c r="R916" s="189"/>
      <c r="S916" s="141"/>
      <c r="T916" s="141"/>
      <c r="U916" s="57"/>
      <c r="V916" s="57"/>
      <c r="W916" s="57"/>
      <c r="X916" s="57"/>
      <c r="Y916" s="57"/>
      <c r="Z916" s="57"/>
      <c r="AA916" s="57"/>
      <c r="AB916" s="57"/>
    </row>
    <row r="917">
      <c r="A917" s="185" t="str">
        <f t="shared" si="17"/>
        <v/>
      </c>
      <c r="B917" s="141"/>
      <c r="C917" s="117"/>
      <c r="D917" s="117"/>
      <c r="E917" s="117"/>
      <c r="F917" s="117"/>
      <c r="G917" s="189"/>
      <c r="H917" s="189"/>
      <c r="I917" s="48"/>
      <c r="J917" s="189"/>
      <c r="K917" s="220"/>
      <c r="L917" s="220"/>
      <c r="M917" s="197"/>
      <c r="N917" s="375"/>
      <c r="O917" s="376"/>
      <c r="P917" s="220"/>
      <c r="Q917" s="117"/>
      <c r="R917" s="189"/>
      <c r="S917" s="141"/>
      <c r="T917" s="141"/>
      <c r="U917" s="57"/>
      <c r="V917" s="57"/>
      <c r="W917" s="57"/>
      <c r="X917" s="57"/>
      <c r="Y917" s="57"/>
      <c r="Z917" s="57"/>
      <c r="AA917" s="57"/>
      <c r="AB917" s="57"/>
    </row>
    <row r="918">
      <c r="A918" s="185" t="str">
        <f t="shared" si="17"/>
        <v/>
      </c>
      <c r="B918" s="141"/>
      <c r="C918" s="117"/>
      <c r="D918" s="117"/>
      <c r="E918" s="117"/>
      <c r="F918" s="117"/>
      <c r="G918" s="189"/>
      <c r="H918" s="189"/>
      <c r="I918" s="48"/>
      <c r="J918" s="189"/>
      <c r="K918" s="220"/>
      <c r="L918" s="220"/>
      <c r="M918" s="197"/>
      <c r="N918" s="375"/>
      <c r="O918" s="376"/>
      <c r="P918" s="220"/>
      <c r="Q918" s="117"/>
      <c r="R918" s="189"/>
      <c r="S918" s="141"/>
      <c r="T918" s="141"/>
      <c r="U918" s="57"/>
      <c r="V918" s="57"/>
      <c r="W918" s="57"/>
      <c r="X918" s="57"/>
      <c r="Y918" s="57"/>
      <c r="Z918" s="57"/>
      <c r="AA918" s="57"/>
      <c r="AB918" s="57"/>
    </row>
    <row r="919">
      <c r="A919" s="185" t="str">
        <f t="shared" si="17"/>
        <v/>
      </c>
      <c r="B919" s="141"/>
      <c r="C919" s="117"/>
      <c r="D919" s="117"/>
      <c r="E919" s="117"/>
      <c r="F919" s="117"/>
      <c r="G919" s="189"/>
      <c r="H919" s="189"/>
      <c r="I919" s="48"/>
      <c r="J919" s="189"/>
      <c r="K919" s="220"/>
      <c r="L919" s="220"/>
      <c r="M919" s="197"/>
      <c r="N919" s="375"/>
      <c r="O919" s="376"/>
      <c r="P919" s="220"/>
      <c r="Q919" s="117"/>
      <c r="R919" s="189"/>
      <c r="S919" s="141"/>
      <c r="T919" s="141"/>
      <c r="U919" s="57"/>
      <c r="V919" s="57"/>
      <c r="W919" s="57"/>
      <c r="X919" s="57"/>
      <c r="Y919" s="57"/>
      <c r="Z919" s="57"/>
      <c r="AA919" s="57"/>
      <c r="AB919" s="57"/>
    </row>
    <row r="920">
      <c r="A920" s="185" t="str">
        <f t="shared" si="17"/>
        <v/>
      </c>
      <c r="B920" s="141"/>
      <c r="C920" s="117"/>
      <c r="D920" s="117"/>
      <c r="E920" s="117"/>
      <c r="F920" s="117"/>
      <c r="G920" s="189"/>
      <c r="H920" s="189"/>
      <c r="I920" s="48"/>
      <c r="J920" s="189"/>
      <c r="K920" s="220"/>
      <c r="L920" s="220"/>
      <c r="M920" s="197"/>
      <c r="N920" s="375"/>
      <c r="O920" s="376"/>
      <c r="P920" s="220"/>
      <c r="Q920" s="117"/>
      <c r="R920" s="189"/>
      <c r="S920" s="141"/>
      <c r="T920" s="141"/>
      <c r="U920" s="57"/>
      <c r="V920" s="57"/>
      <c r="W920" s="57"/>
      <c r="X920" s="57"/>
      <c r="Y920" s="57"/>
      <c r="Z920" s="57"/>
      <c r="AA920" s="57"/>
      <c r="AB920" s="57"/>
    </row>
    <row r="921">
      <c r="A921" s="185" t="str">
        <f t="shared" si="17"/>
        <v/>
      </c>
      <c r="B921" s="141"/>
      <c r="C921" s="117"/>
      <c r="D921" s="117"/>
      <c r="E921" s="117"/>
      <c r="F921" s="117"/>
      <c r="G921" s="189"/>
      <c r="H921" s="189"/>
      <c r="I921" s="48"/>
      <c r="J921" s="189"/>
      <c r="K921" s="220"/>
      <c r="L921" s="220"/>
      <c r="M921" s="197"/>
      <c r="N921" s="375"/>
      <c r="O921" s="376"/>
      <c r="P921" s="220"/>
      <c r="Q921" s="117"/>
      <c r="R921" s="189"/>
      <c r="S921" s="141"/>
      <c r="T921" s="141"/>
      <c r="U921" s="57"/>
      <c r="V921" s="57"/>
      <c r="W921" s="57"/>
      <c r="X921" s="57"/>
      <c r="Y921" s="57"/>
      <c r="Z921" s="57"/>
      <c r="AA921" s="57"/>
      <c r="AB921" s="57"/>
    </row>
    <row r="922">
      <c r="A922" s="185" t="str">
        <f t="shared" si="17"/>
        <v/>
      </c>
      <c r="B922" s="141"/>
      <c r="C922" s="117"/>
      <c r="D922" s="117"/>
      <c r="E922" s="117"/>
      <c r="F922" s="117"/>
      <c r="G922" s="189"/>
      <c r="H922" s="189"/>
      <c r="I922" s="48"/>
      <c r="J922" s="189"/>
      <c r="K922" s="220"/>
      <c r="L922" s="220"/>
      <c r="M922" s="197"/>
      <c r="N922" s="375"/>
      <c r="O922" s="376"/>
      <c r="P922" s="220"/>
      <c r="Q922" s="117"/>
      <c r="R922" s="189"/>
      <c r="S922" s="141"/>
      <c r="T922" s="141"/>
      <c r="U922" s="57"/>
      <c r="V922" s="57"/>
      <c r="W922" s="57"/>
      <c r="X922" s="57"/>
      <c r="Y922" s="57"/>
      <c r="Z922" s="57"/>
      <c r="AA922" s="57"/>
      <c r="AB922" s="57"/>
    </row>
    <row r="923">
      <c r="A923" s="185" t="str">
        <f t="shared" si="17"/>
        <v/>
      </c>
      <c r="B923" s="141"/>
      <c r="C923" s="117"/>
      <c r="D923" s="117"/>
      <c r="E923" s="117"/>
      <c r="F923" s="117"/>
      <c r="G923" s="189"/>
      <c r="H923" s="189"/>
      <c r="I923" s="48"/>
      <c r="J923" s="189"/>
      <c r="K923" s="220"/>
      <c r="L923" s="220"/>
      <c r="M923" s="197"/>
      <c r="N923" s="375"/>
      <c r="O923" s="376"/>
      <c r="P923" s="220"/>
      <c r="Q923" s="117"/>
      <c r="R923" s="189"/>
      <c r="S923" s="141"/>
      <c r="T923" s="141"/>
      <c r="U923" s="57"/>
      <c r="V923" s="57"/>
      <c r="W923" s="57"/>
      <c r="X923" s="57"/>
      <c r="Y923" s="57"/>
      <c r="Z923" s="57"/>
      <c r="AA923" s="57"/>
      <c r="AB923" s="57"/>
    </row>
    <row r="924">
      <c r="A924" s="185" t="str">
        <f t="shared" si="17"/>
        <v/>
      </c>
      <c r="B924" s="141"/>
      <c r="C924" s="117"/>
      <c r="D924" s="117"/>
      <c r="E924" s="117"/>
      <c r="F924" s="117"/>
      <c r="G924" s="189"/>
      <c r="H924" s="189"/>
      <c r="I924" s="48"/>
      <c r="J924" s="189"/>
      <c r="K924" s="220"/>
      <c r="L924" s="220"/>
      <c r="M924" s="197"/>
      <c r="N924" s="375"/>
      <c r="O924" s="376"/>
      <c r="P924" s="220"/>
      <c r="Q924" s="117"/>
      <c r="R924" s="189"/>
      <c r="S924" s="141"/>
      <c r="T924" s="141"/>
      <c r="U924" s="57"/>
      <c r="V924" s="57"/>
      <c r="W924" s="57"/>
      <c r="X924" s="57"/>
      <c r="Y924" s="57"/>
      <c r="Z924" s="57"/>
      <c r="AA924" s="57"/>
      <c r="AB924" s="57"/>
    </row>
    <row r="925">
      <c r="A925" s="185" t="str">
        <f t="shared" si="17"/>
        <v/>
      </c>
      <c r="B925" s="141"/>
      <c r="C925" s="117"/>
      <c r="D925" s="117"/>
      <c r="E925" s="117"/>
      <c r="F925" s="117"/>
      <c r="G925" s="189"/>
      <c r="H925" s="189"/>
      <c r="I925" s="48"/>
      <c r="J925" s="189"/>
      <c r="K925" s="220"/>
      <c r="L925" s="220"/>
      <c r="M925" s="197"/>
      <c r="N925" s="375"/>
      <c r="O925" s="376"/>
      <c r="P925" s="220"/>
      <c r="Q925" s="117"/>
      <c r="R925" s="189"/>
      <c r="S925" s="141"/>
      <c r="T925" s="141"/>
      <c r="U925" s="57"/>
      <c r="V925" s="57"/>
      <c r="W925" s="57"/>
      <c r="X925" s="57"/>
      <c r="Y925" s="57"/>
      <c r="Z925" s="57"/>
      <c r="AA925" s="57"/>
      <c r="AB925" s="57"/>
    </row>
    <row r="926">
      <c r="A926" s="185" t="str">
        <f t="shared" si="17"/>
        <v/>
      </c>
      <c r="B926" s="141"/>
      <c r="C926" s="117"/>
      <c r="D926" s="117"/>
      <c r="E926" s="117"/>
      <c r="F926" s="117"/>
      <c r="G926" s="189"/>
      <c r="H926" s="189"/>
      <c r="I926" s="48"/>
      <c r="J926" s="189"/>
      <c r="K926" s="220"/>
      <c r="L926" s="220"/>
      <c r="M926" s="197"/>
      <c r="N926" s="375"/>
      <c r="O926" s="376"/>
      <c r="P926" s="220"/>
      <c r="Q926" s="117"/>
      <c r="R926" s="189"/>
      <c r="S926" s="141"/>
      <c r="T926" s="141"/>
      <c r="U926" s="57"/>
      <c r="V926" s="57"/>
      <c r="W926" s="57"/>
      <c r="X926" s="57"/>
      <c r="Y926" s="57"/>
      <c r="Z926" s="57"/>
      <c r="AA926" s="57"/>
      <c r="AB926" s="57"/>
    </row>
    <row r="927">
      <c r="A927" s="185" t="str">
        <f t="shared" si="17"/>
        <v/>
      </c>
      <c r="B927" s="141"/>
      <c r="C927" s="117"/>
      <c r="D927" s="117"/>
      <c r="E927" s="117"/>
      <c r="F927" s="117"/>
      <c r="G927" s="189"/>
      <c r="H927" s="189"/>
      <c r="I927" s="48"/>
      <c r="J927" s="189"/>
      <c r="K927" s="220"/>
      <c r="L927" s="220"/>
      <c r="M927" s="197"/>
      <c r="N927" s="375"/>
      <c r="O927" s="376"/>
      <c r="P927" s="220"/>
      <c r="Q927" s="117"/>
      <c r="R927" s="189"/>
      <c r="S927" s="141"/>
      <c r="T927" s="141"/>
      <c r="U927" s="57"/>
      <c r="V927" s="57"/>
      <c r="W927" s="57"/>
      <c r="X927" s="57"/>
      <c r="Y927" s="57"/>
      <c r="Z927" s="57"/>
      <c r="AA927" s="57"/>
      <c r="AB927" s="57"/>
    </row>
    <row r="928">
      <c r="A928" s="185" t="str">
        <f t="shared" si="17"/>
        <v/>
      </c>
      <c r="B928" s="141"/>
      <c r="C928" s="117"/>
      <c r="D928" s="117"/>
      <c r="E928" s="117"/>
      <c r="F928" s="117"/>
      <c r="G928" s="189"/>
      <c r="H928" s="189"/>
      <c r="I928" s="48"/>
      <c r="J928" s="189"/>
      <c r="K928" s="220"/>
      <c r="L928" s="220"/>
      <c r="M928" s="197"/>
      <c r="N928" s="375"/>
      <c r="O928" s="376"/>
      <c r="P928" s="220"/>
      <c r="Q928" s="117"/>
      <c r="R928" s="189"/>
      <c r="S928" s="141"/>
      <c r="T928" s="141"/>
      <c r="U928" s="57"/>
      <c r="V928" s="57"/>
      <c r="W928" s="57"/>
      <c r="X928" s="57"/>
      <c r="Y928" s="57"/>
      <c r="Z928" s="57"/>
      <c r="AA928" s="57"/>
      <c r="AB928" s="57"/>
    </row>
    <row r="929">
      <c r="A929" s="185" t="str">
        <f t="shared" si="17"/>
        <v/>
      </c>
      <c r="B929" s="141"/>
      <c r="C929" s="117"/>
      <c r="D929" s="117"/>
      <c r="E929" s="117"/>
      <c r="F929" s="117"/>
      <c r="G929" s="189"/>
      <c r="H929" s="189"/>
      <c r="I929" s="48"/>
      <c r="J929" s="189"/>
      <c r="K929" s="220"/>
      <c r="L929" s="220"/>
      <c r="M929" s="197"/>
      <c r="N929" s="375"/>
      <c r="O929" s="376"/>
      <c r="P929" s="220"/>
      <c r="Q929" s="117"/>
      <c r="R929" s="189"/>
      <c r="S929" s="141"/>
      <c r="T929" s="141"/>
      <c r="U929" s="57"/>
      <c r="V929" s="57"/>
      <c r="W929" s="57"/>
      <c r="X929" s="57"/>
      <c r="Y929" s="57"/>
      <c r="Z929" s="57"/>
      <c r="AA929" s="57"/>
      <c r="AB929" s="57"/>
    </row>
    <row r="930">
      <c r="A930" s="185" t="str">
        <f t="shared" si="17"/>
        <v/>
      </c>
      <c r="B930" s="141"/>
      <c r="C930" s="117"/>
      <c r="D930" s="117"/>
      <c r="E930" s="117"/>
      <c r="F930" s="117"/>
      <c r="G930" s="189"/>
      <c r="H930" s="189"/>
      <c r="I930" s="48"/>
      <c r="J930" s="189"/>
      <c r="K930" s="220"/>
      <c r="L930" s="220"/>
      <c r="M930" s="197"/>
      <c r="N930" s="375"/>
      <c r="O930" s="376"/>
      <c r="P930" s="220"/>
      <c r="Q930" s="117"/>
      <c r="R930" s="189"/>
      <c r="S930" s="141"/>
      <c r="T930" s="141"/>
      <c r="U930" s="57"/>
      <c r="V930" s="57"/>
      <c r="W930" s="57"/>
      <c r="X930" s="57"/>
      <c r="Y930" s="57"/>
      <c r="Z930" s="57"/>
      <c r="AA930" s="57"/>
      <c r="AB930" s="57"/>
    </row>
    <row r="931">
      <c r="A931" s="185" t="str">
        <f t="shared" si="17"/>
        <v/>
      </c>
      <c r="B931" s="141"/>
      <c r="C931" s="117"/>
      <c r="D931" s="117"/>
      <c r="E931" s="117"/>
      <c r="F931" s="117"/>
      <c r="G931" s="189"/>
      <c r="H931" s="189"/>
      <c r="I931" s="48"/>
      <c r="J931" s="189"/>
      <c r="K931" s="220"/>
      <c r="L931" s="220"/>
      <c r="M931" s="197"/>
      <c r="N931" s="375"/>
      <c r="O931" s="376"/>
      <c r="P931" s="220"/>
      <c r="Q931" s="117"/>
      <c r="R931" s="189"/>
      <c r="S931" s="141"/>
      <c r="T931" s="141"/>
      <c r="U931" s="57"/>
      <c r="V931" s="57"/>
      <c r="W931" s="57"/>
      <c r="X931" s="57"/>
      <c r="Y931" s="57"/>
      <c r="Z931" s="57"/>
      <c r="AA931" s="57"/>
      <c r="AB931" s="57"/>
    </row>
    <row r="932">
      <c r="A932" s="185" t="str">
        <f t="shared" si="17"/>
        <v/>
      </c>
      <c r="B932" s="141"/>
      <c r="C932" s="117"/>
      <c r="D932" s="117"/>
      <c r="E932" s="117"/>
      <c r="F932" s="117"/>
      <c r="G932" s="189"/>
      <c r="H932" s="189"/>
      <c r="I932" s="48"/>
      <c r="J932" s="189"/>
      <c r="K932" s="220"/>
      <c r="L932" s="220"/>
      <c r="M932" s="197"/>
      <c r="N932" s="375"/>
      <c r="O932" s="376"/>
      <c r="P932" s="220"/>
      <c r="Q932" s="117"/>
      <c r="R932" s="189"/>
      <c r="S932" s="141"/>
      <c r="T932" s="141"/>
      <c r="U932" s="57"/>
      <c r="V932" s="57"/>
      <c r="W932" s="57"/>
      <c r="X932" s="57"/>
      <c r="Y932" s="57"/>
      <c r="Z932" s="57"/>
      <c r="AA932" s="57"/>
      <c r="AB932" s="57"/>
    </row>
    <row r="933">
      <c r="A933" s="185" t="str">
        <f t="shared" si="17"/>
        <v/>
      </c>
      <c r="B933" s="141"/>
      <c r="C933" s="117"/>
      <c r="D933" s="117"/>
      <c r="E933" s="117"/>
      <c r="F933" s="117"/>
      <c r="G933" s="189"/>
      <c r="H933" s="189"/>
      <c r="I933" s="48"/>
      <c r="J933" s="189"/>
      <c r="K933" s="220"/>
      <c r="L933" s="220"/>
      <c r="M933" s="197"/>
      <c r="N933" s="375"/>
      <c r="O933" s="376"/>
      <c r="P933" s="220"/>
      <c r="Q933" s="117"/>
      <c r="R933" s="189"/>
      <c r="S933" s="141"/>
      <c r="T933" s="141"/>
      <c r="U933" s="57"/>
      <c r="V933" s="57"/>
      <c r="W933" s="57"/>
      <c r="X933" s="57"/>
      <c r="Y933" s="57"/>
      <c r="Z933" s="57"/>
      <c r="AA933" s="57"/>
      <c r="AB933" s="57"/>
    </row>
    <row r="934">
      <c r="A934" s="185" t="str">
        <f t="shared" si="17"/>
        <v/>
      </c>
      <c r="B934" s="141"/>
      <c r="C934" s="117"/>
      <c r="D934" s="117"/>
      <c r="E934" s="117"/>
      <c r="F934" s="117"/>
      <c r="G934" s="189"/>
      <c r="H934" s="189"/>
      <c r="I934" s="48"/>
      <c r="J934" s="189"/>
      <c r="K934" s="220"/>
      <c r="L934" s="220"/>
      <c r="M934" s="197"/>
      <c r="N934" s="375"/>
      <c r="O934" s="376"/>
      <c r="P934" s="220"/>
      <c r="Q934" s="117"/>
      <c r="R934" s="189"/>
      <c r="S934" s="141"/>
      <c r="T934" s="141"/>
      <c r="U934" s="57"/>
      <c r="V934" s="57"/>
      <c r="W934" s="57"/>
      <c r="X934" s="57"/>
      <c r="Y934" s="57"/>
      <c r="Z934" s="57"/>
      <c r="AA934" s="57"/>
      <c r="AB934" s="57"/>
    </row>
    <row r="935">
      <c r="A935" s="185" t="str">
        <f t="shared" si="17"/>
        <v/>
      </c>
      <c r="B935" s="141"/>
      <c r="C935" s="117"/>
      <c r="D935" s="117"/>
      <c r="E935" s="117"/>
      <c r="F935" s="117"/>
      <c r="G935" s="189"/>
      <c r="H935" s="189"/>
      <c r="I935" s="48"/>
      <c r="J935" s="189"/>
      <c r="K935" s="220"/>
      <c r="L935" s="220"/>
      <c r="M935" s="197"/>
      <c r="N935" s="375"/>
      <c r="O935" s="376"/>
      <c r="P935" s="220"/>
      <c r="Q935" s="117"/>
      <c r="R935" s="189"/>
      <c r="S935" s="141"/>
      <c r="T935" s="141"/>
      <c r="U935" s="57"/>
      <c r="V935" s="57"/>
      <c r="W935" s="57"/>
      <c r="X935" s="57"/>
      <c r="Y935" s="57"/>
      <c r="Z935" s="57"/>
      <c r="AA935" s="57"/>
      <c r="AB935" s="57"/>
    </row>
    <row r="936">
      <c r="A936" s="185" t="str">
        <f t="shared" si="17"/>
        <v/>
      </c>
      <c r="B936" s="141"/>
      <c r="C936" s="117"/>
      <c r="D936" s="117"/>
      <c r="E936" s="117"/>
      <c r="F936" s="117"/>
      <c r="G936" s="189"/>
      <c r="H936" s="189"/>
      <c r="I936" s="48"/>
      <c r="J936" s="189"/>
      <c r="K936" s="220"/>
      <c r="L936" s="220"/>
      <c r="M936" s="197"/>
      <c r="N936" s="375"/>
      <c r="O936" s="376"/>
      <c r="P936" s="220"/>
      <c r="Q936" s="117"/>
      <c r="R936" s="189"/>
      <c r="S936" s="141"/>
      <c r="T936" s="141"/>
      <c r="U936" s="57"/>
      <c r="V936" s="57"/>
      <c r="W936" s="57"/>
      <c r="X936" s="57"/>
      <c r="Y936" s="57"/>
      <c r="Z936" s="57"/>
      <c r="AA936" s="57"/>
      <c r="AB936" s="57"/>
    </row>
    <row r="937">
      <c r="A937" s="185" t="str">
        <f t="shared" si="17"/>
        <v/>
      </c>
      <c r="B937" s="141"/>
      <c r="C937" s="117"/>
      <c r="D937" s="117"/>
      <c r="E937" s="117"/>
      <c r="F937" s="117"/>
      <c r="G937" s="189"/>
      <c r="H937" s="189"/>
      <c r="I937" s="48"/>
      <c r="J937" s="189"/>
      <c r="K937" s="220"/>
      <c r="L937" s="220"/>
      <c r="M937" s="197"/>
      <c r="N937" s="375"/>
      <c r="O937" s="376"/>
      <c r="P937" s="220"/>
      <c r="Q937" s="117"/>
      <c r="R937" s="189"/>
      <c r="S937" s="141"/>
      <c r="T937" s="141"/>
      <c r="U937" s="57"/>
      <c r="V937" s="57"/>
      <c r="W937" s="57"/>
      <c r="X937" s="57"/>
      <c r="Y937" s="57"/>
      <c r="Z937" s="57"/>
      <c r="AA937" s="57"/>
      <c r="AB937" s="57"/>
    </row>
    <row r="938">
      <c r="A938" s="185" t="str">
        <f t="shared" si="17"/>
        <v/>
      </c>
      <c r="B938" s="141"/>
      <c r="C938" s="117"/>
      <c r="D938" s="117"/>
      <c r="E938" s="117"/>
      <c r="F938" s="117"/>
      <c r="G938" s="189"/>
      <c r="H938" s="189"/>
      <c r="I938" s="48"/>
      <c r="J938" s="189"/>
      <c r="K938" s="220"/>
      <c r="L938" s="220"/>
      <c r="M938" s="197"/>
      <c r="N938" s="375"/>
      <c r="O938" s="376"/>
      <c r="P938" s="220"/>
      <c r="Q938" s="117"/>
      <c r="R938" s="189"/>
      <c r="S938" s="141"/>
      <c r="T938" s="141"/>
      <c r="U938" s="57"/>
      <c r="V938" s="57"/>
      <c r="W938" s="57"/>
      <c r="X938" s="57"/>
      <c r="Y938" s="57"/>
      <c r="Z938" s="57"/>
      <c r="AA938" s="57"/>
      <c r="AB938" s="57"/>
    </row>
    <row r="939">
      <c r="A939" s="185" t="str">
        <f t="shared" si="17"/>
        <v/>
      </c>
      <c r="B939" s="141"/>
      <c r="C939" s="117"/>
      <c r="D939" s="117"/>
      <c r="E939" s="117"/>
      <c r="F939" s="117"/>
      <c r="G939" s="189"/>
      <c r="H939" s="189"/>
      <c r="I939" s="48"/>
      <c r="J939" s="189"/>
      <c r="K939" s="220"/>
      <c r="L939" s="220"/>
      <c r="M939" s="197"/>
      <c r="N939" s="375"/>
      <c r="O939" s="376"/>
      <c r="P939" s="220"/>
      <c r="Q939" s="117"/>
      <c r="R939" s="189"/>
      <c r="S939" s="141"/>
      <c r="T939" s="141"/>
      <c r="U939" s="57"/>
      <c r="V939" s="57"/>
      <c r="W939" s="57"/>
      <c r="X939" s="57"/>
      <c r="Y939" s="57"/>
      <c r="Z939" s="57"/>
      <c r="AA939" s="57"/>
      <c r="AB939" s="57"/>
    </row>
    <row r="940">
      <c r="A940" s="185" t="str">
        <f t="shared" si="17"/>
        <v/>
      </c>
      <c r="B940" s="141"/>
      <c r="C940" s="117"/>
      <c r="D940" s="117"/>
      <c r="E940" s="117"/>
      <c r="F940" s="117"/>
      <c r="G940" s="189"/>
      <c r="H940" s="189"/>
      <c r="I940" s="48"/>
      <c r="J940" s="189"/>
      <c r="K940" s="220"/>
      <c r="L940" s="220"/>
      <c r="M940" s="197"/>
      <c r="N940" s="375"/>
      <c r="O940" s="376"/>
      <c r="P940" s="220"/>
      <c r="Q940" s="117"/>
      <c r="R940" s="189"/>
      <c r="S940" s="141"/>
      <c r="T940" s="141"/>
      <c r="U940" s="57"/>
      <c r="V940" s="57"/>
      <c r="W940" s="57"/>
      <c r="X940" s="57"/>
      <c r="Y940" s="57"/>
      <c r="Z940" s="57"/>
      <c r="AA940" s="57"/>
      <c r="AB940" s="57"/>
    </row>
    <row r="941">
      <c r="A941" s="185" t="str">
        <f t="shared" si="17"/>
        <v/>
      </c>
      <c r="B941" s="141"/>
      <c r="C941" s="117"/>
      <c r="D941" s="117"/>
      <c r="E941" s="117"/>
      <c r="F941" s="117"/>
      <c r="G941" s="189"/>
      <c r="H941" s="189"/>
      <c r="I941" s="48"/>
      <c r="J941" s="189"/>
      <c r="K941" s="220"/>
      <c r="L941" s="220"/>
      <c r="M941" s="197"/>
      <c r="N941" s="375"/>
      <c r="O941" s="376"/>
      <c r="P941" s="220"/>
      <c r="Q941" s="117"/>
      <c r="R941" s="189"/>
      <c r="S941" s="141"/>
      <c r="T941" s="141"/>
      <c r="U941" s="57"/>
      <c r="V941" s="57"/>
      <c r="W941" s="57"/>
      <c r="X941" s="57"/>
      <c r="Y941" s="57"/>
      <c r="Z941" s="57"/>
      <c r="AA941" s="57"/>
      <c r="AB941" s="57"/>
    </row>
    <row r="942">
      <c r="A942" s="185" t="str">
        <f t="shared" si="17"/>
        <v/>
      </c>
      <c r="B942" s="141"/>
      <c r="C942" s="117"/>
      <c r="D942" s="117"/>
      <c r="E942" s="117"/>
      <c r="F942" s="117"/>
      <c r="G942" s="189"/>
      <c r="H942" s="189"/>
      <c r="I942" s="48"/>
      <c r="J942" s="189"/>
      <c r="K942" s="220"/>
      <c r="L942" s="220"/>
      <c r="M942" s="197"/>
      <c r="N942" s="375"/>
      <c r="O942" s="376"/>
      <c r="P942" s="220"/>
      <c r="Q942" s="117"/>
      <c r="R942" s="189"/>
      <c r="S942" s="141"/>
      <c r="T942" s="141"/>
      <c r="U942" s="57"/>
      <c r="V942" s="57"/>
      <c r="W942" s="57"/>
      <c r="X942" s="57"/>
      <c r="Y942" s="57"/>
      <c r="Z942" s="57"/>
      <c r="AA942" s="57"/>
      <c r="AB942" s="57"/>
    </row>
    <row r="943">
      <c r="A943" s="185" t="str">
        <f t="shared" si="17"/>
        <v/>
      </c>
      <c r="B943" s="141"/>
      <c r="C943" s="117"/>
      <c r="D943" s="117"/>
      <c r="E943" s="117"/>
      <c r="F943" s="117"/>
      <c r="G943" s="189"/>
      <c r="H943" s="189"/>
      <c r="I943" s="48"/>
      <c r="J943" s="189"/>
      <c r="K943" s="220"/>
      <c r="L943" s="220"/>
      <c r="M943" s="197"/>
      <c r="N943" s="375"/>
      <c r="O943" s="376"/>
      <c r="P943" s="220"/>
      <c r="Q943" s="117"/>
      <c r="R943" s="189"/>
      <c r="S943" s="141"/>
      <c r="T943" s="141"/>
      <c r="U943" s="57"/>
      <c r="V943" s="57"/>
      <c r="W943" s="57"/>
      <c r="X943" s="57"/>
      <c r="Y943" s="57"/>
      <c r="Z943" s="57"/>
      <c r="AA943" s="57"/>
      <c r="AB943" s="57"/>
    </row>
    <row r="944">
      <c r="A944" s="185" t="str">
        <f t="shared" si="17"/>
        <v/>
      </c>
      <c r="B944" s="141"/>
      <c r="C944" s="117"/>
      <c r="D944" s="117"/>
      <c r="E944" s="117"/>
      <c r="F944" s="117"/>
      <c r="G944" s="189"/>
      <c r="H944" s="189"/>
      <c r="I944" s="48"/>
      <c r="J944" s="189"/>
      <c r="K944" s="220"/>
      <c r="L944" s="220"/>
      <c r="M944" s="197"/>
      <c r="N944" s="375"/>
      <c r="O944" s="376"/>
      <c r="P944" s="220"/>
      <c r="Q944" s="117"/>
      <c r="R944" s="189"/>
      <c r="S944" s="141"/>
      <c r="T944" s="141"/>
      <c r="U944" s="57"/>
      <c r="V944" s="57"/>
      <c r="W944" s="57"/>
      <c r="X944" s="57"/>
      <c r="Y944" s="57"/>
      <c r="Z944" s="57"/>
      <c r="AA944" s="57"/>
      <c r="AB944" s="57"/>
    </row>
    <row r="945">
      <c r="A945" s="185" t="str">
        <f t="shared" si="17"/>
        <v/>
      </c>
      <c r="B945" s="141"/>
      <c r="C945" s="117"/>
      <c r="D945" s="117"/>
      <c r="E945" s="117"/>
      <c r="F945" s="117"/>
      <c r="G945" s="189"/>
      <c r="H945" s="189"/>
      <c r="I945" s="48"/>
      <c r="J945" s="189"/>
      <c r="K945" s="220"/>
      <c r="L945" s="220"/>
      <c r="M945" s="197"/>
      <c r="N945" s="375"/>
      <c r="O945" s="376"/>
      <c r="P945" s="220"/>
      <c r="Q945" s="117"/>
      <c r="R945" s="189"/>
      <c r="S945" s="141"/>
      <c r="T945" s="141"/>
      <c r="U945" s="57"/>
      <c r="V945" s="57"/>
      <c r="W945" s="57"/>
      <c r="X945" s="57"/>
      <c r="Y945" s="57"/>
      <c r="Z945" s="57"/>
      <c r="AA945" s="57"/>
      <c r="AB945" s="57"/>
    </row>
    <row r="946">
      <c r="A946" s="185" t="str">
        <f t="shared" si="17"/>
        <v/>
      </c>
      <c r="B946" s="141"/>
      <c r="C946" s="117"/>
      <c r="D946" s="117"/>
      <c r="E946" s="117"/>
      <c r="F946" s="117"/>
      <c r="G946" s="189"/>
      <c r="H946" s="189"/>
      <c r="I946" s="48"/>
      <c r="J946" s="189"/>
      <c r="K946" s="220"/>
      <c r="L946" s="220"/>
      <c r="M946" s="197"/>
      <c r="N946" s="375"/>
      <c r="O946" s="376"/>
      <c r="P946" s="220"/>
      <c r="Q946" s="117"/>
      <c r="R946" s="189"/>
      <c r="S946" s="141"/>
      <c r="T946" s="141"/>
      <c r="U946" s="57"/>
      <c r="V946" s="57"/>
      <c r="W946" s="57"/>
      <c r="X946" s="57"/>
      <c r="Y946" s="57"/>
      <c r="Z946" s="57"/>
      <c r="AA946" s="57"/>
      <c r="AB946" s="57"/>
    </row>
    <row r="947">
      <c r="A947" s="185" t="str">
        <f t="shared" si="17"/>
        <v/>
      </c>
      <c r="B947" s="141"/>
      <c r="C947" s="117"/>
      <c r="D947" s="117"/>
      <c r="E947" s="117"/>
      <c r="F947" s="117"/>
      <c r="G947" s="189"/>
      <c r="H947" s="189"/>
      <c r="I947" s="48"/>
      <c r="J947" s="189"/>
      <c r="K947" s="220"/>
      <c r="L947" s="220"/>
      <c r="M947" s="197"/>
      <c r="N947" s="375"/>
      <c r="O947" s="376"/>
      <c r="P947" s="220"/>
      <c r="Q947" s="117"/>
      <c r="R947" s="189"/>
      <c r="S947" s="141"/>
      <c r="T947" s="141"/>
      <c r="U947" s="57"/>
      <c r="V947" s="57"/>
      <c r="W947" s="57"/>
      <c r="X947" s="57"/>
      <c r="Y947" s="57"/>
      <c r="Z947" s="57"/>
      <c r="AA947" s="57"/>
      <c r="AB947" s="57"/>
    </row>
    <row r="948">
      <c r="A948" s="185" t="str">
        <f t="shared" si="17"/>
        <v/>
      </c>
      <c r="B948" s="141"/>
      <c r="C948" s="117"/>
      <c r="D948" s="117"/>
      <c r="E948" s="117"/>
      <c r="F948" s="117"/>
      <c r="G948" s="189"/>
      <c r="H948" s="189"/>
      <c r="I948" s="48"/>
      <c r="J948" s="189"/>
      <c r="K948" s="220"/>
      <c r="L948" s="220"/>
      <c r="M948" s="197"/>
      <c r="N948" s="375"/>
      <c r="O948" s="376"/>
      <c r="P948" s="220"/>
      <c r="Q948" s="117"/>
      <c r="R948" s="189"/>
      <c r="S948" s="141"/>
      <c r="T948" s="141"/>
      <c r="U948" s="57"/>
      <c r="V948" s="57"/>
      <c r="W948" s="57"/>
      <c r="X948" s="57"/>
      <c r="Y948" s="57"/>
      <c r="Z948" s="57"/>
      <c r="AA948" s="57"/>
      <c r="AB948" s="57"/>
    </row>
    <row r="949">
      <c r="A949" s="185" t="str">
        <f t="shared" si="17"/>
        <v/>
      </c>
      <c r="B949" s="141"/>
      <c r="C949" s="117"/>
      <c r="D949" s="117"/>
      <c r="E949" s="117"/>
      <c r="F949" s="117"/>
      <c r="G949" s="189"/>
      <c r="H949" s="189"/>
      <c r="I949" s="48"/>
      <c r="J949" s="189"/>
      <c r="K949" s="220"/>
      <c r="L949" s="220"/>
      <c r="M949" s="197"/>
      <c r="N949" s="375"/>
      <c r="O949" s="376"/>
      <c r="P949" s="220"/>
      <c r="Q949" s="117"/>
      <c r="R949" s="189"/>
      <c r="S949" s="141"/>
      <c r="T949" s="141"/>
      <c r="U949" s="57"/>
      <c r="V949" s="57"/>
      <c r="W949" s="57"/>
      <c r="X949" s="57"/>
      <c r="Y949" s="57"/>
      <c r="Z949" s="57"/>
      <c r="AA949" s="57"/>
      <c r="AB949" s="57"/>
    </row>
    <row r="950">
      <c r="A950" s="185" t="str">
        <f t="shared" si="17"/>
        <v/>
      </c>
      <c r="B950" s="141"/>
      <c r="C950" s="117"/>
      <c r="D950" s="117"/>
      <c r="E950" s="117"/>
      <c r="F950" s="117"/>
      <c r="G950" s="189"/>
      <c r="H950" s="189"/>
      <c r="I950" s="48"/>
      <c r="J950" s="189"/>
      <c r="K950" s="220"/>
      <c r="L950" s="220"/>
      <c r="M950" s="197"/>
      <c r="N950" s="375"/>
      <c r="O950" s="376"/>
      <c r="P950" s="220"/>
      <c r="Q950" s="117"/>
      <c r="R950" s="189"/>
      <c r="S950" s="141"/>
      <c r="T950" s="141"/>
      <c r="U950" s="57"/>
      <c r="V950" s="57"/>
      <c r="W950" s="57"/>
      <c r="X950" s="57"/>
      <c r="Y950" s="57"/>
      <c r="Z950" s="57"/>
      <c r="AA950" s="57"/>
      <c r="AB950" s="57"/>
    </row>
    <row r="951">
      <c r="A951" s="185" t="str">
        <f t="shared" si="17"/>
        <v/>
      </c>
      <c r="B951" s="141"/>
      <c r="C951" s="117"/>
      <c r="D951" s="117"/>
      <c r="E951" s="117"/>
      <c r="F951" s="117"/>
      <c r="G951" s="189"/>
      <c r="H951" s="189"/>
      <c r="I951" s="48"/>
      <c r="J951" s="189"/>
      <c r="K951" s="220"/>
      <c r="L951" s="220"/>
      <c r="M951" s="197"/>
      <c r="N951" s="375"/>
      <c r="O951" s="376"/>
      <c r="P951" s="220"/>
      <c r="Q951" s="117"/>
      <c r="R951" s="189"/>
      <c r="S951" s="141"/>
      <c r="T951" s="141"/>
      <c r="U951" s="57"/>
      <c r="V951" s="57"/>
      <c r="W951" s="57"/>
      <c r="X951" s="57"/>
      <c r="Y951" s="57"/>
      <c r="Z951" s="57"/>
      <c r="AA951" s="57"/>
      <c r="AB951" s="57"/>
    </row>
    <row r="952">
      <c r="A952" s="185" t="str">
        <f t="shared" si="17"/>
        <v/>
      </c>
      <c r="B952" s="141"/>
      <c r="C952" s="117"/>
      <c r="D952" s="117"/>
      <c r="E952" s="117"/>
      <c r="F952" s="117"/>
      <c r="G952" s="189"/>
      <c r="H952" s="189"/>
      <c r="I952" s="48"/>
      <c r="J952" s="189"/>
      <c r="K952" s="220"/>
      <c r="L952" s="220"/>
      <c r="M952" s="197"/>
      <c r="N952" s="375"/>
      <c r="O952" s="376"/>
      <c r="P952" s="220"/>
      <c r="Q952" s="117"/>
      <c r="R952" s="189"/>
      <c r="S952" s="141"/>
      <c r="T952" s="141"/>
      <c r="U952" s="57"/>
      <c r="V952" s="57"/>
      <c r="W952" s="57"/>
      <c r="X952" s="57"/>
      <c r="Y952" s="57"/>
      <c r="Z952" s="57"/>
      <c r="AA952" s="57"/>
      <c r="AB952" s="57"/>
    </row>
    <row r="953">
      <c r="A953" s="185" t="str">
        <f t="shared" si="17"/>
        <v/>
      </c>
      <c r="B953" s="141"/>
      <c r="C953" s="117"/>
      <c r="D953" s="117"/>
      <c r="E953" s="117"/>
      <c r="F953" s="117"/>
      <c r="G953" s="189"/>
      <c r="H953" s="189"/>
      <c r="I953" s="48"/>
      <c r="J953" s="189"/>
      <c r="K953" s="220"/>
      <c r="L953" s="220"/>
      <c r="M953" s="197"/>
      <c r="N953" s="375"/>
      <c r="O953" s="376"/>
      <c r="P953" s="220"/>
      <c r="Q953" s="117"/>
      <c r="R953" s="189"/>
      <c r="S953" s="141"/>
      <c r="T953" s="141"/>
      <c r="U953" s="57"/>
      <c r="V953" s="57"/>
      <c r="W953" s="57"/>
      <c r="X953" s="57"/>
      <c r="Y953" s="57"/>
      <c r="Z953" s="57"/>
      <c r="AA953" s="57"/>
      <c r="AB953" s="57"/>
    </row>
    <row r="954">
      <c r="A954" s="185" t="str">
        <f t="shared" si="17"/>
        <v/>
      </c>
      <c r="B954" s="141"/>
      <c r="C954" s="117"/>
      <c r="D954" s="117"/>
      <c r="E954" s="117"/>
      <c r="F954" s="117"/>
      <c r="G954" s="189"/>
      <c r="H954" s="189"/>
      <c r="I954" s="48"/>
      <c r="J954" s="189"/>
      <c r="K954" s="220"/>
      <c r="L954" s="220"/>
      <c r="M954" s="197"/>
      <c r="N954" s="375"/>
      <c r="O954" s="376"/>
      <c r="P954" s="220"/>
      <c r="Q954" s="117"/>
      <c r="R954" s="189"/>
      <c r="S954" s="141"/>
      <c r="T954" s="141"/>
      <c r="U954" s="57"/>
      <c r="V954" s="57"/>
      <c r="W954" s="57"/>
      <c r="X954" s="57"/>
      <c r="Y954" s="57"/>
      <c r="Z954" s="57"/>
      <c r="AA954" s="57"/>
      <c r="AB954" s="57"/>
    </row>
    <row r="955">
      <c r="A955" s="185" t="str">
        <f t="shared" si="17"/>
        <v/>
      </c>
      <c r="B955" s="141"/>
      <c r="C955" s="117"/>
      <c r="D955" s="117"/>
      <c r="E955" s="117"/>
      <c r="F955" s="117"/>
      <c r="G955" s="189"/>
      <c r="H955" s="189"/>
      <c r="I955" s="48"/>
      <c r="J955" s="189"/>
      <c r="K955" s="220"/>
      <c r="L955" s="220"/>
      <c r="M955" s="197"/>
      <c r="N955" s="375"/>
      <c r="O955" s="376"/>
      <c r="P955" s="220"/>
      <c r="Q955" s="117"/>
      <c r="R955" s="189"/>
      <c r="S955" s="141"/>
      <c r="T955" s="141"/>
      <c r="U955" s="57"/>
      <c r="V955" s="57"/>
      <c r="W955" s="57"/>
      <c r="X955" s="57"/>
      <c r="Y955" s="57"/>
      <c r="Z955" s="57"/>
      <c r="AA955" s="57"/>
      <c r="AB955" s="57"/>
    </row>
    <row r="956">
      <c r="A956" s="185" t="str">
        <f t="shared" si="17"/>
        <v/>
      </c>
      <c r="B956" s="141"/>
      <c r="C956" s="117"/>
      <c r="D956" s="117"/>
      <c r="E956" s="117"/>
      <c r="F956" s="117"/>
      <c r="G956" s="189"/>
      <c r="H956" s="189"/>
      <c r="I956" s="48"/>
      <c r="J956" s="189"/>
      <c r="K956" s="220"/>
      <c r="L956" s="220"/>
      <c r="M956" s="197"/>
      <c r="N956" s="375"/>
      <c r="O956" s="376"/>
      <c r="P956" s="220"/>
      <c r="Q956" s="117"/>
      <c r="R956" s="189"/>
      <c r="S956" s="141"/>
      <c r="T956" s="141"/>
      <c r="U956" s="57"/>
      <c r="V956" s="57"/>
      <c r="W956" s="57"/>
      <c r="X956" s="57"/>
      <c r="Y956" s="57"/>
      <c r="Z956" s="57"/>
      <c r="AA956" s="57"/>
      <c r="AB956" s="57"/>
    </row>
    <row r="957">
      <c r="A957" s="185" t="str">
        <f t="shared" si="17"/>
        <v/>
      </c>
      <c r="B957" s="141"/>
      <c r="C957" s="117"/>
      <c r="D957" s="117"/>
      <c r="E957" s="117"/>
      <c r="F957" s="117"/>
      <c r="G957" s="189"/>
      <c r="H957" s="189"/>
      <c r="I957" s="48"/>
      <c r="J957" s="189"/>
      <c r="K957" s="220"/>
      <c r="L957" s="220"/>
      <c r="M957" s="197"/>
      <c r="N957" s="375"/>
      <c r="O957" s="376"/>
      <c r="P957" s="220"/>
      <c r="Q957" s="117"/>
      <c r="R957" s="189"/>
      <c r="S957" s="141"/>
      <c r="T957" s="141"/>
      <c r="U957" s="57"/>
      <c r="V957" s="57"/>
      <c r="W957" s="57"/>
      <c r="X957" s="57"/>
      <c r="Y957" s="57"/>
      <c r="Z957" s="57"/>
      <c r="AA957" s="57"/>
      <c r="AB957" s="57"/>
    </row>
    <row r="958">
      <c r="A958" s="185" t="str">
        <f t="shared" si="17"/>
        <v/>
      </c>
      <c r="B958" s="141"/>
      <c r="C958" s="117"/>
      <c r="D958" s="117"/>
      <c r="E958" s="117"/>
      <c r="F958" s="117"/>
      <c r="G958" s="189"/>
      <c r="H958" s="189"/>
      <c r="I958" s="48"/>
      <c r="J958" s="189"/>
      <c r="K958" s="220"/>
      <c r="L958" s="220"/>
      <c r="M958" s="197"/>
      <c r="N958" s="375"/>
      <c r="O958" s="376"/>
      <c r="P958" s="220"/>
      <c r="Q958" s="117"/>
      <c r="R958" s="189"/>
      <c r="S958" s="141"/>
      <c r="T958" s="141"/>
      <c r="U958" s="57"/>
      <c r="V958" s="57"/>
      <c r="W958" s="57"/>
      <c r="X958" s="57"/>
      <c r="Y958" s="57"/>
      <c r="Z958" s="57"/>
      <c r="AA958" s="57"/>
      <c r="AB958" s="57"/>
    </row>
    <row r="959">
      <c r="A959" s="185" t="str">
        <f t="shared" si="17"/>
        <v/>
      </c>
      <c r="B959" s="141"/>
      <c r="C959" s="117"/>
      <c r="D959" s="117"/>
      <c r="E959" s="117"/>
      <c r="F959" s="117"/>
      <c r="G959" s="189"/>
      <c r="H959" s="189"/>
      <c r="I959" s="48"/>
      <c r="J959" s="189"/>
      <c r="K959" s="220"/>
      <c r="L959" s="220"/>
      <c r="M959" s="197"/>
      <c r="N959" s="375"/>
      <c r="O959" s="376"/>
      <c r="P959" s="220"/>
      <c r="Q959" s="117"/>
      <c r="R959" s="189"/>
      <c r="S959" s="141"/>
      <c r="T959" s="141"/>
      <c r="U959" s="57"/>
      <c r="V959" s="57"/>
      <c r="W959" s="57"/>
      <c r="X959" s="57"/>
      <c r="Y959" s="57"/>
      <c r="Z959" s="57"/>
      <c r="AA959" s="57"/>
      <c r="AB959" s="57"/>
    </row>
    <row r="960">
      <c r="A960" s="185" t="str">
        <f t="shared" si="17"/>
        <v/>
      </c>
      <c r="B960" s="141"/>
      <c r="C960" s="117"/>
      <c r="D960" s="117"/>
      <c r="E960" s="117"/>
      <c r="F960" s="117"/>
      <c r="G960" s="189"/>
      <c r="H960" s="189"/>
      <c r="I960" s="48"/>
      <c r="J960" s="189"/>
      <c r="K960" s="220"/>
      <c r="L960" s="220"/>
      <c r="M960" s="197"/>
      <c r="N960" s="375"/>
      <c r="O960" s="376"/>
      <c r="P960" s="220"/>
      <c r="Q960" s="117"/>
      <c r="R960" s="189"/>
      <c r="S960" s="141"/>
      <c r="T960" s="141"/>
      <c r="U960" s="57"/>
      <c r="V960" s="57"/>
      <c r="W960" s="57"/>
      <c r="X960" s="57"/>
      <c r="Y960" s="57"/>
      <c r="Z960" s="57"/>
      <c r="AA960" s="57"/>
      <c r="AB960" s="57"/>
    </row>
    <row r="961">
      <c r="A961" s="185" t="str">
        <f t="shared" si="17"/>
        <v/>
      </c>
      <c r="B961" s="141"/>
      <c r="C961" s="117"/>
      <c r="D961" s="117"/>
      <c r="E961" s="117"/>
      <c r="F961" s="117"/>
      <c r="G961" s="189"/>
      <c r="H961" s="189"/>
      <c r="I961" s="48"/>
      <c r="J961" s="189"/>
      <c r="K961" s="220"/>
      <c r="L961" s="220"/>
      <c r="M961" s="197"/>
      <c r="N961" s="375"/>
      <c r="O961" s="376"/>
      <c r="P961" s="220"/>
      <c r="Q961" s="117"/>
      <c r="R961" s="189"/>
      <c r="S961" s="141"/>
      <c r="T961" s="141"/>
      <c r="U961" s="57"/>
      <c r="V961" s="57"/>
      <c r="W961" s="57"/>
      <c r="X961" s="57"/>
      <c r="Y961" s="57"/>
      <c r="Z961" s="57"/>
      <c r="AA961" s="57"/>
      <c r="AB961" s="57"/>
    </row>
    <row r="962">
      <c r="A962" s="185" t="str">
        <f t="shared" si="17"/>
        <v/>
      </c>
      <c r="B962" s="141"/>
      <c r="C962" s="117"/>
      <c r="D962" s="117"/>
      <c r="E962" s="117"/>
      <c r="F962" s="117"/>
      <c r="G962" s="189"/>
      <c r="H962" s="189"/>
      <c r="I962" s="48"/>
      <c r="J962" s="189"/>
      <c r="K962" s="220"/>
      <c r="L962" s="220"/>
      <c r="M962" s="197"/>
      <c r="N962" s="375"/>
      <c r="O962" s="376"/>
      <c r="P962" s="220"/>
      <c r="Q962" s="117"/>
      <c r="R962" s="189"/>
      <c r="S962" s="141"/>
      <c r="T962" s="141"/>
      <c r="U962" s="57"/>
      <c r="V962" s="57"/>
      <c r="W962" s="57"/>
      <c r="X962" s="57"/>
      <c r="Y962" s="57"/>
      <c r="Z962" s="57"/>
      <c r="AA962" s="57"/>
      <c r="AB962" s="57"/>
    </row>
    <row r="963">
      <c r="A963" s="185" t="str">
        <f t="shared" si="17"/>
        <v/>
      </c>
      <c r="B963" s="141"/>
      <c r="C963" s="117"/>
      <c r="D963" s="117"/>
      <c r="E963" s="117"/>
      <c r="F963" s="117"/>
      <c r="G963" s="189"/>
      <c r="H963" s="189"/>
      <c r="I963" s="48"/>
      <c r="J963" s="189"/>
      <c r="K963" s="220"/>
      <c r="L963" s="220"/>
      <c r="M963" s="197"/>
      <c r="N963" s="375"/>
      <c r="O963" s="376"/>
      <c r="P963" s="220"/>
      <c r="Q963" s="117"/>
      <c r="R963" s="189"/>
      <c r="S963" s="141"/>
      <c r="T963" s="141"/>
      <c r="U963" s="57"/>
      <c r="V963" s="57"/>
      <c r="W963" s="57"/>
      <c r="X963" s="57"/>
      <c r="Y963" s="57"/>
      <c r="Z963" s="57"/>
      <c r="AA963" s="57"/>
      <c r="AB963" s="57"/>
    </row>
    <row r="964">
      <c r="A964" s="185" t="str">
        <f t="shared" si="17"/>
        <v/>
      </c>
      <c r="B964" s="141"/>
      <c r="C964" s="117"/>
      <c r="D964" s="117"/>
      <c r="E964" s="117"/>
      <c r="F964" s="117"/>
      <c r="G964" s="189"/>
      <c r="H964" s="189"/>
      <c r="I964" s="48"/>
      <c r="J964" s="189"/>
      <c r="K964" s="220"/>
      <c r="L964" s="220"/>
      <c r="M964" s="197"/>
      <c r="N964" s="375"/>
      <c r="O964" s="376"/>
      <c r="P964" s="220"/>
      <c r="Q964" s="117"/>
      <c r="R964" s="189"/>
      <c r="S964" s="141"/>
      <c r="T964" s="141"/>
      <c r="U964" s="57"/>
      <c r="V964" s="57"/>
      <c r="W964" s="57"/>
      <c r="X964" s="57"/>
      <c r="Y964" s="57"/>
      <c r="Z964" s="57"/>
      <c r="AA964" s="57"/>
      <c r="AB964" s="57"/>
    </row>
    <row r="965">
      <c r="A965" s="185" t="str">
        <f t="shared" si="17"/>
        <v/>
      </c>
      <c r="B965" s="141"/>
      <c r="C965" s="117"/>
      <c r="D965" s="117"/>
      <c r="E965" s="117"/>
      <c r="F965" s="117"/>
      <c r="G965" s="189"/>
      <c r="H965" s="189"/>
      <c r="I965" s="48"/>
      <c r="J965" s="189"/>
      <c r="K965" s="220"/>
      <c r="L965" s="220"/>
      <c r="M965" s="197"/>
      <c r="N965" s="375"/>
      <c r="O965" s="376"/>
      <c r="P965" s="220"/>
      <c r="Q965" s="117"/>
      <c r="R965" s="189"/>
      <c r="S965" s="141"/>
      <c r="T965" s="141"/>
      <c r="U965" s="57"/>
      <c r="V965" s="57"/>
      <c r="W965" s="57"/>
      <c r="X965" s="57"/>
      <c r="Y965" s="57"/>
      <c r="Z965" s="57"/>
      <c r="AA965" s="57"/>
      <c r="AB965" s="57"/>
    </row>
    <row r="966">
      <c r="A966" s="185" t="str">
        <f t="shared" si="17"/>
        <v/>
      </c>
      <c r="B966" s="141"/>
      <c r="C966" s="117"/>
      <c r="D966" s="117"/>
      <c r="E966" s="117"/>
      <c r="F966" s="117"/>
      <c r="G966" s="189"/>
      <c r="H966" s="189"/>
      <c r="I966" s="48"/>
      <c r="J966" s="189"/>
      <c r="K966" s="220"/>
      <c r="L966" s="220"/>
      <c r="M966" s="197"/>
      <c r="N966" s="375"/>
      <c r="O966" s="376"/>
      <c r="P966" s="220"/>
      <c r="Q966" s="117"/>
      <c r="R966" s="189"/>
      <c r="S966" s="141"/>
      <c r="T966" s="141"/>
      <c r="U966" s="57"/>
      <c r="V966" s="57"/>
      <c r="W966" s="57"/>
      <c r="X966" s="57"/>
      <c r="Y966" s="57"/>
      <c r="Z966" s="57"/>
      <c r="AA966" s="57"/>
      <c r="AB966" s="57"/>
    </row>
    <row r="967">
      <c r="A967" s="185" t="str">
        <f t="shared" si="17"/>
        <v/>
      </c>
      <c r="B967" s="141"/>
      <c r="C967" s="117"/>
      <c r="D967" s="117"/>
      <c r="E967" s="117"/>
      <c r="F967" s="117"/>
      <c r="G967" s="189"/>
      <c r="H967" s="189"/>
      <c r="I967" s="48"/>
      <c r="J967" s="189"/>
      <c r="K967" s="220"/>
      <c r="L967" s="220"/>
      <c r="M967" s="197"/>
      <c r="N967" s="375"/>
      <c r="O967" s="376"/>
      <c r="P967" s="220"/>
      <c r="Q967" s="117"/>
      <c r="R967" s="189"/>
      <c r="S967" s="141"/>
      <c r="T967" s="141"/>
      <c r="U967" s="57"/>
      <c r="V967" s="57"/>
      <c r="W967" s="57"/>
      <c r="X967" s="57"/>
      <c r="Y967" s="57"/>
      <c r="Z967" s="57"/>
      <c r="AA967" s="57"/>
      <c r="AB967" s="57"/>
    </row>
    <row r="968">
      <c r="A968" s="185" t="str">
        <f t="shared" si="17"/>
        <v/>
      </c>
      <c r="B968" s="141"/>
      <c r="C968" s="117"/>
      <c r="D968" s="117"/>
      <c r="E968" s="117"/>
      <c r="F968" s="117"/>
      <c r="G968" s="189"/>
      <c r="H968" s="189"/>
      <c r="I968" s="48"/>
      <c r="J968" s="189"/>
      <c r="K968" s="220"/>
      <c r="L968" s="220"/>
      <c r="M968" s="197"/>
      <c r="N968" s="375"/>
      <c r="O968" s="376"/>
      <c r="P968" s="220"/>
      <c r="Q968" s="117"/>
      <c r="R968" s="189"/>
      <c r="S968" s="141"/>
      <c r="T968" s="141"/>
      <c r="U968" s="57"/>
      <c r="V968" s="57"/>
      <c r="W968" s="57"/>
      <c r="X968" s="57"/>
      <c r="Y968" s="57"/>
      <c r="Z968" s="57"/>
      <c r="AA968" s="57"/>
      <c r="AB968" s="57"/>
    </row>
    <row r="969">
      <c r="A969" s="185" t="str">
        <f t="shared" si="17"/>
        <v/>
      </c>
      <c r="B969" s="141"/>
      <c r="C969" s="117"/>
      <c r="D969" s="117"/>
      <c r="E969" s="117"/>
      <c r="F969" s="117"/>
      <c r="G969" s="189"/>
      <c r="H969" s="189"/>
      <c r="I969" s="48"/>
      <c r="J969" s="189"/>
      <c r="K969" s="220"/>
      <c r="L969" s="220"/>
      <c r="M969" s="197"/>
      <c r="N969" s="375"/>
      <c r="O969" s="376"/>
      <c r="P969" s="220"/>
      <c r="Q969" s="117"/>
      <c r="R969" s="189"/>
      <c r="S969" s="141"/>
      <c r="T969" s="141"/>
      <c r="U969" s="57"/>
      <c r="V969" s="57"/>
      <c r="W969" s="57"/>
      <c r="X969" s="57"/>
      <c r="Y969" s="57"/>
      <c r="Z969" s="57"/>
      <c r="AA969" s="57"/>
      <c r="AB969" s="57"/>
    </row>
    <row r="970">
      <c r="A970" s="185" t="str">
        <f t="shared" si="17"/>
        <v/>
      </c>
      <c r="B970" s="141"/>
      <c r="C970" s="117"/>
      <c r="D970" s="117"/>
      <c r="E970" s="117"/>
      <c r="F970" s="117"/>
      <c r="G970" s="189"/>
      <c r="H970" s="189"/>
      <c r="I970" s="48"/>
      <c r="J970" s="189"/>
      <c r="K970" s="220"/>
      <c r="L970" s="220"/>
      <c r="M970" s="197"/>
      <c r="N970" s="375"/>
      <c r="O970" s="376"/>
      <c r="P970" s="220"/>
      <c r="Q970" s="117"/>
      <c r="R970" s="189"/>
      <c r="S970" s="141"/>
      <c r="T970" s="141"/>
      <c r="U970" s="57"/>
      <c r="V970" s="57"/>
      <c r="W970" s="57"/>
      <c r="X970" s="57"/>
      <c r="Y970" s="57"/>
      <c r="Z970" s="57"/>
      <c r="AA970" s="57"/>
      <c r="AB970" s="57"/>
    </row>
    <row r="971">
      <c r="A971" s="185" t="str">
        <f t="shared" si="17"/>
        <v/>
      </c>
      <c r="B971" s="141"/>
      <c r="C971" s="117"/>
      <c r="D971" s="117"/>
      <c r="E971" s="117"/>
      <c r="F971" s="117"/>
      <c r="G971" s="189"/>
      <c r="H971" s="189"/>
      <c r="I971" s="48"/>
      <c r="J971" s="189"/>
      <c r="K971" s="220"/>
      <c r="L971" s="220"/>
      <c r="M971" s="197"/>
      <c r="N971" s="375"/>
      <c r="O971" s="376"/>
      <c r="P971" s="220"/>
      <c r="Q971" s="117"/>
      <c r="R971" s="189"/>
      <c r="S971" s="141"/>
      <c r="T971" s="141"/>
      <c r="U971" s="57"/>
      <c r="V971" s="57"/>
      <c r="W971" s="57"/>
      <c r="X971" s="57"/>
      <c r="Y971" s="57"/>
      <c r="Z971" s="57"/>
      <c r="AA971" s="57"/>
      <c r="AB971" s="57"/>
    </row>
    <row r="972">
      <c r="A972" s="185" t="str">
        <f t="shared" si="17"/>
        <v/>
      </c>
      <c r="B972" s="141"/>
      <c r="C972" s="117"/>
      <c r="D972" s="117"/>
      <c r="E972" s="117"/>
      <c r="F972" s="117"/>
      <c r="G972" s="189"/>
      <c r="H972" s="189"/>
      <c r="I972" s="48"/>
      <c r="J972" s="189"/>
      <c r="K972" s="220"/>
      <c r="L972" s="220"/>
      <c r="M972" s="197"/>
      <c r="N972" s="375"/>
      <c r="O972" s="376"/>
      <c r="P972" s="220"/>
      <c r="Q972" s="117"/>
      <c r="R972" s="189"/>
      <c r="S972" s="141"/>
      <c r="T972" s="141"/>
      <c r="U972" s="57"/>
      <c r="V972" s="57"/>
      <c r="W972" s="57"/>
      <c r="X972" s="57"/>
      <c r="Y972" s="57"/>
      <c r="Z972" s="57"/>
      <c r="AA972" s="57"/>
      <c r="AB972" s="57"/>
    </row>
    <row r="973">
      <c r="A973" s="185" t="str">
        <f t="shared" si="17"/>
        <v/>
      </c>
      <c r="B973" s="141"/>
      <c r="C973" s="117"/>
      <c r="D973" s="117"/>
      <c r="E973" s="117"/>
      <c r="F973" s="117"/>
      <c r="G973" s="189"/>
      <c r="H973" s="189"/>
      <c r="I973" s="48"/>
      <c r="J973" s="189"/>
      <c r="K973" s="220"/>
      <c r="L973" s="220"/>
      <c r="M973" s="197"/>
      <c r="N973" s="375"/>
      <c r="O973" s="376"/>
      <c r="P973" s="220"/>
      <c r="Q973" s="117"/>
      <c r="R973" s="189"/>
      <c r="S973" s="141"/>
      <c r="T973" s="141"/>
      <c r="U973" s="57"/>
      <c r="V973" s="57"/>
      <c r="W973" s="57"/>
      <c r="X973" s="57"/>
      <c r="Y973" s="57"/>
      <c r="Z973" s="57"/>
      <c r="AA973" s="57"/>
      <c r="AB973" s="57"/>
    </row>
    <row r="974">
      <c r="A974" s="185" t="str">
        <f t="shared" si="17"/>
        <v/>
      </c>
      <c r="B974" s="141"/>
      <c r="C974" s="117"/>
      <c r="D974" s="117"/>
      <c r="E974" s="117"/>
      <c r="F974" s="117"/>
      <c r="G974" s="189"/>
      <c r="H974" s="189"/>
      <c r="I974" s="48"/>
      <c r="J974" s="189"/>
      <c r="K974" s="220"/>
      <c r="L974" s="220"/>
      <c r="M974" s="197"/>
      <c r="N974" s="375"/>
      <c r="O974" s="376"/>
      <c r="P974" s="220"/>
      <c r="Q974" s="117"/>
      <c r="R974" s="189"/>
      <c r="S974" s="141"/>
      <c r="T974" s="141"/>
      <c r="U974" s="57"/>
      <c r="V974" s="57"/>
      <c r="W974" s="57"/>
      <c r="X974" s="57"/>
      <c r="Y974" s="57"/>
      <c r="Z974" s="57"/>
      <c r="AA974" s="57"/>
      <c r="AB974" s="57"/>
    </row>
    <row r="975">
      <c r="A975" s="185" t="str">
        <f t="shared" si="17"/>
        <v/>
      </c>
      <c r="B975" s="141"/>
      <c r="C975" s="117"/>
      <c r="D975" s="117"/>
      <c r="E975" s="117"/>
      <c r="F975" s="117"/>
      <c r="G975" s="189"/>
      <c r="H975" s="189"/>
      <c r="I975" s="48"/>
      <c r="J975" s="189"/>
      <c r="K975" s="220"/>
      <c r="L975" s="220"/>
      <c r="M975" s="197"/>
      <c r="N975" s="375"/>
      <c r="O975" s="376"/>
      <c r="P975" s="220"/>
      <c r="Q975" s="117"/>
      <c r="R975" s="189"/>
      <c r="S975" s="141"/>
      <c r="T975" s="141"/>
      <c r="U975" s="57"/>
      <c r="V975" s="57"/>
      <c r="W975" s="57"/>
      <c r="X975" s="57"/>
      <c r="Y975" s="57"/>
      <c r="Z975" s="57"/>
      <c r="AA975" s="57"/>
      <c r="AB975" s="57"/>
    </row>
    <row r="976">
      <c r="A976" s="185" t="str">
        <f t="shared" si="17"/>
        <v/>
      </c>
      <c r="B976" s="141"/>
      <c r="C976" s="117"/>
      <c r="D976" s="117"/>
      <c r="E976" s="117"/>
      <c r="F976" s="117"/>
      <c r="G976" s="189"/>
      <c r="H976" s="189"/>
      <c r="I976" s="48"/>
      <c r="J976" s="189"/>
      <c r="K976" s="220"/>
      <c r="L976" s="220"/>
      <c r="M976" s="197"/>
      <c r="N976" s="375"/>
      <c r="O976" s="376"/>
      <c r="P976" s="220"/>
      <c r="Q976" s="117"/>
      <c r="R976" s="189"/>
      <c r="S976" s="141"/>
      <c r="T976" s="141"/>
      <c r="U976" s="57"/>
      <c r="V976" s="57"/>
      <c r="W976" s="57"/>
      <c r="X976" s="57"/>
      <c r="Y976" s="57"/>
      <c r="Z976" s="57"/>
      <c r="AA976" s="57"/>
      <c r="AB976" s="57"/>
    </row>
    <row r="977">
      <c r="A977" s="185" t="str">
        <f t="shared" si="17"/>
        <v/>
      </c>
      <c r="B977" s="141"/>
      <c r="C977" s="117"/>
      <c r="D977" s="117"/>
      <c r="E977" s="117"/>
      <c r="F977" s="117"/>
      <c r="G977" s="189"/>
      <c r="H977" s="189"/>
      <c r="I977" s="48"/>
      <c r="J977" s="189"/>
      <c r="K977" s="220"/>
      <c r="L977" s="220"/>
      <c r="M977" s="197"/>
      <c r="N977" s="375"/>
      <c r="O977" s="376"/>
      <c r="P977" s="220"/>
      <c r="Q977" s="117"/>
      <c r="R977" s="189"/>
      <c r="S977" s="141"/>
      <c r="T977" s="141"/>
      <c r="U977" s="57"/>
      <c r="V977" s="57"/>
      <c r="W977" s="57"/>
      <c r="X977" s="57"/>
      <c r="Y977" s="57"/>
      <c r="Z977" s="57"/>
      <c r="AA977" s="57"/>
      <c r="AB977" s="57"/>
    </row>
    <row r="978">
      <c r="A978" s="185" t="str">
        <f t="shared" si="17"/>
        <v/>
      </c>
      <c r="B978" s="141"/>
      <c r="C978" s="117"/>
      <c r="D978" s="117"/>
      <c r="E978" s="117"/>
      <c r="F978" s="117"/>
      <c r="G978" s="189"/>
      <c r="H978" s="189"/>
      <c r="I978" s="48"/>
      <c r="J978" s="189"/>
      <c r="K978" s="220"/>
      <c r="L978" s="220"/>
      <c r="M978" s="197"/>
      <c r="N978" s="375"/>
      <c r="O978" s="376"/>
      <c r="P978" s="220"/>
      <c r="Q978" s="117"/>
      <c r="R978" s="189"/>
      <c r="S978" s="141"/>
      <c r="T978" s="141"/>
      <c r="U978" s="57"/>
      <c r="V978" s="57"/>
      <c r="W978" s="57"/>
      <c r="X978" s="57"/>
      <c r="Y978" s="57"/>
      <c r="Z978" s="57"/>
      <c r="AA978" s="57"/>
      <c r="AB978" s="57"/>
    </row>
    <row r="979">
      <c r="A979" s="185" t="str">
        <f t="shared" si="17"/>
        <v/>
      </c>
      <c r="B979" s="141"/>
      <c r="C979" s="117"/>
      <c r="D979" s="117"/>
      <c r="E979" s="117"/>
      <c r="F979" s="117"/>
      <c r="G979" s="189"/>
      <c r="H979" s="189"/>
      <c r="I979" s="48"/>
      <c r="J979" s="189"/>
      <c r="K979" s="220"/>
      <c r="L979" s="220"/>
      <c r="M979" s="197"/>
      <c r="N979" s="375"/>
      <c r="O979" s="376"/>
      <c r="P979" s="220"/>
      <c r="Q979" s="117"/>
      <c r="R979" s="189"/>
      <c r="S979" s="141"/>
      <c r="T979" s="141"/>
      <c r="U979" s="57"/>
      <c r="V979" s="57"/>
      <c r="W979" s="57"/>
      <c r="X979" s="57"/>
      <c r="Y979" s="57"/>
      <c r="Z979" s="57"/>
      <c r="AA979" s="57"/>
      <c r="AB979" s="57"/>
    </row>
    <row r="980">
      <c r="A980" s="185" t="str">
        <f t="shared" si="17"/>
        <v/>
      </c>
      <c r="B980" s="141"/>
      <c r="C980" s="117"/>
      <c r="D980" s="117"/>
      <c r="E980" s="117"/>
      <c r="F980" s="117"/>
      <c r="G980" s="189"/>
      <c r="H980" s="189"/>
      <c r="I980" s="48"/>
      <c r="J980" s="189"/>
      <c r="K980" s="220"/>
      <c r="L980" s="220"/>
      <c r="M980" s="197"/>
      <c r="N980" s="375"/>
      <c r="O980" s="376"/>
      <c r="P980" s="220"/>
      <c r="Q980" s="117"/>
      <c r="R980" s="189"/>
      <c r="S980" s="141"/>
      <c r="T980" s="141"/>
      <c r="U980" s="57"/>
      <c r="V980" s="57"/>
      <c r="W980" s="57"/>
      <c r="X980" s="57"/>
      <c r="Y980" s="57"/>
      <c r="Z980" s="57"/>
      <c r="AA980" s="57"/>
      <c r="AB980" s="57"/>
    </row>
    <row r="981">
      <c r="A981" s="185" t="str">
        <f t="shared" si="17"/>
        <v/>
      </c>
      <c r="B981" s="141"/>
      <c r="C981" s="117"/>
      <c r="D981" s="117"/>
      <c r="E981" s="117"/>
      <c r="F981" s="117"/>
      <c r="G981" s="189"/>
      <c r="H981" s="189"/>
      <c r="I981" s="48"/>
      <c r="J981" s="189"/>
      <c r="K981" s="220"/>
      <c r="L981" s="220"/>
      <c r="M981" s="197"/>
      <c r="N981" s="375"/>
      <c r="O981" s="376"/>
      <c r="P981" s="220"/>
      <c r="Q981" s="117"/>
      <c r="R981" s="189"/>
      <c r="S981" s="141"/>
      <c r="T981" s="141"/>
      <c r="U981" s="57"/>
      <c r="V981" s="57"/>
      <c r="W981" s="57"/>
      <c r="X981" s="57"/>
      <c r="Y981" s="57"/>
      <c r="Z981" s="57"/>
      <c r="AA981" s="57"/>
      <c r="AB981" s="57"/>
    </row>
    <row r="982">
      <c r="A982" s="185" t="str">
        <f t="shared" si="17"/>
        <v/>
      </c>
      <c r="B982" s="141"/>
      <c r="C982" s="117"/>
      <c r="D982" s="117"/>
      <c r="E982" s="117"/>
      <c r="F982" s="117"/>
      <c r="G982" s="189"/>
      <c r="H982" s="189"/>
      <c r="I982" s="48"/>
      <c r="J982" s="189"/>
      <c r="K982" s="220"/>
      <c r="L982" s="220"/>
      <c r="M982" s="197"/>
      <c r="N982" s="375"/>
      <c r="O982" s="376"/>
      <c r="P982" s="220"/>
      <c r="Q982" s="117"/>
      <c r="R982" s="189"/>
      <c r="S982" s="141"/>
      <c r="T982" s="141"/>
      <c r="U982" s="57"/>
      <c r="V982" s="57"/>
      <c r="W982" s="57"/>
      <c r="X982" s="57"/>
      <c r="Y982" s="57"/>
      <c r="Z982" s="57"/>
      <c r="AA982" s="57"/>
      <c r="AB982" s="57"/>
    </row>
    <row r="983">
      <c r="A983" s="185" t="str">
        <f t="shared" si="17"/>
        <v/>
      </c>
      <c r="B983" s="141"/>
      <c r="C983" s="117"/>
      <c r="D983" s="117"/>
      <c r="E983" s="117"/>
      <c r="F983" s="117"/>
      <c r="G983" s="189"/>
      <c r="H983" s="189"/>
      <c r="I983" s="48"/>
      <c r="J983" s="189"/>
      <c r="K983" s="220"/>
      <c r="L983" s="220"/>
      <c r="M983" s="197"/>
      <c r="N983" s="375"/>
      <c r="O983" s="376"/>
      <c r="P983" s="220"/>
      <c r="Q983" s="117"/>
      <c r="R983" s="189"/>
      <c r="S983" s="141"/>
      <c r="T983" s="141"/>
      <c r="U983" s="57"/>
      <c r="V983" s="57"/>
      <c r="W983" s="57"/>
      <c r="X983" s="57"/>
      <c r="Y983" s="57"/>
      <c r="Z983" s="57"/>
      <c r="AA983" s="57"/>
      <c r="AB983" s="57"/>
    </row>
    <row r="984">
      <c r="A984" s="185" t="str">
        <f t="shared" si="17"/>
        <v/>
      </c>
      <c r="B984" s="141"/>
      <c r="C984" s="117"/>
      <c r="D984" s="117"/>
      <c r="E984" s="117"/>
      <c r="F984" s="117"/>
      <c r="G984" s="189"/>
      <c r="H984" s="189"/>
      <c r="I984" s="48"/>
      <c r="J984" s="189"/>
      <c r="K984" s="220"/>
      <c r="L984" s="220"/>
      <c r="M984" s="197"/>
      <c r="N984" s="375"/>
      <c r="O984" s="376"/>
      <c r="P984" s="220"/>
      <c r="Q984" s="117"/>
      <c r="R984" s="189"/>
      <c r="S984" s="141"/>
      <c r="T984" s="141"/>
      <c r="U984" s="57"/>
      <c r="V984" s="57"/>
      <c r="W984" s="57"/>
      <c r="X984" s="57"/>
      <c r="Y984" s="57"/>
      <c r="Z984" s="57"/>
      <c r="AA984" s="57"/>
      <c r="AB984" s="57"/>
    </row>
    <row r="985">
      <c r="A985" s="185" t="str">
        <f t="shared" si="17"/>
        <v/>
      </c>
      <c r="B985" s="141"/>
      <c r="C985" s="117"/>
      <c r="D985" s="117"/>
      <c r="E985" s="117"/>
      <c r="F985" s="117"/>
      <c r="G985" s="189"/>
      <c r="H985" s="189"/>
      <c r="I985" s="48"/>
      <c r="J985" s="189"/>
      <c r="K985" s="220"/>
      <c r="L985" s="220"/>
      <c r="M985" s="197"/>
      <c r="N985" s="375"/>
      <c r="O985" s="376"/>
      <c r="P985" s="220"/>
      <c r="Q985" s="117"/>
      <c r="R985" s="189"/>
      <c r="S985" s="141"/>
      <c r="T985" s="141"/>
      <c r="U985" s="57"/>
      <c r="V985" s="57"/>
      <c r="W985" s="57"/>
      <c r="X985" s="57"/>
      <c r="Y985" s="57"/>
      <c r="Z985" s="57"/>
      <c r="AA985" s="57"/>
      <c r="AB985" s="57"/>
    </row>
    <row r="986">
      <c r="A986" s="185" t="str">
        <f t="shared" si="17"/>
        <v/>
      </c>
      <c r="B986" s="141"/>
      <c r="C986" s="117"/>
      <c r="D986" s="117"/>
      <c r="E986" s="117"/>
      <c r="F986" s="117"/>
      <c r="G986" s="189"/>
      <c r="H986" s="189"/>
      <c r="I986" s="48"/>
      <c r="J986" s="189"/>
      <c r="K986" s="220"/>
      <c r="L986" s="220"/>
      <c r="M986" s="197"/>
      <c r="N986" s="375"/>
      <c r="O986" s="376"/>
      <c r="P986" s="220"/>
      <c r="Q986" s="117"/>
      <c r="R986" s="189"/>
      <c r="S986" s="141"/>
      <c r="T986" s="141"/>
      <c r="U986" s="57"/>
      <c r="V986" s="57"/>
      <c r="W986" s="57"/>
      <c r="X986" s="57"/>
      <c r="Y986" s="57"/>
      <c r="Z986" s="57"/>
      <c r="AA986" s="57"/>
      <c r="AB986" s="57"/>
    </row>
    <row r="987">
      <c r="A987" s="185" t="str">
        <f t="shared" si="17"/>
        <v/>
      </c>
      <c r="B987" s="141"/>
      <c r="C987" s="117"/>
      <c r="D987" s="117"/>
      <c r="E987" s="117"/>
      <c r="F987" s="117"/>
      <c r="G987" s="189"/>
      <c r="H987" s="189"/>
      <c r="I987" s="48"/>
      <c r="J987" s="189"/>
      <c r="K987" s="220"/>
      <c r="L987" s="220"/>
      <c r="M987" s="197"/>
      <c r="N987" s="375"/>
      <c r="O987" s="376"/>
      <c r="P987" s="220"/>
      <c r="Q987" s="117"/>
      <c r="R987" s="189"/>
      <c r="S987" s="141"/>
      <c r="T987" s="141"/>
      <c r="U987" s="57"/>
      <c r="V987" s="57"/>
      <c r="W987" s="57"/>
      <c r="X987" s="57"/>
      <c r="Y987" s="57"/>
      <c r="Z987" s="57"/>
      <c r="AA987" s="57"/>
      <c r="AB987" s="57"/>
    </row>
    <row r="988">
      <c r="A988" s="185" t="str">
        <f t="shared" si="17"/>
        <v/>
      </c>
      <c r="B988" s="141"/>
      <c r="C988" s="117"/>
      <c r="D988" s="117"/>
      <c r="E988" s="117"/>
      <c r="F988" s="117"/>
      <c r="G988" s="189"/>
      <c r="H988" s="189"/>
      <c r="I988" s="48"/>
      <c r="J988" s="189"/>
      <c r="K988" s="220"/>
      <c r="L988" s="220"/>
      <c r="M988" s="197"/>
      <c r="N988" s="375"/>
      <c r="O988" s="376"/>
      <c r="P988" s="220"/>
      <c r="Q988" s="117"/>
      <c r="R988" s="189"/>
      <c r="S988" s="141"/>
      <c r="T988" s="141"/>
      <c r="U988" s="57"/>
      <c r="V988" s="57"/>
      <c r="W988" s="57"/>
      <c r="X988" s="57"/>
      <c r="Y988" s="57"/>
      <c r="Z988" s="57"/>
      <c r="AA988" s="57"/>
      <c r="AB988" s="57"/>
    </row>
    <row r="989">
      <c r="A989" s="185" t="str">
        <f t="shared" si="17"/>
        <v/>
      </c>
      <c r="B989" s="141"/>
      <c r="C989" s="117"/>
      <c r="D989" s="117"/>
      <c r="E989" s="117"/>
      <c r="F989" s="117"/>
      <c r="G989" s="189"/>
      <c r="H989" s="189"/>
      <c r="I989" s="48"/>
      <c r="J989" s="189"/>
      <c r="K989" s="220"/>
      <c r="L989" s="220"/>
      <c r="M989" s="197"/>
      <c r="N989" s="375"/>
      <c r="O989" s="376"/>
      <c r="P989" s="220"/>
      <c r="Q989" s="117"/>
      <c r="R989" s="189"/>
      <c r="S989" s="141"/>
      <c r="T989" s="141"/>
      <c r="U989" s="57"/>
      <c r="V989" s="57"/>
      <c r="W989" s="57"/>
      <c r="X989" s="57"/>
      <c r="Y989" s="57"/>
      <c r="Z989" s="57"/>
      <c r="AA989" s="57"/>
      <c r="AB989" s="57"/>
    </row>
    <row r="990">
      <c r="A990" s="185" t="str">
        <f t="shared" si="17"/>
        <v/>
      </c>
      <c r="B990" s="141"/>
      <c r="C990" s="117"/>
      <c r="D990" s="117"/>
      <c r="E990" s="117"/>
      <c r="F990" s="117"/>
      <c r="G990" s="189"/>
      <c r="H990" s="189"/>
      <c r="I990" s="48"/>
      <c r="J990" s="189"/>
      <c r="K990" s="220"/>
      <c r="L990" s="220"/>
      <c r="M990" s="197"/>
      <c r="N990" s="375"/>
      <c r="O990" s="376"/>
      <c r="P990" s="220"/>
      <c r="Q990" s="117"/>
      <c r="R990" s="189"/>
      <c r="S990" s="141"/>
      <c r="T990" s="141"/>
      <c r="U990" s="57"/>
      <c r="V990" s="57"/>
      <c r="W990" s="57"/>
      <c r="X990" s="57"/>
      <c r="Y990" s="57"/>
      <c r="Z990" s="57"/>
      <c r="AA990" s="57"/>
      <c r="AB990" s="57"/>
    </row>
    <row r="991">
      <c r="A991" s="185" t="str">
        <f t="shared" si="17"/>
        <v/>
      </c>
      <c r="B991" s="141"/>
      <c r="C991" s="117"/>
      <c r="D991" s="117"/>
      <c r="E991" s="117"/>
      <c r="F991" s="117"/>
      <c r="G991" s="189"/>
      <c r="H991" s="189"/>
      <c r="I991" s="48"/>
      <c r="J991" s="189"/>
      <c r="K991" s="220"/>
      <c r="L991" s="220"/>
      <c r="M991" s="197"/>
      <c r="N991" s="375"/>
      <c r="O991" s="376"/>
      <c r="P991" s="220"/>
      <c r="Q991" s="117"/>
      <c r="R991" s="189"/>
      <c r="S991" s="141"/>
      <c r="T991" s="141"/>
      <c r="U991" s="57"/>
      <c r="V991" s="57"/>
      <c r="W991" s="57"/>
      <c r="X991" s="57"/>
      <c r="Y991" s="57"/>
      <c r="Z991" s="57"/>
      <c r="AA991" s="57"/>
      <c r="AB991" s="57"/>
    </row>
    <row r="992">
      <c r="A992" s="185" t="str">
        <f t="shared" si="17"/>
        <v/>
      </c>
      <c r="B992" s="141"/>
      <c r="C992" s="117"/>
      <c r="D992" s="117"/>
      <c r="E992" s="117"/>
      <c r="F992" s="117"/>
      <c r="G992" s="189"/>
      <c r="H992" s="189"/>
      <c r="I992" s="48"/>
      <c r="J992" s="189"/>
      <c r="K992" s="220"/>
      <c r="L992" s="220"/>
      <c r="M992" s="197"/>
      <c r="N992" s="375"/>
      <c r="O992" s="376"/>
      <c r="P992" s="220"/>
      <c r="Q992" s="117"/>
      <c r="R992" s="189"/>
      <c r="S992" s="141"/>
      <c r="T992" s="141"/>
      <c r="U992" s="57"/>
      <c r="V992" s="57"/>
      <c r="W992" s="57"/>
      <c r="X992" s="57"/>
      <c r="Y992" s="57"/>
      <c r="Z992" s="57"/>
      <c r="AA992" s="57"/>
      <c r="AB992" s="57"/>
    </row>
    <row r="993">
      <c r="A993" s="185" t="str">
        <f t="shared" si="17"/>
        <v/>
      </c>
      <c r="B993" s="141"/>
      <c r="C993" s="117"/>
      <c r="D993" s="117"/>
      <c r="E993" s="117"/>
      <c r="F993" s="117"/>
      <c r="G993" s="189"/>
      <c r="H993" s="189"/>
      <c r="I993" s="48"/>
      <c r="J993" s="189"/>
      <c r="K993" s="220"/>
      <c r="L993" s="220"/>
      <c r="M993" s="197"/>
      <c r="N993" s="375"/>
      <c r="O993" s="376"/>
      <c r="P993" s="220"/>
      <c r="Q993" s="117"/>
      <c r="R993" s="189"/>
      <c r="S993" s="141"/>
      <c r="T993" s="141"/>
      <c r="U993" s="57"/>
      <c r="V993" s="57"/>
      <c r="W993" s="57"/>
      <c r="X993" s="57"/>
      <c r="Y993" s="57"/>
      <c r="Z993" s="57"/>
      <c r="AA993" s="57"/>
      <c r="AB993" s="57"/>
    </row>
    <row r="994">
      <c r="A994" s="185" t="str">
        <f t="shared" si="17"/>
        <v/>
      </c>
      <c r="B994" s="141"/>
      <c r="C994" s="117"/>
      <c r="D994" s="117"/>
      <c r="E994" s="117"/>
      <c r="F994" s="117"/>
      <c r="G994" s="189"/>
      <c r="H994" s="189"/>
      <c r="I994" s="48"/>
      <c r="J994" s="189"/>
      <c r="K994" s="220"/>
      <c r="L994" s="220"/>
      <c r="M994" s="197"/>
      <c r="N994" s="375"/>
      <c r="O994" s="376"/>
      <c r="P994" s="220"/>
      <c r="Q994" s="117"/>
      <c r="R994" s="189"/>
      <c r="S994" s="141"/>
      <c r="T994" s="141"/>
      <c r="U994" s="57"/>
      <c r="V994" s="57"/>
      <c r="W994" s="57"/>
      <c r="X994" s="57"/>
      <c r="Y994" s="57"/>
      <c r="Z994" s="57"/>
      <c r="AA994" s="57"/>
      <c r="AB994" s="57"/>
    </row>
    <row r="995">
      <c r="A995" s="185" t="str">
        <f t="shared" si="17"/>
        <v/>
      </c>
      <c r="B995" s="141"/>
      <c r="C995" s="117"/>
      <c r="D995" s="117"/>
      <c r="E995" s="117"/>
      <c r="F995" s="117"/>
      <c r="G995" s="189"/>
      <c r="H995" s="189"/>
      <c r="I995" s="48"/>
      <c r="J995" s="189"/>
      <c r="K995" s="220"/>
      <c r="L995" s="220"/>
      <c r="M995" s="197"/>
      <c r="N995" s="375"/>
      <c r="O995" s="376"/>
      <c r="P995" s="220"/>
      <c r="Q995" s="117"/>
      <c r="R995" s="189"/>
      <c r="S995" s="141"/>
      <c r="T995" s="141"/>
      <c r="U995" s="57"/>
      <c r="V995" s="57"/>
      <c r="W995" s="57"/>
      <c r="X995" s="57"/>
      <c r="Y995" s="57"/>
      <c r="Z995" s="57"/>
      <c r="AA995" s="57"/>
      <c r="AB995" s="57"/>
    </row>
    <row r="996">
      <c r="A996" s="185" t="str">
        <f t="shared" si="17"/>
        <v/>
      </c>
      <c r="B996" s="141"/>
      <c r="C996" s="117"/>
      <c r="D996" s="117"/>
      <c r="E996" s="117"/>
      <c r="F996" s="117"/>
      <c r="G996" s="189"/>
      <c r="H996" s="189"/>
      <c r="I996" s="48"/>
      <c r="J996" s="189"/>
      <c r="K996" s="220"/>
      <c r="L996" s="220"/>
      <c r="M996" s="197"/>
      <c r="N996" s="375"/>
      <c r="O996" s="376"/>
      <c r="P996" s="220"/>
      <c r="Q996" s="117"/>
      <c r="R996" s="189"/>
      <c r="S996" s="141"/>
      <c r="T996" s="141"/>
      <c r="U996" s="57"/>
      <c r="V996" s="57"/>
      <c r="W996" s="57"/>
      <c r="X996" s="57"/>
      <c r="Y996" s="57"/>
      <c r="Z996" s="57"/>
      <c r="AA996" s="57"/>
      <c r="AB996" s="57"/>
    </row>
    <row r="997">
      <c r="A997" s="185" t="str">
        <f t="shared" si="17"/>
        <v/>
      </c>
      <c r="B997" s="141"/>
      <c r="C997" s="117"/>
      <c r="D997" s="117"/>
      <c r="E997" s="117"/>
      <c r="F997" s="117"/>
      <c r="G997" s="189"/>
      <c r="H997" s="189"/>
      <c r="I997" s="48"/>
      <c r="J997" s="189"/>
      <c r="K997" s="220"/>
      <c r="L997" s="220"/>
      <c r="M997" s="197"/>
      <c r="N997" s="375"/>
      <c r="O997" s="376"/>
      <c r="P997" s="220"/>
      <c r="Q997" s="117"/>
      <c r="R997" s="189"/>
      <c r="S997" s="141"/>
      <c r="T997" s="141"/>
      <c r="U997" s="57"/>
      <c r="V997" s="57"/>
      <c r="W997" s="57"/>
      <c r="X997" s="57"/>
      <c r="Y997" s="57"/>
      <c r="Z997" s="57"/>
      <c r="AA997" s="57"/>
      <c r="AB997" s="57"/>
    </row>
    <row r="998">
      <c r="A998" s="185" t="str">
        <f t="shared" si="17"/>
        <v/>
      </c>
      <c r="B998" s="141"/>
      <c r="C998" s="117"/>
      <c r="D998" s="117"/>
      <c r="E998" s="117"/>
      <c r="F998" s="117"/>
      <c r="G998" s="189"/>
      <c r="H998" s="189"/>
      <c r="I998" s="48"/>
      <c r="J998" s="189"/>
      <c r="K998" s="220"/>
      <c r="L998" s="220"/>
      <c r="M998" s="197"/>
      <c r="N998" s="375"/>
      <c r="O998" s="376"/>
      <c r="P998" s="220"/>
      <c r="Q998" s="117"/>
      <c r="R998" s="189"/>
      <c r="S998" s="141"/>
      <c r="T998" s="141"/>
      <c r="U998" s="57"/>
      <c r="V998" s="57"/>
      <c r="W998" s="57"/>
      <c r="X998" s="57"/>
      <c r="Y998" s="57"/>
      <c r="Z998" s="57"/>
      <c r="AA998" s="57"/>
      <c r="AB998" s="57"/>
    </row>
    <row r="999">
      <c r="A999" s="185" t="str">
        <f t="shared" si="17"/>
        <v/>
      </c>
      <c r="B999" s="141"/>
      <c r="C999" s="117"/>
      <c r="D999" s="117"/>
      <c r="E999" s="117"/>
      <c r="F999" s="117"/>
      <c r="G999" s="189"/>
      <c r="H999" s="189"/>
      <c r="I999" s="48"/>
      <c r="J999" s="189"/>
      <c r="K999" s="220"/>
      <c r="L999" s="220"/>
      <c r="M999" s="197"/>
      <c r="N999" s="375"/>
      <c r="O999" s="376"/>
      <c r="P999" s="220"/>
      <c r="Q999" s="117"/>
      <c r="R999" s="189"/>
      <c r="S999" s="141"/>
      <c r="T999" s="141"/>
      <c r="U999" s="57"/>
      <c r="V999" s="57"/>
      <c r="W999" s="57"/>
      <c r="X999" s="57"/>
      <c r="Y999" s="57"/>
      <c r="Z999" s="57"/>
      <c r="AA999" s="57"/>
      <c r="AB999" s="57"/>
    </row>
    <row r="1000">
      <c r="A1000" s="185" t="str">
        <f t="shared" si="17"/>
        <v/>
      </c>
      <c r="B1000" s="141"/>
      <c r="C1000" s="117"/>
      <c r="D1000" s="117"/>
      <c r="E1000" s="117"/>
      <c r="F1000" s="117"/>
      <c r="G1000" s="189"/>
      <c r="H1000" s="189"/>
      <c r="I1000" s="48"/>
      <c r="J1000" s="189"/>
      <c r="K1000" s="220"/>
      <c r="L1000" s="220"/>
      <c r="M1000" s="197"/>
      <c r="N1000" s="375"/>
      <c r="O1000" s="376"/>
      <c r="P1000" s="220"/>
      <c r="Q1000" s="117"/>
      <c r="R1000" s="189"/>
      <c r="S1000" s="141"/>
      <c r="T1000" s="141"/>
      <c r="U1000" s="57"/>
      <c r="V1000" s="57"/>
      <c r="W1000" s="57"/>
      <c r="X1000" s="57"/>
      <c r="Y1000" s="57"/>
      <c r="Z1000" s="57"/>
      <c r="AA1000" s="57"/>
      <c r="AB1000" s="57"/>
    </row>
    <row r="1001">
      <c r="A1001" s="185" t="str">
        <f t="shared" si="17"/>
        <v/>
      </c>
      <c r="B1001" s="141"/>
      <c r="C1001" s="117"/>
      <c r="D1001" s="117"/>
      <c r="E1001" s="117"/>
      <c r="F1001" s="117"/>
      <c r="G1001" s="189"/>
      <c r="H1001" s="189"/>
      <c r="I1001" s="48"/>
      <c r="J1001" s="189"/>
      <c r="K1001" s="220"/>
      <c r="L1001" s="220"/>
      <c r="M1001" s="197"/>
      <c r="N1001" s="375"/>
      <c r="O1001" s="376"/>
      <c r="P1001" s="220"/>
      <c r="Q1001" s="117"/>
      <c r="R1001" s="189"/>
      <c r="S1001" s="141"/>
      <c r="T1001" s="141"/>
      <c r="U1001" s="57"/>
      <c r="V1001" s="57"/>
      <c r="W1001" s="57"/>
      <c r="X1001" s="57"/>
      <c r="Y1001" s="57"/>
      <c r="Z1001" s="57"/>
      <c r="AA1001" s="57"/>
      <c r="AB1001" s="57"/>
    </row>
    <row r="1002">
      <c r="A1002" s="185" t="str">
        <f t="shared" si="17"/>
        <v/>
      </c>
      <c r="B1002" s="141"/>
      <c r="C1002" s="117"/>
      <c r="D1002" s="117"/>
      <c r="E1002" s="117"/>
      <c r="F1002" s="117"/>
      <c r="G1002" s="189"/>
      <c r="H1002" s="189"/>
      <c r="I1002" s="48"/>
      <c r="J1002" s="189"/>
      <c r="K1002" s="220"/>
      <c r="L1002" s="220"/>
      <c r="M1002" s="197"/>
      <c r="N1002" s="375"/>
      <c r="O1002" s="376"/>
      <c r="P1002" s="220"/>
      <c r="Q1002" s="117"/>
      <c r="R1002" s="189"/>
      <c r="S1002" s="141"/>
      <c r="T1002" s="141"/>
      <c r="U1002" s="57"/>
      <c r="V1002" s="57"/>
      <c r="W1002" s="57"/>
      <c r="X1002" s="57"/>
      <c r="Y1002" s="57"/>
      <c r="Z1002" s="57"/>
      <c r="AA1002" s="57"/>
      <c r="AB1002" s="57"/>
    </row>
    <row r="1003">
      <c r="A1003" s="185" t="str">
        <f t="shared" si="17"/>
        <v/>
      </c>
      <c r="B1003" s="141"/>
      <c r="C1003" s="117"/>
      <c r="D1003" s="117"/>
      <c r="E1003" s="117"/>
      <c r="F1003" s="117"/>
      <c r="G1003" s="189"/>
      <c r="H1003" s="189"/>
      <c r="I1003" s="48"/>
      <c r="J1003" s="189"/>
      <c r="K1003" s="220"/>
      <c r="L1003" s="220"/>
      <c r="M1003" s="197"/>
      <c r="N1003" s="375"/>
      <c r="O1003" s="376"/>
      <c r="P1003" s="220"/>
      <c r="Q1003" s="117"/>
      <c r="R1003" s="189"/>
      <c r="S1003" s="141"/>
      <c r="T1003" s="141"/>
      <c r="U1003" s="57"/>
      <c r="V1003" s="57"/>
      <c r="W1003" s="57"/>
      <c r="X1003" s="57"/>
      <c r="Y1003" s="57"/>
      <c r="Z1003" s="57"/>
      <c r="AA1003" s="57"/>
      <c r="AB1003" s="57"/>
    </row>
    <row r="1004">
      <c r="A1004" s="185" t="str">
        <f t="shared" si="17"/>
        <v/>
      </c>
      <c r="B1004" s="141"/>
      <c r="C1004" s="117"/>
      <c r="D1004" s="117"/>
      <c r="E1004" s="117"/>
      <c r="F1004" s="117"/>
      <c r="G1004" s="189"/>
      <c r="H1004" s="189"/>
      <c r="I1004" s="48"/>
      <c r="J1004" s="189"/>
      <c r="K1004" s="220"/>
      <c r="L1004" s="220"/>
      <c r="M1004" s="197"/>
      <c r="N1004" s="375"/>
      <c r="O1004" s="376"/>
      <c r="P1004" s="220"/>
      <c r="Q1004" s="117"/>
      <c r="R1004" s="189"/>
      <c r="S1004" s="141"/>
      <c r="T1004" s="141"/>
      <c r="U1004" s="57"/>
      <c r="V1004" s="57"/>
      <c r="W1004" s="57"/>
      <c r="X1004" s="57"/>
      <c r="Y1004" s="57"/>
      <c r="Z1004" s="57"/>
      <c r="AA1004" s="57"/>
      <c r="AB1004" s="57"/>
    </row>
    <row r="1005">
      <c r="A1005" s="185" t="str">
        <f t="shared" si="17"/>
        <v/>
      </c>
      <c r="B1005" s="141"/>
      <c r="C1005" s="117"/>
      <c r="D1005" s="117"/>
      <c r="E1005" s="117"/>
      <c r="F1005" s="117"/>
      <c r="G1005" s="189"/>
      <c r="H1005" s="189"/>
      <c r="I1005" s="48"/>
      <c r="J1005" s="189"/>
      <c r="K1005" s="220"/>
      <c r="L1005" s="220"/>
      <c r="M1005" s="197"/>
      <c r="N1005" s="375"/>
      <c r="O1005" s="376"/>
      <c r="P1005" s="220"/>
      <c r="Q1005" s="117"/>
      <c r="R1005" s="189"/>
      <c r="S1005" s="141"/>
      <c r="T1005" s="141"/>
      <c r="U1005" s="57"/>
      <c r="V1005" s="57"/>
      <c r="W1005" s="57"/>
      <c r="X1005" s="57"/>
      <c r="Y1005" s="57"/>
      <c r="Z1005" s="57"/>
      <c r="AA1005" s="57"/>
      <c r="AB1005" s="57"/>
    </row>
    <row r="1006">
      <c r="A1006" s="185" t="str">
        <f t="shared" si="17"/>
        <v/>
      </c>
      <c r="B1006" s="141"/>
      <c r="C1006" s="117"/>
      <c r="D1006" s="117"/>
      <c r="E1006" s="117"/>
      <c r="F1006" s="117"/>
      <c r="G1006" s="189"/>
      <c r="H1006" s="189"/>
      <c r="I1006" s="48"/>
      <c r="J1006" s="189"/>
      <c r="K1006" s="220"/>
      <c r="L1006" s="220"/>
      <c r="M1006" s="197"/>
      <c r="N1006" s="375"/>
      <c r="O1006" s="376"/>
      <c r="P1006" s="220"/>
      <c r="Q1006" s="117"/>
      <c r="R1006" s="189"/>
      <c r="S1006" s="141"/>
      <c r="T1006" s="141"/>
      <c r="U1006" s="57"/>
      <c r="V1006" s="57"/>
      <c r="W1006" s="57"/>
      <c r="X1006" s="57"/>
      <c r="Y1006" s="57"/>
      <c r="Z1006" s="57"/>
      <c r="AA1006" s="57"/>
      <c r="AB1006" s="57"/>
    </row>
    <row r="1007">
      <c r="A1007" s="185" t="str">
        <f t="shared" si="17"/>
        <v/>
      </c>
      <c r="B1007" s="141"/>
      <c r="C1007" s="117"/>
      <c r="D1007" s="117"/>
      <c r="E1007" s="117"/>
      <c r="F1007" s="117"/>
      <c r="G1007" s="189"/>
      <c r="H1007" s="189"/>
      <c r="I1007" s="48"/>
      <c r="J1007" s="189"/>
      <c r="K1007" s="220"/>
      <c r="L1007" s="220"/>
      <c r="M1007" s="197"/>
      <c r="N1007" s="375"/>
      <c r="O1007" s="376"/>
      <c r="P1007" s="220"/>
      <c r="Q1007" s="117"/>
      <c r="R1007" s="189"/>
      <c r="S1007" s="141"/>
      <c r="T1007" s="141"/>
      <c r="U1007" s="57"/>
      <c r="V1007" s="57"/>
      <c r="W1007" s="57"/>
      <c r="X1007" s="57"/>
      <c r="Y1007" s="57"/>
      <c r="Z1007" s="57"/>
      <c r="AA1007" s="57"/>
      <c r="AB1007" s="57"/>
    </row>
    <row r="1008">
      <c r="A1008" s="185" t="str">
        <f t="shared" si="17"/>
        <v/>
      </c>
      <c r="B1008" s="141"/>
      <c r="C1008" s="117"/>
      <c r="D1008" s="117"/>
      <c r="E1008" s="117"/>
      <c r="F1008" s="117"/>
      <c r="G1008" s="189"/>
      <c r="H1008" s="189"/>
      <c r="I1008" s="48"/>
      <c r="J1008" s="189"/>
      <c r="K1008" s="220"/>
      <c r="L1008" s="220"/>
      <c r="M1008" s="197"/>
      <c r="N1008" s="375"/>
      <c r="O1008" s="376"/>
      <c r="P1008" s="220"/>
      <c r="Q1008" s="117"/>
      <c r="R1008" s="189"/>
      <c r="S1008" s="141"/>
      <c r="T1008" s="141"/>
      <c r="U1008" s="57"/>
      <c r="V1008" s="57"/>
      <c r="W1008" s="57"/>
      <c r="X1008" s="57"/>
      <c r="Y1008" s="57"/>
      <c r="Z1008" s="57"/>
      <c r="AA1008" s="57"/>
      <c r="AB1008" s="57"/>
    </row>
    <row r="1009">
      <c r="A1009" s="185" t="str">
        <f t="shared" si="17"/>
        <v/>
      </c>
      <c r="B1009" s="141"/>
      <c r="C1009" s="117"/>
      <c r="D1009" s="117"/>
      <c r="E1009" s="117"/>
      <c r="F1009" s="117"/>
      <c r="G1009" s="189"/>
      <c r="H1009" s="189"/>
      <c r="I1009" s="48"/>
      <c r="J1009" s="189"/>
      <c r="K1009" s="220"/>
      <c r="L1009" s="220"/>
      <c r="M1009" s="197"/>
      <c r="N1009" s="375"/>
      <c r="O1009" s="376"/>
      <c r="P1009" s="220"/>
      <c r="Q1009" s="117"/>
      <c r="R1009" s="189"/>
      <c r="S1009" s="141"/>
      <c r="T1009" s="141"/>
      <c r="U1009" s="57"/>
      <c r="V1009" s="57"/>
      <c r="W1009" s="57"/>
      <c r="X1009" s="57"/>
      <c r="Y1009" s="57"/>
      <c r="Z1009" s="57"/>
      <c r="AA1009" s="57"/>
      <c r="AB1009" s="57"/>
    </row>
    <row r="1010">
      <c r="A1010" s="185" t="str">
        <f t="shared" si="17"/>
        <v/>
      </c>
      <c r="B1010" s="141"/>
      <c r="C1010" s="117"/>
      <c r="D1010" s="117"/>
      <c r="E1010" s="117"/>
      <c r="F1010" s="117"/>
      <c r="G1010" s="189"/>
      <c r="H1010" s="189"/>
      <c r="I1010" s="48"/>
      <c r="J1010" s="189"/>
      <c r="K1010" s="220"/>
      <c r="L1010" s="220"/>
      <c r="M1010" s="197"/>
      <c r="N1010" s="375"/>
      <c r="O1010" s="376"/>
      <c r="P1010" s="220"/>
      <c r="Q1010" s="117"/>
      <c r="R1010" s="189"/>
      <c r="S1010" s="141"/>
      <c r="T1010" s="141"/>
      <c r="U1010" s="57"/>
      <c r="V1010" s="57"/>
      <c r="W1010" s="57"/>
      <c r="X1010" s="57"/>
      <c r="Y1010" s="57"/>
      <c r="Z1010" s="57"/>
      <c r="AA1010" s="57"/>
      <c r="AB1010" s="57"/>
    </row>
    <row r="1011">
      <c r="A1011" s="185" t="str">
        <f t="shared" si="17"/>
        <v/>
      </c>
      <c r="B1011" s="141"/>
      <c r="C1011" s="117"/>
      <c r="D1011" s="117"/>
      <c r="E1011" s="117"/>
      <c r="F1011" s="117"/>
      <c r="G1011" s="189"/>
      <c r="H1011" s="189"/>
      <c r="I1011" s="48"/>
      <c r="J1011" s="189"/>
      <c r="K1011" s="220"/>
      <c r="L1011" s="220"/>
      <c r="M1011" s="197"/>
      <c r="N1011" s="375"/>
      <c r="O1011" s="376"/>
      <c r="P1011" s="220"/>
      <c r="Q1011" s="117"/>
      <c r="R1011" s="189"/>
      <c r="S1011" s="141"/>
      <c r="T1011" s="141"/>
      <c r="U1011" s="57"/>
      <c r="V1011" s="57"/>
      <c r="W1011" s="57"/>
      <c r="X1011" s="57"/>
      <c r="Y1011" s="57"/>
      <c r="Z1011" s="57"/>
      <c r="AA1011" s="57"/>
      <c r="AB1011" s="57"/>
    </row>
    <row r="1012">
      <c r="A1012" s="185" t="str">
        <f t="shared" si="17"/>
        <v/>
      </c>
      <c r="B1012" s="141"/>
      <c r="C1012" s="117"/>
      <c r="D1012" s="117"/>
      <c r="E1012" s="117"/>
      <c r="F1012" s="117"/>
      <c r="G1012" s="189"/>
      <c r="H1012" s="189"/>
      <c r="I1012" s="48"/>
      <c r="J1012" s="189"/>
      <c r="K1012" s="220"/>
      <c r="L1012" s="220"/>
      <c r="M1012" s="197"/>
      <c r="N1012" s="375"/>
      <c r="O1012" s="376"/>
      <c r="P1012" s="220"/>
      <c r="Q1012" s="117"/>
      <c r="R1012" s="189"/>
      <c r="S1012" s="141"/>
      <c r="T1012" s="141"/>
      <c r="U1012" s="57"/>
      <c r="V1012" s="57"/>
      <c r="W1012" s="57"/>
      <c r="X1012" s="57"/>
      <c r="Y1012" s="57"/>
      <c r="Z1012" s="57"/>
      <c r="AA1012" s="57"/>
      <c r="AB1012" s="57"/>
    </row>
    <row r="1013">
      <c r="A1013" s="185" t="str">
        <f t="shared" si="17"/>
        <v/>
      </c>
      <c r="B1013" s="198"/>
      <c r="C1013" s="186"/>
      <c r="D1013" s="186"/>
      <c r="E1013" s="186"/>
      <c r="F1013" s="117"/>
      <c r="G1013" s="204"/>
      <c r="H1013" s="322"/>
      <c r="I1013" s="373"/>
      <c r="J1013" s="204"/>
      <c r="K1013" s="220"/>
      <c r="L1013" s="220"/>
      <c r="M1013" s="197"/>
      <c r="N1013" s="375"/>
      <c r="O1013" s="376"/>
      <c r="P1013" s="220"/>
      <c r="Q1013" s="186"/>
      <c r="R1013" s="189"/>
      <c r="S1013" s="141"/>
      <c r="T1013" s="141"/>
      <c r="U1013" s="57"/>
      <c r="V1013" s="57"/>
      <c r="W1013" s="57"/>
      <c r="X1013" s="57"/>
      <c r="Y1013" s="57"/>
      <c r="Z1013" s="57"/>
      <c r="AA1013" s="57"/>
      <c r="AB1013" s="57"/>
    </row>
    <row r="1014">
      <c r="A1014" s="185"/>
      <c r="B1014" s="198"/>
      <c r="C1014" s="186"/>
      <c r="D1014" s="186"/>
      <c r="E1014" s="186"/>
      <c r="F1014" s="117"/>
      <c r="G1014" s="204"/>
      <c r="H1014" s="322"/>
      <c r="I1014" s="373"/>
      <c r="J1014" s="204"/>
      <c r="K1014" s="220"/>
      <c r="L1014" s="220"/>
      <c r="M1014" s="197"/>
      <c r="N1014" s="375"/>
      <c r="O1014" s="376"/>
      <c r="P1014" s="220"/>
      <c r="Q1014" s="186"/>
      <c r="R1014" s="189"/>
      <c r="S1014" s="141"/>
      <c r="T1014" s="141"/>
      <c r="U1014" s="57"/>
      <c r="V1014" s="57"/>
      <c r="W1014" s="57"/>
      <c r="X1014" s="57"/>
      <c r="Y1014" s="57"/>
      <c r="Z1014" s="57"/>
      <c r="AA1014" s="57"/>
      <c r="AB1014" s="57"/>
    </row>
  </sheetData>
  <conditionalFormatting sqref="A1:U1014">
    <cfRule type="expression" dxfId="5" priority="1">
      <formula>AND($B1&lt;&gt;"", $K1="")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4.88"/>
    <col customWidth="1" min="3" max="3" width="12.88"/>
    <col customWidth="1" min="4" max="4" width="7.75"/>
    <col customWidth="1" min="5" max="5" width="32.25"/>
    <col customWidth="1" min="6" max="6" width="23.25"/>
    <col customWidth="1" min="7" max="7" width="9.63"/>
    <col customWidth="1" min="8" max="8" width="9.13"/>
    <col customWidth="1" min="9" max="9" width="11.5"/>
    <col customWidth="1" min="10" max="10" width="14.25"/>
    <col customWidth="1" min="11" max="11" width="8.63"/>
    <col customWidth="1" min="12" max="12" width="10.25"/>
    <col customWidth="1" min="13" max="13" width="7.0"/>
    <col customWidth="1" min="14" max="14" width="11.25"/>
    <col customWidth="1" min="15" max="15" width="29.13"/>
    <col customWidth="1" min="16" max="16" width="7.13"/>
    <col customWidth="1" min="17" max="17" width="11.13"/>
    <col customWidth="1" min="19" max="19" width="12.63"/>
    <col customWidth="1" min="20" max="20" width="9.38"/>
  </cols>
  <sheetData>
    <row r="1" ht="15.0" customHeight="1">
      <c r="A1" s="42" t="s">
        <v>1</v>
      </c>
      <c r="B1" s="42" t="s">
        <v>2</v>
      </c>
      <c r="C1" s="44" t="s">
        <v>3</v>
      </c>
      <c r="D1" s="42" t="s">
        <v>535</v>
      </c>
      <c r="E1" s="42" t="s">
        <v>536</v>
      </c>
      <c r="F1" s="42" t="s">
        <v>22</v>
      </c>
      <c r="G1" s="42" t="s">
        <v>537</v>
      </c>
      <c r="H1" s="42" t="s">
        <v>538</v>
      </c>
      <c r="I1" s="42" t="s">
        <v>9</v>
      </c>
      <c r="J1" s="45" t="s">
        <v>23</v>
      </c>
      <c r="K1" s="45" t="s">
        <v>25</v>
      </c>
      <c r="L1" s="45" t="s">
        <v>26</v>
      </c>
      <c r="M1" s="45" t="s">
        <v>27</v>
      </c>
      <c r="N1" s="45" t="s">
        <v>28</v>
      </c>
      <c r="O1" s="45" t="s">
        <v>539</v>
      </c>
      <c r="P1" s="42" t="s">
        <v>540</v>
      </c>
      <c r="Q1" s="42" t="s">
        <v>541</v>
      </c>
      <c r="R1" s="48"/>
      <c r="S1" s="47" t="s">
        <v>17</v>
      </c>
      <c r="T1" s="47" t="s">
        <v>19</v>
      </c>
      <c r="U1" s="48"/>
      <c r="V1" s="48"/>
      <c r="W1" s="48"/>
      <c r="X1" s="48"/>
      <c r="Y1" s="48"/>
      <c r="Z1" s="48"/>
      <c r="AA1" s="48"/>
      <c r="AB1" s="48"/>
      <c r="AC1" s="48"/>
      <c r="AD1" s="48"/>
    </row>
    <row r="2">
      <c r="A2" s="349"/>
      <c r="B2" s="185" t="s">
        <v>53</v>
      </c>
      <c r="C2" s="141"/>
      <c r="D2" s="186">
        <v>1.0</v>
      </c>
      <c r="E2" s="186" t="s">
        <v>478</v>
      </c>
      <c r="F2" s="141"/>
      <c r="G2" s="48"/>
      <c r="H2" s="48"/>
      <c r="I2" s="48"/>
      <c r="J2" s="203">
        <v>45841.0</v>
      </c>
      <c r="K2" s="380" t="s">
        <v>69</v>
      </c>
      <c r="L2" s="380">
        <v>5.00233467E8</v>
      </c>
      <c r="M2" s="381">
        <v>161.87</v>
      </c>
      <c r="N2" s="193">
        <v>1502888.0</v>
      </c>
      <c r="O2" s="382"/>
      <c r="P2" s="48"/>
      <c r="Q2" s="117"/>
      <c r="R2" s="141"/>
      <c r="S2" s="141"/>
      <c r="T2" s="141"/>
      <c r="U2" s="57"/>
      <c r="V2" s="57"/>
      <c r="W2" s="57"/>
      <c r="X2" s="57"/>
      <c r="Y2" s="57"/>
      <c r="Z2" s="57"/>
      <c r="AA2" s="57"/>
      <c r="AB2" s="57"/>
    </row>
    <row r="3">
      <c r="A3" s="349"/>
      <c r="B3" s="185" t="s">
        <v>2882</v>
      </c>
      <c r="C3" s="117"/>
      <c r="D3" s="199">
        <v>1.0</v>
      </c>
      <c r="E3" s="200" t="s">
        <v>1769</v>
      </c>
      <c r="F3" s="117"/>
      <c r="G3" s="48"/>
      <c r="H3" s="48"/>
      <c r="I3" s="48"/>
      <c r="J3" s="203">
        <v>45841.0</v>
      </c>
      <c r="K3" s="380" t="s">
        <v>69</v>
      </c>
      <c r="L3" s="380">
        <v>5.00233467E8</v>
      </c>
      <c r="M3" s="381">
        <v>131.81</v>
      </c>
      <c r="N3" s="193">
        <v>1502888.0</v>
      </c>
      <c r="O3" s="382"/>
      <c r="P3" s="48"/>
      <c r="Q3" s="186" t="s">
        <v>2294</v>
      </c>
      <c r="R3" s="141"/>
      <c r="S3" s="141"/>
      <c r="T3" s="141"/>
      <c r="U3" s="57"/>
      <c r="V3" s="57"/>
      <c r="W3" s="57"/>
      <c r="X3" s="57"/>
      <c r="Y3" s="57"/>
      <c r="Z3" s="57"/>
      <c r="AA3" s="57"/>
      <c r="AB3" s="57"/>
    </row>
    <row r="4">
      <c r="A4" s="349"/>
      <c r="B4" s="185" t="s">
        <v>2503</v>
      </c>
      <c r="C4" s="198" t="s">
        <v>2504</v>
      </c>
      <c r="D4" s="199">
        <v>1.0</v>
      </c>
      <c r="E4" s="200" t="s">
        <v>689</v>
      </c>
      <c r="F4" s="186" t="s">
        <v>496</v>
      </c>
      <c r="G4" s="48"/>
      <c r="H4" s="48"/>
      <c r="I4" s="48"/>
      <c r="J4" s="203">
        <v>45841.0</v>
      </c>
      <c r="K4" s="380" t="s">
        <v>69</v>
      </c>
      <c r="L4" s="380">
        <v>5.00233467E8</v>
      </c>
      <c r="M4" s="381">
        <v>99.91</v>
      </c>
      <c r="N4" s="193">
        <v>1502888.0</v>
      </c>
      <c r="O4" s="382"/>
      <c r="P4" s="48"/>
      <c r="Q4" s="186" t="s">
        <v>2294</v>
      </c>
      <c r="R4" s="141"/>
      <c r="S4" s="141"/>
      <c r="T4" s="141"/>
      <c r="U4" s="57"/>
      <c r="V4" s="57"/>
      <c r="W4" s="57"/>
      <c r="X4" s="57"/>
      <c r="Y4" s="57"/>
      <c r="Z4" s="57"/>
      <c r="AA4" s="57"/>
      <c r="AB4" s="57"/>
    </row>
    <row r="5">
      <c r="A5" s="349"/>
      <c r="B5" s="185" t="s">
        <v>2883</v>
      </c>
      <c r="C5" s="141"/>
      <c r="D5" s="186">
        <v>1.0</v>
      </c>
      <c r="E5" s="186" t="s">
        <v>1770</v>
      </c>
      <c r="F5" s="198" t="s">
        <v>2884</v>
      </c>
      <c r="G5" s="48"/>
      <c r="H5" s="48"/>
      <c r="I5" s="48"/>
      <c r="J5" s="203">
        <v>45841.0</v>
      </c>
      <c r="K5" s="380" t="s">
        <v>69</v>
      </c>
      <c r="L5" s="380">
        <v>5.00233467E8</v>
      </c>
      <c r="M5" s="381">
        <v>148.66</v>
      </c>
      <c r="N5" s="193">
        <v>1502888.0</v>
      </c>
      <c r="O5" s="382"/>
      <c r="P5" s="48"/>
      <c r="Q5" s="186" t="s">
        <v>2294</v>
      </c>
      <c r="R5" s="141"/>
      <c r="S5" s="141"/>
      <c r="T5" s="141"/>
      <c r="U5" s="57"/>
      <c r="V5" s="57"/>
      <c r="W5" s="57"/>
      <c r="X5" s="57"/>
      <c r="Y5" s="57"/>
      <c r="Z5" s="57"/>
      <c r="AA5" s="57"/>
      <c r="AB5" s="57"/>
    </row>
    <row r="6">
      <c r="A6" s="349"/>
      <c r="B6" s="185" t="s">
        <v>2885</v>
      </c>
      <c r="C6" s="141"/>
      <c r="D6" s="186">
        <v>1.0</v>
      </c>
      <c r="E6" s="186" t="s">
        <v>798</v>
      </c>
      <c r="F6" s="141"/>
      <c r="G6" s="48"/>
      <c r="H6" s="48"/>
      <c r="I6" s="48"/>
      <c r="J6" s="203">
        <v>45841.0</v>
      </c>
      <c r="K6" s="380" t="s">
        <v>69</v>
      </c>
      <c r="L6" s="380">
        <v>5.00233467E8</v>
      </c>
      <c r="M6" s="381">
        <v>125.0</v>
      </c>
      <c r="N6" s="193">
        <v>1502888.0</v>
      </c>
      <c r="O6" s="382"/>
      <c r="P6" s="48"/>
      <c r="Q6" s="186" t="s">
        <v>2294</v>
      </c>
      <c r="R6" s="141"/>
      <c r="S6" s="141"/>
      <c r="T6" s="141"/>
      <c r="U6" s="57"/>
      <c r="V6" s="57"/>
      <c r="W6" s="57"/>
      <c r="X6" s="57"/>
      <c r="Y6" s="57"/>
      <c r="Z6" s="57"/>
      <c r="AA6" s="57"/>
      <c r="AB6" s="57"/>
    </row>
    <row r="7">
      <c r="A7" s="349"/>
      <c r="B7" s="185" t="s">
        <v>2293</v>
      </c>
      <c r="C7" s="141"/>
      <c r="D7" s="186">
        <v>1.0</v>
      </c>
      <c r="E7" s="186" t="s">
        <v>1771</v>
      </c>
      <c r="F7" s="141"/>
      <c r="G7" s="48"/>
      <c r="H7" s="48"/>
      <c r="I7" s="48"/>
      <c r="J7" s="203">
        <v>45846.0</v>
      </c>
      <c r="K7" s="380" t="s">
        <v>347</v>
      </c>
      <c r="L7" s="380" t="s">
        <v>1081</v>
      </c>
      <c r="M7" s="381">
        <v>100.0</v>
      </c>
      <c r="N7" s="197"/>
      <c r="O7" s="382"/>
      <c r="P7" s="48"/>
      <c r="Q7" s="186" t="s">
        <v>2294</v>
      </c>
      <c r="R7" s="141"/>
      <c r="S7" s="141"/>
      <c r="T7" s="141"/>
      <c r="U7" s="57"/>
      <c r="V7" s="57"/>
      <c r="W7" s="57"/>
      <c r="X7" s="57"/>
      <c r="Y7" s="57"/>
      <c r="Z7" s="57"/>
      <c r="AA7" s="57"/>
      <c r="AB7" s="57"/>
    </row>
    <row r="8">
      <c r="A8" s="349"/>
      <c r="B8" s="185" t="s">
        <v>2293</v>
      </c>
      <c r="C8" s="141"/>
      <c r="D8" s="186">
        <v>1.0</v>
      </c>
      <c r="E8" s="186" t="s">
        <v>1772</v>
      </c>
      <c r="F8" s="141"/>
      <c r="G8" s="48"/>
      <c r="H8" s="48"/>
      <c r="I8" s="48"/>
      <c r="J8" s="203">
        <v>45846.0</v>
      </c>
      <c r="K8" s="380" t="s">
        <v>347</v>
      </c>
      <c r="L8" s="380" t="s">
        <v>1081</v>
      </c>
      <c r="M8" s="381">
        <v>100.0</v>
      </c>
      <c r="N8" s="197"/>
      <c r="O8" s="382"/>
      <c r="P8" s="48"/>
      <c r="Q8" s="186" t="s">
        <v>2294</v>
      </c>
      <c r="R8" s="141"/>
      <c r="S8" s="141"/>
      <c r="T8" s="141"/>
      <c r="U8" s="57"/>
      <c r="V8" s="57"/>
      <c r="W8" s="57"/>
      <c r="X8" s="57"/>
      <c r="Y8" s="57"/>
      <c r="Z8" s="57"/>
      <c r="AA8" s="57"/>
      <c r="AB8" s="57"/>
    </row>
    <row r="9">
      <c r="A9" s="349"/>
      <c r="B9" s="185" t="s">
        <v>2886</v>
      </c>
      <c r="C9" s="141"/>
      <c r="D9" s="186">
        <v>1.0</v>
      </c>
      <c r="E9" s="186" t="s">
        <v>1771</v>
      </c>
      <c r="F9" s="141"/>
      <c r="G9" s="48"/>
      <c r="H9" s="48"/>
      <c r="I9" s="48"/>
      <c r="J9" s="203">
        <v>45846.0</v>
      </c>
      <c r="K9" s="380" t="s">
        <v>347</v>
      </c>
      <c r="L9" s="380" t="s">
        <v>1081</v>
      </c>
      <c r="M9" s="381">
        <v>100.0</v>
      </c>
      <c r="N9" s="197"/>
      <c r="O9" s="382"/>
      <c r="P9" s="47"/>
      <c r="Q9" s="186" t="s">
        <v>2294</v>
      </c>
      <c r="R9" s="141"/>
      <c r="S9" s="141"/>
      <c r="T9" s="141"/>
      <c r="U9" s="57"/>
      <c r="V9" s="57"/>
      <c r="W9" s="57"/>
      <c r="X9" s="57"/>
      <c r="Y9" s="57"/>
      <c r="Z9" s="57"/>
      <c r="AA9" s="57"/>
      <c r="AB9" s="57"/>
    </row>
    <row r="10">
      <c r="A10" s="349"/>
      <c r="B10" s="185" t="s">
        <v>625</v>
      </c>
      <c r="C10" s="141"/>
      <c r="D10" s="186">
        <v>1.0</v>
      </c>
      <c r="E10" s="186" t="s">
        <v>1771</v>
      </c>
      <c r="F10" s="141"/>
      <c r="G10" s="48"/>
      <c r="H10" s="48"/>
      <c r="I10" s="48"/>
      <c r="J10" s="203">
        <v>45846.0</v>
      </c>
      <c r="K10" s="380" t="s">
        <v>347</v>
      </c>
      <c r="L10" s="380" t="s">
        <v>1081</v>
      </c>
      <c r="M10" s="381">
        <v>100.0</v>
      </c>
      <c r="N10" s="197"/>
      <c r="O10" s="382"/>
      <c r="P10" s="48"/>
      <c r="Q10" s="117"/>
      <c r="R10" s="141"/>
      <c r="S10" s="141"/>
      <c r="T10" s="141"/>
      <c r="U10" s="57"/>
      <c r="V10" s="57"/>
      <c r="W10" s="57"/>
      <c r="X10" s="57"/>
      <c r="Y10" s="57"/>
      <c r="Z10" s="57"/>
      <c r="AA10" s="57"/>
      <c r="AB10" s="57"/>
    </row>
    <row r="11">
      <c r="A11" s="349"/>
      <c r="B11" s="185" t="s">
        <v>53</v>
      </c>
      <c r="C11" s="141"/>
      <c r="D11" s="186">
        <v>1.0</v>
      </c>
      <c r="E11" s="186" t="s">
        <v>614</v>
      </c>
      <c r="F11" s="141"/>
      <c r="G11" s="48"/>
      <c r="H11" s="48"/>
      <c r="I11" s="48"/>
      <c r="J11" s="203">
        <v>45846.0</v>
      </c>
      <c r="K11" s="380" t="s">
        <v>69</v>
      </c>
      <c r="L11" s="380">
        <v>5.0023426E8</v>
      </c>
      <c r="M11" s="381">
        <v>161.87</v>
      </c>
      <c r="N11" s="193">
        <v>1503837.0</v>
      </c>
      <c r="O11" s="382"/>
      <c r="P11" s="48"/>
      <c r="Q11" s="117"/>
      <c r="R11" s="141"/>
      <c r="S11" s="141"/>
      <c r="T11" s="141"/>
      <c r="U11" s="57"/>
      <c r="V11" s="57"/>
      <c r="W11" s="57"/>
      <c r="X11" s="57"/>
      <c r="Y11" s="57"/>
      <c r="Z11" s="57"/>
      <c r="AA11" s="57"/>
      <c r="AB11" s="57"/>
    </row>
    <row r="12">
      <c r="A12" s="349"/>
      <c r="B12" s="185" t="s">
        <v>53</v>
      </c>
      <c r="C12" s="141"/>
      <c r="D12" s="186">
        <v>6.0</v>
      </c>
      <c r="E12" s="186" t="s">
        <v>1773</v>
      </c>
      <c r="F12" s="117"/>
      <c r="G12" s="48"/>
      <c r="H12" s="48"/>
      <c r="I12" s="48"/>
      <c r="J12" s="203">
        <v>45846.0</v>
      </c>
      <c r="K12" s="380" t="s">
        <v>69</v>
      </c>
      <c r="L12" s="380">
        <v>5.0023426E8</v>
      </c>
      <c r="M12" s="381">
        <v>6.21</v>
      </c>
      <c r="N12" s="193">
        <v>1503837.0</v>
      </c>
      <c r="O12" s="382"/>
      <c r="P12" s="48"/>
      <c r="Q12" s="117"/>
      <c r="R12" s="141"/>
      <c r="S12" s="141"/>
      <c r="T12" s="141"/>
      <c r="U12" s="57"/>
      <c r="V12" s="57"/>
      <c r="W12" s="57"/>
      <c r="X12" s="57"/>
      <c r="Y12" s="57"/>
      <c r="Z12" s="57"/>
      <c r="AA12" s="57"/>
      <c r="AB12" s="57"/>
    </row>
    <row r="13">
      <c r="A13" s="349"/>
      <c r="B13" s="185" t="s">
        <v>2887</v>
      </c>
      <c r="C13" s="141"/>
      <c r="D13" s="186">
        <v>1.0</v>
      </c>
      <c r="E13" s="186" t="s">
        <v>1774</v>
      </c>
      <c r="F13" s="198" t="s">
        <v>35</v>
      </c>
      <c r="G13" s="48"/>
      <c r="H13" s="48"/>
      <c r="I13" s="48"/>
      <c r="J13" s="203">
        <v>45846.0</v>
      </c>
      <c r="K13" s="380" t="s">
        <v>69</v>
      </c>
      <c r="L13" s="380">
        <v>5.0023426E8</v>
      </c>
      <c r="M13" s="381">
        <v>156.52</v>
      </c>
      <c r="N13" s="193">
        <v>1503837.0</v>
      </c>
      <c r="O13" s="382"/>
      <c r="P13" s="48"/>
      <c r="Q13" s="186" t="s">
        <v>2294</v>
      </c>
      <c r="R13" s="141"/>
      <c r="S13" s="141"/>
      <c r="T13" s="141"/>
      <c r="U13" s="57"/>
      <c r="V13" s="57"/>
      <c r="W13" s="57"/>
      <c r="X13" s="57"/>
      <c r="Y13" s="57"/>
      <c r="Z13" s="57"/>
      <c r="AA13" s="57"/>
      <c r="AB13" s="57"/>
    </row>
    <row r="14">
      <c r="A14" s="349"/>
      <c r="B14" s="185" t="s">
        <v>53</v>
      </c>
      <c r="C14" s="141"/>
      <c r="D14" s="186">
        <v>1.0</v>
      </c>
      <c r="E14" s="186" t="s">
        <v>798</v>
      </c>
      <c r="F14" s="141"/>
      <c r="G14" s="48"/>
      <c r="H14" s="48"/>
      <c r="I14" s="48"/>
      <c r="J14" s="203">
        <v>45846.0</v>
      </c>
      <c r="K14" s="380" t="s">
        <v>69</v>
      </c>
      <c r="L14" s="380">
        <v>5.0023426E8</v>
      </c>
      <c r="M14" s="381">
        <v>125.0</v>
      </c>
      <c r="N14" s="193">
        <v>1503837.0</v>
      </c>
      <c r="O14" s="382"/>
      <c r="P14" s="48"/>
      <c r="Q14" s="117"/>
      <c r="R14" s="141"/>
      <c r="S14" s="141"/>
      <c r="T14" s="141"/>
      <c r="U14" s="57"/>
      <c r="V14" s="57"/>
      <c r="W14" s="57"/>
      <c r="X14" s="57"/>
      <c r="Y14" s="57"/>
      <c r="Z14" s="57"/>
      <c r="AA14" s="57"/>
      <c r="AB14" s="57"/>
    </row>
    <row r="15">
      <c r="A15" s="349"/>
      <c r="B15" s="185" t="s">
        <v>511</v>
      </c>
      <c r="C15" s="141"/>
      <c r="D15" s="186">
        <v>1.0</v>
      </c>
      <c r="E15" s="186" t="s">
        <v>1775</v>
      </c>
      <c r="F15" s="141"/>
      <c r="G15" s="48"/>
      <c r="H15" s="48"/>
      <c r="I15" s="48"/>
      <c r="J15" s="203">
        <v>45846.0</v>
      </c>
      <c r="K15" s="380" t="s">
        <v>69</v>
      </c>
      <c r="L15" s="380">
        <v>5.0023426E8</v>
      </c>
      <c r="M15" s="381">
        <v>120.0</v>
      </c>
      <c r="N15" s="193">
        <v>1503837.0</v>
      </c>
      <c r="O15" s="382"/>
      <c r="P15" s="48"/>
      <c r="Q15" s="186" t="s">
        <v>2294</v>
      </c>
      <c r="R15" s="141"/>
      <c r="S15" s="141"/>
      <c r="T15" s="141"/>
      <c r="U15" s="57"/>
      <c r="V15" s="57"/>
      <c r="W15" s="57"/>
      <c r="X15" s="57"/>
      <c r="Y15" s="57"/>
      <c r="Z15" s="57"/>
      <c r="AA15" s="57"/>
      <c r="AB15" s="57"/>
    </row>
    <row r="16">
      <c r="A16" s="349"/>
      <c r="B16" s="185" t="s">
        <v>76</v>
      </c>
      <c r="C16" s="141"/>
      <c r="D16" s="186">
        <v>1.0</v>
      </c>
      <c r="E16" s="186" t="s">
        <v>1776</v>
      </c>
      <c r="F16" s="141"/>
      <c r="G16" s="48"/>
      <c r="H16" s="48"/>
      <c r="I16" s="48"/>
      <c r="J16" s="221">
        <v>45847.0</v>
      </c>
      <c r="K16" s="380" t="s">
        <v>820</v>
      </c>
      <c r="L16" s="380">
        <v>627798.0</v>
      </c>
      <c r="M16" s="381">
        <v>100.0</v>
      </c>
      <c r="N16" s="197"/>
      <c r="O16" s="382"/>
      <c r="P16" s="48"/>
      <c r="Q16" s="198" t="s">
        <v>2294</v>
      </c>
      <c r="R16" s="141"/>
      <c r="S16" s="141"/>
      <c r="T16" s="141"/>
      <c r="U16" s="57"/>
      <c r="V16" s="57"/>
      <c r="W16" s="57"/>
      <c r="X16" s="57"/>
      <c r="Y16" s="57"/>
      <c r="Z16" s="57"/>
      <c r="AA16" s="57"/>
      <c r="AB16" s="57"/>
    </row>
    <row r="17">
      <c r="A17" s="349"/>
      <c r="B17" s="185" t="s">
        <v>53</v>
      </c>
      <c r="C17" s="141"/>
      <c r="D17" s="186">
        <v>9.0</v>
      </c>
      <c r="E17" s="186" t="s">
        <v>1776</v>
      </c>
      <c r="F17" s="141"/>
      <c r="G17" s="48"/>
      <c r="H17" s="48"/>
      <c r="I17" s="48"/>
      <c r="J17" s="383"/>
      <c r="K17" s="380" t="s">
        <v>38</v>
      </c>
      <c r="L17" s="382"/>
      <c r="M17" s="381">
        <v>159.46</v>
      </c>
      <c r="N17" s="193">
        <v>607368.0</v>
      </c>
      <c r="O17" s="382"/>
      <c r="P17" s="48"/>
      <c r="Q17" s="141"/>
      <c r="R17" s="141"/>
      <c r="S17" s="141"/>
      <c r="T17" s="141"/>
      <c r="U17" s="57"/>
      <c r="V17" s="57"/>
      <c r="W17" s="57"/>
      <c r="X17" s="57"/>
      <c r="Y17" s="57"/>
      <c r="Z17" s="57"/>
      <c r="AA17" s="57"/>
      <c r="AB17" s="57"/>
    </row>
    <row r="18">
      <c r="A18" s="349"/>
      <c r="B18" s="185" t="s">
        <v>53</v>
      </c>
      <c r="C18" s="141"/>
      <c r="D18" s="186">
        <v>2.0</v>
      </c>
      <c r="E18" s="186" t="s">
        <v>1777</v>
      </c>
      <c r="F18" s="141"/>
      <c r="G18" s="48"/>
      <c r="H18" s="48"/>
      <c r="I18" s="48"/>
      <c r="J18" s="118"/>
      <c r="K18" s="380" t="s">
        <v>38</v>
      </c>
      <c r="L18" s="382"/>
      <c r="M18" s="381">
        <v>159.46</v>
      </c>
      <c r="N18" s="193">
        <v>607368.0</v>
      </c>
      <c r="O18" s="382"/>
      <c r="P18" s="48"/>
      <c r="Q18" s="117"/>
      <c r="R18" s="141"/>
      <c r="S18" s="141"/>
      <c r="T18" s="141"/>
      <c r="U18" s="57"/>
      <c r="V18" s="57"/>
      <c r="W18" s="57"/>
      <c r="X18" s="57"/>
      <c r="Y18" s="57"/>
      <c r="Z18" s="57"/>
      <c r="AA18" s="57"/>
      <c r="AB18" s="57"/>
    </row>
    <row r="19">
      <c r="A19" s="349"/>
      <c r="B19" s="185" t="s">
        <v>53</v>
      </c>
      <c r="C19" s="141"/>
      <c r="D19" s="186">
        <v>2.0</v>
      </c>
      <c r="E19" s="186" t="s">
        <v>814</v>
      </c>
      <c r="F19" s="141"/>
      <c r="G19" s="48"/>
      <c r="H19" s="48"/>
      <c r="I19" s="48"/>
      <c r="J19" s="203">
        <v>45847.0</v>
      </c>
      <c r="K19" s="380" t="s">
        <v>38</v>
      </c>
      <c r="L19" s="380" t="s">
        <v>2888</v>
      </c>
      <c r="M19" s="381">
        <v>101.7</v>
      </c>
      <c r="N19" s="193">
        <v>607455.0</v>
      </c>
      <c r="O19" s="382"/>
      <c r="P19" s="48"/>
      <c r="Q19" s="117"/>
      <c r="R19" s="141"/>
      <c r="S19" s="141"/>
      <c r="T19" s="141"/>
      <c r="U19" s="57"/>
      <c r="V19" s="57"/>
      <c r="W19" s="57"/>
      <c r="X19" s="57"/>
      <c r="Y19" s="57"/>
      <c r="Z19" s="57"/>
      <c r="AA19" s="57"/>
      <c r="AB19" s="57"/>
    </row>
    <row r="20">
      <c r="A20" s="349"/>
      <c r="B20" s="185" t="s">
        <v>511</v>
      </c>
      <c r="C20" s="141"/>
      <c r="D20" s="186">
        <v>1.0</v>
      </c>
      <c r="E20" s="186" t="s">
        <v>616</v>
      </c>
      <c r="F20" s="141"/>
      <c r="G20" s="48"/>
      <c r="H20" s="48"/>
      <c r="I20" s="48"/>
      <c r="J20" s="203">
        <v>45847.0</v>
      </c>
      <c r="K20" s="380" t="s">
        <v>38</v>
      </c>
      <c r="L20" s="380" t="s">
        <v>2888</v>
      </c>
      <c r="M20" s="381">
        <v>142.83</v>
      </c>
      <c r="N20" s="193">
        <v>607455.0</v>
      </c>
      <c r="O20" s="382"/>
      <c r="P20" s="47"/>
      <c r="Q20" s="186" t="s">
        <v>2294</v>
      </c>
      <c r="R20" s="141"/>
      <c r="S20" s="141"/>
      <c r="T20" s="141"/>
      <c r="U20" s="57"/>
      <c r="V20" s="57"/>
      <c r="W20" s="57"/>
      <c r="X20" s="57"/>
      <c r="Y20" s="57"/>
      <c r="Z20" s="57"/>
      <c r="AA20" s="57"/>
      <c r="AB20" s="57"/>
    </row>
    <row r="21">
      <c r="A21" s="349"/>
      <c r="B21" s="185" t="s">
        <v>76</v>
      </c>
      <c r="C21" s="141"/>
      <c r="D21" s="186">
        <v>1.0</v>
      </c>
      <c r="E21" s="186" t="s">
        <v>1778</v>
      </c>
      <c r="F21" s="141"/>
      <c r="G21" s="48"/>
      <c r="H21" s="48"/>
      <c r="I21" s="48"/>
      <c r="J21" s="203">
        <v>45847.0</v>
      </c>
      <c r="K21" s="380" t="s">
        <v>38</v>
      </c>
      <c r="L21" s="380" t="s">
        <v>2888</v>
      </c>
      <c r="M21" s="381">
        <v>13.3</v>
      </c>
      <c r="N21" s="193">
        <v>607455.0</v>
      </c>
      <c r="O21" s="382"/>
      <c r="P21" s="48"/>
      <c r="Q21" s="117"/>
      <c r="R21" s="141"/>
      <c r="S21" s="141"/>
      <c r="T21" s="141"/>
      <c r="U21" s="57"/>
      <c r="V21" s="57"/>
      <c r="W21" s="57"/>
      <c r="X21" s="57"/>
      <c r="Y21" s="57"/>
      <c r="Z21" s="57"/>
      <c r="AA21" s="57"/>
      <c r="AB21" s="57"/>
    </row>
    <row r="22">
      <c r="A22" s="349"/>
      <c r="B22" s="185" t="s">
        <v>53</v>
      </c>
      <c r="C22" s="141"/>
      <c r="D22" s="186">
        <v>1.0</v>
      </c>
      <c r="E22" s="186" t="s">
        <v>1779</v>
      </c>
      <c r="F22" s="141"/>
      <c r="G22" s="48"/>
      <c r="H22" s="48"/>
      <c r="I22" s="48"/>
      <c r="J22" s="203">
        <v>45847.0</v>
      </c>
      <c r="K22" s="380" t="s">
        <v>38</v>
      </c>
      <c r="L22" s="380" t="s">
        <v>2888</v>
      </c>
      <c r="M22" s="381">
        <v>42.47</v>
      </c>
      <c r="N22" s="193">
        <v>607455.0</v>
      </c>
      <c r="O22" s="382"/>
      <c r="P22" s="48"/>
      <c r="Q22" s="117"/>
      <c r="R22" s="141"/>
      <c r="S22" s="141"/>
      <c r="T22" s="141"/>
      <c r="U22" s="57"/>
      <c r="V22" s="57"/>
      <c r="W22" s="57"/>
      <c r="X22" s="57"/>
      <c r="Y22" s="57"/>
      <c r="Z22" s="57"/>
      <c r="AA22" s="57"/>
      <c r="AB22" s="57"/>
    </row>
    <row r="23">
      <c r="A23" s="349"/>
      <c r="B23" s="185" t="s">
        <v>53</v>
      </c>
      <c r="C23" s="141"/>
      <c r="D23" s="186">
        <v>1.0</v>
      </c>
      <c r="E23" s="186" t="s">
        <v>1780</v>
      </c>
      <c r="F23" s="141"/>
      <c r="G23" s="48"/>
      <c r="H23" s="48"/>
      <c r="I23" s="48"/>
      <c r="J23" s="203">
        <v>45847.0</v>
      </c>
      <c r="K23" s="380" t="s">
        <v>38</v>
      </c>
      <c r="L23" s="380" t="s">
        <v>2888</v>
      </c>
      <c r="M23" s="381">
        <v>8.88</v>
      </c>
      <c r="N23" s="193">
        <v>607455.0</v>
      </c>
      <c r="O23" s="382"/>
      <c r="P23" s="48"/>
      <c r="Q23" s="117"/>
      <c r="R23" s="141"/>
      <c r="S23" s="141"/>
      <c r="T23" s="141"/>
      <c r="U23" s="57"/>
      <c r="V23" s="57"/>
      <c r="W23" s="57"/>
      <c r="X23" s="57"/>
      <c r="Y23" s="57"/>
      <c r="Z23" s="57"/>
      <c r="AA23" s="57"/>
      <c r="AB23" s="57"/>
    </row>
    <row r="24">
      <c r="A24" s="349"/>
      <c r="B24" s="185" t="s">
        <v>53</v>
      </c>
      <c r="C24" s="141"/>
      <c r="D24" s="186">
        <v>1.0</v>
      </c>
      <c r="E24" s="186" t="s">
        <v>1781</v>
      </c>
      <c r="F24" s="141"/>
      <c r="G24" s="48"/>
      <c r="H24" s="48"/>
      <c r="I24" s="48"/>
      <c r="J24" s="203">
        <v>45847.0</v>
      </c>
      <c r="K24" s="380" t="s">
        <v>38</v>
      </c>
      <c r="L24" s="380" t="s">
        <v>2888</v>
      </c>
      <c r="M24" s="381">
        <v>8.88</v>
      </c>
      <c r="N24" s="193">
        <v>607455.0</v>
      </c>
      <c r="O24" s="382"/>
      <c r="P24" s="48"/>
      <c r="Q24" s="117"/>
      <c r="R24" s="141"/>
      <c r="S24" s="141"/>
      <c r="T24" s="141"/>
      <c r="U24" s="57"/>
      <c r="V24" s="57"/>
      <c r="W24" s="57"/>
      <c r="X24" s="57"/>
      <c r="Y24" s="57"/>
      <c r="Z24" s="57"/>
      <c r="AA24" s="57"/>
      <c r="AB24" s="57"/>
    </row>
    <row r="25">
      <c r="A25" s="349"/>
      <c r="B25" s="185" t="s">
        <v>53</v>
      </c>
      <c r="C25" s="141"/>
      <c r="D25" s="186">
        <v>1.0</v>
      </c>
      <c r="E25" s="186" t="s">
        <v>1782</v>
      </c>
      <c r="F25" s="141"/>
      <c r="G25" s="48"/>
      <c r="H25" s="48"/>
      <c r="I25" s="48"/>
      <c r="J25" s="203">
        <v>45847.0</v>
      </c>
      <c r="K25" s="380" t="s">
        <v>38</v>
      </c>
      <c r="L25" s="380" t="s">
        <v>2888</v>
      </c>
      <c r="M25" s="381">
        <v>8.88</v>
      </c>
      <c r="N25" s="193">
        <v>607455.0</v>
      </c>
      <c r="O25" s="382"/>
      <c r="P25" s="48"/>
      <c r="Q25" s="117"/>
      <c r="R25" s="141"/>
      <c r="S25" s="141"/>
      <c r="T25" s="141"/>
      <c r="U25" s="57"/>
      <c r="V25" s="57"/>
      <c r="W25" s="57"/>
      <c r="X25" s="57"/>
      <c r="Y25" s="57"/>
      <c r="Z25" s="57"/>
      <c r="AA25" s="57"/>
      <c r="AB25" s="57"/>
    </row>
    <row r="26">
      <c r="A26" s="349"/>
      <c r="B26" s="185" t="s">
        <v>511</v>
      </c>
      <c r="C26" s="141"/>
      <c r="D26" s="186">
        <v>1.0</v>
      </c>
      <c r="E26" s="186" t="s">
        <v>1783</v>
      </c>
      <c r="F26" s="141"/>
      <c r="G26" s="48"/>
      <c r="H26" s="48"/>
      <c r="I26" s="48"/>
      <c r="J26" s="203">
        <v>45847.0</v>
      </c>
      <c r="K26" s="380" t="s">
        <v>38</v>
      </c>
      <c r="L26" s="380" t="s">
        <v>2888</v>
      </c>
      <c r="M26" s="381">
        <v>71.25</v>
      </c>
      <c r="N26" s="193">
        <v>607455.0</v>
      </c>
      <c r="O26" s="382"/>
      <c r="P26" s="48"/>
      <c r="Q26" s="186" t="s">
        <v>2294</v>
      </c>
      <c r="R26" s="141"/>
      <c r="S26" s="141"/>
      <c r="T26" s="141"/>
      <c r="U26" s="57"/>
      <c r="V26" s="57"/>
      <c r="W26" s="57"/>
      <c r="X26" s="57"/>
      <c r="Y26" s="57"/>
      <c r="Z26" s="57"/>
      <c r="AA26" s="57"/>
      <c r="AB26" s="57"/>
    </row>
    <row r="27">
      <c r="A27" s="349"/>
      <c r="B27" s="185" t="s">
        <v>511</v>
      </c>
      <c r="C27" s="117"/>
      <c r="D27" s="186">
        <v>1.0</v>
      </c>
      <c r="E27" s="186" t="s">
        <v>1784</v>
      </c>
      <c r="F27" s="117"/>
      <c r="G27" s="48"/>
      <c r="H27" s="48"/>
      <c r="I27" s="48"/>
      <c r="J27" s="203">
        <v>45847.0</v>
      </c>
      <c r="K27" s="380" t="s">
        <v>38</v>
      </c>
      <c r="L27" s="380" t="s">
        <v>2888</v>
      </c>
      <c r="M27" s="381">
        <v>158.37</v>
      </c>
      <c r="N27" s="193">
        <v>607455.0</v>
      </c>
      <c r="O27" s="382"/>
      <c r="P27" s="48"/>
      <c r="Q27" s="186" t="s">
        <v>2294</v>
      </c>
      <c r="R27" s="141"/>
      <c r="S27" s="141"/>
      <c r="T27" s="141"/>
      <c r="U27" s="57"/>
      <c r="V27" s="57"/>
      <c r="W27" s="57"/>
      <c r="X27" s="57"/>
      <c r="Y27" s="57"/>
      <c r="Z27" s="57"/>
      <c r="AA27" s="57"/>
      <c r="AB27" s="57"/>
    </row>
    <row r="28">
      <c r="A28" s="349"/>
      <c r="B28" s="185" t="s">
        <v>2889</v>
      </c>
      <c r="C28" s="198" t="s">
        <v>2890</v>
      </c>
      <c r="D28" s="186">
        <v>1.0</v>
      </c>
      <c r="E28" s="186" t="s">
        <v>1785</v>
      </c>
      <c r="F28" s="198" t="s">
        <v>35</v>
      </c>
      <c r="G28" s="48"/>
      <c r="H28" s="48"/>
      <c r="I28" s="48"/>
      <c r="J28" s="203">
        <v>45851.0</v>
      </c>
      <c r="K28" s="380" t="s">
        <v>38</v>
      </c>
      <c r="L28" s="380" t="s">
        <v>2891</v>
      </c>
      <c r="M28" s="381">
        <v>70.16</v>
      </c>
      <c r="N28" s="193">
        <v>607983.0</v>
      </c>
      <c r="O28" s="382"/>
      <c r="P28" s="48"/>
      <c r="Q28" s="186" t="s">
        <v>2294</v>
      </c>
      <c r="R28" s="141"/>
      <c r="S28" s="141"/>
      <c r="T28" s="141"/>
      <c r="U28" s="57"/>
      <c r="V28" s="57"/>
      <c r="W28" s="57"/>
      <c r="X28" s="57"/>
      <c r="Y28" s="57"/>
      <c r="Z28" s="57"/>
      <c r="AA28" s="57"/>
      <c r="AB28" s="57"/>
    </row>
    <row r="29">
      <c r="A29" s="349"/>
      <c r="B29" s="185" t="s">
        <v>511</v>
      </c>
      <c r="C29" s="141"/>
      <c r="D29" s="186">
        <v>1.0</v>
      </c>
      <c r="E29" s="186" t="s">
        <v>1636</v>
      </c>
      <c r="F29" s="141"/>
      <c r="G29" s="48"/>
      <c r="H29" s="48"/>
      <c r="I29" s="48"/>
      <c r="J29" s="203">
        <v>45851.0</v>
      </c>
      <c r="K29" s="380" t="s">
        <v>38</v>
      </c>
      <c r="L29" s="380" t="s">
        <v>2891</v>
      </c>
      <c r="M29" s="381">
        <v>159.46</v>
      </c>
      <c r="N29" s="193">
        <v>607983.0</v>
      </c>
      <c r="O29" s="382"/>
      <c r="P29" s="48"/>
      <c r="Q29" s="186" t="s">
        <v>2294</v>
      </c>
      <c r="R29" s="141"/>
      <c r="S29" s="141"/>
      <c r="T29" s="141"/>
      <c r="U29" s="57"/>
      <c r="V29" s="57"/>
      <c r="W29" s="57"/>
      <c r="X29" s="57"/>
      <c r="Y29" s="57"/>
      <c r="Z29" s="57"/>
      <c r="AA29" s="57"/>
      <c r="AB29" s="57"/>
    </row>
    <row r="30">
      <c r="A30" s="349"/>
      <c r="B30" s="185" t="s">
        <v>459</v>
      </c>
      <c r="C30" s="141"/>
      <c r="D30" s="186">
        <v>1.0</v>
      </c>
      <c r="E30" s="186" t="s">
        <v>1786</v>
      </c>
      <c r="F30" s="141"/>
      <c r="G30" s="48"/>
      <c r="H30" s="48"/>
      <c r="I30" s="48"/>
      <c r="J30" s="203">
        <v>45851.0</v>
      </c>
      <c r="K30" s="380" t="s">
        <v>38</v>
      </c>
      <c r="L30" s="380" t="s">
        <v>2891</v>
      </c>
      <c r="M30" s="381">
        <v>95.62</v>
      </c>
      <c r="N30" s="193">
        <v>607983.0</v>
      </c>
      <c r="O30" s="382"/>
      <c r="P30" s="48"/>
      <c r="Q30" s="186" t="s">
        <v>2294</v>
      </c>
      <c r="R30" s="141"/>
      <c r="S30" s="141"/>
      <c r="T30" s="141"/>
      <c r="U30" s="57"/>
      <c r="V30" s="57"/>
      <c r="W30" s="57"/>
      <c r="X30" s="57"/>
      <c r="Y30" s="57"/>
      <c r="Z30" s="57"/>
      <c r="AA30" s="57"/>
      <c r="AB30" s="57"/>
    </row>
    <row r="31">
      <c r="A31" s="349"/>
      <c r="B31" s="185" t="s">
        <v>53</v>
      </c>
      <c r="C31" s="117"/>
      <c r="D31" s="186">
        <v>2.0</v>
      </c>
      <c r="E31" s="186" t="s">
        <v>1068</v>
      </c>
      <c r="F31" s="117"/>
      <c r="G31" s="48"/>
      <c r="H31" s="48"/>
      <c r="I31" s="48"/>
      <c r="J31" s="203">
        <v>45851.0</v>
      </c>
      <c r="K31" s="380" t="s">
        <v>38</v>
      </c>
      <c r="L31" s="380" t="s">
        <v>2891</v>
      </c>
      <c r="M31" s="381">
        <v>95.62</v>
      </c>
      <c r="N31" s="193">
        <v>607983.0</v>
      </c>
      <c r="O31" s="382"/>
      <c r="P31" s="48"/>
      <c r="Q31" s="117"/>
      <c r="R31" s="141"/>
      <c r="S31" s="141"/>
      <c r="T31" s="141"/>
      <c r="U31" s="57"/>
      <c r="V31" s="57"/>
      <c r="W31" s="57"/>
      <c r="X31" s="57"/>
      <c r="Y31" s="57"/>
      <c r="Z31" s="57"/>
      <c r="AA31" s="57"/>
      <c r="AB31" s="57"/>
    </row>
    <row r="32">
      <c r="A32" s="349"/>
      <c r="B32" s="185" t="s">
        <v>2727</v>
      </c>
      <c r="C32" s="198" t="s">
        <v>2892</v>
      </c>
      <c r="D32" s="186">
        <v>1.0</v>
      </c>
      <c r="E32" s="186" t="s">
        <v>1068</v>
      </c>
      <c r="F32" s="198" t="s">
        <v>35</v>
      </c>
      <c r="G32" s="48"/>
      <c r="H32" s="48"/>
      <c r="I32" s="48"/>
      <c r="J32" s="203">
        <v>45851.0</v>
      </c>
      <c r="K32" s="380" t="s">
        <v>38</v>
      </c>
      <c r="L32" s="380" t="s">
        <v>2891</v>
      </c>
      <c r="M32" s="381">
        <v>95.62</v>
      </c>
      <c r="N32" s="193">
        <v>607983.0</v>
      </c>
      <c r="O32" s="382"/>
      <c r="P32" s="48"/>
      <c r="Q32" s="186" t="s">
        <v>2294</v>
      </c>
      <c r="R32" s="141"/>
      <c r="S32" s="141"/>
      <c r="T32" s="141"/>
      <c r="U32" s="57"/>
      <c r="V32" s="57"/>
      <c r="W32" s="57"/>
      <c r="X32" s="57"/>
      <c r="Y32" s="57"/>
      <c r="Z32" s="57"/>
      <c r="AA32" s="57"/>
      <c r="AB32" s="57"/>
    </row>
    <row r="33">
      <c r="A33" s="349"/>
      <c r="B33" s="185" t="s">
        <v>53</v>
      </c>
      <c r="C33" s="141"/>
      <c r="D33" s="186">
        <v>5.0</v>
      </c>
      <c r="E33" s="186" t="s">
        <v>1787</v>
      </c>
      <c r="F33" s="141"/>
      <c r="G33" s="48"/>
      <c r="H33" s="48"/>
      <c r="I33" s="48"/>
      <c r="J33" s="203">
        <v>45855.0</v>
      </c>
      <c r="K33" s="380" t="s">
        <v>38</v>
      </c>
      <c r="L33" s="380" t="s">
        <v>2893</v>
      </c>
      <c r="M33" s="381">
        <v>10.4</v>
      </c>
      <c r="N33" s="193">
        <v>609058.0</v>
      </c>
      <c r="O33" s="382"/>
      <c r="P33" s="48"/>
      <c r="Q33" s="117"/>
      <c r="R33" s="141"/>
      <c r="S33" s="141"/>
      <c r="T33" s="141"/>
      <c r="U33" s="57"/>
      <c r="V33" s="57"/>
      <c r="W33" s="57"/>
      <c r="X33" s="57"/>
      <c r="Y33" s="57"/>
      <c r="Z33" s="57"/>
      <c r="AA33" s="57"/>
      <c r="AB33" s="57"/>
    </row>
    <row r="34">
      <c r="A34" s="349"/>
      <c r="B34" s="185" t="s">
        <v>53</v>
      </c>
      <c r="C34" s="141"/>
      <c r="D34" s="186">
        <v>1.0</v>
      </c>
      <c r="E34" s="186" t="s">
        <v>1788</v>
      </c>
      <c r="F34" s="141"/>
      <c r="G34" s="48"/>
      <c r="H34" s="48"/>
      <c r="I34" s="48"/>
      <c r="J34" s="203">
        <v>45855.0</v>
      </c>
      <c r="K34" s="380" t="s">
        <v>38</v>
      </c>
      <c r="L34" s="380" t="s">
        <v>2893</v>
      </c>
      <c r="M34" s="381">
        <v>10.4</v>
      </c>
      <c r="N34" s="193">
        <v>609058.0</v>
      </c>
      <c r="O34" s="382"/>
      <c r="P34" s="48"/>
      <c r="Q34" s="117"/>
      <c r="R34" s="141"/>
      <c r="S34" s="141"/>
      <c r="T34" s="141"/>
      <c r="U34" s="57"/>
      <c r="V34" s="57"/>
      <c r="W34" s="57"/>
      <c r="X34" s="57"/>
      <c r="Y34" s="57"/>
      <c r="Z34" s="57"/>
      <c r="AA34" s="57"/>
      <c r="AB34" s="57"/>
    </row>
    <row r="35">
      <c r="A35" s="349"/>
      <c r="B35" s="185" t="s">
        <v>53</v>
      </c>
      <c r="C35" s="141"/>
      <c r="D35" s="186">
        <v>1.0</v>
      </c>
      <c r="E35" s="186" t="s">
        <v>1066</v>
      </c>
      <c r="F35" s="117"/>
      <c r="G35" s="48"/>
      <c r="H35" s="48"/>
      <c r="I35" s="48"/>
      <c r="J35" s="203">
        <v>45855.0</v>
      </c>
      <c r="K35" s="380" t="s">
        <v>38</v>
      </c>
      <c r="L35" s="380" t="s">
        <v>2893</v>
      </c>
      <c r="M35" s="381">
        <v>114.0</v>
      </c>
      <c r="N35" s="193">
        <v>609058.0</v>
      </c>
      <c r="O35" s="382"/>
      <c r="P35" s="48"/>
      <c r="Q35" s="117"/>
      <c r="R35" s="141"/>
      <c r="S35" s="141"/>
      <c r="T35" s="141"/>
      <c r="U35" s="57"/>
      <c r="V35" s="57"/>
      <c r="W35" s="57"/>
      <c r="X35" s="57"/>
      <c r="Y35" s="57"/>
      <c r="Z35" s="57"/>
      <c r="AA35" s="57"/>
      <c r="AB35" s="57"/>
    </row>
    <row r="36">
      <c r="A36" s="349"/>
      <c r="B36" s="185" t="s">
        <v>2894</v>
      </c>
      <c r="C36" s="141"/>
      <c r="D36" s="186">
        <v>1.0</v>
      </c>
      <c r="E36" s="186" t="s">
        <v>1789</v>
      </c>
      <c r="F36" s="186" t="s">
        <v>35</v>
      </c>
      <c r="G36" s="48"/>
      <c r="H36" s="48"/>
      <c r="I36" s="48"/>
      <c r="J36" s="203">
        <v>45855.0</v>
      </c>
      <c r="K36" s="380" t="s">
        <v>38</v>
      </c>
      <c r="L36" s="380" t="s">
        <v>2893</v>
      </c>
      <c r="M36" s="381">
        <v>79.09</v>
      </c>
      <c r="N36" s="193">
        <v>609058.0</v>
      </c>
      <c r="O36" s="382"/>
      <c r="P36" s="48"/>
      <c r="Q36" s="186" t="s">
        <v>2294</v>
      </c>
      <c r="R36" s="141"/>
      <c r="S36" s="141"/>
      <c r="T36" s="141"/>
      <c r="U36" s="57"/>
      <c r="V36" s="57"/>
      <c r="W36" s="57"/>
      <c r="X36" s="57"/>
      <c r="Y36" s="57"/>
      <c r="Z36" s="57"/>
      <c r="AA36" s="57"/>
      <c r="AB36" s="57"/>
    </row>
    <row r="37">
      <c r="A37" s="349"/>
      <c r="B37" s="185" t="s">
        <v>2895</v>
      </c>
      <c r="C37" s="117"/>
      <c r="D37" s="186">
        <v>1.0</v>
      </c>
      <c r="E37" s="186" t="s">
        <v>1790</v>
      </c>
      <c r="F37" s="198" t="s">
        <v>35</v>
      </c>
      <c r="G37" s="48"/>
      <c r="H37" s="48"/>
      <c r="I37" s="48"/>
      <c r="J37" s="203">
        <v>45855.0</v>
      </c>
      <c r="K37" s="380" t="s">
        <v>38</v>
      </c>
      <c r="L37" s="380" t="s">
        <v>2893</v>
      </c>
      <c r="M37" s="381">
        <v>50.11</v>
      </c>
      <c r="N37" s="193">
        <v>609058.0</v>
      </c>
      <c r="O37" s="382"/>
      <c r="P37" s="48"/>
      <c r="Q37" s="186" t="s">
        <v>2294</v>
      </c>
      <c r="R37" s="141"/>
      <c r="S37" s="141"/>
      <c r="T37" s="141"/>
      <c r="U37" s="57"/>
      <c r="V37" s="57"/>
      <c r="W37" s="57"/>
      <c r="X37" s="57"/>
      <c r="Y37" s="57"/>
      <c r="Z37" s="57"/>
      <c r="AA37" s="57"/>
      <c r="AB37" s="57"/>
    </row>
    <row r="38">
      <c r="A38" s="349"/>
      <c r="B38" s="185" t="s">
        <v>2896</v>
      </c>
      <c r="C38" s="198" t="s">
        <v>2897</v>
      </c>
      <c r="D38" s="186">
        <v>1.0</v>
      </c>
      <c r="E38" s="186" t="s">
        <v>1792</v>
      </c>
      <c r="F38" s="117"/>
      <c r="G38" s="48"/>
      <c r="H38" s="48"/>
      <c r="I38" s="48"/>
      <c r="J38" s="203">
        <v>45855.0</v>
      </c>
      <c r="K38" s="380" t="s">
        <v>38</v>
      </c>
      <c r="L38" s="380" t="s">
        <v>2893</v>
      </c>
      <c r="M38" s="381">
        <v>70.16</v>
      </c>
      <c r="N38" s="193">
        <v>609058.0</v>
      </c>
      <c r="O38" s="382"/>
      <c r="P38" s="47"/>
      <c r="Q38" s="186" t="s">
        <v>2294</v>
      </c>
      <c r="R38" s="141"/>
      <c r="S38" s="141"/>
      <c r="T38" s="141"/>
      <c r="U38" s="57"/>
      <c r="V38" s="57"/>
      <c r="W38" s="57"/>
      <c r="X38" s="57"/>
      <c r="Y38" s="57"/>
      <c r="Z38" s="57"/>
      <c r="AA38" s="57"/>
      <c r="AB38" s="57"/>
    </row>
    <row r="39">
      <c r="A39" s="349"/>
      <c r="B39" s="185" t="s">
        <v>73</v>
      </c>
      <c r="C39" s="141"/>
      <c r="D39" s="186">
        <v>1.0</v>
      </c>
      <c r="E39" s="186" t="s">
        <v>1794</v>
      </c>
      <c r="F39" s="198" t="s">
        <v>35</v>
      </c>
      <c r="G39" s="48"/>
      <c r="H39" s="48"/>
      <c r="I39" s="48"/>
      <c r="J39" s="203">
        <v>45855.0</v>
      </c>
      <c r="K39" s="380" t="s">
        <v>38</v>
      </c>
      <c r="L39" s="380" t="s">
        <v>2893</v>
      </c>
      <c r="M39" s="381">
        <v>70.16</v>
      </c>
      <c r="N39" s="193">
        <v>609058.0</v>
      </c>
      <c r="O39" s="382"/>
      <c r="P39" s="47"/>
      <c r="Q39" s="117"/>
      <c r="R39" s="141"/>
      <c r="S39" s="141"/>
      <c r="T39" s="141"/>
      <c r="U39" s="57"/>
      <c r="V39" s="57"/>
      <c r="W39" s="57"/>
      <c r="X39" s="57"/>
      <c r="Y39" s="57"/>
      <c r="Z39" s="57"/>
      <c r="AA39" s="57"/>
      <c r="AB39" s="57"/>
    </row>
    <row r="40">
      <c r="A40" s="349"/>
      <c r="B40" s="185" t="s">
        <v>1273</v>
      </c>
      <c r="C40" s="141"/>
      <c r="D40" s="186">
        <v>1.0</v>
      </c>
      <c r="E40" s="186" t="s">
        <v>1795</v>
      </c>
      <c r="F40" s="141"/>
      <c r="G40" s="48"/>
      <c r="H40" s="48"/>
      <c r="I40" s="48"/>
      <c r="J40" s="203">
        <v>45855.0</v>
      </c>
      <c r="K40" s="380" t="s">
        <v>38</v>
      </c>
      <c r="L40" s="380" t="s">
        <v>2893</v>
      </c>
      <c r="M40" s="381">
        <v>40.0</v>
      </c>
      <c r="N40" s="193">
        <v>609058.0</v>
      </c>
      <c r="O40" s="382"/>
      <c r="P40" s="48"/>
      <c r="Q40" s="117"/>
      <c r="R40" s="141"/>
      <c r="S40" s="141"/>
      <c r="T40" s="141"/>
      <c r="U40" s="57"/>
      <c r="V40" s="57"/>
      <c r="W40" s="57"/>
      <c r="X40" s="57"/>
      <c r="Y40" s="57"/>
      <c r="Z40" s="57"/>
      <c r="AA40" s="57"/>
      <c r="AB40" s="57"/>
    </row>
    <row r="41">
      <c r="A41" s="349"/>
      <c r="B41" s="185" t="s">
        <v>1273</v>
      </c>
      <c r="C41" s="141"/>
      <c r="D41" s="186">
        <v>1.0</v>
      </c>
      <c r="E41" s="186" t="s">
        <v>1796</v>
      </c>
      <c r="F41" s="141"/>
      <c r="G41" s="48"/>
      <c r="H41" s="48"/>
      <c r="I41" s="48"/>
      <c r="J41" s="203">
        <v>45855.0</v>
      </c>
      <c r="K41" s="380" t="s">
        <v>38</v>
      </c>
      <c r="L41" s="380" t="s">
        <v>2893</v>
      </c>
      <c r="M41" s="381">
        <v>40.0</v>
      </c>
      <c r="N41" s="193">
        <v>609058.0</v>
      </c>
      <c r="O41" s="382"/>
      <c r="P41" s="48"/>
      <c r="Q41" s="117"/>
      <c r="R41" s="141"/>
      <c r="S41" s="141"/>
      <c r="T41" s="141"/>
      <c r="U41" s="57"/>
      <c r="V41" s="57"/>
      <c r="W41" s="57"/>
      <c r="X41" s="57"/>
      <c r="Y41" s="57"/>
      <c r="Z41" s="57"/>
      <c r="AA41" s="57"/>
      <c r="AB41" s="57"/>
    </row>
    <row r="42">
      <c r="A42" s="349"/>
      <c r="B42" s="185" t="s">
        <v>1273</v>
      </c>
      <c r="C42" s="141"/>
      <c r="D42" s="186">
        <v>1.0</v>
      </c>
      <c r="E42" s="200" t="s">
        <v>1797</v>
      </c>
      <c r="F42" s="141"/>
      <c r="G42" s="48"/>
      <c r="H42" s="48"/>
      <c r="I42" s="48"/>
      <c r="J42" s="203">
        <v>45855.0</v>
      </c>
      <c r="K42" s="380" t="s">
        <v>38</v>
      </c>
      <c r="L42" s="380" t="s">
        <v>2893</v>
      </c>
      <c r="M42" s="381">
        <v>50.07</v>
      </c>
      <c r="N42" s="193">
        <v>609058.0</v>
      </c>
      <c r="O42" s="382"/>
      <c r="P42" s="48"/>
      <c r="Q42" s="186" t="s">
        <v>2294</v>
      </c>
      <c r="R42" s="141"/>
      <c r="S42" s="141"/>
      <c r="T42" s="141"/>
      <c r="U42" s="57"/>
      <c r="V42" s="57"/>
      <c r="W42" s="57"/>
      <c r="X42" s="57"/>
      <c r="Y42" s="57"/>
      <c r="Z42" s="57"/>
      <c r="AA42" s="57"/>
      <c r="AB42" s="57"/>
    </row>
    <row r="43">
      <c r="A43" s="349"/>
      <c r="B43" s="185" t="s">
        <v>53</v>
      </c>
      <c r="C43" s="141"/>
      <c r="D43" s="186">
        <v>10.0</v>
      </c>
      <c r="E43" s="200" t="s">
        <v>1799</v>
      </c>
      <c r="F43" s="141"/>
      <c r="G43" s="48"/>
      <c r="H43" s="48"/>
      <c r="I43" s="48"/>
      <c r="J43" s="203">
        <v>45855.0</v>
      </c>
      <c r="K43" s="380" t="s">
        <v>38</v>
      </c>
      <c r="L43" s="380" t="s">
        <v>2893</v>
      </c>
      <c r="M43" s="381">
        <v>1.0</v>
      </c>
      <c r="N43" s="193">
        <v>609058.0</v>
      </c>
      <c r="O43" s="382"/>
      <c r="P43" s="48"/>
      <c r="Q43" s="117"/>
      <c r="R43" s="141"/>
      <c r="S43" s="141"/>
      <c r="T43" s="141"/>
      <c r="U43" s="57"/>
      <c r="V43" s="57"/>
      <c r="W43" s="57"/>
      <c r="X43" s="57"/>
      <c r="Y43" s="57"/>
      <c r="Z43" s="57"/>
      <c r="AA43" s="57"/>
      <c r="AB43" s="57"/>
    </row>
    <row r="44">
      <c r="A44" s="349"/>
      <c r="B44" s="185" t="s">
        <v>53</v>
      </c>
      <c r="C44" s="141"/>
      <c r="D44" s="186">
        <v>10.0</v>
      </c>
      <c r="E44" s="200" t="s">
        <v>1800</v>
      </c>
      <c r="F44" s="141"/>
      <c r="G44" s="48"/>
      <c r="H44" s="48"/>
      <c r="I44" s="48"/>
      <c r="J44" s="203">
        <v>45855.0</v>
      </c>
      <c r="K44" s="380" t="s">
        <v>38</v>
      </c>
      <c r="L44" s="380" t="s">
        <v>2893</v>
      </c>
      <c r="M44" s="381">
        <v>1.0</v>
      </c>
      <c r="N44" s="193">
        <v>609058.0</v>
      </c>
      <c r="O44" s="382"/>
      <c r="P44" s="48"/>
      <c r="Q44" s="117"/>
      <c r="R44" s="141"/>
      <c r="S44" s="141"/>
      <c r="T44" s="141"/>
      <c r="U44" s="57"/>
      <c r="V44" s="57"/>
      <c r="W44" s="57"/>
      <c r="X44" s="57"/>
      <c r="Y44" s="57"/>
      <c r="Z44" s="57"/>
      <c r="AA44" s="57"/>
      <c r="AB44" s="57"/>
    </row>
    <row r="45">
      <c r="A45" s="349"/>
      <c r="B45" s="185" t="s">
        <v>53</v>
      </c>
      <c r="C45" s="117"/>
      <c r="D45" s="186">
        <v>5.0</v>
      </c>
      <c r="E45" s="186" t="s">
        <v>567</v>
      </c>
      <c r="F45" s="141"/>
      <c r="G45" s="48"/>
      <c r="H45" s="48"/>
      <c r="I45" s="48"/>
      <c r="J45" s="203">
        <v>45855.0</v>
      </c>
      <c r="K45" s="380" t="s">
        <v>38</v>
      </c>
      <c r="L45" s="380" t="s">
        <v>2893</v>
      </c>
      <c r="M45" s="381">
        <v>1.0</v>
      </c>
      <c r="N45" s="193">
        <v>609058.0</v>
      </c>
      <c r="O45" s="382"/>
      <c r="P45" s="48"/>
      <c r="Q45" s="117"/>
      <c r="R45" s="141"/>
      <c r="S45" s="141"/>
      <c r="T45" s="141"/>
      <c r="U45" s="57"/>
      <c r="V45" s="57"/>
      <c r="W45" s="57"/>
      <c r="X45" s="57"/>
      <c r="Y45" s="57"/>
      <c r="Z45" s="57"/>
      <c r="AA45" s="57"/>
      <c r="AB45" s="57"/>
    </row>
    <row r="46">
      <c r="A46" s="349"/>
      <c r="B46" s="185" t="s">
        <v>2898</v>
      </c>
      <c r="C46" s="198" t="s">
        <v>2899</v>
      </c>
      <c r="D46" s="186">
        <v>1.0</v>
      </c>
      <c r="E46" s="186" t="s">
        <v>1801</v>
      </c>
      <c r="F46" s="141"/>
      <c r="G46" s="48"/>
      <c r="H46" s="48"/>
      <c r="I46" s="48"/>
      <c r="J46" s="203">
        <v>45860.0</v>
      </c>
      <c r="K46" s="380" t="s">
        <v>38</v>
      </c>
      <c r="L46" s="380" t="s">
        <v>2900</v>
      </c>
      <c r="M46" s="381">
        <v>42.47</v>
      </c>
      <c r="N46" s="193">
        <v>609920.0</v>
      </c>
      <c r="O46" s="382"/>
      <c r="P46" s="48"/>
      <c r="Q46" s="186" t="s">
        <v>2294</v>
      </c>
      <c r="R46" s="141"/>
      <c r="S46" s="141"/>
      <c r="T46" s="141"/>
      <c r="U46" s="57"/>
      <c r="V46" s="57"/>
      <c r="W46" s="57"/>
      <c r="X46" s="57"/>
      <c r="Y46" s="57"/>
      <c r="Z46" s="57"/>
      <c r="AA46" s="57"/>
      <c r="AB46" s="57"/>
    </row>
    <row r="47">
      <c r="A47" s="349"/>
      <c r="B47" s="185" t="s">
        <v>53</v>
      </c>
      <c r="C47" s="141"/>
      <c r="D47" s="186">
        <v>1.0</v>
      </c>
      <c r="E47" s="186" t="s">
        <v>1802</v>
      </c>
      <c r="F47" s="141"/>
      <c r="G47" s="48"/>
      <c r="H47" s="48"/>
      <c r="I47" s="48"/>
      <c r="J47" s="203">
        <v>45860.0</v>
      </c>
      <c r="K47" s="380" t="s">
        <v>38</v>
      </c>
      <c r="L47" s="380" t="s">
        <v>2900</v>
      </c>
      <c r="M47" s="381">
        <v>42.47</v>
      </c>
      <c r="N47" s="193">
        <v>609920.0</v>
      </c>
      <c r="O47" s="382"/>
      <c r="P47" s="48"/>
      <c r="Q47" s="117"/>
      <c r="R47" s="141"/>
      <c r="S47" s="141"/>
      <c r="T47" s="141"/>
      <c r="U47" s="57"/>
      <c r="V47" s="57"/>
      <c r="W47" s="57"/>
      <c r="X47" s="57"/>
      <c r="Y47" s="57"/>
      <c r="Z47" s="57"/>
      <c r="AA47" s="57"/>
      <c r="AB47" s="57"/>
    </row>
    <row r="48">
      <c r="A48" s="349"/>
      <c r="B48" s="185" t="s">
        <v>53</v>
      </c>
      <c r="C48" s="141"/>
      <c r="D48" s="186">
        <v>1.0</v>
      </c>
      <c r="E48" s="186" t="s">
        <v>1803</v>
      </c>
      <c r="F48" s="117"/>
      <c r="G48" s="48"/>
      <c r="H48" s="48"/>
      <c r="I48" s="48"/>
      <c r="J48" s="203">
        <v>45860.0</v>
      </c>
      <c r="K48" s="380" t="s">
        <v>38</v>
      </c>
      <c r="L48" s="380" t="s">
        <v>2900</v>
      </c>
      <c r="M48" s="381">
        <v>42.47</v>
      </c>
      <c r="N48" s="193">
        <v>609920.0</v>
      </c>
      <c r="O48" s="382"/>
      <c r="P48" s="48"/>
      <c r="Q48" s="117"/>
      <c r="R48" s="141"/>
      <c r="S48" s="141"/>
      <c r="T48" s="141"/>
      <c r="U48" s="57"/>
      <c r="V48" s="57"/>
      <c r="W48" s="57"/>
      <c r="X48" s="57"/>
      <c r="Y48" s="57"/>
      <c r="Z48" s="57"/>
      <c r="AA48" s="57"/>
      <c r="AB48" s="57"/>
    </row>
    <row r="49">
      <c r="A49" s="349"/>
      <c r="B49" s="185" t="s">
        <v>133</v>
      </c>
      <c r="C49" s="141"/>
      <c r="D49" s="186">
        <v>1.0</v>
      </c>
      <c r="E49" s="186" t="s">
        <v>1292</v>
      </c>
      <c r="F49" s="198" t="s">
        <v>35</v>
      </c>
      <c r="G49" s="48"/>
      <c r="H49" s="48"/>
      <c r="I49" s="48"/>
      <c r="J49" s="203">
        <v>45860.0</v>
      </c>
      <c r="K49" s="380" t="s">
        <v>38</v>
      </c>
      <c r="L49" s="380" t="s">
        <v>2900</v>
      </c>
      <c r="M49" s="381">
        <v>130.63</v>
      </c>
      <c r="N49" s="193">
        <v>609920.0</v>
      </c>
      <c r="O49" s="382"/>
      <c r="P49" s="48"/>
      <c r="Q49" s="186" t="s">
        <v>2294</v>
      </c>
      <c r="R49" s="141"/>
      <c r="S49" s="141"/>
      <c r="T49" s="141"/>
      <c r="U49" s="57"/>
      <c r="V49" s="57"/>
      <c r="W49" s="57"/>
      <c r="X49" s="57"/>
      <c r="Y49" s="57"/>
      <c r="Z49" s="57"/>
      <c r="AA49" s="57"/>
      <c r="AB49" s="57"/>
    </row>
    <row r="50">
      <c r="A50" s="349"/>
      <c r="B50" s="185" t="s">
        <v>53</v>
      </c>
      <c r="C50" s="117"/>
      <c r="D50" s="186">
        <v>1.0</v>
      </c>
      <c r="E50" s="186" t="s">
        <v>1804</v>
      </c>
      <c r="F50" s="117"/>
      <c r="G50" s="48"/>
      <c r="H50" s="48"/>
      <c r="I50" s="48"/>
      <c r="J50" s="203">
        <v>45860.0</v>
      </c>
      <c r="K50" s="380" t="s">
        <v>38</v>
      </c>
      <c r="L50" s="380" t="s">
        <v>2900</v>
      </c>
      <c r="M50" s="381">
        <v>42.47</v>
      </c>
      <c r="N50" s="193">
        <v>609920.0</v>
      </c>
      <c r="O50" s="382"/>
      <c r="P50" s="48"/>
      <c r="Q50" s="117"/>
      <c r="R50" s="141"/>
      <c r="S50" s="141"/>
      <c r="T50" s="141"/>
      <c r="U50" s="57"/>
      <c r="V50" s="57"/>
      <c r="W50" s="57"/>
      <c r="X50" s="57"/>
      <c r="Y50" s="57"/>
      <c r="Z50" s="57"/>
      <c r="AA50" s="57"/>
      <c r="AB50" s="57"/>
    </row>
    <row r="51">
      <c r="A51" s="349"/>
      <c r="B51" s="185" t="s">
        <v>2901</v>
      </c>
      <c r="C51" s="198" t="s">
        <v>2902</v>
      </c>
      <c r="D51" s="186">
        <v>1.0</v>
      </c>
      <c r="E51" s="186" t="s">
        <v>1805</v>
      </c>
      <c r="F51" s="198" t="s">
        <v>35</v>
      </c>
      <c r="G51" s="48"/>
      <c r="H51" s="48"/>
      <c r="I51" s="48"/>
      <c r="J51" s="203">
        <v>45860.0</v>
      </c>
      <c r="K51" s="380" t="s">
        <v>38</v>
      </c>
      <c r="L51" s="380" t="s">
        <v>2900</v>
      </c>
      <c r="M51" s="381">
        <v>95.62</v>
      </c>
      <c r="N51" s="193">
        <v>609920.0</v>
      </c>
      <c r="O51" s="382"/>
      <c r="P51" s="48"/>
      <c r="Q51" s="186" t="s">
        <v>2294</v>
      </c>
      <c r="R51" s="141"/>
      <c r="S51" s="141"/>
      <c r="T51" s="141"/>
      <c r="U51" s="57"/>
      <c r="V51" s="57"/>
      <c r="W51" s="57"/>
      <c r="X51" s="57"/>
      <c r="Y51" s="57"/>
      <c r="Z51" s="57"/>
      <c r="AA51" s="57"/>
      <c r="AB51" s="57"/>
    </row>
    <row r="52">
      <c r="A52" s="349"/>
      <c r="B52" s="185" t="s">
        <v>864</v>
      </c>
      <c r="C52" s="141"/>
      <c r="D52" s="186">
        <v>1.0</v>
      </c>
      <c r="E52" s="186" t="s">
        <v>1806</v>
      </c>
      <c r="F52" s="141"/>
      <c r="G52" s="48"/>
      <c r="H52" s="48"/>
      <c r="I52" s="48"/>
      <c r="J52" s="203">
        <v>45860.0</v>
      </c>
      <c r="K52" s="380" t="s">
        <v>38</v>
      </c>
      <c r="L52" s="380" t="s">
        <v>2900</v>
      </c>
      <c r="M52" s="381">
        <v>50.11</v>
      </c>
      <c r="N52" s="193">
        <v>609920.0</v>
      </c>
      <c r="O52" s="382"/>
      <c r="P52" s="48"/>
      <c r="Q52" s="186" t="s">
        <v>2294</v>
      </c>
      <c r="R52" s="141"/>
      <c r="S52" s="141"/>
      <c r="T52" s="141"/>
      <c r="U52" s="57"/>
      <c r="V52" s="57"/>
      <c r="W52" s="57"/>
      <c r="X52" s="57"/>
      <c r="Y52" s="57"/>
      <c r="Z52" s="57"/>
      <c r="AA52" s="57"/>
      <c r="AB52" s="57"/>
    </row>
    <row r="53">
      <c r="A53" s="349"/>
      <c r="B53" s="185" t="s">
        <v>2903</v>
      </c>
      <c r="C53" s="141"/>
      <c r="D53" s="186">
        <v>1.0</v>
      </c>
      <c r="E53" s="186" t="s">
        <v>1807</v>
      </c>
      <c r="F53" s="141"/>
      <c r="G53" s="48"/>
      <c r="H53" s="48"/>
      <c r="I53" s="48"/>
      <c r="J53" s="203">
        <v>45860.0</v>
      </c>
      <c r="K53" s="380" t="s">
        <v>38</v>
      </c>
      <c r="L53" s="380" t="s">
        <v>2900</v>
      </c>
      <c r="M53" s="381">
        <v>50.11</v>
      </c>
      <c r="N53" s="193">
        <v>609920.0</v>
      </c>
      <c r="O53" s="382"/>
      <c r="P53" s="48"/>
      <c r="Q53" s="186" t="s">
        <v>2294</v>
      </c>
      <c r="R53" s="141"/>
      <c r="S53" s="141"/>
      <c r="T53" s="141"/>
      <c r="U53" s="57"/>
      <c r="V53" s="57"/>
      <c r="W53" s="57"/>
      <c r="X53" s="57"/>
      <c r="Y53" s="57"/>
      <c r="Z53" s="57"/>
      <c r="AA53" s="57"/>
      <c r="AB53" s="57"/>
    </row>
    <row r="54">
      <c r="A54" s="349"/>
      <c r="B54" s="185" t="s">
        <v>641</v>
      </c>
      <c r="C54" s="141"/>
      <c r="D54" s="186">
        <v>1.0</v>
      </c>
      <c r="E54" s="186" t="s">
        <v>814</v>
      </c>
      <c r="F54" s="141"/>
      <c r="G54" s="48"/>
      <c r="H54" s="48"/>
      <c r="I54" s="48"/>
      <c r="J54" s="203">
        <v>45860.0</v>
      </c>
      <c r="K54" s="380" t="s">
        <v>38</v>
      </c>
      <c r="L54" s="380" t="s">
        <v>2900</v>
      </c>
      <c r="M54" s="381">
        <v>101.7</v>
      </c>
      <c r="N54" s="193">
        <v>609920.0</v>
      </c>
      <c r="O54" s="382"/>
      <c r="P54" s="48"/>
      <c r="Q54" s="186" t="s">
        <v>2294</v>
      </c>
      <c r="R54" s="141"/>
      <c r="S54" s="141"/>
      <c r="T54" s="141"/>
      <c r="U54" s="57"/>
      <c r="V54" s="57"/>
      <c r="W54" s="57"/>
      <c r="X54" s="57"/>
      <c r="Y54" s="57"/>
      <c r="Z54" s="57"/>
      <c r="AA54" s="57"/>
      <c r="AB54" s="57"/>
    </row>
    <row r="55">
      <c r="A55" s="349"/>
      <c r="B55" s="185" t="s">
        <v>53</v>
      </c>
      <c r="C55" s="117"/>
      <c r="D55" s="186">
        <v>1.0</v>
      </c>
      <c r="E55" s="186" t="s">
        <v>1808</v>
      </c>
      <c r="F55" s="117"/>
      <c r="G55" s="48"/>
      <c r="H55" s="48"/>
      <c r="I55" s="48"/>
      <c r="J55" s="203">
        <v>45860.0</v>
      </c>
      <c r="K55" s="380" t="s">
        <v>38</v>
      </c>
      <c r="L55" s="380" t="s">
        <v>2900</v>
      </c>
      <c r="M55" s="381">
        <v>8.17</v>
      </c>
      <c r="N55" s="193">
        <v>609920.0</v>
      </c>
      <c r="O55" s="382"/>
      <c r="P55" s="48"/>
      <c r="Q55" s="117"/>
      <c r="R55" s="141"/>
      <c r="S55" s="141"/>
      <c r="T55" s="141"/>
      <c r="U55" s="57"/>
      <c r="V55" s="57"/>
      <c r="W55" s="57"/>
      <c r="X55" s="57"/>
      <c r="Y55" s="57"/>
      <c r="Z55" s="57"/>
      <c r="AA55" s="57"/>
      <c r="AB55" s="57"/>
    </row>
    <row r="56">
      <c r="A56" s="349"/>
      <c r="B56" s="185" t="s">
        <v>2904</v>
      </c>
      <c r="C56" s="198" t="s">
        <v>274</v>
      </c>
      <c r="D56" s="186">
        <v>1.0</v>
      </c>
      <c r="E56" s="186" t="s">
        <v>1809</v>
      </c>
      <c r="F56" s="198" t="s">
        <v>35</v>
      </c>
      <c r="G56" s="48"/>
      <c r="H56" s="48"/>
      <c r="I56" s="48"/>
      <c r="J56" s="203">
        <v>45866.0</v>
      </c>
      <c r="K56" s="380" t="s">
        <v>38</v>
      </c>
      <c r="L56" s="380" t="s">
        <v>673</v>
      </c>
      <c r="M56" s="381">
        <v>131.43</v>
      </c>
      <c r="N56" s="193">
        <v>611101.0</v>
      </c>
      <c r="O56" s="382"/>
      <c r="P56" s="48"/>
      <c r="Q56" s="186" t="s">
        <v>2294</v>
      </c>
      <c r="R56" s="141"/>
      <c r="S56" s="141"/>
      <c r="T56" s="141"/>
      <c r="U56" s="57"/>
      <c r="V56" s="57"/>
      <c r="W56" s="57"/>
      <c r="X56" s="57"/>
      <c r="Y56" s="57"/>
      <c r="Z56" s="57"/>
      <c r="AA56" s="57"/>
      <c r="AB56" s="57"/>
    </row>
    <row r="57">
      <c r="A57" s="349"/>
      <c r="B57" s="185" t="s">
        <v>2656</v>
      </c>
      <c r="C57" s="141"/>
      <c r="D57" s="186">
        <v>1.0</v>
      </c>
      <c r="E57" s="186" t="s">
        <v>1068</v>
      </c>
      <c r="F57" s="141"/>
      <c r="G57" s="48"/>
      <c r="H57" s="48"/>
      <c r="I57" s="48"/>
      <c r="J57" s="203">
        <v>45866.0</v>
      </c>
      <c r="K57" s="380" t="s">
        <v>38</v>
      </c>
      <c r="L57" s="380" t="s">
        <v>673</v>
      </c>
      <c r="M57" s="381">
        <v>95.62</v>
      </c>
      <c r="N57" s="193">
        <v>611101.0</v>
      </c>
      <c r="O57" s="382"/>
      <c r="P57" s="48"/>
      <c r="Q57" s="186" t="s">
        <v>2294</v>
      </c>
      <c r="R57" s="141"/>
      <c r="S57" s="141"/>
      <c r="T57" s="141"/>
      <c r="U57" s="57"/>
      <c r="V57" s="57"/>
      <c r="W57" s="57"/>
      <c r="X57" s="57"/>
      <c r="Y57" s="57"/>
      <c r="Z57" s="57"/>
      <c r="AA57" s="57"/>
      <c r="AB57" s="57"/>
    </row>
    <row r="58">
      <c r="A58" s="349"/>
      <c r="B58" s="185" t="s">
        <v>53</v>
      </c>
      <c r="C58" s="141"/>
      <c r="D58" s="186">
        <v>5.0</v>
      </c>
      <c r="E58" s="186" t="s">
        <v>1810</v>
      </c>
      <c r="F58" s="141"/>
      <c r="G58" s="48"/>
      <c r="H58" s="48"/>
      <c r="I58" s="48"/>
      <c r="J58" s="203">
        <v>45866.0</v>
      </c>
      <c r="K58" s="380" t="s">
        <v>38</v>
      </c>
      <c r="L58" s="380" t="s">
        <v>673</v>
      </c>
      <c r="M58" s="381">
        <v>1.9</v>
      </c>
      <c r="N58" s="193">
        <v>611101.0</v>
      </c>
      <c r="O58" s="382"/>
      <c r="P58" s="48"/>
      <c r="Q58" s="117"/>
      <c r="R58" s="141"/>
      <c r="S58" s="141"/>
      <c r="T58" s="141"/>
      <c r="U58" s="57"/>
      <c r="V58" s="57"/>
      <c r="W58" s="57"/>
      <c r="X58" s="57"/>
      <c r="Y58" s="57"/>
      <c r="Z58" s="57"/>
      <c r="AA58" s="57"/>
      <c r="AB58" s="57"/>
    </row>
    <row r="59">
      <c r="A59" s="349"/>
      <c r="B59" s="185" t="s">
        <v>459</v>
      </c>
      <c r="C59" s="141"/>
      <c r="D59" s="186">
        <v>10.0</v>
      </c>
      <c r="E59" s="186" t="s">
        <v>1811</v>
      </c>
      <c r="F59" s="141"/>
      <c r="G59" s="48"/>
      <c r="H59" s="48"/>
      <c r="I59" s="48"/>
      <c r="J59" s="203">
        <v>45866.0</v>
      </c>
      <c r="K59" s="380" t="s">
        <v>38</v>
      </c>
      <c r="L59" s="380" t="s">
        <v>673</v>
      </c>
      <c r="M59" s="381">
        <v>1.07</v>
      </c>
      <c r="N59" s="193">
        <v>611101.0</v>
      </c>
      <c r="O59" s="382"/>
      <c r="P59" s="48"/>
      <c r="Q59" s="186" t="s">
        <v>2294</v>
      </c>
      <c r="R59" s="141"/>
      <c r="S59" s="141"/>
      <c r="T59" s="141"/>
      <c r="U59" s="57"/>
      <c r="V59" s="57"/>
      <c r="W59" s="57"/>
      <c r="X59" s="57"/>
      <c r="Y59" s="57"/>
      <c r="Z59" s="57"/>
      <c r="AA59" s="57"/>
      <c r="AB59" s="57"/>
    </row>
    <row r="60">
      <c r="A60" s="349"/>
      <c r="B60" s="185" t="s">
        <v>459</v>
      </c>
      <c r="C60" s="141"/>
      <c r="D60" s="186">
        <v>10.0</v>
      </c>
      <c r="E60" s="186" t="s">
        <v>1812</v>
      </c>
      <c r="F60" s="141"/>
      <c r="G60" s="48"/>
      <c r="H60" s="48"/>
      <c r="I60" s="48"/>
      <c r="J60" s="203">
        <v>45866.0</v>
      </c>
      <c r="K60" s="380" t="s">
        <v>38</v>
      </c>
      <c r="L60" s="380" t="s">
        <v>673</v>
      </c>
      <c r="M60" s="381">
        <v>1.07</v>
      </c>
      <c r="N60" s="193">
        <v>611101.0</v>
      </c>
      <c r="O60" s="382"/>
      <c r="P60" s="48"/>
      <c r="Q60" s="186" t="s">
        <v>2294</v>
      </c>
      <c r="R60" s="141"/>
      <c r="S60" s="141"/>
      <c r="T60" s="141"/>
      <c r="U60" s="57"/>
      <c r="V60" s="57"/>
      <c r="W60" s="57"/>
      <c r="X60" s="57"/>
      <c r="Y60" s="57"/>
      <c r="Z60" s="57"/>
      <c r="AA60" s="57"/>
      <c r="AB60" s="57"/>
    </row>
    <row r="61">
      <c r="A61" s="349"/>
      <c r="B61" s="185" t="s">
        <v>53</v>
      </c>
      <c r="C61" s="141"/>
      <c r="D61" s="186">
        <v>1.0</v>
      </c>
      <c r="E61" s="186" t="s">
        <v>704</v>
      </c>
      <c r="F61" s="117"/>
      <c r="G61" s="48"/>
      <c r="H61" s="48"/>
      <c r="I61" s="48"/>
      <c r="J61" s="203">
        <v>45866.0</v>
      </c>
      <c r="K61" s="380" t="s">
        <v>38</v>
      </c>
      <c r="L61" s="380" t="s">
        <v>673</v>
      </c>
      <c r="M61" s="381">
        <v>14.82</v>
      </c>
      <c r="N61" s="193">
        <v>611101.0</v>
      </c>
      <c r="O61" s="382"/>
      <c r="P61" s="48"/>
      <c r="Q61" s="117"/>
      <c r="R61" s="141"/>
      <c r="S61" s="141"/>
      <c r="T61" s="141"/>
      <c r="U61" s="57"/>
      <c r="V61" s="57"/>
      <c r="W61" s="57"/>
      <c r="X61" s="57"/>
      <c r="Y61" s="57"/>
      <c r="Z61" s="57"/>
      <c r="AA61" s="57"/>
      <c r="AB61" s="57"/>
    </row>
    <row r="62">
      <c r="A62" s="349"/>
      <c r="B62" s="185" t="s">
        <v>1144</v>
      </c>
      <c r="C62" s="141"/>
      <c r="D62" s="186">
        <v>1.0</v>
      </c>
      <c r="E62" s="186" t="s">
        <v>1786</v>
      </c>
      <c r="F62" s="198" t="s">
        <v>35</v>
      </c>
      <c r="G62" s="48"/>
      <c r="H62" s="48"/>
      <c r="I62" s="48"/>
      <c r="J62" s="203">
        <v>45866.0</v>
      </c>
      <c r="K62" s="380" t="s">
        <v>38</v>
      </c>
      <c r="L62" s="380" t="s">
        <v>673</v>
      </c>
      <c r="M62" s="381">
        <v>95.62</v>
      </c>
      <c r="N62" s="193">
        <v>611170.0</v>
      </c>
      <c r="O62" s="382"/>
      <c r="P62" s="48"/>
      <c r="Q62" s="186" t="s">
        <v>2294</v>
      </c>
      <c r="R62" s="141"/>
      <c r="S62" s="141"/>
      <c r="T62" s="141"/>
      <c r="U62" s="57"/>
      <c r="V62" s="57"/>
      <c r="W62" s="57"/>
      <c r="X62" s="57"/>
      <c r="Y62" s="57"/>
      <c r="Z62" s="57"/>
      <c r="AA62" s="57"/>
      <c r="AB62" s="57"/>
    </row>
    <row r="63">
      <c r="A63" s="384"/>
      <c r="B63" s="278" t="s">
        <v>53</v>
      </c>
      <c r="C63" s="325"/>
      <c r="D63" s="186">
        <v>1.0</v>
      </c>
      <c r="E63" s="186" t="s">
        <v>1813</v>
      </c>
      <c r="F63" s="117"/>
      <c r="G63" s="48"/>
      <c r="H63" s="48"/>
      <c r="I63" s="48"/>
      <c r="J63" s="203">
        <v>45866.0</v>
      </c>
      <c r="K63" s="380" t="s">
        <v>38</v>
      </c>
      <c r="L63" s="380" t="s">
        <v>2905</v>
      </c>
      <c r="M63" s="381">
        <v>132.15</v>
      </c>
      <c r="N63" s="193">
        <v>613422.0</v>
      </c>
      <c r="O63" s="382"/>
      <c r="P63" s="48"/>
      <c r="Q63" s="117"/>
      <c r="R63" s="141"/>
      <c r="S63" s="141"/>
      <c r="T63" s="141"/>
      <c r="U63" s="57"/>
      <c r="V63" s="57"/>
      <c r="W63" s="57"/>
      <c r="X63" s="57"/>
      <c r="Y63" s="57"/>
      <c r="Z63" s="57"/>
      <c r="AA63" s="57"/>
      <c r="AB63" s="57"/>
    </row>
    <row r="64">
      <c r="A64" s="349"/>
      <c r="B64" s="185" t="s">
        <v>2906</v>
      </c>
      <c r="C64" s="198" t="s">
        <v>2907</v>
      </c>
      <c r="D64" s="186">
        <v>1.0</v>
      </c>
      <c r="E64" s="186" t="s">
        <v>1772</v>
      </c>
      <c r="F64" s="198" t="s">
        <v>1745</v>
      </c>
      <c r="G64" s="48"/>
      <c r="H64" s="48"/>
      <c r="I64" s="48"/>
      <c r="J64" s="203">
        <v>45866.0</v>
      </c>
      <c r="K64" s="380" t="s">
        <v>38</v>
      </c>
      <c r="L64" s="380" t="s">
        <v>2905</v>
      </c>
      <c r="M64" s="381">
        <v>132.15</v>
      </c>
      <c r="N64" s="193">
        <v>613422.0</v>
      </c>
      <c r="O64" s="382"/>
      <c r="P64" s="48"/>
      <c r="Q64" s="117"/>
      <c r="R64" s="141"/>
      <c r="S64" s="141"/>
      <c r="T64" s="141"/>
      <c r="U64" s="57"/>
      <c r="V64" s="57"/>
      <c r="W64" s="57"/>
      <c r="X64" s="57"/>
      <c r="Y64" s="57"/>
      <c r="Z64" s="57"/>
      <c r="AA64" s="57"/>
      <c r="AB64" s="57"/>
    </row>
    <row r="65">
      <c r="A65" s="349"/>
      <c r="B65" s="185" t="s">
        <v>53</v>
      </c>
      <c r="C65" s="141"/>
      <c r="D65" s="186">
        <v>1.0</v>
      </c>
      <c r="E65" s="186" t="s">
        <v>1814</v>
      </c>
      <c r="F65" s="141"/>
      <c r="G65" s="48"/>
      <c r="H65" s="48"/>
      <c r="I65" s="48"/>
      <c r="J65" s="203">
        <v>45866.0</v>
      </c>
      <c r="K65" s="380" t="s">
        <v>38</v>
      </c>
      <c r="L65" s="380" t="s">
        <v>2905</v>
      </c>
      <c r="M65" s="381">
        <v>150.58</v>
      </c>
      <c r="N65" s="193">
        <v>613422.0</v>
      </c>
      <c r="O65" s="382"/>
      <c r="P65" s="48"/>
      <c r="Q65" s="117"/>
      <c r="R65" s="141"/>
      <c r="S65" s="141"/>
      <c r="T65" s="141"/>
      <c r="U65" s="57"/>
      <c r="V65" s="57"/>
      <c r="W65" s="57"/>
      <c r="X65" s="57"/>
      <c r="Y65" s="57"/>
      <c r="Z65" s="57"/>
      <c r="AA65" s="57"/>
      <c r="AB65" s="57"/>
    </row>
    <row r="66">
      <c r="A66" s="349"/>
      <c r="B66" s="185" t="s">
        <v>53</v>
      </c>
      <c r="C66" s="141"/>
      <c r="D66" s="186">
        <v>1.0</v>
      </c>
      <c r="E66" s="186" t="s">
        <v>1771</v>
      </c>
      <c r="F66" s="141"/>
      <c r="G66" s="48"/>
      <c r="H66" s="48"/>
      <c r="I66" s="48"/>
      <c r="J66" s="203">
        <v>45866.0</v>
      </c>
      <c r="K66" s="380" t="s">
        <v>38</v>
      </c>
      <c r="L66" s="380" t="s">
        <v>2905</v>
      </c>
      <c r="M66" s="381">
        <v>150.58</v>
      </c>
      <c r="N66" s="193">
        <v>613422.0</v>
      </c>
      <c r="O66" s="382"/>
      <c r="P66" s="48"/>
      <c r="Q66" s="117"/>
      <c r="R66" s="141"/>
      <c r="S66" s="141"/>
      <c r="T66" s="141"/>
      <c r="U66" s="57"/>
      <c r="V66" s="57"/>
      <c r="W66" s="57"/>
      <c r="X66" s="57"/>
      <c r="Y66" s="57"/>
      <c r="Z66" s="57"/>
      <c r="AA66" s="57"/>
      <c r="AB66" s="57"/>
    </row>
    <row r="67">
      <c r="A67" s="349"/>
      <c r="B67" s="185" t="s">
        <v>53</v>
      </c>
      <c r="C67" s="141"/>
      <c r="D67" s="186">
        <v>1.0</v>
      </c>
      <c r="E67" s="186" t="s">
        <v>1815</v>
      </c>
      <c r="F67" s="141"/>
      <c r="G67" s="48"/>
      <c r="H67" s="48"/>
      <c r="I67" s="48"/>
      <c r="J67" s="203">
        <v>45866.0</v>
      </c>
      <c r="K67" s="380" t="s">
        <v>38</v>
      </c>
      <c r="L67" s="380" t="s">
        <v>2905</v>
      </c>
      <c r="M67" s="381">
        <v>156.51</v>
      </c>
      <c r="N67" s="193">
        <v>613422.0</v>
      </c>
      <c r="O67" s="382"/>
      <c r="P67" s="48"/>
      <c r="Q67" s="117"/>
      <c r="R67" s="141"/>
      <c r="S67" s="141"/>
      <c r="T67" s="141"/>
      <c r="U67" s="57"/>
      <c r="V67" s="57"/>
      <c r="W67" s="57"/>
      <c r="X67" s="57"/>
      <c r="Y67" s="57"/>
      <c r="Z67" s="57"/>
      <c r="AA67" s="57"/>
      <c r="AB67" s="57"/>
    </row>
    <row r="68">
      <c r="A68" s="349"/>
      <c r="B68" s="185" t="s">
        <v>53</v>
      </c>
      <c r="C68" s="141"/>
      <c r="D68" s="186">
        <v>1.0</v>
      </c>
      <c r="E68" s="186" t="s">
        <v>1816</v>
      </c>
      <c r="F68" s="117"/>
      <c r="G68" s="48"/>
      <c r="H68" s="48"/>
      <c r="I68" s="48"/>
      <c r="J68" s="203">
        <v>45866.0</v>
      </c>
      <c r="K68" s="380" t="s">
        <v>38</v>
      </c>
      <c r="L68" s="380" t="s">
        <v>2905</v>
      </c>
      <c r="M68" s="381">
        <v>156.51</v>
      </c>
      <c r="N68" s="193">
        <v>613422.0</v>
      </c>
      <c r="O68" s="382"/>
      <c r="P68" s="48"/>
      <c r="Q68" s="117"/>
      <c r="R68" s="141"/>
      <c r="S68" s="141"/>
      <c r="T68" s="141"/>
      <c r="U68" s="57"/>
      <c r="V68" s="57"/>
      <c r="W68" s="57"/>
      <c r="X68" s="57"/>
      <c r="Y68" s="57"/>
      <c r="Z68" s="57"/>
      <c r="AA68" s="57"/>
      <c r="AB68" s="57"/>
    </row>
    <row r="69">
      <c r="A69" s="349"/>
      <c r="B69" s="185" t="s">
        <v>2908</v>
      </c>
      <c r="C69" s="141"/>
      <c r="D69" s="186">
        <v>1.0</v>
      </c>
      <c r="E69" s="186" t="s">
        <v>981</v>
      </c>
      <c r="F69" s="186" t="s">
        <v>208</v>
      </c>
      <c r="G69" s="48"/>
      <c r="H69" s="48"/>
      <c r="I69" s="48"/>
      <c r="J69" s="203">
        <v>45866.0</v>
      </c>
      <c r="K69" s="380" t="s">
        <v>38</v>
      </c>
      <c r="L69" s="380" t="s">
        <v>673</v>
      </c>
      <c r="M69" s="381">
        <v>101.7</v>
      </c>
      <c r="N69" s="197"/>
      <c r="O69" s="382"/>
      <c r="P69" s="48"/>
      <c r="Q69" s="186" t="s">
        <v>2294</v>
      </c>
      <c r="R69" s="141"/>
      <c r="S69" s="141"/>
      <c r="T69" s="141"/>
      <c r="U69" s="57"/>
      <c r="V69" s="57"/>
      <c r="W69" s="57"/>
      <c r="X69" s="57"/>
      <c r="Y69" s="57"/>
      <c r="Z69" s="57"/>
      <c r="AA69" s="57"/>
      <c r="AB69" s="57"/>
    </row>
    <row r="70">
      <c r="A70" s="349"/>
      <c r="B70" s="185" t="s">
        <v>53</v>
      </c>
      <c r="C70" s="141"/>
      <c r="D70" s="186">
        <v>1.0</v>
      </c>
      <c r="E70" s="186" t="s">
        <v>814</v>
      </c>
      <c r="F70" s="186" t="s">
        <v>208</v>
      </c>
      <c r="G70" s="48"/>
      <c r="H70" s="48"/>
      <c r="I70" s="48"/>
      <c r="J70" s="203">
        <v>45866.0</v>
      </c>
      <c r="K70" s="380" t="s">
        <v>38</v>
      </c>
      <c r="L70" s="380" t="s">
        <v>673</v>
      </c>
      <c r="M70" s="381">
        <v>101.7</v>
      </c>
      <c r="N70" s="197"/>
      <c r="O70" s="382"/>
      <c r="P70" s="48"/>
      <c r="Q70" s="117"/>
      <c r="R70" s="141"/>
      <c r="S70" s="141"/>
      <c r="T70" s="141"/>
      <c r="U70" s="57"/>
      <c r="V70" s="57"/>
      <c r="W70" s="57"/>
      <c r="X70" s="57"/>
      <c r="Y70" s="57"/>
      <c r="Z70" s="57"/>
      <c r="AA70" s="57"/>
      <c r="AB70" s="57"/>
    </row>
    <row r="71">
      <c r="A71" s="349"/>
      <c r="B71" s="185" t="s">
        <v>53</v>
      </c>
      <c r="C71" s="141"/>
      <c r="D71" s="186">
        <v>1.0</v>
      </c>
      <c r="E71" s="186" t="s">
        <v>1817</v>
      </c>
      <c r="F71" s="186" t="s">
        <v>208</v>
      </c>
      <c r="G71" s="48"/>
      <c r="H71" s="48"/>
      <c r="I71" s="48"/>
      <c r="J71" s="203">
        <v>45866.0</v>
      </c>
      <c r="K71" s="380" t="s">
        <v>38</v>
      </c>
      <c r="L71" s="380" t="s">
        <v>673</v>
      </c>
      <c r="M71" s="381">
        <v>150.43</v>
      </c>
      <c r="N71" s="197"/>
      <c r="O71" s="382"/>
      <c r="P71" s="48"/>
      <c r="Q71" s="117"/>
      <c r="R71" s="141"/>
      <c r="S71" s="141"/>
      <c r="T71" s="141"/>
      <c r="U71" s="57"/>
      <c r="V71" s="57"/>
      <c r="W71" s="57"/>
      <c r="X71" s="57"/>
      <c r="Y71" s="57"/>
      <c r="Z71" s="57"/>
      <c r="AA71" s="57"/>
      <c r="AB71" s="57"/>
    </row>
    <row r="72">
      <c r="A72" s="349"/>
      <c r="B72" s="185" t="s">
        <v>53</v>
      </c>
      <c r="C72" s="141"/>
      <c r="D72" s="186">
        <v>1.0</v>
      </c>
      <c r="E72" s="186" t="s">
        <v>1818</v>
      </c>
      <c r="F72" s="198" t="s">
        <v>208</v>
      </c>
      <c r="G72" s="48"/>
      <c r="H72" s="48"/>
      <c r="I72" s="48"/>
      <c r="J72" s="203">
        <v>45866.0</v>
      </c>
      <c r="K72" s="380" t="s">
        <v>38</v>
      </c>
      <c r="L72" s="380" t="s">
        <v>673</v>
      </c>
      <c r="M72" s="381">
        <v>150.43</v>
      </c>
      <c r="N72" s="197"/>
      <c r="O72" s="382"/>
      <c r="P72" s="48"/>
      <c r="Q72" s="117"/>
      <c r="R72" s="141"/>
      <c r="S72" s="141"/>
      <c r="T72" s="141"/>
      <c r="U72" s="57"/>
      <c r="V72" s="57"/>
      <c r="W72" s="57"/>
      <c r="X72" s="57"/>
      <c r="Y72" s="57"/>
      <c r="Z72" s="57"/>
      <c r="AA72" s="57"/>
      <c r="AB72" s="57"/>
    </row>
    <row r="73">
      <c r="A73" s="349"/>
      <c r="B73" s="185" t="s">
        <v>53</v>
      </c>
      <c r="C73" s="141"/>
      <c r="D73" s="186">
        <v>1.0</v>
      </c>
      <c r="E73" s="186" t="s">
        <v>1819</v>
      </c>
      <c r="F73" s="141"/>
      <c r="G73" s="48"/>
      <c r="H73" s="48"/>
      <c r="I73" s="48"/>
      <c r="J73" s="203">
        <v>45868.0</v>
      </c>
      <c r="K73" s="380" t="s">
        <v>347</v>
      </c>
      <c r="L73" s="380" t="s">
        <v>2909</v>
      </c>
      <c r="M73" s="118"/>
      <c r="N73" s="197"/>
      <c r="O73" s="382"/>
      <c r="P73" s="48"/>
      <c r="Q73" s="117"/>
      <c r="R73" s="141"/>
      <c r="S73" s="141"/>
      <c r="T73" s="141"/>
      <c r="U73" s="57"/>
      <c r="V73" s="57"/>
      <c r="W73" s="57"/>
      <c r="X73" s="57"/>
      <c r="Y73" s="57"/>
      <c r="Z73" s="57"/>
      <c r="AA73" s="57"/>
      <c r="AB73" s="57"/>
    </row>
    <row r="74">
      <c r="A74" s="349"/>
      <c r="B74" s="185" t="s">
        <v>67</v>
      </c>
      <c r="C74" s="141"/>
      <c r="D74" s="186">
        <v>1.0</v>
      </c>
      <c r="E74" s="186" t="s">
        <v>1820</v>
      </c>
      <c r="F74" s="141"/>
      <c r="G74" s="48"/>
      <c r="H74" s="48"/>
      <c r="I74" s="48"/>
      <c r="J74" s="203">
        <v>45877.0</v>
      </c>
      <c r="K74" s="380" t="s">
        <v>38</v>
      </c>
      <c r="L74" s="380" t="s">
        <v>2910</v>
      </c>
      <c r="M74" s="381">
        <v>50.11</v>
      </c>
      <c r="N74" s="193">
        <v>613484.0</v>
      </c>
      <c r="O74" s="382"/>
      <c r="P74" s="48"/>
      <c r="Q74" s="186" t="s">
        <v>2294</v>
      </c>
      <c r="R74" s="141"/>
      <c r="S74" s="141"/>
      <c r="T74" s="141"/>
      <c r="U74" s="57"/>
      <c r="V74" s="57"/>
      <c r="W74" s="57"/>
      <c r="X74" s="57"/>
      <c r="Y74" s="57"/>
      <c r="Z74" s="57"/>
      <c r="AA74" s="57"/>
      <c r="AB74" s="57"/>
    </row>
    <row r="75">
      <c r="A75" s="349"/>
      <c r="B75" s="185" t="s">
        <v>2669</v>
      </c>
      <c r="C75" s="117"/>
      <c r="D75" s="186">
        <v>1.0</v>
      </c>
      <c r="E75" s="186" t="s">
        <v>1821</v>
      </c>
      <c r="F75" s="117"/>
      <c r="G75" s="48"/>
      <c r="H75" s="48"/>
      <c r="I75" s="48"/>
      <c r="J75" s="203">
        <v>45877.0</v>
      </c>
      <c r="K75" s="380" t="s">
        <v>38</v>
      </c>
      <c r="L75" s="380" t="s">
        <v>2910</v>
      </c>
      <c r="M75" s="381">
        <v>85.45</v>
      </c>
      <c r="N75" s="193">
        <v>613484.0</v>
      </c>
      <c r="O75" s="382"/>
      <c r="P75" s="48"/>
      <c r="Q75" s="186" t="s">
        <v>2294</v>
      </c>
      <c r="R75" s="141"/>
      <c r="S75" s="141"/>
      <c r="T75" s="141"/>
      <c r="U75" s="57"/>
      <c r="V75" s="57"/>
      <c r="W75" s="57"/>
      <c r="X75" s="57"/>
      <c r="Y75" s="57"/>
      <c r="Z75" s="57"/>
      <c r="AA75" s="57"/>
      <c r="AB75" s="57"/>
    </row>
    <row r="76">
      <c r="A76" s="349"/>
      <c r="B76" s="185" t="s">
        <v>1150</v>
      </c>
      <c r="C76" s="186" t="s">
        <v>1151</v>
      </c>
      <c r="D76" s="186">
        <v>1.0</v>
      </c>
      <c r="E76" s="186" t="s">
        <v>1822</v>
      </c>
      <c r="F76" s="186" t="s">
        <v>41</v>
      </c>
      <c r="G76" s="48"/>
      <c r="H76" s="48"/>
      <c r="I76" s="48"/>
      <c r="J76" s="203">
        <v>45877.0</v>
      </c>
      <c r="K76" s="380" t="s">
        <v>38</v>
      </c>
      <c r="L76" s="380" t="s">
        <v>2910</v>
      </c>
      <c r="M76" s="381">
        <v>154.33</v>
      </c>
      <c r="N76" s="193">
        <v>613484.0</v>
      </c>
      <c r="O76" s="382"/>
      <c r="P76" s="48"/>
      <c r="Q76" s="186" t="s">
        <v>2294</v>
      </c>
      <c r="R76" s="141"/>
      <c r="S76" s="141"/>
      <c r="T76" s="141"/>
      <c r="U76" s="57"/>
      <c r="V76" s="57"/>
      <c r="W76" s="57"/>
      <c r="X76" s="57"/>
      <c r="Y76" s="57"/>
      <c r="Z76" s="57"/>
      <c r="AA76" s="57"/>
      <c r="AB76" s="57"/>
    </row>
    <row r="77">
      <c r="A77" s="349"/>
      <c r="B77" s="185" t="s">
        <v>2911</v>
      </c>
      <c r="C77" s="186" t="s">
        <v>2912</v>
      </c>
      <c r="D77" s="186">
        <v>1.0</v>
      </c>
      <c r="E77" s="186" t="s">
        <v>1823</v>
      </c>
      <c r="F77" s="186" t="s">
        <v>2913</v>
      </c>
      <c r="G77" s="48"/>
      <c r="H77" s="48"/>
      <c r="I77" s="48"/>
      <c r="J77" s="203">
        <v>45877.0</v>
      </c>
      <c r="K77" s="380" t="s">
        <v>38</v>
      </c>
      <c r="L77" s="380" t="s">
        <v>2910</v>
      </c>
      <c r="M77" s="381">
        <v>95.62</v>
      </c>
      <c r="N77" s="193">
        <v>613484.0</v>
      </c>
      <c r="O77" s="382"/>
      <c r="P77" s="48"/>
      <c r="Q77" s="186" t="s">
        <v>2294</v>
      </c>
      <c r="R77" s="141"/>
      <c r="S77" s="141"/>
      <c r="T77" s="141"/>
      <c r="U77" s="57"/>
      <c r="V77" s="57"/>
      <c r="W77" s="57"/>
      <c r="X77" s="57"/>
      <c r="Y77" s="57"/>
      <c r="Z77" s="57"/>
      <c r="AA77" s="57"/>
      <c r="AB77" s="57"/>
    </row>
    <row r="78">
      <c r="A78" s="349"/>
      <c r="B78" s="185" t="s">
        <v>2914</v>
      </c>
      <c r="C78" s="186" t="s">
        <v>2915</v>
      </c>
      <c r="D78" s="186">
        <v>1.0</v>
      </c>
      <c r="E78" s="186" t="s">
        <v>1824</v>
      </c>
      <c r="F78" s="186" t="s">
        <v>2916</v>
      </c>
      <c r="G78" s="48"/>
      <c r="H78" s="48"/>
      <c r="I78" s="48"/>
      <c r="J78" s="203">
        <v>45877.0</v>
      </c>
      <c r="K78" s="380" t="s">
        <v>38</v>
      </c>
      <c r="L78" s="380" t="s">
        <v>2910</v>
      </c>
      <c r="M78" s="381">
        <v>156.51</v>
      </c>
      <c r="N78" s="193">
        <v>613484.0</v>
      </c>
      <c r="O78" s="382"/>
      <c r="P78" s="48"/>
      <c r="Q78" s="186" t="s">
        <v>2294</v>
      </c>
      <c r="R78" s="141"/>
      <c r="S78" s="141"/>
      <c r="T78" s="141"/>
      <c r="U78" s="57"/>
      <c r="V78" s="57"/>
      <c r="W78" s="57"/>
      <c r="X78" s="57"/>
      <c r="Y78" s="57"/>
      <c r="Z78" s="57"/>
      <c r="AA78" s="57"/>
      <c r="AB78" s="57"/>
    </row>
    <row r="79">
      <c r="A79" s="349"/>
      <c r="B79" s="185" t="s">
        <v>2917</v>
      </c>
      <c r="C79" s="198" t="s">
        <v>2918</v>
      </c>
      <c r="D79" s="186">
        <v>1.0</v>
      </c>
      <c r="E79" s="186" t="s">
        <v>1825</v>
      </c>
      <c r="F79" s="186" t="s">
        <v>2913</v>
      </c>
      <c r="G79" s="48"/>
      <c r="H79" s="48"/>
      <c r="I79" s="48"/>
      <c r="J79" s="203">
        <v>45877.0</v>
      </c>
      <c r="K79" s="380" t="s">
        <v>38</v>
      </c>
      <c r="L79" s="380" t="s">
        <v>2910</v>
      </c>
      <c r="M79" s="381">
        <v>50.11</v>
      </c>
      <c r="N79" s="193">
        <v>613484.0</v>
      </c>
      <c r="O79" s="382"/>
      <c r="P79" s="48"/>
      <c r="Q79" s="186" t="s">
        <v>2294</v>
      </c>
      <c r="R79" s="141"/>
      <c r="S79" s="141"/>
      <c r="T79" s="141"/>
      <c r="U79" s="57"/>
      <c r="V79" s="57"/>
      <c r="W79" s="57"/>
      <c r="X79" s="57"/>
      <c r="Y79" s="57"/>
      <c r="Z79" s="57"/>
      <c r="AA79" s="57"/>
      <c r="AB79" s="57"/>
    </row>
    <row r="80">
      <c r="A80" s="349"/>
      <c r="B80" s="185" t="s">
        <v>2919</v>
      </c>
      <c r="C80" s="141"/>
      <c r="D80" s="186">
        <v>1.0</v>
      </c>
      <c r="E80" s="186" t="s">
        <v>1826</v>
      </c>
      <c r="F80" s="198" t="s">
        <v>2913</v>
      </c>
      <c r="G80" s="48"/>
      <c r="H80" s="48"/>
      <c r="I80" s="48"/>
      <c r="J80" s="221">
        <v>45877.0</v>
      </c>
      <c r="K80" s="380" t="s">
        <v>38</v>
      </c>
      <c r="L80" s="380" t="s">
        <v>2910</v>
      </c>
      <c r="M80" s="381">
        <v>114.0</v>
      </c>
      <c r="N80" s="193">
        <v>613484.0</v>
      </c>
      <c r="O80" s="382"/>
      <c r="P80" s="48"/>
      <c r="Q80" s="198" t="s">
        <v>2294</v>
      </c>
      <c r="R80" s="141"/>
      <c r="S80" s="141"/>
      <c r="T80" s="141"/>
      <c r="U80" s="57"/>
      <c r="V80" s="57"/>
      <c r="W80" s="57"/>
      <c r="X80" s="57"/>
      <c r="Y80" s="57"/>
      <c r="Z80" s="57"/>
      <c r="AA80" s="57"/>
      <c r="AB80" s="57"/>
    </row>
    <row r="81">
      <c r="A81" s="349"/>
      <c r="B81" s="185" t="s">
        <v>2920</v>
      </c>
      <c r="C81" s="141"/>
      <c r="D81" s="186">
        <v>1.0</v>
      </c>
      <c r="E81" s="186" t="s">
        <v>1292</v>
      </c>
      <c r="F81" s="117"/>
      <c r="G81" s="48"/>
      <c r="H81" s="48"/>
      <c r="I81" s="48"/>
      <c r="J81" s="118"/>
      <c r="K81" s="380" t="s">
        <v>820</v>
      </c>
      <c r="L81" s="382"/>
      <c r="M81" s="118"/>
      <c r="N81" s="197"/>
      <c r="O81" s="382"/>
      <c r="P81" s="48"/>
      <c r="Q81" s="186" t="s">
        <v>2294</v>
      </c>
      <c r="R81" s="141"/>
      <c r="S81" s="141"/>
      <c r="T81" s="141"/>
      <c r="U81" s="57"/>
      <c r="V81" s="57"/>
      <c r="W81" s="57"/>
      <c r="X81" s="57"/>
      <c r="Y81" s="57"/>
      <c r="Z81" s="57"/>
      <c r="AA81" s="57"/>
      <c r="AB81" s="57"/>
    </row>
    <row r="82">
      <c r="A82" s="349"/>
      <c r="B82" s="185" t="s">
        <v>855</v>
      </c>
      <c r="C82" s="141"/>
      <c r="D82" s="186">
        <v>1.0</v>
      </c>
      <c r="E82" s="186" t="s">
        <v>1828</v>
      </c>
      <c r="F82" s="186" t="s">
        <v>2287</v>
      </c>
      <c r="G82" s="48"/>
      <c r="H82" s="48"/>
      <c r="I82" s="48"/>
      <c r="J82" s="203">
        <v>45881.0</v>
      </c>
      <c r="K82" s="380" t="s">
        <v>347</v>
      </c>
      <c r="L82" s="380" t="s">
        <v>2289</v>
      </c>
      <c r="M82" s="381">
        <v>0.0</v>
      </c>
      <c r="N82" s="193">
        <v>614614.0</v>
      </c>
      <c r="O82" s="382"/>
      <c r="P82" s="48"/>
      <c r="Q82" s="186" t="s">
        <v>2294</v>
      </c>
      <c r="R82" s="141"/>
      <c r="S82" s="141"/>
      <c r="T82" s="141"/>
      <c r="U82" s="57"/>
      <c r="V82" s="57"/>
      <c r="W82" s="57"/>
      <c r="X82" s="57"/>
      <c r="Y82" s="57"/>
      <c r="Z82" s="57"/>
      <c r="AA82" s="57"/>
      <c r="AB82" s="57"/>
    </row>
    <row r="83">
      <c r="A83" s="349"/>
      <c r="B83" s="185" t="s">
        <v>53</v>
      </c>
      <c r="C83" s="141"/>
      <c r="D83" s="186">
        <v>1.0</v>
      </c>
      <c r="E83" s="186" t="s">
        <v>1829</v>
      </c>
      <c r="F83" s="198" t="s">
        <v>2287</v>
      </c>
      <c r="G83" s="48"/>
      <c r="H83" s="48"/>
      <c r="I83" s="48"/>
      <c r="J83" s="203">
        <v>45881.0</v>
      </c>
      <c r="K83" s="380" t="s">
        <v>347</v>
      </c>
      <c r="L83" s="380" t="s">
        <v>2289</v>
      </c>
      <c r="M83" s="381">
        <v>0.0</v>
      </c>
      <c r="N83" s="193">
        <v>614614.0</v>
      </c>
      <c r="O83" s="382"/>
      <c r="P83" s="48"/>
      <c r="Q83" s="117"/>
      <c r="R83" s="141"/>
      <c r="S83" s="141"/>
      <c r="T83" s="141"/>
      <c r="U83" s="57"/>
      <c r="V83" s="57"/>
      <c r="W83" s="57"/>
      <c r="X83" s="57"/>
      <c r="Y83" s="57"/>
      <c r="Z83" s="57"/>
      <c r="AA83" s="57"/>
      <c r="AB83" s="57"/>
    </row>
    <row r="84">
      <c r="A84" s="349"/>
      <c r="B84" s="185" t="s">
        <v>53</v>
      </c>
      <c r="C84" s="117"/>
      <c r="D84" s="186">
        <v>1.0</v>
      </c>
      <c r="E84" s="186" t="s">
        <v>1830</v>
      </c>
      <c r="F84" s="117"/>
      <c r="G84" s="48"/>
      <c r="H84" s="48"/>
      <c r="I84" s="48"/>
      <c r="J84" s="203">
        <v>45881.0</v>
      </c>
      <c r="K84" s="380" t="s">
        <v>38</v>
      </c>
      <c r="L84" s="380" t="s">
        <v>2921</v>
      </c>
      <c r="M84" s="381">
        <v>42.47</v>
      </c>
      <c r="N84" s="193">
        <v>614614.0</v>
      </c>
      <c r="O84" s="382"/>
      <c r="P84" s="48"/>
      <c r="Q84" s="117"/>
      <c r="R84" s="141"/>
      <c r="S84" s="141"/>
      <c r="T84" s="141"/>
      <c r="U84" s="57"/>
      <c r="V84" s="57"/>
      <c r="W84" s="57"/>
      <c r="X84" s="57"/>
      <c r="Y84" s="57"/>
      <c r="Z84" s="57"/>
      <c r="AA84" s="57"/>
      <c r="AB84" s="57"/>
    </row>
    <row r="85">
      <c r="A85" s="349"/>
      <c r="B85" s="185" t="s">
        <v>2922</v>
      </c>
      <c r="C85" s="198" t="s">
        <v>2923</v>
      </c>
      <c r="D85" s="186">
        <v>1.0</v>
      </c>
      <c r="E85" s="186" t="s">
        <v>1831</v>
      </c>
      <c r="F85" s="198" t="s">
        <v>35</v>
      </c>
      <c r="G85" s="48"/>
      <c r="H85" s="48"/>
      <c r="I85" s="48"/>
      <c r="J85" s="203">
        <v>45881.0</v>
      </c>
      <c r="K85" s="380" t="s">
        <v>38</v>
      </c>
      <c r="L85" s="380" t="s">
        <v>2921</v>
      </c>
      <c r="M85" s="381">
        <v>42.47</v>
      </c>
      <c r="N85" s="193">
        <v>614614.0</v>
      </c>
      <c r="O85" s="382"/>
      <c r="P85" s="48"/>
      <c r="Q85" s="186" t="s">
        <v>2294</v>
      </c>
      <c r="R85" s="141"/>
      <c r="S85" s="141"/>
      <c r="T85" s="141"/>
      <c r="U85" s="57"/>
      <c r="V85" s="57"/>
      <c r="W85" s="57"/>
      <c r="X85" s="57"/>
      <c r="Y85" s="57"/>
      <c r="Z85" s="57"/>
      <c r="AA85" s="57"/>
      <c r="AB85" s="57"/>
    </row>
    <row r="86">
      <c r="A86" s="349"/>
      <c r="B86" s="185" t="s">
        <v>2924</v>
      </c>
      <c r="C86" s="141"/>
      <c r="D86" s="186">
        <v>1.0</v>
      </c>
      <c r="E86" s="186" t="s">
        <v>1786</v>
      </c>
      <c r="F86" s="141"/>
      <c r="G86" s="48"/>
      <c r="H86" s="48"/>
      <c r="I86" s="48"/>
      <c r="J86" s="203">
        <v>45881.0</v>
      </c>
      <c r="K86" s="380" t="s">
        <v>38</v>
      </c>
      <c r="L86" s="380" t="s">
        <v>2921</v>
      </c>
      <c r="M86" s="381">
        <v>95.62</v>
      </c>
      <c r="N86" s="193">
        <v>614614.0</v>
      </c>
      <c r="O86" s="382"/>
      <c r="P86" s="48"/>
      <c r="Q86" s="186" t="s">
        <v>2294</v>
      </c>
      <c r="R86" s="141"/>
      <c r="S86" s="141"/>
      <c r="T86" s="141"/>
      <c r="U86" s="57"/>
      <c r="V86" s="57"/>
      <c r="W86" s="57"/>
      <c r="X86" s="57"/>
      <c r="Y86" s="57"/>
      <c r="Z86" s="57"/>
      <c r="AA86" s="57"/>
      <c r="AB86" s="57"/>
    </row>
    <row r="87">
      <c r="A87" s="349"/>
      <c r="B87" s="185" t="s">
        <v>2925</v>
      </c>
      <c r="C87" s="141"/>
      <c r="D87" s="186">
        <v>1.0</v>
      </c>
      <c r="E87" s="186" t="s">
        <v>626</v>
      </c>
      <c r="F87" s="141"/>
      <c r="G87" s="48"/>
      <c r="H87" s="48"/>
      <c r="I87" s="48"/>
      <c r="J87" s="203">
        <v>45881.0</v>
      </c>
      <c r="K87" s="380" t="s">
        <v>38</v>
      </c>
      <c r="L87" s="380" t="s">
        <v>2921</v>
      </c>
      <c r="M87" s="381">
        <v>132.15</v>
      </c>
      <c r="N87" s="193">
        <v>614614.0</v>
      </c>
      <c r="O87" s="382"/>
      <c r="P87" s="48"/>
      <c r="Q87" s="186" t="s">
        <v>2294</v>
      </c>
      <c r="R87" s="141"/>
      <c r="S87" s="141"/>
      <c r="T87" s="141"/>
      <c r="U87" s="57"/>
      <c r="V87" s="57"/>
      <c r="W87" s="57"/>
      <c r="X87" s="57"/>
      <c r="Y87" s="57"/>
      <c r="Z87" s="57"/>
      <c r="AA87" s="57"/>
      <c r="AB87" s="57"/>
    </row>
    <row r="88">
      <c r="A88" s="349"/>
      <c r="B88" s="185" t="s">
        <v>852</v>
      </c>
      <c r="C88" s="117"/>
      <c r="D88" s="186">
        <v>1.0</v>
      </c>
      <c r="E88" s="186" t="s">
        <v>1832</v>
      </c>
      <c r="F88" s="141"/>
      <c r="G88" s="48"/>
      <c r="H88" s="48"/>
      <c r="I88" s="48"/>
      <c r="J88" s="203">
        <v>45881.0</v>
      </c>
      <c r="K88" s="380" t="s">
        <v>38</v>
      </c>
      <c r="L88" s="380" t="s">
        <v>2921</v>
      </c>
      <c r="M88" s="381">
        <v>156.51</v>
      </c>
      <c r="N88" s="193">
        <v>614614.0</v>
      </c>
      <c r="O88" s="382"/>
      <c r="P88" s="48"/>
      <c r="Q88" s="186" t="s">
        <v>2294</v>
      </c>
      <c r="R88" s="141"/>
      <c r="S88" s="141"/>
      <c r="T88" s="141"/>
      <c r="U88" s="57"/>
      <c r="V88" s="57"/>
      <c r="W88" s="57"/>
      <c r="X88" s="57"/>
      <c r="Y88" s="57"/>
      <c r="Z88" s="57"/>
      <c r="AA88" s="57"/>
      <c r="AB88" s="57"/>
    </row>
    <row r="89">
      <c r="A89" s="349"/>
      <c r="B89" s="185" t="s">
        <v>2926</v>
      </c>
      <c r="C89" s="198" t="s">
        <v>2927</v>
      </c>
      <c r="D89" s="186">
        <v>1.0</v>
      </c>
      <c r="E89" s="186" t="s">
        <v>1833</v>
      </c>
      <c r="F89" s="141"/>
      <c r="G89" s="48"/>
      <c r="H89" s="48"/>
      <c r="I89" s="48"/>
      <c r="J89" s="203">
        <v>45881.0</v>
      </c>
      <c r="K89" s="380" t="s">
        <v>38</v>
      </c>
      <c r="L89" s="380" t="s">
        <v>2921</v>
      </c>
      <c r="M89" s="381">
        <v>132.15</v>
      </c>
      <c r="N89" s="193">
        <v>614614.0</v>
      </c>
      <c r="O89" s="382"/>
      <c r="P89" s="48"/>
      <c r="Q89" s="186" t="s">
        <v>2294</v>
      </c>
      <c r="R89" s="141"/>
      <c r="S89" s="141"/>
      <c r="T89" s="141"/>
      <c r="U89" s="57"/>
      <c r="V89" s="57"/>
      <c r="W89" s="57"/>
      <c r="X89" s="57"/>
      <c r="Y89" s="57"/>
      <c r="Z89" s="57"/>
      <c r="AA89" s="57"/>
      <c r="AB89" s="57"/>
    </row>
    <row r="90">
      <c r="A90" s="349"/>
      <c r="B90" s="185" t="s">
        <v>2928</v>
      </c>
      <c r="C90" s="141"/>
      <c r="D90" s="186">
        <v>1.0</v>
      </c>
      <c r="E90" s="186" t="s">
        <v>1834</v>
      </c>
      <c r="F90" s="141"/>
      <c r="G90" s="48"/>
      <c r="H90" s="48"/>
      <c r="I90" s="48"/>
      <c r="J90" s="203">
        <v>45881.0</v>
      </c>
      <c r="K90" s="380" t="s">
        <v>38</v>
      </c>
      <c r="L90" s="380" t="s">
        <v>2921</v>
      </c>
      <c r="M90" s="381">
        <v>101.7</v>
      </c>
      <c r="N90" s="193">
        <v>614614.0</v>
      </c>
      <c r="O90" s="382"/>
      <c r="P90" s="48"/>
      <c r="Q90" s="186" t="s">
        <v>2294</v>
      </c>
      <c r="R90" s="141"/>
      <c r="S90" s="141"/>
      <c r="T90" s="141"/>
      <c r="U90" s="57"/>
      <c r="V90" s="57"/>
      <c r="W90" s="57"/>
      <c r="X90" s="57"/>
      <c r="Y90" s="57"/>
      <c r="Z90" s="57"/>
      <c r="AA90" s="57"/>
      <c r="AB90" s="57"/>
    </row>
    <row r="91">
      <c r="A91" s="349"/>
      <c r="B91" s="185" t="s">
        <v>53</v>
      </c>
      <c r="C91" s="141"/>
      <c r="D91" s="186">
        <v>1.0</v>
      </c>
      <c r="E91" s="186" t="s">
        <v>1835</v>
      </c>
      <c r="F91" s="141"/>
      <c r="G91" s="48"/>
      <c r="H91" s="48"/>
      <c r="I91" s="48"/>
      <c r="J91" s="203">
        <v>45883.0</v>
      </c>
      <c r="K91" s="380" t="s">
        <v>2741</v>
      </c>
      <c r="L91" s="380">
        <v>282331.0</v>
      </c>
      <c r="M91" s="381">
        <v>124.75</v>
      </c>
      <c r="N91" s="197"/>
      <c r="O91" s="382"/>
      <c r="P91" s="48"/>
      <c r="Q91" s="117"/>
      <c r="R91" s="141"/>
      <c r="S91" s="141"/>
      <c r="T91" s="141"/>
      <c r="U91" s="57"/>
      <c r="V91" s="57"/>
      <c r="W91" s="57"/>
      <c r="X91" s="57"/>
      <c r="Y91" s="57"/>
      <c r="Z91" s="57"/>
      <c r="AA91" s="57"/>
      <c r="AB91" s="57"/>
    </row>
    <row r="92">
      <c r="A92" s="349"/>
      <c r="B92" s="185" t="s">
        <v>53</v>
      </c>
      <c r="C92" s="141"/>
      <c r="D92" s="186">
        <v>1.0</v>
      </c>
      <c r="E92" s="186" t="s">
        <v>1836</v>
      </c>
      <c r="F92" s="141"/>
      <c r="G92" s="48"/>
      <c r="H92" s="48"/>
      <c r="I92" s="48"/>
      <c r="J92" s="203">
        <v>45883.0</v>
      </c>
      <c r="K92" s="380" t="s">
        <v>2741</v>
      </c>
      <c r="L92" s="380">
        <v>282331.0</v>
      </c>
      <c r="M92" s="381">
        <v>124.75</v>
      </c>
      <c r="N92" s="197"/>
      <c r="O92" s="382"/>
      <c r="P92" s="48"/>
      <c r="Q92" s="117"/>
      <c r="R92" s="141"/>
      <c r="S92" s="141"/>
      <c r="T92" s="141"/>
      <c r="U92" s="57"/>
      <c r="V92" s="57"/>
      <c r="W92" s="57"/>
      <c r="X92" s="57"/>
      <c r="Y92" s="57"/>
      <c r="Z92" s="57"/>
      <c r="AA92" s="57"/>
      <c r="AB92" s="57"/>
    </row>
    <row r="93">
      <c r="A93" s="349"/>
      <c r="B93" s="185" t="s">
        <v>53</v>
      </c>
      <c r="C93" s="141"/>
      <c r="D93" s="186">
        <v>1.0</v>
      </c>
      <c r="E93" s="186" t="s">
        <v>853</v>
      </c>
      <c r="F93" s="141"/>
      <c r="G93" s="48"/>
      <c r="H93" s="48"/>
      <c r="I93" s="48"/>
      <c r="J93" s="203">
        <v>45883.0</v>
      </c>
      <c r="K93" s="380" t="s">
        <v>2741</v>
      </c>
      <c r="L93" s="380">
        <v>282331.0</v>
      </c>
      <c r="M93" s="381">
        <v>124.75</v>
      </c>
      <c r="N93" s="197"/>
      <c r="O93" s="382"/>
      <c r="P93" s="48"/>
      <c r="Q93" s="117"/>
      <c r="R93" s="141"/>
      <c r="S93" s="141"/>
      <c r="T93" s="141"/>
      <c r="U93" s="57"/>
      <c r="V93" s="57"/>
      <c r="W93" s="57"/>
      <c r="X93" s="57"/>
      <c r="Y93" s="57"/>
      <c r="Z93" s="57"/>
      <c r="AA93" s="57"/>
      <c r="AB93" s="57"/>
    </row>
    <row r="94">
      <c r="A94" s="349"/>
      <c r="B94" s="185" t="s">
        <v>53</v>
      </c>
      <c r="C94" s="141"/>
      <c r="D94" s="186">
        <v>1.0</v>
      </c>
      <c r="E94" s="186" t="s">
        <v>1809</v>
      </c>
      <c r="F94" s="141"/>
      <c r="G94" s="48"/>
      <c r="H94" s="48"/>
      <c r="I94" s="48"/>
      <c r="J94" s="203">
        <v>45883.0</v>
      </c>
      <c r="K94" s="380" t="s">
        <v>2741</v>
      </c>
      <c r="L94" s="380">
        <v>282331.0</v>
      </c>
      <c r="M94" s="381">
        <v>124.75</v>
      </c>
      <c r="N94" s="197"/>
      <c r="O94" s="382"/>
      <c r="P94" s="48"/>
      <c r="Q94" s="117"/>
      <c r="R94" s="141"/>
      <c r="S94" s="141"/>
      <c r="T94" s="141"/>
      <c r="U94" s="57"/>
      <c r="V94" s="57"/>
      <c r="W94" s="57"/>
      <c r="X94" s="57"/>
      <c r="Y94" s="57"/>
      <c r="Z94" s="57"/>
      <c r="AA94" s="57"/>
      <c r="AB94" s="57"/>
    </row>
    <row r="95">
      <c r="A95" s="349"/>
      <c r="B95" s="185" t="s">
        <v>2728</v>
      </c>
      <c r="C95" s="117"/>
      <c r="D95" s="186">
        <v>1.0</v>
      </c>
      <c r="E95" s="186" t="s">
        <v>1837</v>
      </c>
      <c r="F95" s="290"/>
      <c r="G95" s="48"/>
      <c r="H95" s="48"/>
      <c r="I95" s="48"/>
      <c r="J95" s="203">
        <v>45887.0</v>
      </c>
      <c r="K95" s="380" t="s">
        <v>38</v>
      </c>
      <c r="L95" s="380" t="s">
        <v>2929</v>
      </c>
      <c r="M95" s="381">
        <v>154.33</v>
      </c>
      <c r="N95" s="193">
        <v>615615.0</v>
      </c>
      <c r="O95" s="382"/>
      <c r="P95" s="48"/>
      <c r="Q95" s="186" t="s">
        <v>2294</v>
      </c>
      <c r="R95" s="141"/>
      <c r="S95" s="141"/>
      <c r="T95" s="141"/>
      <c r="U95" s="57"/>
      <c r="V95" s="57"/>
      <c r="W95" s="57"/>
      <c r="X95" s="57"/>
      <c r="Y95" s="57"/>
      <c r="Z95" s="57"/>
      <c r="AA95" s="57"/>
      <c r="AB95" s="57"/>
    </row>
    <row r="96">
      <c r="A96" s="349"/>
      <c r="B96" s="185" t="s">
        <v>2930</v>
      </c>
      <c r="C96" s="186" t="s">
        <v>2931</v>
      </c>
      <c r="D96" s="186">
        <v>1.0</v>
      </c>
      <c r="E96" s="186" t="s">
        <v>1838</v>
      </c>
      <c r="F96" s="198" t="s">
        <v>35</v>
      </c>
      <c r="G96" s="48"/>
      <c r="H96" s="48"/>
      <c r="I96" s="48"/>
      <c r="J96" s="203">
        <v>45887.0</v>
      </c>
      <c r="K96" s="380" t="s">
        <v>38</v>
      </c>
      <c r="L96" s="380" t="s">
        <v>2929</v>
      </c>
      <c r="M96" s="381">
        <v>62.75</v>
      </c>
      <c r="N96" s="193">
        <v>615615.0</v>
      </c>
      <c r="O96" s="382"/>
      <c r="P96" s="48"/>
      <c r="Q96" s="186" t="s">
        <v>2294</v>
      </c>
      <c r="R96" s="141"/>
      <c r="S96" s="141"/>
      <c r="T96" s="141"/>
      <c r="U96" s="57"/>
      <c r="V96" s="57"/>
      <c r="W96" s="57"/>
      <c r="X96" s="57"/>
      <c r="Y96" s="57"/>
      <c r="Z96" s="57"/>
      <c r="AA96" s="57"/>
      <c r="AB96" s="57"/>
    </row>
    <row r="97">
      <c r="A97" s="349"/>
      <c r="B97" s="185" t="s">
        <v>2922</v>
      </c>
      <c r="C97" s="198" t="s">
        <v>2923</v>
      </c>
      <c r="D97" s="186">
        <v>1.0</v>
      </c>
      <c r="E97" s="186" t="s">
        <v>1839</v>
      </c>
      <c r="F97" s="141"/>
      <c r="G97" s="48"/>
      <c r="H97" s="48"/>
      <c r="I97" s="48"/>
      <c r="J97" s="203">
        <v>45887.0</v>
      </c>
      <c r="K97" s="380" t="s">
        <v>38</v>
      </c>
      <c r="L97" s="380" t="s">
        <v>2929</v>
      </c>
      <c r="M97" s="381">
        <v>42.47</v>
      </c>
      <c r="N97" s="193">
        <v>615615.0</v>
      </c>
      <c r="O97" s="382"/>
      <c r="P97" s="48"/>
      <c r="Q97" s="186" t="s">
        <v>2294</v>
      </c>
      <c r="R97" s="141"/>
      <c r="S97" s="141"/>
      <c r="T97" s="141"/>
      <c r="U97" s="57"/>
      <c r="V97" s="57"/>
      <c r="W97" s="57"/>
      <c r="X97" s="57"/>
      <c r="Y97" s="57"/>
      <c r="Z97" s="57"/>
      <c r="AA97" s="57"/>
      <c r="AB97" s="57"/>
    </row>
    <row r="98">
      <c r="A98" s="349"/>
      <c r="B98" s="185" t="s">
        <v>997</v>
      </c>
      <c r="C98" s="141"/>
      <c r="D98" s="186">
        <v>1.0</v>
      </c>
      <c r="E98" s="186" t="s">
        <v>1840</v>
      </c>
      <c r="F98" s="117"/>
      <c r="G98" s="48"/>
      <c r="H98" s="48"/>
      <c r="I98" s="48"/>
      <c r="J98" s="203">
        <v>45887.0</v>
      </c>
      <c r="K98" s="380" t="s">
        <v>38</v>
      </c>
      <c r="L98" s="380" t="s">
        <v>2929</v>
      </c>
      <c r="M98" s="381">
        <v>156.51</v>
      </c>
      <c r="N98" s="193">
        <v>615615.0</v>
      </c>
      <c r="O98" s="382"/>
      <c r="P98" s="48"/>
      <c r="Q98" s="186" t="s">
        <v>59</v>
      </c>
      <c r="R98" s="141"/>
      <c r="S98" s="141"/>
      <c r="T98" s="141"/>
      <c r="U98" s="57"/>
      <c r="V98" s="57"/>
      <c r="W98" s="57"/>
      <c r="X98" s="57"/>
      <c r="Y98" s="57"/>
      <c r="Z98" s="57"/>
      <c r="AA98" s="57"/>
      <c r="AB98" s="57"/>
    </row>
    <row r="99">
      <c r="A99" s="349"/>
      <c r="B99" s="185" t="s">
        <v>52</v>
      </c>
      <c r="C99" s="141"/>
      <c r="D99" s="186">
        <v>1.0</v>
      </c>
      <c r="E99" s="186" t="s">
        <v>1292</v>
      </c>
      <c r="F99" s="198" t="s">
        <v>35</v>
      </c>
      <c r="G99" s="48"/>
      <c r="H99" s="48"/>
      <c r="I99" s="48"/>
      <c r="J99" s="203">
        <v>45887.0</v>
      </c>
      <c r="K99" s="380" t="s">
        <v>38</v>
      </c>
      <c r="L99" s="380" t="s">
        <v>2929</v>
      </c>
      <c r="M99" s="381">
        <v>130.63</v>
      </c>
      <c r="N99" s="193">
        <v>615615.0</v>
      </c>
      <c r="O99" s="382"/>
      <c r="P99" s="48"/>
      <c r="Q99" s="186" t="s">
        <v>2294</v>
      </c>
      <c r="R99" s="141"/>
      <c r="S99" s="141"/>
      <c r="T99" s="141"/>
      <c r="U99" s="57"/>
      <c r="V99" s="57"/>
      <c r="W99" s="57"/>
      <c r="X99" s="57"/>
      <c r="Y99" s="57"/>
      <c r="Z99" s="57"/>
      <c r="AA99" s="57"/>
      <c r="AB99" s="57"/>
    </row>
    <row r="100">
      <c r="A100" s="349"/>
      <c r="B100" s="185" t="s">
        <v>76</v>
      </c>
      <c r="C100" s="141"/>
      <c r="D100" s="186">
        <v>1.0</v>
      </c>
      <c r="E100" s="186" t="s">
        <v>1836</v>
      </c>
      <c r="F100" s="141"/>
      <c r="G100" s="48"/>
      <c r="H100" s="48"/>
      <c r="I100" s="48"/>
      <c r="J100" s="203">
        <v>45887.0</v>
      </c>
      <c r="K100" s="380" t="s">
        <v>38</v>
      </c>
      <c r="L100" s="380" t="s">
        <v>2929</v>
      </c>
      <c r="M100" s="381">
        <v>162.88</v>
      </c>
      <c r="N100" s="193">
        <v>615615.0</v>
      </c>
      <c r="O100" s="382"/>
      <c r="P100" s="48"/>
      <c r="Q100" s="186" t="s">
        <v>2294</v>
      </c>
      <c r="R100" s="141"/>
      <c r="S100" s="141"/>
      <c r="T100" s="141"/>
      <c r="U100" s="57"/>
      <c r="V100" s="57"/>
      <c r="W100" s="57"/>
      <c r="X100" s="57"/>
      <c r="Y100" s="57"/>
      <c r="Z100" s="57"/>
      <c r="AA100" s="57"/>
      <c r="AB100" s="57"/>
    </row>
    <row r="101">
      <c r="A101" s="349"/>
      <c r="B101" s="185" t="s">
        <v>76</v>
      </c>
      <c r="C101" s="141"/>
      <c r="D101" s="186">
        <v>1.0</v>
      </c>
      <c r="E101" s="186" t="s">
        <v>853</v>
      </c>
      <c r="F101" s="141"/>
      <c r="G101" s="48"/>
      <c r="H101" s="48"/>
      <c r="I101" s="48"/>
      <c r="J101" s="203">
        <v>45887.0</v>
      </c>
      <c r="K101" s="380" t="s">
        <v>38</v>
      </c>
      <c r="L101" s="380" t="s">
        <v>2929</v>
      </c>
      <c r="M101" s="381">
        <v>97.38</v>
      </c>
      <c r="N101" s="193">
        <v>615615.0</v>
      </c>
      <c r="O101" s="382"/>
      <c r="P101" s="48"/>
      <c r="Q101" s="186" t="s">
        <v>2294</v>
      </c>
      <c r="R101" s="141"/>
      <c r="S101" s="141"/>
      <c r="T101" s="141"/>
      <c r="U101" s="57"/>
      <c r="V101" s="57"/>
      <c r="W101" s="57"/>
      <c r="X101" s="57"/>
      <c r="Y101" s="57"/>
      <c r="Z101" s="57"/>
      <c r="AA101" s="57"/>
      <c r="AB101" s="57"/>
    </row>
    <row r="102">
      <c r="A102" s="349"/>
      <c r="B102" s="185" t="s">
        <v>76</v>
      </c>
      <c r="C102" s="141"/>
      <c r="D102" s="186">
        <v>1.0</v>
      </c>
      <c r="E102" s="186" t="s">
        <v>1809</v>
      </c>
      <c r="F102" s="141"/>
      <c r="G102" s="48"/>
      <c r="H102" s="48"/>
      <c r="I102" s="48"/>
      <c r="J102" s="203">
        <v>45887.0</v>
      </c>
      <c r="K102" s="380" t="s">
        <v>38</v>
      </c>
      <c r="L102" s="380" t="s">
        <v>2929</v>
      </c>
      <c r="M102" s="381">
        <v>131.43</v>
      </c>
      <c r="N102" s="193">
        <v>615615.0</v>
      </c>
      <c r="O102" s="382"/>
      <c r="P102" s="48"/>
      <c r="Q102" s="186" t="s">
        <v>2294</v>
      </c>
      <c r="R102" s="141"/>
      <c r="S102" s="141"/>
      <c r="T102" s="141"/>
      <c r="U102" s="57"/>
      <c r="V102" s="57"/>
      <c r="W102" s="57"/>
      <c r="X102" s="57"/>
      <c r="Y102" s="57"/>
      <c r="Z102" s="57"/>
      <c r="AA102" s="57"/>
      <c r="AB102" s="57"/>
    </row>
    <row r="103">
      <c r="A103" s="349"/>
      <c r="B103" s="185" t="s">
        <v>76</v>
      </c>
      <c r="C103" s="141"/>
      <c r="D103" s="186">
        <v>1.0</v>
      </c>
      <c r="E103" s="186" t="s">
        <v>1841</v>
      </c>
      <c r="F103" s="141"/>
      <c r="G103" s="48"/>
      <c r="H103" s="48"/>
      <c r="I103" s="48"/>
      <c r="J103" s="203">
        <v>45887.0</v>
      </c>
      <c r="K103" s="380" t="s">
        <v>38</v>
      </c>
      <c r="L103" s="380" t="s">
        <v>2929</v>
      </c>
      <c r="M103" s="381">
        <v>50.11</v>
      </c>
      <c r="N103" s="193">
        <v>615615.0</v>
      </c>
      <c r="O103" s="382"/>
      <c r="P103" s="48"/>
      <c r="Q103" s="186" t="s">
        <v>2294</v>
      </c>
      <c r="R103" s="141"/>
      <c r="S103" s="141"/>
      <c r="T103" s="141"/>
      <c r="U103" s="57"/>
      <c r="V103" s="57"/>
      <c r="W103" s="57"/>
      <c r="X103" s="57"/>
      <c r="Y103" s="57"/>
      <c r="Z103" s="57"/>
      <c r="AA103" s="57"/>
      <c r="AB103" s="57"/>
    </row>
    <row r="104">
      <c r="A104" s="349"/>
      <c r="B104" s="185" t="s">
        <v>53</v>
      </c>
      <c r="C104" s="141"/>
      <c r="D104" s="186">
        <v>50.0</v>
      </c>
      <c r="E104" s="186" t="s">
        <v>1842</v>
      </c>
      <c r="F104" s="117"/>
      <c r="G104" s="48"/>
      <c r="H104" s="48"/>
      <c r="I104" s="48"/>
      <c r="J104" s="203">
        <v>45887.0</v>
      </c>
      <c r="K104" s="380" t="s">
        <v>38</v>
      </c>
      <c r="L104" s="380" t="s">
        <v>2929</v>
      </c>
      <c r="M104" s="381">
        <v>8.12</v>
      </c>
      <c r="N104" s="193">
        <v>615615.0</v>
      </c>
      <c r="O104" s="382"/>
      <c r="P104" s="48"/>
      <c r="Q104" s="117"/>
      <c r="R104" s="141"/>
      <c r="S104" s="141"/>
      <c r="T104" s="141"/>
      <c r="U104" s="57"/>
      <c r="V104" s="57"/>
      <c r="W104" s="57"/>
      <c r="X104" s="57"/>
      <c r="Y104" s="57"/>
      <c r="Z104" s="57"/>
      <c r="AA104" s="57"/>
      <c r="AB104" s="57"/>
    </row>
    <row r="105">
      <c r="A105" s="349"/>
      <c r="B105" s="185" t="s">
        <v>2809</v>
      </c>
      <c r="C105" s="117"/>
      <c r="D105" s="186">
        <v>1.0</v>
      </c>
      <c r="E105" s="186" t="s">
        <v>1843</v>
      </c>
      <c r="F105" s="186" t="s">
        <v>35</v>
      </c>
      <c r="G105" s="48"/>
      <c r="H105" s="48"/>
      <c r="I105" s="48"/>
      <c r="J105" s="203">
        <v>45887.0</v>
      </c>
      <c r="K105" s="380" t="s">
        <v>38</v>
      </c>
      <c r="L105" s="380" t="s">
        <v>2929</v>
      </c>
      <c r="M105" s="381">
        <v>24.97</v>
      </c>
      <c r="N105" s="193">
        <v>615615.0</v>
      </c>
      <c r="O105" s="382"/>
      <c r="P105" s="47"/>
      <c r="Q105" s="186" t="s">
        <v>2294</v>
      </c>
      <c r="R105" s="141"/>
      <c r="S105" s="141"/>
      <c r="T105" s="141"/>
      <c r="U105" s="57"/>
      <c r="V105" s="57"/>
      <c r="W105" s="57"/>
      <c r="X105" s="57"/>
      <c r="Y105" s="57"/>
      <c r="Z105" s="57"/>
      <c r="AA105" s="57"/>
      <c r="AB105" s="57"/>
    </row>
    <row r="106">
      <c r="A106" s="349"/>
      <c r="B106" s="185" t="s">
        <v>2922</v>
      </c>
      <c r="C106" s="198" t="s">
        <v>2923</v>
      </c>
      <c r="D106" s="186">
        <v>1.0</v>
      </c>
      <c r="E106" s="186" t="s">
        <v>1844</v>
      </c>
      <c r="F106" s="198" t="s">
        <v>35</v>
      </c>
      <c r="G106" s="48"/>
      <c r="H106" s="48"/>
      <c r="I106" s="48"/>
      <c r="J106" s="203">
        <v>45887.0</v>
      </c>
      <c r="K106" s="380" t="s">
        <v>38</v>
      </c>
      <c r="L106" s="380" t="s">
        <v>2929</v>
      </c>
      <c r="M106" s="381">
        <v>50.11</v>
      </c>
      <c r="N106" s="193">
        <v>615615.0</v>
      </c>
      <c r="O106" s="382"/>
      <c r="P106" s="48"/>
      <c r="Q106" s="117"/>
      <c r="R106" s="141"/>
      <c r="S106" s="141"/>
      <c r="T106" s="141"/>
      <c r="U106" s="57"/>
      <c r="V106" s="57"/>
      <c r="W106" s="57"/>
      <c r="X106" s="57"/>
      <c r="Y106" s="57"/>
      <c r="Z106" s="57"/>
      <c r="AA106" s="57"/>
      <c r="AB106" s="57"/>
    </row>
    <row r="107">
      <c r="A107" s="349"/>
      <c r="B107" s="185" t="s">
        <v>53</v>
      </c>
      <c r="C107" s="141"/>
      <c r="D107" s="186">
        <v>1.0</v>
      </c>
      <c r="E107" s="186" t="s">
        <v>1846</v>
      </c>
      <c r="F107" s="141"/>
      <c r="G107" s="48"/>
      <c r="H107" s="48"/>
      <c r="I107" s="48"/>
      <c r="J107" s="203">
        <v>45887.0</v>
      </c>
      <c r="K107" s="380" t="s">
        <v>38</v>
      </c>
      <c r="L107" s="380" t="s">
        <v>2929</v>
      </c>
      <c r="M107" s="381">
        <v>42.47</v>
      </c>
      <c r="N107" s="193">
        <v>615615.0</v>
      </c>
      <c r="O107" s="382"/>
      <c r="P107" s="48"/>
      <c r="Q107" s="117"/>
      <c r="R107" s="141"/>
      <c r="S107" s="141"/>
      <c r="T107" s="141"/>
      <c r="U107" s="57"/>
      <c r="V107" s="57"/>
      <c r="W107" s="57"/>
      <c r="X107" s="57"/>
      <c r="Y107" s="57"/>
      <c r="Z107" s="57"/>
      <c r="AA107" s="57"/>
      <c r="AB107" s="57"/>
    </row>
    <row r="108">
      <c r="A108" s="349"/>
      <c r="B108" s="185" t="s">
        <v>997</v>
      </c>
      <c r="C108" s="141"/>
      <c r="D108" s="186">
        <v>1.0</v>
      </c>
      <c r="E108" s="186" t="s">
        <v>1847</v>
      </c>
      <c r="F108" s="141"/>
      <c r="G108" s="48"/>
      <c r="H108" s="48"/>
      <c r="I108" s="48"/>
      <c r="J108" s="203">
        <v>45887.0</v>
      </c>
      <c r="K108" s="380" t="s">
        <v>38</v>
      </c>
      <c r="L108" s="380" t="s">
        <v>2929</v>
      </c>
      <c r="M108" s="381">
        <v>121.87</v>
      </c>
      <c r="N108" s="193">
        <v>615615.0</v>
      </c>
      <c r="O108" s="382"/>
      <c r="P108" s="48"/>
      <c r="Q108" s="186" t="s">
        <v>2294</v>
      </c>
      <c r="R108" s="141"/>
      <c r="S108" s="141"/>
      <c r="T108" s="141"/>
      <c r="U108" s="57"/>
      <c r="V108" s="57"/>
      <c r="W108" s="57"/>
      <c r="X108" s="57"/>
      <c r="Y108" s="57"/>
      <c r="Z108" s="57"/>
      <c r="AA108" s="57"/>
      <c r="AB108" s="57"/>
    </row>
    <row r="109">
      <c r="A109" s="349"/>
      <c r="B109" s="185" t="s">
        <v>53</v>
      </c>
      <c r="C109" s="141"/>
      <c r="D109" s="186">
        <v>1.0</v>
      </c>
      <c r="E109" s="186" t="s">
        <v>1848</v>
      </c>
      <c r="F109" s="141"/>
      <c r="G109" s="48"/>
      <c r="H109" s="48"/>
      <c r="I109" s="48"/>
      <c r="J109" s="203">
        <v>45887.0</v>
      </c>
      <c r="K109" s="380" t="s">
        <v>1080</v>
      </c>
      <c r="L109" s="380" t="s">
        <v>2684</v>
      </c>
      <c r="M109" s="381">
        <v>0.0</v>
      </c>
      <c r="N109" s="193" t="s">
        <v>139</v>
      </c>
      <c r="O109" s="382"/>
      <c r="P109" s="48"/>
      <c r="Q109" s="117"/>
      <c r="R109" s="141"/>
      <c r="S109" s="141"/>
      <c r="T109" s="141"/>
      <c r="U109" s="57"/>
      <c r="V109" s="57"/>
      <c r="W109" s="57"/>
      <c r="X109" s="57"/>
      <c r="Y109" s="57"/>
      <c r="Z109" s="57"/>
      <c r="AA109" s="57"/>
      <c r="AB109" s="57"/>
    </row>
    <row r="110">
      <c r="A110" s="349"/>
      <c r="B110" s="185" t="s">
        <v>53</v>
      </c>
      <c r="C110" s="141"/>
      <c r="D110" s="186">
        <v>10.0</v>
      </c>
      <c r="E110" s="186" t="s">
        <v>1849</v>
      </c>
      <c r="F110" s="141"/>
      <c r="G110" s="48"/>
      <c r="H110" s="48"/>
      <c r="I110" s="48"/>
      <c r="J110" s="203">
        <v>45887.0</v>
      </c>
      <c r="K110" s="380" t="s">
        <v>1080</v>
      </c>
      <c r="L110" s="380" t="s">
        <v>2684</v>
      </c>
      <c r="M110" s="381">
        <v>0.0</v>
      </c>
      <c r="N110" s="193">
        <v>186462.0</v>
      </c>
      <c r="O110" s="382"/>
      <c r="P110" s="48"/>
      <c r="Q110" s="117"/>
      <c r="R110" s="141"/>
      <c r="S110" s="141"/>
      <c r="T110" s="141"/>
      <c r="U110" s="57"/>
      <c r="V110" s="57"/>
      <c r="W110" s="57"/>
      <c r="X110" s="57"/>
      <c r="Y110" s="57"/>
      <c r="Z110" s="57"/>
      <c r="AA110" s="57"/>
      <c r="AB110" s="57"/>
    </row>
    <row r="111">
      <c r="A111" s="349"/>
      <c r="B111" s="185" t="s">
        <v>53</v>
      </c>
      <c r="C111" s="141"/>
      <c r="D111" s="186">
        <v>10.0</v>
      </c>
      <c r="E111" s="186" t="s">
        <v>1850</v>
      </c>
      <c r="F111" s="141"/>
      <c r="G111" s="48"/>
      <c r="H111" s="48"/>
      <c r="I111" s="48"/>
      <c r="J111" s="203">
        <v>45887.0</v>
      </c>
      <c r="K111" s="380" t="s">
        <v>1080</v>
      </c>
      <c r="L111" s="380" t="s">
        <v>2684</v>
      </c>
      <c r="M111" s="381">
        <v>0.0</v>
      </c>
      <c r="N111" s="193">
        <v>186462.0</v>
      </c>
      <c r="O111" s="382"/>
      <c r="P111" s="48"/>
      <c r="Q111" s="117"/>
      <c r="R111" s="141"/>
      <c r="S111" s="141"/>
      <c r="T111" s="141"/>
      <c r="U111" s="57"/>
      <c r="V111" s="57"/>
      <c r="W111" s="57"/>
      <c r="X111" s="57"/>
      <c r="Y111" s="57"/>
      <c r="Z111" s="57"/>
      <c r="AA111" s="57"/>
      <c r="AB111" s="57"/>
    </row>
    <row r="112">
      <c r="A112" s="349"/>
      <c r="B112" s="185" t="s">
        <v>53</v>
      </c>
      <c r="C112" s="141"/>
      <c r="D112" s="186">
        <v>10.0</v>
      </c>
      <c r="E112" s="186" t="s">
        <v>1852</v>
      </c>
      <c r="F112" s="141"/>
      <c r="G112" s="48"/>
      <c r="H112" s="48"/>
      <c r="I112" s="48"/>
      <c r="J112" s="203">
        <v>45887.0</v>
      </c>
      <c r="K112" s="380" t="s">
        <v>1080</v>
      </c>
      <c r="L112" s="380" t="s">
        <v>2684</v>
      </c>
      <c r="M112" s="381">
        <v>0.0</v>
      </c>
      <c r="N112" s="193">
        <v>186462.0</v>
      </c>
      <c r="O112" s="382"/>
      <c r="P112" s="48"/>
      <c r="Q112" s="117"/>
      <c r="R112" s="141"/>
      <c r="S112" s="141"/>
      <c r="T112" s="141"/>
      <c r="U112" s="57"/>
      <c r="V112" s="57"/>
      <c r="W112" s="57"/>
      <c r="X112" s="57"/>
      <c r="Y112" s="57"/>
      <c r="Z112" s="57"/>
      <c r="AA112" s="57"/>
      <c r="AB112" s="57"/>
    </row>
    <row r="113">
      <c r="A113" s="349"/>
      <c r="B113" s="185" t="s">
        <v>53</v>
      </c>
      <c r="C113" s="141"/>
      <c r="D113" s="186">
        <v>20.0</v>
      </c>
      <c r="E113" s="186" t="s">
        <v>1853</v>
      </c>
      <c r="F113" s="141"/>
      <c r="G113" s="48"/>
      <c r="H113" s="48"/>
      <c r="I113" s="48"/>
      <c r="J113" s="203">
        <v>45887.0</v>
      </c>
      <c r="K113" s="380" t="s">
        <v>1080</v>
      </c>
      <c r="L113" s="380" t="s">
        <v>2684</v>
      </c>
      <c r="M113" s="381">
        <v>0.0</v>
      </c>
      <c r="N113" s="193">
        <v>186462.0</v>
      </c>
      <c r="O113" s="382"/>
      <c r="P113" s="48"/>
      <c r="Q113" s="117"/>
      <c r="R113" s="141"/>
      <c r="S113" s="141"/>
      <c r="T113" s="141"/>
      <c r="U113" s="57"/>
      <c r="V113" s="57"/>
      <c r="W113" s="57"/>
      <c r="X113" s="57"/>
      <c r="Y113" s="57"/>
      <c r="Z113" s="57"/>
      <c r="AA113" s="57"/>
      <c r="AB113" s="57"/>
    </row>
    <row r="114">
      <c r="A114" s="349"/>
      <c r="B114" s="185" t="s">
        <v>53</v>
      </c>
      <c r="C114" s="141"/>
      <c r="D114" s="186">
        <v>12.0</v>
      </c>
      <c r="E114" s="186" t="s">
        <v>1854</v>
      </c>
      <c r="F114" s="141"/>
      <c r="G114" s="48"/>
      <c r="H114" s="48"/>
      <c r="I114" s="48"/>
      <c r="J114" s="203">
        <v>45887.0</v>
      </c>
      <c r="K114" s="380" t="s">
        <v>1080</v>
      </c>
      <c r="L114" s="380" t="s">
        <v>2684</v>
      </c>
      <c r="M114" s="381">
        <v>0.0</v>
      </c>
      <c r="N114" s="193">
        <v>186462.0</v>
      </c>
      <c r="O114" s="382"/>
      <c r="P114" s="48"/>
      <c r="Q114" s="117"/>
      <c r="R114" s="141"/>
      <c r="S114" s="141"/>
      <c r="T114" s="141"/>
      <c r="U114" s="57"/>
      <c r="V114" s="57"/>
      <c r="W114" s="57"/>
      <c r="X114" s="57"/>
      <c r="Y114" s="57"/>
      <c r="Z114" s="57"/>
      <c r="AA114" s="57"/>
      <c r="AB114" s="57"/>
    </row>
    <row r="115">
      <c r="A115" s="349"/>
      <c r="B115" s="185" t="s">
        <v>53</v>
      </c>
      <c r="C115" s="141"/>
      <c r="D115" s="186">
        <v>40.0</v>
      </c>
      <c r="E115" s="186" t="s">
        <v>571</v>
      </c>
      <c r="F115" s="141"/>
      <c r="G115" s="48"/>
      <c r="H115" s="48"/>
      <c r="I115" s="48"/>
      <c r="J115" s="203">
        <v>45887.0</v>
      </c>
      <c r="K115" s="380" t="s">
        <v>1080</v>
      </c>
      <c r="L115" s="380" t="s">
        <v>2684</v>
      </c>
      <c r="M115" s="381">
        <v>0.0</v>
      </c>
      <c r="N115" s="193">
        <v>186462.0</v>
      </c>
      <c r="O115" s="382"/>
      <c r="P115" s="48"/>
      <c r="Q115" s="117"/>
      <c r="R115" s="141"/>
      <c r="S115" s="141"/>
      <c r="T115" s="141"/>
      <c r="U115" s="57"/>
      <c r="V115" s="57"/>
      <c r="W115" s="57"/>
      <c r="X115" s="57"/>
      <c r="Y115" s="57"/>
      <c r="Z115" s="57"/>
      <c r="AA115" s="57"/>
      <c r="AB115" s="57"/>
    </row>
    <row r="116">
      <c r="A116" s="349"/>
      <c r="B116" s="185" t="s">
        <v>53</v>
      </c>
      <c r="C116" s="141"/>
      <c r="D116" s="186">
        <v>30.0</v>
      </c>
      <c r="E116" s="186" t="s">
        <v>447</v>
      </c>
      <c r="F116" s="141"/>
      <c r="G116" s="48"/>
      <c r="H116" s="48"/>
      <c r="I116" s="48"/>
      <c r="J116" s="203">
        <v>45887.0</v>
      </c>
      <c r="K116" s="380" t="s">
        <v>1080</v>
      </c>
      <c r="L116" s="380" t="s">
        <v>2684</v>
      </c>
      <c r="M116" s="381">
        <v>0.0</v>
      </c>
      <c r="N116" s="193">
        <v>186462.0</v>
      </c>
      <c r="O116" s="382"/>
      <c r="P116" s="48"/>
      <c r="Q116" s="117"/>
      <c r="R116" s="141"/>
      <c r="S116" s="141"/>
      <c r="T116" s="141"/>
      <c r="U116" s="57"/>
      <c r="V116" s="57"/>
      <c r="W116" s="57"/>
      <c r="X116" s="57"/>
      <c r="Y116" s="57"/>
      <c r="Z116" s="57"/>
      <c r="AA116" s="57"/>
      <c r="AB116" s="57"/>
    </row>
    <row r="117">
      <c r="A117" s="349"/>
      <c r="B117" s="185" t="s">
        <v>53</v>
      </c>
      <c r="C117" s="141"/>
      <c r="D117" s="186">
        <v>30.0</v>
      </c>
      <c r="E117" s="186" t="s">
        <v>1799</v>
      </c>
      <c r="F117" s="141"/>
      <c r="G117" s="48"/>
      <c r="H117" s="48"/>
      <c r="I117" s="48"/>
      <c r="J117" s="203">
        <v>45887.0</v>
      </c>
      <c r="K117" s="380" t="s">
        <v>1080</v>
      </c>
      <c r="L117" s="380" t="s">
        <v>2684</v>
      </c>
      <c r="M117" s="381">
        <v>0.0</v>
      </c>
      <c r="N117" s="193">
        <v>186462.0</v>
      </c>
      <c r="O117" s="382"/>
      <c r="P117" s="48"/>
      <c r="Q117" s="117"/>
      <c r="R117" s="141"/>
      <c r="S117" s="141"/>
      <c r="T117" s="141"/>
      <c r="U117" s="57"/>
      <c r="V117" s="57"/>
      <c r="W117" s="57"/>
      <c r="X117" s="57"/>
      <c r="Y117" s="57"/>
      <c r="Z117" s="57"/>
      <c r="AA117" s="57"/>
      <c r="AB117" s="57"/>
    </row>
    <row r="118">
      <c r="A118" s="349"/>
      <c r="B118" s="185" t="s">
        <v>53</v>
      </c>
      <c r="C118" s="141"/>
      <c r="D118" s="186">
        <v>20.0</v>
      </c>
      <c r="E118" s="186" t="s">
        <v>1856</v>
      </c>
      <c r="F118" s="141"/>
      <c r="G118" s="48"/>
      <c r="H118" s="48"/>
      <c r="I118" s="48"/>
      <c r="J118" s="203">
        <v>45887.0</v>
      </c>
      <c r="K118" s="380" t="s">
        <v>1080</v>
      </c>
      <c r="L118" s="380" t="s">
        <v>2684</v>
      </c>
      <c r="M118" s="381">
        <v>0.0</v>
      </c>
      <c r="N118" s="193">
        <v>186462.0</v>
      </c>
      <c r="O118" s="382"/>
      <c r="P118" s="48"/>
      <c r="Q118" s="117"/>
      <c r="R118" s="141"/>
      <c r="S118" s="141"/>
      <c r="T118" s="141"/>
      <c r="U118" s="57"/>
      <c r="V118" s="57"/>
      <c r="W118" s="57"/>
      <c r="X118" s="57"/>
      <c r="Y118" s="57"/>
      <c r="Z118" s="57"/>
      <c r="AA118" s="57"/>
      <c r="AB118" s="57"/>
    </row>
    <row r="119">
      <c r="A119" s="349"/>
      <c r="B119" s="185" t="s">
        <v>53</v>
      </c>
      <c r="C119" s="141"/>
      <c r="D119" s="186">
        <v>20.0</v>
      </c>
      <c r="E119" s="186" t="s">
        <v>1857</v>
      </c>
      <c r="F119" s="141"/>
      <c r="G119" s="48"/>
      <c r="H119" s="48"/>
      <c r="I119" s="48"/>
      <c r="J119" s="203">
        <v>45887.0</v>
      </c>
      <c r="K119" s="380" t="s">
        <v>1080</v>
      </c>
      <c r="L119" s="380" t="s">
        <v>2684</v>
      </c>
      <c r="M119" s="381">
        <v>0.0</v>
      </c>
      <c r="N119" s="193">
        <v>186462.0</v>
      </c>
      <c r="O119" s="382"/>
      <c r="P119" s="48"/>
      <c r="Q119" s="117"/>
      <c r="R119" s="141"/>
      <c r="S119" s="141"/>
      <c r="T119" s="141"/>
      <c r="U119" s="57"/>
      <c r="V119" s="57"/>
      <c r="W119" s="57"/>
      <c r="X119" s="57"/>
      <c r="Y119" s="57"/>
      <c r="Z119" s="57"/>
      <c r="AA119" s="57"/>
      <c r="AB119" s="57"/>
    </row>
    <row r="120">
      <c r="A120" s="349"/>
      <c r="B120" s="185" t="s">
        <v>53</v>
      </c>
      <c r="C120" s="141"/>
      <c r="D120" s="186">
        <v>20.0</v>
      </c>
      <c r="E120" s="186" t="s">
        <v>1858</v>
      </c>
      <c r="F120" s="141"/>
      <c r="G120" s="48"/>
      <c r="H120" s="48"/>
      <c r="I120" s="48"/>
      <c r="J120" s="203">
        <v>45887.0</v>
      </c>
      <c r="K120" s="380" t="s">
        <v>1080</v>
      </c>
      <c r="L120" s="380" t="s">
        <v>2684</v>
      </c>
      <c r="M120" s="381">
        <v>0.0</v>
      </c>
      <c r="N120" s="193">
        <v>186462.0</v>
      </c>
      <c r="O120" s="382"/>
      <c r="P120" s="48"/>
      <c r="Q120" s="117"/>
      <c r="R120" s="141"/>
      <c r="S120" s="141"/>
      <c r="T120" s="141"/>
      <c r="U120" s="57"/>
      <c r="V120" s="57"/>
      <c r="W120" s="57"/>
      <c r="X120" s="57"/>
      <c r="Y120" s="57"/>
      <c r="Z120" s="57"/>
      <c r="AA120" s="57"/>
      <c r="AB120" s="57"/>
    </row>
    <row r="121">
      <c r="A121" s="349"/>
      <c r="B121" s="185" t="s">
        <v>53</v>
      </c>
      <c r="C121" s="141"/>
      <c r="D121" s="186">
        <v>10.0</v>
      </c>
      <c r="E121" s="186" t="s">
        <v>658</v>
      </c>
      <c r="F121" s="141"/>
      <c r="G121" s="48"/>
      <c r="H121" s="48"/>
      <c r="I121" s="48"/>
      <c r="J121" s="203">
        <v>45887.0</v>
      </c>
      <c r="K121" s="380" t="s">
        <v>1080</v>
      </c>
      <c r="L121" s="380" t="s">
        <v>2684</v>
      </c>
      <c r="M121" s="381">
        <v>0.0</v>
      </c>
      <c r="N121" s="193" t="s">
        <v>139</v>
      </c>
      <c r="O121" s="382"/>
      <c r="P121" s="48"/>
      <c r="Q121" s="117"/>
      <c r="R121" s="141"/>
      <c r="S121" s="141"/>
      <c r="T121" s="141"/>
      <c r="U121" s="57"/>
      <c r="V121" s="57"/>
      <c r="W121" s="57"/>
      <c r="X121" s="57"/>
      <c r="Y121" s="57"/>
      <c r="Z121" s="57"/>
      <c r="AA121" s="57"/>
      <c r="AB121" s="57"/>
    </row>
    <row r="122">
      <c r="A122" s="349"/>
      <c r="B122" s="185" t="s">
        <v>53</v>
      </c>
      <c r="C122" s="141"/>
      <c r="D122" s="186">
        <v>10.0</v>
      </c>
      <c r="E122" s="186" t="s">
        <v>1859</v>
      </c>
      <c r="F122" s="141"/>
      <c r="G122" s="48"/>
      <c r="H122" s="48"/>
      <c r="I122" s="48"/>
      <c r="J122" s="203">
        <v>45887.0</v>
      </c>
      <c r="K122" s="380" t="s">
        <v>1080</v>
      </c>
      <c r="L122" s="380" t="s">
        <v>2684</v>
      </c>
      <c r="M122" s="381">
        <v>0.0</v>
      </c>
      <c r="N122" s="193">
        <v>186462.0</v>
      </c>
      <c r="O122" s="382"/>
      <c r="P122" s="48"/>
      <c r="Q122" s="117"/>
      <c r="R122" s="141"/>
      <c r="S122" s="141"/>
      <c r="T122" s="141"/>
      <c r="U122" s="57"/>
      <c r="V122" s="57"/>
      <c r="W122" s="57"/>
      <c r="X122" s="57"/>
      <c r="Y122" s="57"/>
      <c r="Z122" s="57"/>
      <c r="AA122" s="57"/>
      <c r="AB122" s="57"/>
    </row>
    <row r="123">
      <c r="A123" s="349"/>
      <c r="B123" s="185" t="s">
        <v>53</v>
      </c>
      <c r="C123" s="141"/>
      <c r="D123" s="186">
        <v>10.0</v>
      </c>
      <c r="E123" s="186" t="s">
        <v>603</v>
      </c>
      <c r="F123" s="141"/>
      <c r="G123" s="48"/>
      <c r="H123" s="48"/>
      <c r="I123" s="48"/>
      <c r="J123" s="203">
        <v>45887.0</v>
      </c>
      <c r="K123" s="380" t="s">
        <v>1080</v>
      </c>
      <c r="L123" s="380" t="s">
        <v>2684</v>
      </c>
      <c r="M123" s="381">
        <v>0.0</v>
      </c>
      <c r="N123" s="193">
        <v>186462.0</v>
      </c>
      <c r="O123" s="382"/>
      <c r="P123" s="48"/>
      <c r="Q123" s="117"/>
      <c r="R123" s="141"/>
      <c r="S123" s="141"/>
      <c r="T123" s="141"/>
      <c r="U123" s="57"/>
      <c r="V123" s="57"/>
      <c r="W123" s="57"/>
      <c r="X123" s="57"/>
      <c r="Y123" s="57"/>
      <c r="Z123" s="57"/>
      <c r="AA123" s="57"/>
      <c r="AB123" s="57"/>
    </row>
    <row r="124">
      <c r="A124" s="349"/>
      <c r="B124" s="185" t="s">
        <v>53</v>
      </c>
      <c r="C124" s="141"/>
      <c r="D124" s="186">
        <v>10.0</v>
      </c>
      <c r="E124" s="186" t="s">
        <v>866</v>
      </c>
      <c r="F124" s="141"/>
      <c r="G124" s="48"/>
      <c r="H124" s="48"/>
      <c r="I124" s="48"/>
      <c r="J124" s="203">
        <v>45887.0</v>
      </c>
      <c r="K124" s="380" t="s">
        <v>1080</v>
      </c>
      <c r="L124" s="380" t="s">
        <v>2684</v>
      </c>
      <c r="M124" s="381">
        <v>0.0</v>
      </c>
      <c r="N124" s="193">
        <v>186462.0</v>
      </c>
      <c r="O124" s="382"/>
      <c r="P124" s="48"/>
      <c r="Q124" s="117"/>
      <c r="R124" s="141"/>
      <c r="S124" s="141"/>
      <c r="T124" s="141"/>
      <c r="U124" s="57"/>
      <c r="V124" s="57"/>
      <c r="W124" s="57"/>
      <c r="X124" s="57"/>
      <c r="Y124" s="57"/>
      <c r="Z124" s="57"/>
      <c r="AA124" s="57"/>
      <c r="AB124" s="57"/>
    </row>
    <row r="125">
      <c r="A125" s="349"/>
      <c r="B125" s="185" t="s">
        <v>53</v>
      </c>
      <c r="C125" s="141"/>
      <c r="D125" s="186">
        <v>20.0</v>
      </c>
      <c r="E125" s="186" t="s">
        <v>870</v>
      </c>
      <c r="F125" s="141"/>
      <c r="G125" s="48"/>
      <c r="H125" s="48"/>
      <c r="I125" s="48"/>
      <c r="J125" s="203">
        <v>45887.0</v>
      </c>
      <c r="K125" s="380" t="s">
        <v>1080</v>
      </c>
      <c r="L125" s="380" t="s">
        <v>2684</v>
      </c>
      <c r="M125" s="381">
        <v>0.0</v>
      </c>
      <c r="N125" s="193">
        <v>186462.0</v>
      </c>
      <c r="O125" s="382"/>
      <c r="P125" s="48"/>
      <c r="Q125" s="117"/>
      <c r="R125" s="141"/>
      <c r="S125" s="141"/>
      <c r="T125" s="141"/>
      <c r="U125" s="57"/>
      <c r="V125" s="57"/>
      <c r="W125" s="57"/>
      <c r="X125" s="57"/>
      <c r="Y125" s="57"/>
      <c r="Z125" s="57"/>
      <c r="AA125" s="57"/>
      <c r="AB125" s="57"/>
    </row>
    <row r="126">
      <c r="A126" s="349"/>
      <c r="B126" s="185" t="s">
        <v>53</v>
      </c>
      <c r="C126" s="141"/>
      <c r="D126" s="186">
        <v>10.0</v>
      </c>
      <c r="E126" s="186" t="s">
        <v>71</v>
      </c>
      <c r="F126" s="141"/>
      <c r="G126" s="48"/>
      <c r="H126" s="48"/>
      <c r="I126" s="48"/>
      <c r="J126" s="203">
        <v>45887.0</v>
      </c>
      <c r="K126" s="380" t="s">
        <v>1080</v>
      </c>
      <c r="L126" s="380" t="s">
        <v>2684</v>
      </c>
      <c r="M126" s="381">
        <v>0.0</v>
      </c>
      <c r="N126" s="193">
        <v>186462.0</v>
      </c>
      <c r="O126" s="382"/>
      <c r="P126" s="48"/>
      <c r="Q126" s="117"/>
      <c r="R126" s="141"/>
      <c r="S126" s="141"/>
      <c r="T126" s="141"/>
      <c r="U126" s="57"/>
      <c r="V126" s="57"/>
      <c r="W126" s="57"/>
      <c r="X126" s="57"/>
      <c r="Y126" s="57"/>
      <c r="Z126" s="57"/>
      <c r="AA126" s="57"/>
      <c r="AB126" s="57"/>
    </row>
    <row r="127">
      <c r="A127" s="349"/>
      <c r="B127" s="185" t="s">
        <v>53</v>
      </c>
      <c r="C127" s="141"/>
      <c r="D127" s="186">
        <v>10.0</v>
      </c>
      <c r="E127" s="186" t="s">
        <v>451</v>
      </c>
      <c r="F127" s="141"/>
      <c r="G127" s="48"/>
      <c r="H127" s="48"/>
      <c r="I127" s="48"/>
      <c r="J127" s="203">
        <v>45887.0</v>
      </c>
      <c r="K127" s="380" t="s">
        <v>1080</v>
      </c>
      <c r="L127" s="380" t="s">
        <v>2684</v>
      </c>
      <c r="M127" s="381">
        <v>0.0</v>
      </c>
      <c r="N127" s="193">
        <v>186462.0</v>
      </c>
      <c r="O127" s="382"/>
      <c r="P127" s="48"/>
      <c r="Q127" s="117"/>
      <c r="R127" s="141"/>
      <c r="S127" s="141"/>
      <c r="T127" s="141"/>
      <c r="U127" s="57"/>
      <c r="V127" s="57"/>
      <c r="W127" s="57"/>
      <c r="X127" s="57"/>
      <c r="Y127" s="57"/>
      <c r="Z127" s="57"/>
      <c r="AA127" s="57"/>
      <c r="AB127" s="57"/>
    </row>
    <row r="128">
      <c r="A128" s="349"/>
      <c r="B128" s="185" t="s">
        <v>53</v>
      </c>
      <c r="C128" s="141"/>
      <c r="D128" s="186">
        <v>10.0</v>
      </c>
      <c r="E128" s="186" t="s">
        <v>1108</v>
      </c>
      <c r="F128" s="141"/>
      <c r="G128" s="48"/>
      <c r="H128" s="48"/>
      <c r="I128" s="48"/>
      <c r="J128" s="203">
        <v>45887.0</v>
      </c>
      <c r="K128" s="380" t="s">
        <v>1080</v>
      </c>
      <c r="L128" s="380" t="s">
        <v>2684</v>
      </c>
      <c r="M128" s="381">
        <v>0.0</v>
      </c>
      <c r="N128" s="193">
        <v>186462.0</v>
      </c>
      <c r="O128" s="382"/>
      <c r="P128" s="48"/>
      <c r="Q128" s="117"/>
      <c r="R128" s="141"/>
      <c r="S128" s="141"/>
      <c r="T128" s="141"/>
      <c r="U128" s="57"/>
      <c r="V128" s="57"/>
      <c r="W128" s="57"/>
      <c r="X128" s="57"/>
      <c r="Y128" s="57"/>
      <c r="Z128" s="57"/>
      <c r="AA128" s="57"/>
      <c r="AB128" s="57"/>
    </row>
    <row r="129">
      <c r="A129" s="349"/>
      <c r="B129" s="185" t="s">
        <v>53</v>
      </c>
      <c r="C129" s="141"/>
      <c r="D129" s="186">
        <v>10.0</v>
      </c>
      <c r="E129" s="186" t="s">
        <v>873</v>
      </c>
      <c r="F129" s="141"/>
      <c r="G129" s="48"/>
      <c r="H129" s="48"/>
      <c r="I129" s="48"/>
      <c r="J129" s="203">
        <v>45887.0</v>
      </c>
      <c r="K129" s="380" t="s">
        <v>1080</v>
      </c>
      <c r="L129" s="380" t="s">
        <v>2684</v>
      </c>
      <c r="M129" s="381">
        <v>0.0</v>
      </c>
      <c r="N129" s="193">
        <v>186462.0</v>
      </c>
      <c r="O129" s="382"/>
      <c r="P129" s="48"/>
      <c r="Q129" s="117"/>
      <c r="R129" s="141"/>
      <c r="S129" s="141"/>
      <c r="T129" s="141"/>
      <c r="U129" s="57"/>
      <c r="V129" s="57"/>
      <c r="W129" s="57"/>
      <c r="X129" s="57"/>
      <c r="Y129" s="57"/>
      <c r="Z129" s="57"/>
      <c r="AA129" s="57"/>
      <c r="AB129" s="57"/>
    </row>
    <row r="130">
      <c r="A130" s="349"/>
      <c r="B130" s="185" t="s">
        <v>53</v>
      </c>
      <c r="C130" s="141"/>
      <c r="D130" s="186">
        <v>10.0</v>
      </c>
      <c r="E130" s="186" t="s">
        <v>1861</v>
      </c>
      <c r="F130" s="141"/>
      <c r="G130" s="48"/>
      <c r="H130" s="48"/>
      <c r="I130" s="48"/>
      <c r="J130" s="203">
        <v>45887.0</v>
      </c>
      <c r="K130" s="380" t="s">
        <v>1080</v>
      </c>
      <c r="L130" s="380" t="s">
        <v>2684</v>
      </c>
      <c r="M130" s="381">
        <v>0.0</v>
      </c>
      <c r="N130" s="193">
        <v>186462.0</v>
      </c>
      <c r="O130" s="382"/>
      <c r="P130" s="48"/>
      <c r="Q130" s="117"/>
      <c r="R130" s="141"/>
      <c r="S130" s="141"/>
      <c r="T130" s="141"/>
      <c r="U130" s="57"/>
      <c r="V130" s="57"/>
      <c r="W130" s="57"/>
      <c r="X130" s="57"/>
      <c r="Y130" s="57"/>
      <c r="Z130" s="57"/>
      <c r="AA130" s="57"/>
      <c r="AB130" s="57"/>
    </row>
    <row r="131">
      <c r="A131" s="349"/>
      <c r="B131" s="185" t="s">
        <v>53</v>
      </c>
      <c r="C131" s="141"/>
      <c r="D131" s="186">
        <v>10.0</v>
      </c>
      <c r="E131" s="186" t="s">
        <v>649</v>
      </c>
      <c r="F131" s="141"/>
      <c r="G131" s="48"/>
      <c r="H131" s="48"/>
      <c r="I131" s="48"/>
      <c r="J131" s="203">
        <v>45887.0</v>
      </c>
      <c r="K131" s="380" t="s">
        <v>1080</v>
      </c>
      <c r="L131" s="380" t="s">
        <v>2684</v>
      </c>
      <c r="M131" s="381">
        <v>0.0</v>
      </c>
      <c r="N131" s="193">
        <v>186462.0</v>
      </c>
      <c r="O131" s="382"/>
      <c r="P131" s="48"/>
      <c r="Q131" s="117"/>
      <c r="R131" s="141"/>
      <c r="S131" s="141"/>
      <c r="T131" s="141"/>
      <c r="U131" s="57"/>
      <c r="V131" s="57"/>
      <c r="W131" s="57"/>
      <c r="X131" s="57"/>
      <c r="Y131" s="57"/>
      <c r="Z131" s="57"/>
      <c r="AA131" s="57"/>
      <c r="AB131" s="57"/>
    </row>
    <row r="132">
      <c r="A132" s="349"/>
      <c r="B132" s="185" t="s">
        <v>53</v>
      </c>
      <c r="C132" s="141"/>
      <c r="D132" s="186">
        <v>10.0</v>
      </c>
      <c r="E132" s="186" t="s">
        <v>1863</v>
      </c>
      <c r="F132" s="141"/>
      <c r="G132" s="48"/>
      <c r="H132" s="48"/>
      <c r="I132" s="48"/>
      <c r="J132" s="203">
        <v>45887.0</v>
      </c>
      <c r="K132" s="380" t="s">
        <v>1080</v>
      </c>
      <c r="L132" s="380" t="s">
        <v>2684</v>
      </c>
      <c r="M132" s="381">
        <v>0.0</v>
      </c>
      <c r="N132" s="193">
        <v>186462.0</v>
      </c>
      <c r="O132" s="382"/>
      <c r="P132" s="48"/>
      <c r="Q132" s="117"/>
      <c r="R132" s="141"/>
      <c r="S132" s="141"/>
      <c r="T132" s="141"/>
      <c r="U132" s="57"/>
      <c r="V132" s="57"/>
      <c r="W132" s="57"/>
      <c r="X132" s="57"/>
      <c r="Y132" s="57"/>
      <c r="Z132" s="57"/>
      <c r="AA132" s="57"/>
      <c r="AB132" s="57"/>
    </row>
    <row r="133">
      <c r="A133" s="349"/>
      <c r="B133" s="185" t="s">
        <v>53</v>
      </c>
      <c r="C133" s="141"/>
      <c r="D133" s="186">
        <v>10.0</v>
      </c>
      <c r="E133" s="186" t="s">
        <v>567</v>
      </c>
      <c r="F133" s="141"/>
      <c r="G133" s="48"/>
      <c r="H133" s="48"/>
      <c r="I133" s="48"/>
      <c r="J133" s="203">
        <v>45887.0</v>
      </c>
      <c r="K133" s="380" t="s">
        <v>1080</v>
      </c>
      <c r="L133" s="380" t="s">
        <v>2684</v>
      </c>
      <c r="M133" s="381">
        <v>0.0</v>
      </c>
      <c r="N133" s="193">
        <v>186462.0</v>
      </c>
      <c r="O133" s="382"/>
      <c r="P133" s="48"/>
      <c r="Q133" s="117"/>
      <c r="R133" s="141"/>
      <c r="S133" s="141"/>
      <c r="T133" s="141"/>
      <c r="U133" s="57"/>
      <c r="V133" s="57"/>
      <c r="W133" s="57"/>
      <c r="X133" s="57"/>
      <c r="Y133" s="57"/>
      <c r="Z133" s="57"/>
      <c r="AA133" s="57"/>
      <c r="AB133" s="57"/>
    </row>
    <row r="134">
      <c r="A134" s="349"/>
      <c r="B134" s="185" t="s">
        <v>53</v>
      </c>
      <c r="C134" s="141"/>
      <c r="D134" s="186">
        <v>10.0</v>
      </c>
      <c r="E134" s="186" t="s">
        <v>1865</v>
      </c>
      <c r="F134" s="141"/>
      <c r="G134" s="48"/>
      <c r="H134" s="48"/>
      <c r="I134" s="48"/>
      <c r="J134" s="203">
        <v>45887.0</v>
      </c>
      <c r="K134" s="380" t="s">
        <v>1080</v>
      </c>
      <c r="L134" s="380" t="s">
        <v>2684</v>
      </c>
      <c r="M134" s="381">
        <v>0.0</v>
      </c>
      <c r="N134" s="193">
        <v>186462.0</v>
      </c>
      <c r="O134" s="382"/>
      <c r="P134" s="48"/>
      <c r="Q134" s="117"/>
      <c r="R134" s="141"/>
      <c r="S134" s="141"/>
      <c r="T134" s="141"/>
      <c r="U134" s="57"/>
      <c r="V134" s="57"/>
      <c r="W134" s="57"/>
      <c r="X134" s="57"/>
      <c r="Y134" s="57"/>
      <c r="Z134" s="57"/>
      <c r="AA134" s="57"/>
      <c r="AB134" s="57"/>
    </row>
    <row r="135">
      <c r="A135" s="349"/>
      <c r="B135" s="185" t="s">
        <v>53</v>
      </c>
      <c r="C135" s="141"/>
      <c r="D135" s="186">
        <v>10.0</v>
      </c>
      <c r="E135" s="186" t="s">
        <v>1059</v>
      </c>
      <c r="F135" s="141"/>
      <c r="G135" s="48"/>
      <c r="H135" s="48"/>
      <c r="I135" s="48"/>
      <c r="J135" s="203">
        <v>45887.0</v>
      </c>
      <c r="K135" s="380" t="s">
        <v>1080</v>
      </c>
      <c r="L135" s="380" t="s">
        <v>2684</v>
      </c>
      <c r="M135" s="381">
        <v>0.0</v>
      </c>
      <c r="N135" s="193">
        <v>186462.0</v>
      </c>
      <c r="O135" s="382"/>
      <c r="P135" s="48"/>
      <c r="Q135" s="117"/>
      <c r="R135" s="141"/>
      <c r="S135" s="141"/>
      <c r="T135" s="141"/>
      <c r="U135" s="57"/>
      <c r="V135" s="57"/>
      <c r="W135" s="57"/>
      <c r="X135" s="57"/>
      <c r="Y135" s="57"/>
      <c r="Z135" s="57"/>
      <c r="AA135" s="57"/>
      <c r="AB135" s="57"/>
    </row>
    <row r="136">
      <c r="A136" s="349"/>
      <c r="B136" s="185" t="s">
        <v>53</v>
      </c>
      <c r="C136" s="141"/>
      <c r="D136" s="186">
        <v>20.0</v>
      </c>
      <c r="E136" s="186" t="s">
        <v>569</v>
      </c>
      <c r="F136" s="141"/>
      <c r="G136" s="48"/>
      <c r="H136" s="48"/>
      <c r="I136" s="48"/>
      <c r="J136" s="203">
        <v>45887.0</v>
      </c>
      <c r="K136" s="380" t="s">
        <v>1080</v>
      </c>
      <c r="L136" s="380" t="s">
        <v>2684</v>
      </c>
      <c r="M136" s="381">
        <v>0.0</v>
      </c>
      <c r="N136" s="193">
        <v>186462.0</v>
      </c>
      <c r="O136" s="382"/>
      <c r="P136" s="48"/>
      <c r="Q136" s="117"/>
      <c r="R136" s="141"/>
      <c r="S136" s="141"/>
      <c r="T136" s="141"/>
      <c r="U136" s="57"/>
      <c r="V136" s="57"/>
      <c r="W136" s="57"/>
      <c r="X136" s="57"/>
      <c r="Y136" s="57"/>
      <c r="Z136" s="57"/>
      <c r="AA136" s="57"/>
      <c r="AB136" s="57"/>
    </row>
    <row r="137">
      <c r="A137" s="349"/>
      <c r="B137" s="185" t="s">
        <v>53</v>
      </c>
      <c r="C137" s="141"/>
      <c r="D137" s="186">
        <v>10.0</v>
      </c>
      <c r="E137" s="186" t="s">
        <v>1866</v>
      </c>
      <c r="F137" s="141"/>
      <c r="G137" s="48"/>
      <c r="H137" s="48"/>
      <c r="I137" s="48"/>
      <c r="J137" s="203">
        <v>45887.0</v>
      </c>
      <c r="K137" s="380" t="s">
        <v>1080</v>
      </c>
      <c r="L137" s="380" t="s">
        <v>2684</v>
      </c>
      <c r="M137" s="381">
        <v>0.0</v>
      </c>
      <c r="N137" s="193">
        <v>186462.0</v>
      </c>
      <c r="O137" s="382"/>
      <c r="P137" s="48"/>
      <c r="Q137" s="117"/>
      <c r="R137" s="141"/>
      <c r="S137" s="141"/>
      <c r="T137" s="141"/>
      <c r="U137" s="57"/>
      <c r="V137" s="57"/>
      <c r="W137" s="57"/>
      <c r="X137" s="57"/>
      <c r="Y137" s="57"/>
      <c r="Z137" s="57"/>
      <c r="AA137" s="57"/>
      <c r="AB137" s="57"/>
    </row>
    <row r="138">
      <c r="A138" s="349"/>
      <c r="B138" s="185" t="s">
        <v>53</v>
      </c>
      <c r="C138" s="141"/>
      <c r="D138" s="186">
        <v>10.0</v>
      </c>
      <c r="E138" s="186" t="s">
        <v>657</v>
      </c>
      <c r="F138" s="141"/>
      <c r="G138" s="48"/>
      <c r="H138" s="48"/>
      <c r="I138" s="48"/>
      <c r="J138" s="203">
        <v>45887.0</v>
      </c>
      <c r="K138" s="380" t="s">
        <v>1080</v>
      </c>
      <c r="L138" s="380" t="s">
        <v>2684</v>
      </c>
      <c r="M138" s="381">
        <v>0.0</v>
      </c>
      <c r="N138" s="193">
        <v>186462.0</v>
      </c>
      <c r="O138" s="382"/>
      <c r="P138" s="48"/>
      <c r="Q138" s="117"/>
      <c r="R138" s="141"/>
      <c r="S138" s="141"/>
      <c r="T138" s="141"/>
      <c r="U138" s="57"/>
      <c r="V138" s="57"/>
      <c r="W138" s="57"/>
      <c r="X138" s="57"/>
      <c r="Y138" s="57"/>
      <c r="Z138" s="57"/>
      <c r="AA138" s="57"/>
      <c r="AB138" s="57"/>
    </row>
    <row r="139">
      <c r="A139" s="349"/>
      <c r="B139" s="185" t="s">
        <v>53</v>
      </c>
      <c r="C139" s="141"/>
      <c r="D139" s="186">
        <v>10.0</v>
      </c>
      <c r="E139" s="186" t="s">
        <v>1868</v>
      </c>
      <c r="F139" s="141"/>
      <c r="G139" s="48"/>
      <c r="H139" s="48"/>
      <c r="I139" s="48"/>
      <c r="J139" s="203">
        <v>45887.0</v>
      </c>
      <c r="K139" s="380" t="s">
        <v>1080</v>
      </c>
      <c r="L139" s="380" t="s">
        <v>2684</v>
      </c>
      <c r="M139" s="381">
        <v>0.0</v>
      </c>
      <c r="N139" s="193">
        <v>186462.0</v>
      </c>
      <c r="O139" s="382"/>
      <c r="P139" s="48"/>
      <c r="Q139" s="117"/>
      <c r="R139" s="141"/>
      <c r="S139" s="141"/>
      <c r="T139" s="141"/>
      <c r="U139" s="57"/>
      <c r="V139" s="57"/>
      <c r="W139" s="57"/>
      <c r="X139" s="57"/>
      <c r="Y139" s="57"/>
      <c r="Z139" s="57"/>
      <c r="AA139" s="57"/>
      <c r="AB139" s="57"/>
    </row>
    <row r="140">
      <c r="A140" s="349"/>
      <c r="B140" s="185" t="s">
        <v>53</v>
      </c>
      <c r="C140" s="141"/>
      <c r="D140" s="186">
        <v>10.0</v>
      </c>
      <c r="E140" s="186" t="s">
        <v>1869</v>
      </c>
      <c r="F140" s="141"/>
      <c r="G140" s="48"/>
      <c r="H140" s="48"/>
      <c r="I140" s="48"/>
      <c r="J140" s="203">
        <v>45887.0</v>
      </c>
      <c r="K140" s="380" t="s">
        <v>1080</v>
      </c>
      <c r="L140" s="380" t="s">
        <v>2684</v>
      </c>
      <c r="M140" s="381">
        <v>0.0</v>
      </c>
      <c r="N140" s="193">
        <v>186462.0</v>
      </c>
      <c r="O140" s="382"/>
      <c r="P140" s="47"/>
      <c r="Q140" s="117"/>
      <c r="R140" s="141"/>
      <c r="S140" s="141"/>
      <c r="T140" s="141"/>
      <c r="U140" s="57"/>
      <c r="V140" s="57"/>
      <c r="W140" s="57"/>
      <c r="X140" s="57"/>
      <c r="Y140" s="57"/>
      <c r="Z140" s="57"/>
      <c r="AA140" s="57"/>
      <c r="AB140" s="57"/>
    </row>
    <row r="141">
      <c r="A141" s="349"/>
      <c r="B141" s="185" t="s">
        <v>1184</v>
      </c>
      <c r="C141" s="141"/>
      <c r="D141" s="186">
        <v>1.0</v>
      </c>
      <c r="E141" s="186" t="s">
        <v>803</v>
      </c>
      <c r="F141" s="141"/>
      <c r="G141" s="48"/>
      <c r="H141" s="48"/>
      <c r="I141" s="48"/>
      <c r="J141" s="203">
        <v>45894.0</v>
      </c>
      <c r="K141" s="380" t="s">
        <v>38</v>
      </c>
      <c r="L141" s="380" t="s">
        <v>2932</v>
      </c>
      <c r="M141" s="381">
        <v>159.46</v>
      </c>
      <c r="N141" s="193">
        <v>618274.0</v>
      </c>
      <c r="O141" s="382"/>
      <c r="P141" s="48"/>
      <c r="Q141" s="117"/>
      <c r="R141" s="141"/>
      <c r="S141" s="198"/>
      <c r="T141" s="295"/>
      <c r="U141" s="57"/>
      <c r="V141" s="57"/>
      <c r="W141" s="57"/>
      <c r="X141" s="57"/>
      <c r="Y141" s="57"/>
      <c r="Z141" s="57"/>
      <c r="AA141" s="57"/>
      <c r="AB141" s="57"/>
    </row>
    <row r="142">
      <c r="A142" s="349"/>
      <c r="B142" s="185" t="s">
        <v>1248</v>
      </c>
      <c r="C142" s="117"/>
      <c r="D142" s="186">
        <v>1.0</v>
      </c>
      <c r="E142" s="186" t="s">
        <v>1870</v>
      </c>
      <c r="F142" s="117"/>
      <c r="G142" s="48"/>
      <c r="H142" s="48"/>
      <c r="I142" s="48"/>
      <c r="J142" s="203">
        <v>45894.0</v>
      </c>
      <c r="K142" s="380" t="s">
        <v>38</v>
      </c>
      <c r="L142" s="380" t="s">
        <v>2932</v>
      </c>
      <c r="M142" s="381">
        <v>132.15</v>
      </c>
      <c r="N142" s="193" t="s">
        <v>59</v>
      </c>
      <c r="O142" s="382"/>
      <c r="P142" s="48"/>
      <c r="Q142" s="117"/>
      <c r="R142" s="141"/>
      <c r="S142" s="141"/>
      <c r="T142" s="141"/>
      <c r="U142" s="57"/>
      <c r="V142" s="57"/>
      <c r="W142" s="57"/>
      <c r="X142" s="57"/>
      <c r="Y142" s="57"/>
      <c r="Z142" s="57"/>
      <c r="AA142" s="57"/>
      <c r="AB142" s="57"/>
    </row>
    <row r="143">
      <c r="A143" s="349"/>
      <c r="B143" s="185" t="s">
        <v>2877</v>
      </c>
      <c r="C143" s="198" t="s">
        <v>2933</v>
      </c>
      <c r="D143" s="186">
        <v>1.0</v>
      </c>
      <c r="E143" s="186" t="s">
        <v>1871</v>
      </c>
      <c r="F143" s="186" t="s">
        <v>35</v>
      </c>
      <c r="G143" s="48"/>
      <c r="H143" s="48"/>
      <c r="I143" s="48"/>
      <c r="J143" s="203">
        <v>45894.0</v>
      </c>
      <c r="K143" s="380" t="s">
        <v>38</v>
      </c>
      <c r="L143" s="380" t="s">
        <v>2932</v>
      </c>
      <c r="M143" s="381">
        <v>132.15</v>
      </c>
      <c r="N143" s="193">
        <v>618274.0</v>
      </c>
      <c r="O143" s="382"/>
      <c r="P143" s="48"/>
      <c r="Q143" s="117"/>
      <c r="R143" s="141"/>
      <c r="S143" s="141"/>
      <c r="T143" s="141"/>
      <c r="U143" s="57"/>
      <c r="V143" s="57"/>
      <c r="W143" s="57"/>
      <c r="X143" s="57"/>
      <c r="Y143" s="57"/>
      <c r="Z143" s="57"/>
      <c r="AA143" s="57"/>
      <c r="AB143" s="57"/>
    </row>
    <row r="144">
      <c r="A144" s="349"/>
      <c r="B144" s="185" t="s">
        <v>53</v>
      </c>
      <c r="C144" s="141"/>
      <c r="D144" s="186">
        <v>2.0</v>
      </c>
      <c r="E144" s="186" t="s">
        <v>1066</v>
      </c>
      <c r="F144" s="198" t="s">
        <v>2934</v>
      </c>
      <c r="G144" s="48"/>
      <c r="H144" s="48"/>
      <c r="I144" s="48"/>
      <c r="J144" s="203">
        <v>45894.0</v>
      </c>
      <c r="K144" s="380" t="s">
        <v>38</v>
      </c>
      <c r="L144" s="380" t="s">
        <v>2932</v>
      </c>
      <c r="M144" s="381">
        <v>114.0</v>
      </c>
      <c r="N144" s="193">
        <v>618274.0</v>
      </c>
      <c r="O144" s="382"/>
      <c r="P144" s="48"/>
      <c r="Q144" s="117"/>
      <c r="R144" s="141"/>
      <c r="S144" s="141"/>
      <c r="T144" s="141"/>
      <c r="U144" s="57"/>
      <c r="V144" s="57"/>
      <c r="W144" s="57"/>
      <c r="X144" s="57"/>
      <c r="Y144" s="57"/>
      <c r="Z144" s="57"/>
      <c r="AA144" s="57"/>
      <c r="AB144" s="57"/>
    </row>
    <row r="145">
      <c r="A145" s="349"/>
      <c r="B145" s="185" t="s">
        <v>2728</v>
      </c>
      <c r="C145" s="117"/>
      <c r="D145" s="186">
        <v>1.0</v>
      </c>
      <c r="E145" s="186" t="s">
        <v>1872</v>
      </c>
      <c r="F145" s="141"/>
      <c r="G145" s="48"/>
      <c r="H145" s="48"/>
      <c r="I145" s="48"/>
      <c r="J145" s="203">
        <v>45894.0</v>
      </c>
      <c r="K145" s="380" t="s">
        <v>38</v>
      </c>
      <c r="L145" s="380" t="s">
        <v>2932</v>
      </c>
      <c r="M145" s="381">
        <v>150.58</v>
      </c>
      <c r="N145" s="193">
        <v>618529.0</v>
      </c>
      <c r="O145" s="382"/>
      <c r="P145" s="48"/>
      <c r="Q145" s="186" t="s">
        <v>2294</v>
      </c>
      <c r="R145" s="141"/>
      <c r="S145" s="141"/>
      <c r="T145" s="141"/>
      <c r="U145" s="57"/>
      <c r="V145" s="57"/>
      <c r="W145" s="57"/>
      <c r="X145" s="57"/>
      <c r="Y145" s="57"/>
      <c r="Z145" s="57"/>
      <c r="AA145" s="57"/>
      <c r="AB145" s="57"/>
    </row>
    <row r="146">
      <c r="A146" s="349"/>
      <c r="B146" s="185" t="s">
        <v>2935</v>
      </c>
      <c r="C146" s="198" t="s">
        <v>2936</v>
      </c>
      <c r="D146" s="186">
        <v>1.0</v>
      </c>
      <c r="E146" s="186" t="s">
        <v>1873</v>
      </c>
      <c r="F146" s="141"/>
      <c r="G146" s="48"/>
      <c r="H146" s="48"/>
      <c r="I146" s="48"/>
      <c r="J146" s="203">
        <v>45894.0</v>
      </c>
      <c r="K146" s="380" t="s">
        <v>38</v>
      </c>
      <c r="L146" s="380" t="s">
        <v>2932</v>
      </c>
      <c r="M146" s="381">
        <v>50.11</v>
      </c>
      <c r="N146" s="193">
        <v>618274.0</v>
      </c>
      <c r="O146" s="382"/>
      <c r="P146" s="47"/>
      <c r="Q146" s="186" t="s">
        <v>2294</v>
      </c>
      <c r="R146" s="141"/>
      <c r="S146" s="141"/>
      <c r="T146" s="141"/>
      <c r="U146" s="57"/>
      <c r="V146" s="57"/>
      <c r="W146" s="57"/>
      <c r="X146" s="57"/>
      <c r="Y146" s="57"/>
      <c r="Z146" s="57"/>
      <c r="AA146" s="57"/>
      <c r="AB146" s="57"/>
    </row>
    <row r="147">
      <c r="A147" s="349"/>
      <c r="B147" s="185" t="s">
        <v>76</v>
      </c>
      <c r="C147" s="141"/>
      <c r="D147" s="186">
        <v>1.0</v>
      </c>
      <c r="E147" s="186" t="s">
        <v>1874</v>
      </c>
      <c r="F147" s="117"/>
      <c r="G147" s="48"/>
      <c r="H147" s="48"/>
      <c r="I147" s="48"/>
      <c r="J147" s="203">
        <v>45894.0</v>
      </c>
      <c r="K147" s="380" t="s">
        <v>38</v>
      </c>
      <c r="L147" s="380" t="s">
        <v>2932</v>
      </c>
      <c r="M147" s="381">
        <v>165.94</v>
      </c>
      <c r="N147" s="193">
        <v>623646.0</v>
      </c>
      <c r="O147" s="382"/>
      <c r="P147" s="48"/>
      <c r="Q147" s="117"/>
      <c r="R147" s="141"/>
      <c r="S147" s="141"/>
      <c r="T147" s="141"/>
      <c r="U147" s="57"/>
      <c r="V147" s="57"/>
      <c r="W147" s="57"/>
      <c r="X147" s="57"/>
      <c r="Y147" s="57"/>
      <c r="Z147" s="57"/>
      <c r="AA147" s="57"/>
      <c r="AB147" s="57"/>
    </row>
    <row r="148">
      <c r="A148" s="349"/>
      <c r="B148" s="185" t="s">
        <v>907</v>
      </c>
      <c r="C148" s="117"/>
      <c r="D148" s="186">
        <v>1.0</v>
      </c>
      <c r="E148" s="186" t="s">
        <v>1833</v>
      </c>
      <c r="F148" s="198" t="s">
        <v>35</v>
      </c>
      <c r="G148" s="48"/>
      <c r="H148" s="48"/>
      <c r="I148" s="48"/>
      <c r="J148" s="203">
        <v>45894.0</v>
      </c>
      <c r="K148" s="380" t="s">
        <v>38</v>
      </c>
      <c r="L148" s="380" t="s">
        <v>2932</v>
      </c>
      <c r="M148" s="381">
        <v>132.15</v>
      </c>
      <c r="N148" s="193">
        <v>618274.0</v>
      </c>
      <c r="O148" s="382"/>
      <c r="P148" s="48"/>
      <c r="Q148" s="186" t="s">
        <v>2294</v>
      </c>
      <c r="R148" s="141"/>
      <c r="S148" s="141"/>
      <c r="T148" s="141"/>
      <c r="U148" s="57"/>
      <c r="V148" s="57"/>
      <c r="W148" s="57"/>
      <c r="X148" s="57"/>
      <c r="Y148" s="57"/>
      <c r="Z148" s="57"/>
      <c r="AA148" s="57"/>
      <c r="AB148" s="57"/>
    </row>
    <row r="149">
      <c r="A149" s="349"/>
      <c r="B149" s="185" t="s">
        <v>2937</v>
      </c>
      <c r="C149" s="186" t="s">
        <v>2938</v>
      </c>
      <c r="D149" s="186">
        <v>1.0</v>
      </c>
      <c r="E149" s="186" t="s">
        <v>1875</v>
      </c>
      <c r="F149" s="141"/>
      <c r="G149" s="48"/>
      <c r="H149" s="48"/>
      <c r="I149" s="48"/>
      <c r="J149" s="203">
        <v>45894.0</v>
      </c>
      <c r="K149" s="380" t="s">
        <v>38</v>
      </c>
      <c r="L149" s="380" t="s">
        <v>2932</v>
      </c>
      <c r="M149" s="381">
        <v>50.11</v>
      </c>
      <c r="N149" s="193">
        <v>618274.0</v>
      </c>
      <c r="O149" s="382"/>
      <c r="P149" s="48"/>
      <c r="Q149" s="186" t="s">
        <v>2294</v>
      </c>
      <c r="R149" s="141"/>
      <c r="S149" s="141"/>
      <c r="T149" s="141"/>
      <c r="U149" s="57"/>
      <c r="V149" s="57"/>
      <c r="W149" s="57"/>
      <c r="X149" s="57"/>
      <c r="Y149" s="57"/>
      <c r="Z149" s="57"/>
      <c r="AA149" s="57"/>
      <c r="AB149" s="57"/>
    </row>
    <row r="150">
      <c r="A150" s="349"/>
      <c r="B150" s="185" t="s">
        <v>2939</v>
      </c>
      <c r="C150" s="198" t="s">
        <v>2938</v>
      </c>
      <c r="D150" s="186">
        <v>1.0</v>
      </c>
      <c r="E150" s="186" t="s">
        <v>1876</v>
      </c>
      <c r="F150" s="141"/>
      <c r="G150" s="48"/>
      <c r="H150" s="48"/>
      <c r="I150" s="48"/>
      <c r="J150" s="203">
        <v>45894.0</v>
      </c>
      <c r="K150" s="380" t="s">
        <v>38</v>
      </c>
      <c r="L150" s="380" t="s">
        <v>2932</v>
      </c>
      <c r="M150" s="381">
        <v>39.9</v>
      </c>
      <c r="N150" s="193">
        <v>618274.0</v>
      </c>
      <c r="O150" s="382"/>
      <c r="P150" s="48"/>
      <c r="Q150" s="117"/>
      <c r="R150" s="141"/>
      <c r="S150" s="141"/>
      <c r="T150" s="141"/>
      <c r="U150" s="57"/>
      <c r="V150" s="57"/>
      <c r="W150" s="57"/>
      <c r="X150" s="57"/>
      <c r="Y150" s="57"/>
      <c r="Z150" s="57"/>
      <c r="AA150" s="57"/>
      <c r="AB150" s="57"/>
    </row>
    <row r="151">
      <c r="A151" s="349"/>
      <c r="B151" s="185" t="s">
        <v>53</v>
      </c>
      <c r="C151" s="117"/>
      <c r="D151" s="186">
        <v>5.0</v>
      </c>
      <c r="E151" s="186" t="s">
        <v>663</v>
      </c>
      <c r="F151" s="117"/>
      <c r="G151" s="48"/>
      <c r="H151" s="48"/>
      <c r="I151" s="48"/>
      <c r="J151" s="203">
        <v>45894.0</v>
      </c>
      <c r="K151" s="380" t="s">
        <v>38</v>
      </c>
      <c r="L151" s="380" t="s">
        <v>2932</v>
      </c>
      <c r="M151" s="381">
        <v>5.56</v>
      </c>
      <c r="N151" s="193">
        <v>618274.0</v>
      </c>
      <c r="O151" s="382"/>
      <c r="P151" s="48"/>
      <c r="Q151" s="117"/>
      <c r="R151" s="141"/>
      <c r="S151" s="141"/>
      <c r="T151" s="141"/>
      <c r="U151" s="57"/>
      <c r="V151" s="57"/>
      <c r="W151" s="57"/>
      <c r="X151" s="57"/>
      <c r="Y151" s="57"/>
      <c r="Z151" s="57"/>
      <c r="AA151" s="57"/>
      <c r="AB151" s="57"/>
    </row>
    <row r="152">
      <c r="A152" s="349"/>
      <c r="B152" s="185" t="s">
        <v>2940</v>
      </c>
      <c r="C152" s="198" t="s">
        <v>2941</v>
      </c>
      <c r="D152" s="186">
        <v>1.0</v>
      </c>
      <c r="E152" s="186" t="s">
        <v>1877</v>
      </c>
      <c r="F152" s="198" t="s">
        <v>35</v>
      </c>
      <c r="G152" s="48"/>
      <c r="H152" s="48"/>
      <c r="I152" s="48"/>
      <c r="J152" s="203">
        <v>45896.0</v>
      </c>
      <c r="K152" s="380" t="s">
        <v>38</v>
      </c>
      <c r="L152" s="380" t="s">
        <v>2942</v>
      </c>
      <c r="M152" s="381">
        <v>42.47</v>
      </c>
      <c r="N152" s="193">
        <v>618534.0</v>
      </c>
      <c r="O152" s="382"/>
      <c r="P152" s="48"/>
      <c r="Q152" s="186" t="s">
        <v>2294</v>
      </c>
      <c r="R152" s="141"/>
      <c r="S152" s="141"/>
      <c r="T152" s="141"/>
      <c r="U152" s="57"/>
      <c r="V152" s="57"/>
      <c r="W152" s="57"/>
      <c r="X152" s="57"/>
      <c r="Y152" s="57"/>
      <c r="Z152" s="57"/>
      <c r="AA152" s="57"/>
      <c r="AB152" s="57"/>
    </row>
    <row r="153">
      <c r="A153" s="349"/>
      <c r="B153" s="185" t="s">
        <v>2943</v>
      </c>
      <c r="C153" s="117"/>
      <c r="D153" s="186">
        <v>1.0</v>
      </c>
      <c r="E153" s="186" t="s">
        <v>1878</v>
      </c>
      <c r="F153" s="141"/>
      <c r="G153" s="48"/>
      <c r="H153" s="48"/>
      <c r="I153" s="48"/>
      <c r="J153" s="203">
        <v>45896.0</v>
      </c>
      <c r="K153" s="380" t="s">
        <v>38</v>
      </c>
      <c r="L153" s="380" t="s">
        <v>2942</v>
      </c>
      <c r="M153" s="381">
        <v>42.47</v>
      </c>
      <c r="N153" s="193">
        <v>618534.0</v>
      </c>
      <c r="O153" s="382"/>
      <c r="P153" s="48"/>
      <c r="Q153" s="186" t="s">
        <v>2294</v>
      </c>
      <c r="R153" s="141"/>
      <c r="S153" s="141"/>
      <c r="T153" s="141"/>
      <c r="U153" s="57"/>
      <c r="V153" s="57"/>
      <c r="W153" s="57"/>
      <c r="X153" s="57"/>
      <c r="Y153" s="57"/>
      <c r="Z153" s="57"/>
      <c r="AA153" s="57"/>
      <c r="AB153" s="57"/>
    </row>
    <row r="154">
      <c r="A154" s="349"/>
      <c r="B154" s="185" t="s">
        <v>337</v>
      </c>
      <c r="C154" s="198" t="s">
        <v>338</v>
      </c>
      <c r="D154" s="186">
        <v>1.0</v>
      </c>
      <c r="E154" s="186" t="s">
        <v>1872</v>
      </c>
      <c r="F154" s="141"/>
      <c r="G154" s="48"/>
      <c r="H154" s="48"/>
      <c r="I154" s="48"/>
      <c r="J154" s="203">
        <v>45896.0</v>
      </c>
      <c r="K154" s="380" t="s">
        <v>38</v>
      </c>
      <c r="L154" s="380" t="s">
        <v>2942</v>
      </c>
      <c r="M154" s="381">
        <v>150.58</v>
      </c>
      <c r="N154" s="193">
        <v>618534.0</v>
      </c>
      <c r="O154" s="382"/>
      <c r="P154" s="48"/>
      <c r="Q154" s="186" t="s">
        <v>2294</v>
      </c>
      <c r="R154" s="141"/>
      <c r="S154" s="141"/>
      <c r="T154" s="141"/>
      <c r="U154" s="57"/>
      <c r="V154" s="57"/>
      <c r="W154" s="57"/>
      <c r="X154" s="57"/>
      <c r="Y154" s="57"/>
      <c r="Z154" s="57"/>
      <c r="AA154" s="57"/>
      <c r="AB154" s="57"/>
    </row>
    <row r="155">
      <c r="A155" s="349"/>
      <c r="B155" s="185" t="s">
        <v>2924</v>
      </c>
      <c r="C155" s="117"/>
      <c r="D155" s="186">
        <v>1.0</v>
      </c>
      <c r="E155" s="186" t="s">
        <v>1879</v>
      </c>
      <c r="F155" s="141"/>
      <c r="G155" s="48"/>
      <c r="H155" s="48"/>
      <c r="I155" s="48"/>
      <c r="J155" s="203">
        <v>45896.0</v>
      </c>
      <c r="K155" s="380" t="s">
        <v>38</v>
      </c>
      <c r="L155" s="380" t="s">
        <v>2942</v>
      </c>
      <c r="M155" s="381">
        <v>107.83</v>
      </c>
      <c r="N155" s="193">
        <v>618534.0</v>
      </c>
      <c r="O155" s="382"/>
      <c r="P155" s="48"/>
      <c r="Q155" s="186" t="s">
        <v>2294</v>
      </c>
      <c r="R155" s="141"/>
      <c r="S155" s="141"/>
      <c r="T155" s="141"/>
      <c r="U155" s="57"/>
      <c r="V155" s="57"/>
      <c r="W155" s="57"/>
      <c r="X155" s="57"/>
      <c r="Y155" s="57"/>
      <c r="Z155" s="57"/>
      <c r="AA155" s="57"/>
      <c r="AB155" s="57"/>
    </row>
    <row r="156">
      <c r="A156" s="349"/>
      <c r="B156" s="185" t="s">
        <v>2944</v>
      </c>
      <c r="C156" s="186" t="s">
        <v>2945</v>
      </c>
      <c r="D156" s="186">
        <v>1.0</v>
      </c>
      <c r="E156" s="186" t="s">
        <v>1880</v>
      </c>
      <c r="F156" s="141"/>
      <c r="G156" s="48"/>
      <c r="H156" s="48"/>
      <c r="I156" s="48"/>
      <c r="J156" s="203">
        <v>45896.0</v>
      </c>
      <c r="K156" s="380" t="s">
        <v>38</v>
      </c>
      <c r="L156" s="380" t="s">
        <v>2942</v>
      </c>
      <c r="M156" s="381">
        <v>60.8</v>
      </c>
      <c r="N156" s="193">
        <v>618534.0</v>
      </c>
      <c r="O156" s="382"/>
      <c r="P156" s="48"/>
      <c r="Q156" s="186" t="s">
        <v>2294</v>
      </c>
      <c r="R156" s="141"/>
      <c r="S156" s="141"/>
      <c r="T156" s="141"/>
      <c r="U156" s="57"/>
      <c r="V156" s="57"/>
      <c r="W156" s="57"/>
      <c r="X156" s="57"/>
      <c r="Y156" s="57"/>
      <c r="Z156" s="57"/>
      <c r="AA156" s="57"/>
      <c r="AB156" s="57"/>
    </row>
    <row r="157">
      <c r="A157" s="349"/>
      <c r="B157" s="185" t="s">
        <v>2672</v>
      </c>
      <c r="C157" s="198" t="s">
        <v>2946</v>
      </c>
      <c r="D157" s="186">
        <v>1.0</v>
      </c>
      <c r="E157" s="186" t="s">
        <v>1881</v>
      </c>
      <c r="F157" s="117"/>
      <c r="G157" s="48"/>
      <c r="H157" s="48"/>
      <c r="I157" s="48"/>
      <c r="J157" s="203">
        <v>45896.0</v>
      </c>
      <c r="K157" s="380" t="s">
        <v>38</v>
      </c>
      <c r="L157" s="380" t="s">
        <v>2942</v>
      </c>
      <c r="M157" s="381">
        <v>92.95</v>
      </c>
      <c r="N157" s="193">
        <v>618534.0</v>
      </c>
      <c r="O157" s="382"/>
      <c r="P157" s="48"/>
      <c r="Q157" s="186" t="s">
        <v>2294</v>
      </c>
      <c r="R157" s="141"/>
      <c r="S157" s="141"/>
      <c r="T157" s="141"/>
      <c r="U157" s="57"/>
      <c r="V157" s="57"/>
      <c r="W157" s="57"/>
      <c r="X157" s="57"/>
      <c r="Y157" s="57"/>
      <c r="Z157" s="57"/>
      <c r="AA157" s="57"/>
      <c r="AB157" s="57"/>
    </row>
    <row r="158">
      <c r="A158" s="349"/>
      <c r="B158" s="185" t="s">
        <v>997</v>
      </c>
      <c r="C158" s="141"/>
      <c r="D158" s="186">
        <v>1.0</v>
      </c>
      <c r="E158" s="186" t="s">
        <v>1882</v>
      </c>
      <c r="F158" s="186" t="s">
        <v>35</v>
      </c>
      <c r="G158" s="48"/>
      <c r="H158" s="48"/>
      <c r="I158" s="48"/>
      <c r="J158" s="203">
        <v>45896.0</v>
      </c>
      <c r="K158" s="380" t="s">
        <v>38</v>
      </c>
      <c r="L158" s="380" t="s">
        <v>2942</v>
      </c>
      <c r="M158" s="381">
        <v>101.7</v>
      </c>
      <c r="N158" s="193">
        <v>618534.0</v>
      </c>
      <c r="O158" s="382"/>
      <c r="P158" s="48"/>
      <c r="Q158" s="186" t="s">
        <v>2294</v>
      </c>
      <c r="R158" s="141"/>
      <c r="S158" s="141"/>
      <c r="T158" s="141"/>
      <c r="U158" s="57"/>
      <c r="V158" s="57"/>
      <c r="W158" s="57"/>
      <c r="X158" s="57"/>
      <c r="Y158" s="57"/>
      <c r="Z158" s="57"/>
      <c r="AA158" s="57"/>
      <c r="AB158" s="57"/>
    </row>
    <row r="159">
      <c r="A159" s="349"/>
      <c r="B159" s="185" t="s">
        <v>1078</v>
      </c>
      <c r="C159" s="141"/>
      <c r="D159" s="186">
        <v>1.0</v>
      </c>
      <c r="E159" s="186" t="s">
        <v>1132</v>
      </c>
      <c r="F159" s="186" t="s">
        <v>35</v>
      </c>
      <c r="G159" s="48"/>
      <c r="H159" s="48"/>
      <c r="I159" s="48"/>
      <c r="J159" s="203">
        <v>45896.0</v>
      </c>
      <c r="K159" s="380" t="s">
        <v>38</v>
      </c>
      <c r="L159" s="380" t="s">
        <v>2942</v>
      </c>
      <c r="M159" s="381">
        <v>50.11</v>
      </c>
      <c r="N159" s="193">
        <v>618534.0</v>
      </c>
      <c r="O159" s="382"/>
      <c r="P159" s="48"/>
      <c r="Q159" s="186" t="s">
        <v>2294</v>
      </c>
      <c r="R159" s="141"/>
      <c r="S159" s="141"/>
      <c r="T159" s="141"/>
      <c r="U159" s="57"/>
      <c r="V159" s="57"/>
      <c r="W159" s="57"/>
      <c r="X159" s="57"/>
      <c r="Y159" s="57"/>
      <c r="Z159" s="57"/>
      <c r="AA159" s="57"/>
      <c r="AB159" s="57"/>
    </row>
    <row r="160">
      <c r="A160" s="349"/>
      <c r="B160" s="185" t="s">
        <v>2947</v>
      </c>
      <c r="C160" s="117"/>
      <c r="D160" s="186">
        <v>1.0</v>
      </c>
      <c r="E160" s="186" t="s">
        <v>1883</v>
      </c>
      <c r="F160" s="186" t="s">
        <v>35</v>
      </c>
      <c r="G160" s="48"/>
      <c r="H160" s="48"/>
      <c r="I160" s="48"/>
      <c r="J160" s="203">
        <v>45896.0</v>
      </c>
      <c r="K160" s="380" t="s">
        <v>38</v>
      </c>
      <c r="L160" s="380" t="s">
        <v>2942</v>
      </c>
      <c r="M160" s="381">
        <v>8.84</v>
      </c>
      <c r="N160" s="193">
        <v>628354.0</v>
      </c>
      <c r="O160" s="382"/>
      <c r="P160" s="48"/>
      <c r="Q160" s="117"/>
      <c r="R160" s="141"/>
      <c r="S160" s="141"/>
      <c r="T160" s="141"/>
      <c r="U160" s="57"/>
      <c r="V160" s="57"/>
      <c r="W160" s="57"/>
      <c r="X160" s="57"/>
      <c r="Y160" s="57"/>
      <c r="Z160" s="57"/>
      <c r="AA160" s="57"/>
      <c r="AB160" s="57"/>
    </row>
    <row r="161">
      <c r="A161" s="349"/>
      <c r="B161" s="185" t="s">
        <v>2948</v>
      </c>
      <c r="C161" s="198" t="s">
        <v>2949</v>
      </c>
      <c r="D161" s="186">
        <v>1.0</v>
      </c>
      <c r="E161" s="186" t="s">
        <v>1884</v>
      </c>
      <c r="F161" s="186" t="s">
        <v>2950</v>
      </c>
      <c r="G161" s="48"/>
      <c r="H161" s="48"/>
      <c r="I161" s="48"/>
      <c r="J161" s="203">
        <v>45896.0</v>
      </c>
      <c r="K161" s="380" t="s">
        <v>38</v>
      </c>
      <c r="L161" s="380" t="s">
        <v>2942</v>
      </c>
      <c r="M161" s="381">
        <v>79.09</v>
      </c>
      <c r="N161" s="193">
        <v>618534.0</v>
      </c>
      <c r="O161" s="382"/>
      <c r="P161" s="48"/>
      <c r="Q161" s="186" t="s">
        <v>2294</v>
      </c>
      <c r="R161" s="141"/>
      <c r="S161" s="141"/>
      <c r="T161" s="141"/>
      <c r="U161" s="57"/>
      <c r="V161" s="57"/>
      <c r="W161" s="57"/>
      <c r="X161" s="57"/>
      <c r="Y161" s="57"/>
      <c r="Z161" s="57"/>
      <c r="AA161" s="57"/>
      <c r="AB161" s="57"/>
    </row>
    <row r="162">
      <c r="A162" s="349"/>
      <c r="B162" s="185" t="s">
        <v>53</v>
      </c>
      <c r="C162" s="117"/>
      <c r="D162" s="186">
        <v>1.0</v>
      </c>
      <c r="E162" s="186" t="s">
        <v>1068</v>
      </c>
      <c r="F162" s="186" t="s">
        <v>35</v>
      </c>
      <c r="G162" s="48"/>
      <c r="H162" s="48"/>
      <c r="I162" s="48"/>
      <c r="J162" s="203">
        <v>45896.0</v>
      </c>
      <c r="K162" s="380" t="s">
        <v>38</v>
      </c>
      <c r="L162" s="380" t="s">
        <v>2942</v>
      </c>
      <c r="M162" s="381">
        <v>95.62</v>
      </c>
      <c r="N162" s="193">
        <v>618534.0</v>
      </c>
      <c r="O162" s="382"/>
      <c r="P162" s="48"/>
      <c r="Q162" s="117"/>
      <c r="R162" s="141"/>
      <c r="S162" s="141"/>
      <c r="T162" s="141"/>
      <c r="U162" s="57"/>
      <c r="V162" s="57"/>
      <c r="W162" s="57"/>
      <c r="X162" s="57"/>
      <c r="Y162" s="57"/>
      <c r="Z162" s="57"/>
      <c r="AA162" s="57"/>
      <c r="AB162" s="57"/>
    </row>
    <row r="163">
      <c r="A163" s="349"/>
      <c r="B163" s="185" t="s">
        <v>2951</v>
      </c>
      <c r="C163" s="186" t="s">
        <v>2952</v>
      </c>
      <c r="D163" s="186">
        <v>1.0</v>
      </c>
      <c r="E163" s="186" t="s">
        <v>1885</v>
      </c>
      <c r="F163" s="186" t="s">
        <v>35</v>
      </c>
      <c r="G163" s="48"/>
      <c r="H163" s="48"/>
      <c r="I163" s="48"/>
      <c r="J163" s="203">
        <v>45901.0</v>
      </c>
      <c r="K163" s="380" t="s">
        <v>38</v>
      </c>
      <c r="L163" s="380" t="s">
        <v>2953</v>
      </c>
      <c r="M163" s="381">
        <v>132.15</v>
      </c>
      <c r="N163" s="193">
        <v>619843.0</v>
      </c>
      <c r="O163" s="382"/>
      <c r="P163" s="48"/>
      <c r="Q163" s="186" t="s">
        <v>2294</v>
      </c>
      <c r="R163" s="141"/>
      <c r="S163" s="141"/>
      <c r="T163" s="141"/>
      <c r="U163" s="57"/>
      <c r="V163" s="57"/>
      <c r="W163" s="57"/>
      <c r="X163" s="57"/>
      <c r="Y163" s="57"/>
      <c r="Z163" s="57"/>
      <c r="AA163" s="57"/>
      <c r="AB163" s="57"/>
    </row>
    <row r="164">
      <c r="A164" s="349"/>
      <c r="B164" s="185" t="s">
        <v>2954</v>
      </c>
      <c r="C164" s="198" t="s">
        <v>2955</v>
      </c>
      <c r="D164" s="186">
        <v>1.0</v>
      </c>
      <c r="E164" s="186" t="s">
        <v>1292</v>
      </c>
      <c r="F164" s="186" t="s">
        <v>35</v>
      </c>
      <c r="G164" s="48"/>
      <c r="H164" s="48"/>
      <c r="I164" s="48"/>
      <c r="J164" s="203">
        <v>45901.0</v>
      </c>
      <c r="K164" s="380" t="s">
        <v>38</v>
      </c>
      <c r="L164" s="380" t="s">
        <v>2953</v>
      </c>
      <c r="M164" s="381">
        <v>130.63</v>
      </c>
      <c r="N164" s="193">
        <v>619843.0</v>
      </c>
      <c r="O164" s="382"/>
      <c r="P164" s="48"/>
      <c r="Q164" s="186" t="s">
        <v>2294</v>
      </c>
      <c r="R164" s="141"/>
      <c r="S164" s="141"/>
      <c r="T164" s="141"/>
      <c r="U164" s="57"/>
      <c r="V164" s="57"/>
      <c r="W164" s="57"/>
      <c r="X164" s="57"/>
      <c r="Y164" s="57"/>
      <c r="Z164" s="57"/>
      <c r="AA164" s="57"/>
      <c r="AB164" s="57"/>
    </row>
    <row r="165">
      <c r="A165" s="349"/>
      <c r="B165" s="185" t="s">
        <v>1078</v>
      </c>
      <c r="C165" s="141"/>
      <c r="D165" s="186">
        <v>1.0</v>
      </c>
      <c r="E165" s="186" t="s">
        <v>1886</v>
      </c>
      <c r="F165" s="186" t="s">
        <v>35</v>
      </c>
      <c r="G165" s="48"/>
      <c r="H165" s="48"/>
      <c r="I165" s="48"/>
      <c r="J165" s="203">
        <v>45901.0</v>
      </c>
      <c r="K165" s="380" t="s">
        <v>38</v>
      </c>
      <c r="L165" s="380" t="s">
        <v>2953</v>
      </c>
      <c r="M165" s="381">
        <v>131.43</v>
      </c>
      <c r="N165" s="193">
        <v>620491.0</v>
      </c>
      <c r="O165" s="382"/>
      <c r="P165" s="48"/>
      <c r="Q165" s="186" t="s">
        <v>2294</v>
      </c>
      <c r="R165" s="141"/>
      <c r="S165" s="141"/>
      <c r="T165" s="141"/>
      <c r="U165" s="57"/>
      <c r="V165" s="57"/>
      <c r="W165" s="57"/>
      <c r="X165" s="57"/>
      <c r="Y165" s="57"/>
      <c r="Z165" s="57"/>
      <c r="AA165" s="57"/>
      <c r="AB165" s="57"/>
    </row>
    <row r="166">
      <c r="A166" s="349"/>
      <c r="B166" s="185" t="s">
        <v>53</v>
      </c>
      <c r="C166" s="141"/>
      <c r="D166" s="186">
        <v>4.0</v>
      </c>
      <c r="E166" s="186" t="s">
        <v>583</v>
      </c>
      <c r="F166" s="186" t="s">
        <v>2956</v>
      </c>
      <c r="G166" s="48"/>
      <c r="H166" s="48"/>
      <c r="I166" s="48"/>
      <c r="J166" s="203">
        <v>45901.0</v>
      </c>
      <c r="K166" s="380" t="s">
        <v>38</v>
      </c>
      <c r="L166" s="380" t="s">
        <v>2953</v>
      </c>
      <c r="M166" s="381">
        <v>85.45</v>
      </c>
      <c r="N166" s="193">
        <v>619843.0</v>
      </c>
      <c r="O166" s="382"/>
      <c r="P166" s="48"/>
      <c r="Q166" s="186" t="s">
        <v>2294</v>
      </c>
      <c r="R166" s="141"/>
      <c r="S166" s="141"/>
      <c r="T166" s="141"/>
      <c r="U166" s="57"/>
      <c r="V166" s="57"/>
      <c r="W166" s="57"/>
      <c r="X166" s="57"/>
      <c r="Y166" s="57"/>
      <c r="Z166" s="57"/>
      <c r="AA166" s="57"/>
      <c r="AB166" s="57"/>
    </row>
    <row r="167">
      <c r="A167" s="349"/>
      <c r="B167" s="185" t="s">
        <v>53</v>
      </c>
      <c r="C167" s="117"/>
      <c r="D167" s="186">
        <v>10.0</v>
      </c>
      <c r="E167" s="186" t="s">
        <v>1887</v>
      </c>
      <c r="F167" s="186" t="s">
        <v>2957</v>
      </c>
      <c r="G167" s="48"/>
      <c r="H167" s="48"/>
      <c r="I167" s="48"/>
      <c r="J167" s="203">
        <v>45901.0</v>
      </c>
      <c r="K167" s="380" t="s">
        <v>38</v>
      </c>
      <c r="L167" s="380" t="s">
        <v>2953</v>
      </c>
      <c r="M167" s="381">
        <v>20.9</v>
      </c>
      <c r="N167" s="193">
        <v>619843.0</v>
      </c>
      <c r="O167" s="382"/>
      <c r="P167" s="48"/>
      <c r="Q167" s="117"/>
      <c r="R167" s="141"/>
      <c r="S167" s="141"/>
      <c r="T167" s="141"/>
      <c r="U167" s="57"/>
      <c r="V167" s="57"/>
      <c r="W167" s="57"/>
      <c r="X167" s="57"/>
      <c r="Y167" s="57"/>
      <c r="Z167" s="57"/>
      <c r="AA167" s="57"/>
      <c r="AB167" s="57"/>
    </row>
    <row r="168">
      <c r="A168" s="349"/>
      <c r="B168" s="185" t="s">
        <v>2958</v>
      </c>
      <c r="C168" s="198" t="s">
        <v>2959</v>
      </c>
      <c r="D168" s="186">
        <v>1.0</v>
      </c>
      <c r="E168" s="186" t="s">
        <v>1888</v>
      </c>
      <c r="F168" s="198" t="s">
        <v>496</v>
      </c>
      <c r="G168" s="48"/>
      <c r="H168" s="48"/>
      <c r="I168" s="48"/>
      <c r="J168" s="203">
        <v>45901.0</v>
      </c>
      <c r="K168" s="380" t="s">
        <v>38</v>
      </c>
      <c r="L168" s="380" t="s">
        <v>2953</v>
      </c>
      <c r="M168" s="381">
        <v>42.47</v>
      </c>
      <c r="N168" s="193">
        <v>619843.0</v>
      </c>
      <c r="O168" s="382"/>
      <c r="P168" s="48"/>
      <c r="Q168" s="186" t="s">
        <v>2294</v>
      </c>
      <c r="R168" s="141"/>
      <c r="S168" s="141"/>
      <c r="T168" s="141"/>
      <c r="U168" s="57"/>
      <c r="V168" s="57"/>
      <c r="W168" s="57"/>
      <c r="X168" s="57"/>
      <c r="Y168" s="57"/>
      <c r="Z168" s="57"/>
      <c r="AA168" s="57"/>
      <c r="AB168" s="57"/>
    </row>
    <row r="169">
      <c r="A169" s="349"/>
      <c r="B169" s="185" t="s">
        <v>837</v>
      </c>
      <c r="C169" s="117"/>
      <c r="D169" s="186">
        <v>1.0</v>
      </c>
      <c r="E169" s="186" t="s">
        <v>1889</v>
      </c>
      <c r="F169" s="141"/>
      <c r="G169" s="48"/>
      <c r="H169" s="48"/>
      <c r="I169" s="48"/>
      <c r="J169" s="203">
        <v>45901.0</v>
      </c>
      <c r="K169" s="380" t="s">
        <v>38</v>
      </c>
      <c r="L169" s="380" t="s">
        <v>2953</v>
      </c>
      <c r="M169" s="381">
        <v>124.88</v>
      </c>
      <c r="N169" s="193">
        <v>619843.0</v>
      </c>
      <c r="O169" s="382"/>
      <c r="P169" s="48"/>
      <c r="Q169" s="186" t="s">
        <v>2294</v>
      </c>
      <c r="R169" s="141"/>
      <c r="S169" s="141"/>
      <c r="T169" s="141"/>
      <c r="U169" s="57"/>
      <c r="V169" s="57"/>
      <c r="W169" s="57"/>
      <c r="X169" s="57"/>
      <c r="Y169" s="57"/>
      <c r="Z169" s="57"/>
      <c r="AA169" s="57"/>
      <c r="AB169" s="57"/>
    </row>
    <row r="170">
      <c r="A170" s="349"/>
      <c r="B170" s="185" t="s">
        <v>2960</v>
      </c>
      <c r="C170" s="198" t="s">
        <v>2961</v>
      </c>
      <c r="D170" s="186">
        <v>1.0</v>
      </c>
      <c r="E170" s="186" t="s">
        <v>1890</v>
      </c>
      <c r="F170" s="141"/>
      <c r="G170" s="48"/>
      <c r="H170" s="48"/>
      <c r="I170" s="48"/>
      <c r="J170" s="203">
        <v>45901.0</v>
      </c>
      <c r="K170" s="380" t="s">
        <v>38</v>
      </c>
      <c r="L170" s="380" t="s">
        <v>2953</v>
      </c>
      <c r="M170" s="381">
        <v>124.88</v>
      </c>
      <c r="N170" s="193">
        <v>624902.0</v>
      </c>
      <c r="O170" s="382"/>
      <c r="P170" s="48"/>
      <c r="Q170" s="186" t="s">
        <v>2294</v>
      </c>
      <c r="R170" s="141"/>
      <c r="S170" s="141"/>
      <c r="T170" s="141"/>
      <c r="U170" s="57"/>
      <c r="V170" s="57"/>
      <c r="W170" s="57"/>
      <c r="X170" s="57"/>
      <c r="Y170" s="57"/>
      <c r="Z170" s="57"/>
      <c r="AA170" s="57"/>
      <c r="AB170" s="57"/>
    </row>
    <row r="171">
      <c r="A171" s="349"/>
      <c r="B171" s="185" t="s">
        <v>53</v>
      </c>
      <c r="C171" s="141"/>
      <c r="D171" s="186">
        <v>1.0</v>
      </c>
      <c r="E171" s="186" t="s">
        <v>1892</v>
      </c>
      <c r="F171" s="141"/>
      <c r="G171" s="48"/>
      <c r="H171" s="48"/>
      <c r="I171" s="48"/>
      <c r="J171" s="221">
        <v>45901.0</v>
      </c>
      <c r="K171" s="380" t="s">
        <v>38</v>
      </c>
      <c r="L171" s="380" t="s">
        <v>2953</v>
      </c>
      <c r="M171" s="381">
        <v>2.38</v>
      </c>
      <c r="N171" s="193">
        <v>619843.0</v>
      </c>
      <c r="O171" s="382"/>
      <c r="P171" s="48"/>
      <c r="Q171" s="198" t="s">
        <v>2294</v>
      </c>
      <c r="R171" s="141"/>
      <c r="S171" s="141"/>
      <c r="T171" s="141"/>
      <c r="U171" s="57"/>
      <c r="V171" s="57"/>
      <c r="W171" s="57"/>
      <c r="X171" s="57"/>
      <c r="Y171" s="57"/>
      <c r="Z171" s="57"/>
      <c r="AA171" s="57"/>
      <c r="AB171" s="57"/>
    </row>
    <row r="172">
      <c r="A172" s="385"/>
      <c r="B172" s="300" t="s">
        <v>53</v>
      </c>
      <c r="C172" s="301"/>
      <c r="D172" s="186">
        <v>1.0</v>
      </c>
      <c r="E172" s="186" t="s">
        <v>1893</v>
      </c>
      <c r="F172" s="117"/>
      <c r="G172" s="48"/>
      <c r="H172" s="48"/>
      <c r="I172" s="48"/>
      <c r="J172" s="118"/>
      <c r="K172" s="380" t="s">
        <v>820</v>
      </c>
      <c r="L172" s="382"/>
      <c r="M172" s="118"/>
      <c r="N172" s="197"/>
      <c r="O172" s="382"/>
      <c r="P172" s="48"/>
      <c r="Q172" s="117"/>
      <c r="R172" s="141"/>
      <c r="S172" s="141"/>
      <c r="T172" s="141"/>
      <c r="U172" s="57"/>
      <c r="V172" s="57"/>
      <c r="W172" s="57"/>
      <c r="X172" s="57"/>
      <c r="Y172" s="57"/>
      <c r="Z172" s="57"/>
      <c r="AA172" s="57"/>
      <c r="AB172" s="57"/>
    </row>
    <row r="173">
      <c r="A173" s="385"/>
      <c r="B173" s="300" t="s">
        <v>2962</v>
      </c>
      <c r="C173" s="386" t="s">
        <v>2963</v>
      </c>
      <c r="D173" s="186">
        <v>1.0</v>
      </c>
      <c r="E173" s="186" t="s">
        <v>1894</v>
      </c>
      <c r="F173" s="186" t="s">
        <v>1745</v>
      </c>
      <c r="G173" s="48"/>
      <c r="H173" s="48"/>
      <c r="I173" s="48"/>
      <c r="J173" s="203">
        <v>45902.0</v>
      </c>
      <c r="K173" s="380" t="s">
        <v>347</v>
      </c>
      <c r="L173" s="380" t="s">
        <v>2964</v>
      </c>
      <c r="M173" s="381">
        <v>95.4</v>
      </c>
      <c r="N173" s="193">
        <v>619843.0</v>
      </c>
      <c r="O173" s="382"/>
      <c r="P173" s="48"/>
      <c r="Q173" s="186" t="s">
        <v>2294</v>
      </c>
      <c r="R173" s="141"/>
      <c r="S173" s="141"/>
      <c r="T173" s="141"/>
      <c r="U173" s="57"/>
      <c r="V173" s="57"/>
      <c r="W173" s="57"/>
      <c r="X173" s="57"/>
      <c r="Y173" s="57"/>
      <c r="Z173" s="57"/>
      <c r="AA173" s="57"/>
      <c r="AB173" s="57"/>
    </row>
    <row r="174">
      <c r="A174" s="349"/>
      <c r="B174" s="185" t="s">
        <v>2962</v>
      </c>
      <c r="C174" s="198" t="s">
        <v>2963</v>
      </c>
      <c r="D174" s="186">
        <v>1.0</v>
      </c>
      <c r="E174" s="186" t="s">
        <v>1896</v>
      </c>
      <c r="F174" s="198" t="s">
        <v>1745</v>
      </c>
      <c r="G174" s="48"/>
      <c r="H174" s="48"/>
      <c r="I174" s="48"/>
      <c r="J174" s="203">
        <v>45902.0</v>
      </c>
      <c r="K174" s="380" t="s">
        <v>347</v>
      </c>
      <c r="L174" s="380" t="s">
        <v>2964</v>
      </c>
      <c r="M174" s="381">
        <v>95.4</v>
      </c>
      <c r="N174" s="193">
        <v>619843.0</v>
      </c>
      <c r="O174" s="382"/>
      <c r="P174" s="48"/>
      <c r="Q174" s="186" t="s">
        <v>2294</v>
      </c>
      <c r="R174" s="141"/>
      <c r="S174" s="141"/>
      <c r="T174" s="141"/>
      <c r="U174" s="57"/>
      <c r="V174" s="57"/>
      <c r="W174" s="57"/>
      <c r="X174" s="57"/>
      <c r="Y174" s="57"/>
      <c r="Z174" s="57"/>
      <c r="AA174" s="57"/>
      <c r="AB174" s="57"/>
    </row>
    <row r="175">
      <c r="A175" s="349"/>
      <c r="B175" s="185" t="s">
        <v>53</v>
      </c>
      <c r="C175" s="141"/>
      <c r="D175" s="186">
        <v>1.0</v>
      </c>
      <c r="E175" s="186" t="s">
        <v>1897</v>
      </c>
      <c r="F175" s="141"/>
      <c r="G175" s="48"/>
      <c r="H175" s="48"/>
      <c r="I175" s="48"/>
      <c r="J175" s="203">
        <v>45904.0</v>
      </c>
      <c r="K175" s="380" t="s">
        <v>347</v>
      </c>
      <c r="L175" s="380">
        <v>7394145.0</v>
      </c>
      <c r="M175" s="381">
        <v>100.0</v>
      </c>
      <c r="N175" s="197"/>
      <c r="O175" s="382"/>
      <c r="P175" s="48"/>
      <c r="Q175" s="117"/>
      <c r="R175" s="141"/>
      <c r="S175" s="141"/>
      <c r="T175" s="141"/>
      <c r="U175" s="57"/>
      <c r="V175" s="57"/>
      <c r="W175" s="57"/>
      <c r="X175" s="57"/>
      <c r="Y175" s="57"/>
      <c r="Z175" s="57"/>
      <c r="AA175" s="57"/>
      <c r="AB175" s="57"/>
    </row>
    <row r="176">
      <c r="A176" s="385"/>
      <c r="B176" s="300" t="s">
        <v>53</v>
      </c>
      <c r="C176" s="303"/>
      <c r="D176" s="186">
        <v>1.0</v>
      </c>
      <c r="E176" s="186" t="s">
        <v>1898</v>
      </c>
      <c r="F176" s="117"/>
      <c r="G176" s="48"/>
      <c r="H176" s="48"/>
      <c r="I176" s="48"/>
      <c r="J176" s="203">
        <v>45904.0</v>
      </c>
      <c r="K176" s="380" t="s">
        <v>347</v>
      </c>
      <c r="L176" s="380">
        <v>7394145.0</v>
      </c>
      <c r="M176" s="381">
        <v>100.0</v>
      </c>
      <c r="N176" s="197"/>
      <c r="O176" s="382"/>
      <c r="P176" s="47"/>
      <c r="Q176" s="117"/>
      <c r="R176" s="141"/>
      <c r="S176" s="141"/>
      <c r="T176" s="141"/>
      <c r="U176" s="57"/>
      <c r="V176" s="57"/>
      <c r="W176" s="57"/>
      <c r="X176" s="57"/>
      <c r="Y176" s="57"/>
      <c r="Z176" s="57"/>
      <c r="AA176" s="57"/>
      <c r="AB176" s="57"/>
    </row>
    <row r="177">
      <c r="A177" s="349"/>
      <c r="B177" s="185" t="s">
        <v>2965</v>
      </c>
      <c r="C177" s="198" t="s">
        <v>2966</v>
      </c>
      <c r="D177" s="186">
        <v>1.0</v>
      </c>
      <c r="E177" s="186" t="s">
        <v>1894</v>
      </c>
      <c r="F177" s="198" t="s">
        <v>1745</v>
      </c>
      <c r="G177" s="48"/>
      <c r="H177" s="48"/>
      <c r="I177" s="48"/>
      <c r="J177" s="203">
        <v>45904.0</v>
      </c>
      <c r="K177" s="380" t="s">
        <v>347</v>
      </c>
      <c r="L177" s="380">
        <v>7394145.0</v>
      </c>
      <c r="M177" s="381">
        <v>100.0</v>
      </c>
      <c r="N177" s="197"/>
      <c r="O177" s="382"/>
      <c r="P177" s="48"/>
      <c r="Q177" s="186" t="s">
        <v>2294</v>
      </c>
      <c r="R177" s="141"/>
      <c r="S177" s="141"/>
      <c r="T177" s="141"/>
      <c r="U177" s="57"/>
      <c r="V177" s="57"/>
      <c r="W177" s="57"/>
      <c r="X177" s="57"/>
      <c r="Y177" s="57"/>
      <c r="Z177" s="57"/>
      <c r="AA177" s="57"/>
      <c r="AB177" s="57"/>
    </row>
    <row r="178">
      <c r="A178" s="349"/>
      <c r="B178" s="185" t="s">
        <v>53</v>
      </c>
      <c r="C178" s="117"/>
      <c r="D178" s="186">
        <v>1.0</v>
      </c>
      <c r="E178" s="186" t="s">
        <v>1901</v>
      </c>
      <c r="F178" s="141"/>
      <c r="G178" s="48"/>
      <c r="H178" s="48"/>
      <c r="I178" s="48"/>
      <c r="J178" s="203">
        <v>45904.0</v>
      </c>
      <c r="K178" s="380" t="s">
        <v>347</v>
      </c>
      <c r="L178" s="380">
        <v>7394145.0</v>
      </c>
      <c r="M178" s="381">
        <v>100.0</v>
      </c>
      <c r="N178" s="197"/>
      <c r="O178" s="382"/>
      <c r="P178" s="48"/>
      <c r="Q178" s="117"/>
      <c r="R178" s="141"/>
      <c r="S178" s="141"/>
      <c r="T178" s="141"/>
      <c r="U178" s="57"/>
      <c r="V178" s="57"/>
      <c r="W178" s="57"/>
      <c r="X178" s="57"/>
      <c r="Y178" s="57"/>
      <c r="Z178" s="57"/>
      <c r="AA178" s="57"/>
      <c r="AB178" s="57"/>
    </row>
    <row r="179">
      <c r="A179" s="349"/>
      <c r="B179" s="185" t="s">
        <v>2967</v>
      </c>
      <c r="C179" s="186" t="s">
        <v>585</v>
      </c>
      <c r="D179" s="186">
        <v>1.0</v>
      </c>
      <c r="E179" s="186" t="s">
        <v>1902</v>
      </c>
      <c r="F179" s="141"/>
      <c r="G179" s="48"/>
      <c r="H179" s="48"/>
      <c r="I179" s="48"/>
      <c r="J179" s="203">
        <v>45907.0</v>
      </c>
      <c r="K179" s="380" t="s">
        <v>38</v>
      </c>
      <c r="L179" s="380" t="s">
        <v>2968</v>
      </c>
      <c r="M179" s="381">
        <v>97.38</v>
      </c>
      <c r="N179" s="193">
        <v>622057.0</v>
      </c>
      <c r="O179" s="382"/>
      <c r="P179" s="48"/>
      <c r="Q179" s="186" t="s">
        <v>2294</v>
      </c>
      <c r="R179" s="141"/>
      <c r="S179" s="141"/>
      <c r="T179" s="141"/>
      <c r="U179" s="57"/>
      <c r="V179" s="57"/>
      <c r="W179" s="57"/>
      <c r="X179" s="57"/>
      <c r="Y179" s="57"/>
      <c r="Z179" s="57"/>
      <c r="AA179" s="57"/>
      <c r="AB179" s="57"/>
    </row>
    <row r="180">
      <c r="A180" s="349"/>
      <c r="B180" s="185" t="s">
        <v>2969</v>
      </c>
      <c r="C180" s="186" t="s">
        <v>2734</v>
      </c>
      <c r="D180" s="186">
        <v>1.0</v>
      </c>
      <c r="E180" s="186" t="s">
        <v>618</v>
      </c>
      <c r="F180" s="141"/>
      <c r="G180" s="48"/>
      <c r="H180" s="48"/>
      <c r="I180" s="48"/>
      <c r="J180" s="203">
        <v>45907.0</v>
      </c>
      <c r="K180" s="380" t="s">
        <v>38</v>
      </c>
      <c r="L180" s="380" t="s">
        <v>2968</v>
      </c>
      <c r="M180" s="381">
        <v>104.03</v>
      </c>
      <c r="N180" s="193">
        <v>622057.0</v>
      </c>
      <c r="O180" s="382"/>
      <c r="P180" s="48"/>
      <c r="Q180" s="186" t="s">
        <v>2294</v>
      </c>
      <c r="R180" s="141"/>
      <c r="S180" s="141"/>
      <c r="T180" s="141"/>
      <c r="U180" s="57"/>
      <c r="V180" s="57"/>
      <c r="W180" s="57"/>
      <c r="X180" s="57"/>
      <c r="Y180" s="57"/>
      <c r="Z180" s="57"/>
      <c r="AA180" s="57"/>
      <c r="AB180" s="57"/>
    </row>
    <row r="181">
      <c r="A181" s="349"/>
      <c r="B181" s="185" t="s">
        <v>2970</v>
      </c>
      <c r="C181" s="186" t="s">
        <v>2971</v>
      </c>
      <c r="D181" s="186">
        <v>1.0</v>
      </c>
      <c r="E181" s="186" t="s">
        <v>1903</v>
      </c>
      <c r="F181" s="141"/>
      <c r="G181" s="48"/>
      <c r="H181" s="48"/>
      <c r="I181" s="48"/>
      <c r="J181" s="203">
        <v>45907.0</v>
      </c>
      <c r="K181" s="380" t="s">
        <v>38</v>
      </c>
      <c r="L181" s="380" t="s">
        <v>2968</v>
      </c>
      <c r="M181" s="381">
        <v>77.43</v>
      </c>
      <c r="N181" s="193">
        <v>622057.0</v>
      </c>
      <c r="O181" s="382"/>
      <c r="P181" s="48"/>
      <c r="Q181" s="186" t="s">
        <v>2294</v>
      </c>
      <c r="R181" s="141"/>
      <c r="S181" s="141"/>
      <c r="T181" s="141"/>
      <c r="U181" s="57"/>
      <c r="V181" s="57"/>
      <c r="W181" s="57"/>
      <c r="X181" s="57"/>
      <c r="Y181" s="57"/>
      <c r="Z181" s="57"/>
      <c r="AA181" s="57"/>
      <c r="AB181" s="57"/>
    </row>
    <row r="182">
      <c r="A182" s="349"/>
      <c r="B182" s="185" t="s">
        <v>2972</v>
      </c>
      <c r="C182" s="186" t="s">
        <v>2316</v>
      </c>
      <c r="D182" s="186">
        <v>1.0</v>
      </c>
      <c r="E182" s="186" t="s">
        <v>1904</v>
      </c>
      <c r="F182" s="141"/>
      <c r="G182" s="48"/>
      <c r="H182" s="48"/>
      <c r="I182" s="48"/>
      <c r="J182" s="203">
        <v>45907.0</v>
      </c>
      <c r="K182" s="380" t="s">
        <v>38</v>
      </c>
      <c r="L182" s="380" t="s">
        <v>2968</v>
      </c>
      <c r="M182" s="381">
        <v>50.11</v>
      </c>
      <c r="N182" s="193">
        <v>622057.0</v>
      </c>
      <c r="O182" s="382"/>
      <c r="P182" s="48"/>
      <c r="Q182" s="186" t="s">
        <v>2294</v>
      </c>
      <c r="R182" s="141"/>
      <c r="S182" s="141"/>
      <c r="T182" s="141"/>
      <c r="U182" s="57"/>
      <c r="V182" s="57"/>
      <c r="W182" s="57"/>
      <c r="X182" s="57"/>
      <c r="Y182" s="57"/>
      <c r="Z182" s="57"/>
      <c r="AA182" s="57"/>
      <c r="AB182" s="57"/>
    </row>
    <row r="183">
      <c r="A183" s="349"/>
      <c r="B183" s="185" t="s">
        <v>2973</v>
      </c>
      <c r="C183" s="186" t="s">
        <v>2974</v>
      </c>
      <c r="D183" s="186">
        <v>1.0</v>
      </c>
      <c r="E183" s="186" t="s">
        <v>1905</v>
      </c>
      <c r="F183" s="141"/>
      <c r="G183" s="48"/>
      <c r="H183" s="48"/>
      <c r="I183" s="48"/>
      <c r="J183" s="203">
        <v>45907.0</v>
      </c>
      <c r="K183" s="380" t="s">
        <v>38</v>
      </c>
      <c r="L183" s="380" t="s">
        <v>2968</v>
      </c>
      <c r="M183" s="381">
        <v>77.43</v>
      </c>
      <c r="N183" s="193">
        <v>622057.0</v>
      </c>
      <c r="O183" s="382"/>
      <c r="P183" s="48"/>
      <c r="Q183" s="186" t="s">
        <v>2294</v>
      </c>
      <c r="R183" s="141"/>
      <c r="S183" s="141"/>
      <c r="T183" s="141"/>
      <c r="U183" s="57"/>
      <c r="V183" s="57"/>
      <c r="W183" s="57"/>
      <c r="X183" s="57"/>
      <c r="Y183" s="57"/>
      <c r="Z183" s="57"/>
      <c r="AA183" s="57"/>
      <c r="AB183" s="57"/>
    </row>
    <row r="184">
      <c r="A184" s="349"/>
      <c r="B184" s="185" t="s">
        <v>2939</v>
      </c>
      <c r="C184" s="186" t="s">
        <v>2938</v>
      </c>
      <c r="D184" s="186">
        <v>1.0</v>
      </c>
      <c r="E184" s="186" t="s">
        <v>1906</v>
      </c>
      <c r="F184" s="141"/>
      <c r="G184" s="48"/>
      <c r="H184" s="48"/>
      <c r="I184" s="48"/>
      <c r="J184" s="203">
        <v>45907.0</v>
      </c>
      <c r="K184" s="380" t="s">
        <v>38</v>
      </c>
      <c r="L184" s="380" t="s">
        <v>2968</v>
      </c>
      <c r="M184" s="381">
        <v>39.9</v>
      </c>
      <c r="N184" s="193">
        <v>630059.0</v>
      </c>
      <c r="O184" s="382"/>
      <c r="P184" s="48"/>
      <c r="Q184" s="117"/>
      <c r="R184" s="141"/>
      <c r="S184" s="141"/>
      <c r="T184" s="141"/>
      <c r="U184" s="57"/>
      <c r="V184" s="57"/>
      <c r="W184" s="57"/>
      <c r="X184" s="57"/>
      <c r="Y184" s="57"/>
      <c r="Z184" s="57"/>
      <c r="AA184" s="57"/>
      <c r="AB184" s="57"/>
    </row>
    <row r="185">
      <c r="A185" s="349"/>
      <c r="B185" s="185" t="s">
        <v>2939</v>
      </c>
      <c r="C185" s="186" t="s">
        <v>2938</v>
      </c>
      <c r="D185" s="186">
        <v>1.0</v>
      </c>
      <c r="E185" s="186" t="s">
        <v>1907</v>
      </c>
      <c r="F185" s="141"/>
      <c r="G185" s="48"/>
      <c r="H185" s="48"/>
      <c r="I185" s="48"/>
      <c r="J185" s="203">
        <v>45907.0</v>
      </c>
      <c r="K185" s="380" t="s">
        <v>38</v>
      </c>
      <c r="L185" s="380" t="s">
        <v>2968</v>
      </c>
      <c r="M185" s="381">
        <v>15.87</v>
      </c>
      <c r="N185" s="193">
        <v>622057.0</v>
      </c>
      <c r="O185" s="382"/>
      <c r="P185" s="48"/>
      <c r="Q185" s="186" t="s">
        <v>2294</v>
      </c>
      <c r="R185" s="141"/>
      <c r="S185" s="141"/>
      <c r="T185" s="141"/>
      <c r="U185" s="57"/>
      <c r="V185" s="57"/>
      <c r="W185" s="57"/>
      <c r="X185" s="57"/>
      <c r="Y185" s="57"/>
      <c r="Z185" s="57"/>
      <c r="AA185" s="57"/>
      <c r="AB185" s="57"/>
    </row>
    <row r="186">
      <c r="A186" s="349"/>
      <c r="B186" s="185" t="s">
        <v>2939</v>
      </c>
      <c r="C186" s="186" t="s">
        <v>2938</v>
      </c>
      <c r="D186" s="186">
        <v>1.0</v>
      </c>
      <c r="E186" s="186" t="s">
        <v>1908</v>
      </c>
      <c r="F186" s="141"/>
      <c r="G186" s="48"/>
      <c r="H186" s="48"/>
      <c r="I186" s="48"/>
      <c r="J186" s="203">
        <v>45907.0</v>
      </c>
      <c r="K186" s="380" t="s">
        <v>38</v>
      </c>
      <c r="L186" s="380" t="s">
        <v>2968</v>
      </c>
      <c r="M186" s="381">
        <v>50.11</v>
      </c>
      <c r="N186" s="193">
        <v>622057.0</v>
      </c>
      <c r="O186" s="382"/>
      <c r="P186" s="48"/>
      <c r="Q186" s="186" t="s">
        <v>2294</v>
      </c>
      <c r="R186" s="141"/>
      <c r="S186" s="141"/>
      <c r="T186" s="141"/>
      <c r="U186" s="57"/>
      <c r="V186" s="57"/>
      <c r="W186" s="57"/>
      <c r="X186" s="57"/>
      <c r="Y186" s="57"/>
      <c r="Z186" s="57"/>
      <c r="AA186" s="57"/>
      <c r="AB186" s="57"/>
    </row>
    <row r="187">
      <c r="A187" s="349"/>
      <c r="B187" s="185" t="s">
        <v>334</v>
      </c>
      <c r="C187" s="186" t="s">
        <v>1072</v>
      </c>
      <c r="D187" s="186">
        <v>1.0</v>
      </c>
      <c r="E187" s="186" t="s">
        <v>1909</v>
      </c>
      <c r="F187" s="141"/>
      <c r="G187" s="48"/>
      <c r="H187" s="48"/>
      <c r="I187" s="48"/>
      <c r="J187" s="203">
        <v>45907.0</v>
      </c>
      <c r="K187" s="380" t="s">
        <v>38</v>
      </c>
      <c r="L187" s="380" t="s">
        <v>2968</v>
      </c>
      <c r="M187" s="381">
        <v>74.06</v>
      </c>
      <c r="N187" s="193">
        <v>622057.0</v>
      </c>
      <c r="O187" s="382"/>
      <c r="P187" s="48"/>
      <c r="Q187" s="186" t="s">
        <v>59</v>
      </c>
      <c r="R187" s="141"/>
      <c r="S187" s="141"/>
      <c r="T187" s="141"/>
      <c r="U187" s="57"/>
      <c r="V187" s="57"/>
      <c r="W187" s="57"/>
      <c r="X187" s="57"/>
      <c r="Y187" s="57"/>
      <c r="Z187" s="57"/>
      <c r="AA187" s="57"/>
      <c r="AB187" s="57"/>
    </row>
    <row r="188">
      <c r="A188" s="349"/>
      <c r="B188" s="185" t="s">
        <v>334</v>
      </c>
      <c r="C188" s="186" t="s">
        <v>1072</v>
      </c>
      <c r="D188" s="186">
        <v>1.0</v>
      </c>
      <c r="E188" s="186" t="s">
        <v>1910</v>
      </c>
      <c r="F188" s="141"/>
      <c r="G188" s="48"/>
      <c r="H188" s="48"/>
      <c r="I188" s="48"/>
      <c r="J188" s="203">
        <v>45907.0</v>
      </c>
      <c r="K188" s="380" t="s">
        <v>38</v>
      </c>
      <c r="L188" s="380" t="s">
        <v>2968</v>
      </c>
      <c r="M188" s="381">
        <v>74.06</v>
      </c>
      <c r="N188" s="193">
        <v>622057.0</v>
      </c>
      <c r="O188" s="382"/>
      <c r="P188" s="48"/>
      <c r="Q188" s="186" t="s">
        <v>2294</v>
      </c>
      <c r="R188" s="141"/>
      <c r="S188" s="141"/>
      <c r="T188" s="141"/>
      <c r="U188" s="57"/>
      <c r="V188" s="57"/>
      <c r="W188" s="57"/>
      <c r="X188" s="57"/>
      <c r="Y188" s="57"/>
      <c r="Z188" s="57"/>
      <c r="AA188" s="57"/>
      <c r="AB188" s="57"/>
    </row>
    <row r="189">
      <c r="A189" s="349"/>
      <c r="B189" s="185" t="s">
        <v>2975</v>
      </c>
      <c r="C189" s="198" t="s">
        <v>2976</v>
      </c>
      <c r="D189" s="186">
        <v>1.0</v>
      </c>
      <c r="E189" s="186" t="s">
        <v>1911</v>
      </c>
      <c r="F189" s="141"/>
      <c r="G189" s="48"/>
      <c r="H189" s="48"/>
      <c r="I189" s="48"/>
      <c r="J189" s="203">
        <v>45907.0</v>
      </c>
      <c r="K189" s="380" t="s">
        <v>38</v>
      </c>
      <c r="L189" s="380" t="s">
        <v>2968</v>
      </c>
      <c r="M189" s="381">
        <v>114.0</v>
      </c>
      <c r="N189" s="193">
        <v>622057.0</v>
      </c>
      <c r="O189" s="382"/>
      <c r="P189" s="48"/>
      <c r="Q189" s="186" t="s">
        <v>2294</v>
      </c>
      <c r="R189" s="141"/>
      <c r="S189" s="141"/>
      <c r="T189" s="141"/>
      <c r="U189" s="57"/>
      <c r="V189" s="57"/>
      <c r="W189" s="57"/>
      <c r="X189" s="57"/>
      <c r="Y189" s="57"/>
      <c r="Z189" s="57"/>
      <c r="AA189" s="57"/>
      <c r="AB189" s="57"/>
    </row>
    <row r="190">
      <c r="A190" s="349"/>
      <c r="B190" s="185" t="s">
        <v>52</v>
      </c>
      <c r="C190" s="117"/>
      <c r="D190" s="186">
        <v>1.0</v>
      </c>
      <c r="E190" s="186" t="s">
        <v>1912</v>
      </c>
      <c r="F190" s="117"/>
      <c r="G190" s="48"/>
      <c r="H190" s="48"/>
      <c r="I190" s="48"/>
      <c r="J190" s="203">
        <v>45907.0</v>
      </c>
      <c r="K190" s="380" t="s">
        <v>38</v>
      </c>
      <c r="L190" s="380" t="s">
        <v>2968</v>
      </c>
      <c r="M190" s="381">
        <v>114.0</v>
      </c>
      <c r="N190" s="193">
        <v>622057.0</v>
      </c>
      <c r="O190" s="382"/>
      <c r="P190" s="48"/>
      <c r="Q190" s="186" t="s">
        <v>2294</v>
      </c>
      <c r="R190" s="141"/>
      <c r="S190" s="141"/>
      <c r="T190" s="141"/>
      <c r="U190" s="57"/>
      <c r="V190" s="57"/>
      <c r="W190" s="57"/>
      <c r="X190" s="57"/>
      <c r="Y190" s="57"/>
      <c r="Z190" s="57"/>
      <c r="AA190" s="57"/>
      <c r="AB190" s="57"/>
    </row>
    <row r="191">
      <c r="A191" s="349"/>
      <c r="B191" s="185" t="s">
        <v>2977</v>
      </c>
      <c r="C191" s="198" t="s">
        <v>2978</v>
      </c>
      <c r="D191" s="186">
        <v>1.0</v>
      </c>
      <c r="E191" s="186" t="s">
        <v>1913</v>
      </c>
      <c r="F191" s="198" t="s">
        <v>2979</v>
      </c>
      <c r="G191" s="48"/>
      <c r="H191" s="48"/>
      <c r="I191" s="48"/>
      <c r="J191" s="203">
        <v>45907.0</v>
      </c>
      <c r="K191" s="380" t="s">
        <v>38</v>
      </c>
      <c r="L191" s="380" t="s">
        <v>2968</v>
      </c>
      <c r="M191" s="381">
        <v>50.11</v>
      </c>
      <c r="N191" s="193">
        <v>622057.0</v>
      </c>
      <c r="O191" s="382"/>
      <c r="P191" s="48"/>
      <c r="Q191" s="186" t="s">
        <v>2294</v>
      </c>
      <c r="R191" s="141"/>
      <c r="S191" s="141"/>
      <c r="T191" s="141"/>
      <c r="U191" s="57"/>
      <c r="V191" s="57"/>
      <c r="W191" s="57"/>
      <c r="X191" s="57"/>
      <c r="Y191" s="57"/>
      <c r="Z191" s="57"/>
      <c r="AA191" s="57"/>
      <c r="AB191" s="57"/>
    </row>
    <row r="192">
      <c r="A192" s="349"/>
      <c r="B192" s="185" t="s">
        <v>365</v>
      </c>
      <c r="C192" s="141"/>
      <c r="D192" s="186">
        <v>1.0</v>
      </c>
      <c r="E192" s="186" t="s">
        <v>614</v>
      </c>
      <c r="F192" s="141"/>
      <c r="G192" s="48"/>
      <c r="H192" s="48"/>
      <c r="I192" s="48"/>
      <c r="J192" s="203">
        <v>45907.0</v>
      </c>
      <c r="K192" s="380" t="s">
        <v>38</v>
      </c>
      <c r="L192" s="380" t="s">
        <v>2968</v>
      </c>
      <c r="M192" s="381">
        <v>159.46</v>
      </c>
      <c r="N192" s="193">
        <v>622057.0</v>
      </c>
      <c r="O192" s="382"/>
      <c r="P192" s="48"/>
      <c r="Q192" s="186" t="s">
        <v>2294</v>
      </c>
      <c r="R192" s="141"/>
      <c r="S192" s="141"/>
      <c r="T192" s="141"/>
      <c r="U192" s="57"/>
      <c r="V192" s="57"/>
      <c r="W192" s="57"/>
      <c r="X192" s="57"/>
      <c r="Y192" s="57"/>
      <c r="Z192" s="57"/>
      <c r="AA192" s="57"/>
      <c r="AB192" s="57"/>
    </row>
    <row r="193">
      <c r="A193" s="349"/>
      <c r="B193" s="185" t="s">
        <v>53</v>
      </c>
      <c r="C193" s="141"/>
      <c r="D193" s="199">
        <v>5.0</v>
      </c>
      <c r="E193" s="200" t="s">
        <v>1892</v>
      </c>
      <c r="F193" s="141"/>
      <c r="G193" s="48"/>
      <c r="H193" s="48"/>
      <c r="I193" s="48"/>
      <c r="J193" s="203">
        <v>45907.0</v>
      </c>
      <c r="K193" s="380" t="s">
        <v>38</v>
      </c>
      <c r="L193" s="380" t="s">
        <v>2968</v>
      </c>
      <c r="M193" s="381">
        <v>2.38</v>
      </c>
      <c r="N193" s="193">
        <v>622057.0</v>
      </c>
      <c r="O193" s="382"/>
      <c r="P193" s="48"/>
      <c r="Q193" s="117"/>
      <c r="R193" s="141"/>
      <c r="S193" s="141"/>
      <c r="T193" s="141"/>
      <c r="U193" s="57"/>
      <c r="V193" s="57"/>
      <c r="W193" s="57"/>
      <c r="X193" s="57"/>
      <c r="Y193" s="57"/>
      <c r="Z193" s="57"/>
      <c r="AA193" s="57"/>
      <c r="AB193" s="57"/>
    </row>
    <row r="194">
      <c r="A194" s="349"/>
      <c r="B194" s="185" t="s">
        <v>53</v>
      </c>
      <c r="C194" s="141"/>
      <c r="D194" s="199">
        <v>6.0</v>
      </c>
      <c r="E194" s="200" t="s">
        <v>1914</v>
      </c>
      <c r="F194" s="141"/>
      <c r="G194" s="48"/>
      <c r="H194" s="48"/>
      <c r="I194" s="48"/>
      <c r="J194" s="203">
        <v>45907.0</v>
      </c>
      <c r="K194" s="380" t="s">
        <v>38</v>
      </c>
      <c r="L194" s="380" t="s">
        <v>2968</v>
      </c>
      <c r="M194" s="381">
        <v>1.0</v>
      </c>
      <c r="N194" s="193">
        <v>622057.0</v>
      </c>
      <c r="O194" s="382"/>
      <c r="P194" s="48"/>
      <c r="Q194" s="117"/>
      <c r="R194" s="141"/>
      <c r="S194" s="141"/>
      <c r="T194" s="141"/>
      <c r="U194" s="57"/>
      <c r="V194" s="57"/>
      <c r="W194" s="57"/>
      <c r="X194" s="57"/>
      <c r="Y194" s="57"/>
      <c r="Z194" s="57"/>
      <c r="AA194" s="57"/>
      <c r="AB194" s="57"/>
    </row>
    <row r="195">
      <c r="A195" s="349"/>
      <c r="B195" s="185" t="s">
        <v>53</v>
      </c>
      <c r="C195" s="141"/>
      <c r="D195" s="199">
        <v>3.0</v>
      </c>
      <c r="E195" s="200" t="s">
        <v>1915</v>
      </c>
      <c r="F195" s="141"/>
      <c r="G195" s="48"/>
      <c r="H195" s="48"/>
      <c r="I195" s="48"/>
      <c r="J195" s="203">
        <v>45907.0</v>
      </c>
      <c r="K195" s="380" t="s">
        <v>38</v>
      </c>
      <c r="L195" s="380" t="s">
        <v>2968</v>
      </c>
      <c r="M195" s="381">
        <v>1.0</v>
      </c>
      <c r="N195" s="193">
        <v>622057.0</v>
      </c>
      <c r="O195" s="382"/>
      <c r="P195" s="48"/>
      <c r="Q195" s="117"/>
      <c r="R195" s="141"/>
      <c r="S195" s="141"/>
      <c r="T195" s="141"/>
      <c r="U195" s="57"/>
      <c r="V195" s="57"/>
      <c r="W195" s="57"/>
      <c r="X195" s="57"/>
      <c r="Y195" s="57"/>
      <c r="Z195" s="57"/>
      <c r="AA195" s="57"/>
      <c r="AB195" s="57"/>
    </row>
    <row r="196">
      <c r="A196" s="349"/>
      <c r="B196" s="185" t="s">
        <v>53</v>
      </c>
      <c r="C196" s="141"/>
      <c r="D196" s="199">
        <v>7.0</v>
      </c>
      <c r="E196" s="200" t="s">
        <v>1916</v>
      </c>
      <c r="F196" s="141"/>
      <c r="G196" s="48"/>
      <c r="H196" s="48"/>
      <c r="I196" s="48"/>
      <c r="J196" s="203">
        <v>45907.0</v>
      </c>
      <c r="K196" s="380" t="s">
        <v>38</v>
      </c>
      <c r="L196" s="380" t="s">
        <v>2968</v>
      </c>
      <c r="M196" s="381">
        <v>1.0</v>
      </c>
      <c r="N196" s="193">
        <v>622057.0</v>
      </c>
      <c r="O196" s="382"/>
      <c r="P196" s="48"/>
      <c r="Q196" s="117"/>
      <c r="R196" s="141"/>
      <c r="S196" s="141"/>
      <c r="T196" s="141"/>
      <c r="U196" s="57"/>
      <c r="V196" s="57"/>
      <c r="W196" s="57"/>
      <c r="X196" s="57"/>
      <c r="Y196" s="57"/>
      <c r="Z196" s="57"/>
      <c r="AA196" s="57"/>
      <c r="AB196" s="57"/>
    </row>
    <row r="197">
      <c r="A197" s="349"/>
      <c r="B197" s="185" t="s">
        <v>53</v>
      </c>
      <c r="C197" s="141"/>
      <c r="D197" s="199">
        <v>8.0</v>
      </c>
      <c r="E197" s="200" t="s">
        <v>1918</v>
      </c>
      <c r="F197" s="141"/>
      <c r="G197" s="48"/>
      <c r="H197" s="48"/>
      <c r="I197" s="48"/>
      <c r="J197" s="203">
        <v>45907.0</v>
      </c>
      <c r="K197" s="380" t="s">
        <v>38</v>
      </c>
      <c r="L197" s="380" t="s">
        <v>2968</v>
      </c>
      <c r="M197" s="381">
        <v>1.0</v>
      </c>
      <c r="N197" s="193">
        <v>622057.0</v>
      </c>
      <c r="O197" s="382"/>
      <c r="P197" s="48"/>
      <c r="Q197" s="117"/>
      <c r="R197" s="141"/>
      <c r="S197" s="141"/>
      <c r="T197" s="141"/>
      <c r="U197" s="57"/>
      <c r="V197" s="57"/>
      <c r="W197" s="57"/>
      <c r="X197" s="57"/>
      <c r="Y197" s="57"/>
      <c r="Z197" s="57"/>
      <c r="AA197" s="57"/>
      <c r="AB197" s="57"/>
    </row>
    <row r="198">
      <c r="A198" s="349"/>
      <c r="B198" s="185" t="s">
        <v>53</v>
      </c>
      <c r="C198" s="141"/>
      <c r="D198" s="199">
        <v>8.0</v>
      </c>
      <c r="E198" s="200" t="s">
        <v>1919</v>
      </c>
      <c r="F198" s="141"/>
      <c r="G198" s="48"/>
      <c r="H198" s="48"/>
      <c r="I198" s="48"/>
      <c r="J198" s="203">
        <v>45907.0</v>
      </c>
      <c r="K198" s="380" t="s">
        <v>38</v>
      </c>
      <c r="L198" s="380" t="s">
        <v>2968</v>
      </c>
      <c r="M198" s="381">
        <v>1.0</v>
      </c>
      <c r="N198" s="193">
        <v>622057.0</v>
      </c>
      <c r="O198" s="382"/>
      <c r="P198" s="48"/>
      <c r="Q198" s="117"/>
      <c r="R198" s="141"/>
      <c r="S198" s="141"/>
      <c r="T198" s="141"/>
      <c r="U198" s="57"/>
      <c r="V198" s="57"/>
      <c r="W198" s="57"/>
      <c r="X198" s="57"/>
      <c r="Y198" s="57"/>
      <c r="Z198" s="57"/>
      <c r="AA198" s="57"/>
      <c r="AB198" s="57"/>
    </row>
    <row r="199">
      <c r="A199" s="349"/>
      <c r="B199" s="185" t="s">
        <v>53</v>
      </c>
      <c r="C199" s="141"/>
      <c r="D199" s="199">
        <v>5.0</v>
      </c>
      <c r="E199" s="200" t="s">
        <v>1920</v>
      </c>
      <c r="F199" s="141"/>
      <c r="G199" s="48"/>
      <c r="H199" s="48"/>
      <c r="I199" s="48"/>
      <c r="J199" s="203">
        <v>45907.0</v>
      </c>
      <c r="K199" s="380" t="s">
        <v>38</v>
      </c>
      <c r="L199" s="380" t="s">
        <v>2968</v>
      </c>
      <c r="M199" s="381">
        <v>1.0</v>
      </c>
      <c r="N199" s="193">
        <v>622057.0</v>
      </c>
      <c r="O199" s="382"/>
      <c r="P199" s="48"/>
      <c r="Q199" s="117"/>
      <c r="R199" s="141"/>
      <c r="S199" s="141"/>
      <c r="T199" s="141"/>
      <c r="U199" s="57"/>
      <c r="V199" s="57"/>
      <c r="W199" s="57"/>
      <c r="X199" s="57"/>
      <c r="Y199" s="57"/>
      <c r="Z199" s="57"/>
      <c r="AA199" s="57"/>
      <c r="AB199" s="57"/>
    </row>
    <row r="200">
      <c r="A200" s="349"/>
      <c r="B200" s="185" t="s">
        <v>53</v>
      </c>
      <c r="C200" s="141"/>
      <c r="D200" s="199">
        <v>7.0</v>
      </c>
      <c r="E200" s="200" t="s">
        <v>1921</v>
      </c>
      <c r="F200" s="141"/>
      <c r="G200" s="48"/>
      <c r="H200" s="48"/>
      <c r="I200" s="48"/>
      <c r="J200" s="203">
        <v>45907.0</v>
      </c>
      <c r="K200" s="380" t="s">
        <v>38</v>
      </c>
      <c r="L200" s="380" t="s">
        <v>2968</v>
      </c>
      <c r="M200" s="381">
        <v>1.0</v>
      </c>
      <c r="N200" s="193">
        <v>624767.0</v>
      </c>
      <c r="O200" s="382"/>
      <c r="P200" s="48"/>
      <c r="Q200" s="117"/>
      <c r="R200" s="141"/>
      <c r="S200" s="141"/>
      <c r="T200" s="141"/>
      <c r="U200" s="57"/>
      <c r="V200" s="57"/>
      <c r="W200" s="57"/>
      <c r="X200" s="57"/>
      <c r="Y200" s="57"/>
      <c r="Z200" s="57"/>
      <c r="AA200" s="57"/>
      <c r="AB200" s="57"/>
    </row>
    <row r="201">
      <c r="A201" s="349"/>
      <c r="B201" s="185" t="s">
        <v>53</v>
      </c>
      <c r="C201" s="141"/>
      <c r="D201" s="199">
        <v>10.0</v>
      </c>
      <c r="E201" s="200" t="s">
        <v>1923</v>
      </c>
      <c r="F201" s="141"/>
      <c r="G201" s="48"/>
      <c r="H201" s="48"/>
      <c r="I201" s="48"/>
      <c r="J201" s="203">
        <v>45907.0</v>
      </c>
      <c r="K201" s="380" t="s">
        <v>38</v>
      </c>
      <c r="L201" s="380" t="s">
        <v>2968</v>
      </c>
      <c r="M201" s="381">
        <v>1.0</v>
      </c>
      <c r="N201" s="193">
        <v>622057.0</v>
      </c>
      <c r="O201" s="382"/>
      <c r="P201" s="48"/>
      <c r="Q201" s="117"/>
      <c r="R201" s="141"/>
      <c r="S201" s="141"/>
      <c r="T201" s="141"/>
      <c r="U201" s="57"/>
      <c r="V201" s="57"/>
      <c r="W201" s="57"/>
      <c r="X201" s="57"/>
      <c r="Y201" s="57"/>
      <c r="Z201" s="57"/>
      <c r="AA201" s="57"/>
      <c r="AB201" s="57"/>
    </row>
    <row r="202">
      <c r="A202" s="349"/>
      <c r="B202" s="185" t="s">
        <v>53</v>
      </c>
      <c r="C202" s="141"/>
      <c r="D202" s="199">
        <v>5.0</v>
      </c>
      <c r="E202" s="200" t="s">
        <v>1924</v>
      </c>
      <c r="F202" s="141"/>
      <c r="G202" s="48"/>
      <c r="H202" s="48"/>
      <c r="I202" s="48"/>
      <c r="J202" s="203">
        <v>45907.0</v>
      </c>
      <c r="K202" s="380" t="s">
        <v>38</v>
      </c>
      <c r="L202" s="380" t="s">
        <v>2968</v>
      </c>
      <c r="M202" s="381">
        <v>1.0</v>
      </c>
      <c r="N202" s="193">
        <v>622057.0</v>
      </c>
      <c r="O202" s="382"/>
      <c r="P202" s="48"/>
      <c r="Q202" s="117"/>
      <c r="R202" s="141"/>
      <c r="S202" s="141"/>
      <c r="T202" s="141"/>
      <c r="U202" s="57"/>
      <c r="V202" s="57"/>
      <c r="W202" s="57"/>
      <c r="X202" s="57"/>
      <c r="Y202" s="57"/>
      <c r="Z202" s="57"/>
      <c r="AA202" s="57"/>
      <c r="AB202" s="57"/>
    </row>
    <row r="203">
      <c r="A203" s="349"/>
      <c r="B203" s="185" t="s">
        <v>53</v>
      </c>
      <c r="C203" s="141"/>
      <c r="D203" s="199">
        <v>7.0</v>
      </c>
      <c r="E203" s="200" t="s">
        <v>1925</v>
      </c>
      <c r="F203" s="141"/>
      <c r="G203" s="48"/>
      <c r="H203" s="48"/>
      <c r="I203" s="48"/>
      <c r="J203" s="203">
        <v>45907.0</v>
      </c>
      <c r="K203" s="380" t="s">
        <v>38</v>
      </c>
      <c r="L203" s="380" t="s">
        <v>2968</v>
      </c>
      <c r="M203" s="381">
        <v>1.0</v>
      </c>
      <c r="N203" s="193">
        <v>622057.0</v>
      </c>
      <c r="O203" s="382"/>
      <c r="P203" s="48"/>
      <c r="Q203" s="117"/>
      <c r="R203" s="141"/>
      <c r="S203" s="141"/>
      <c r="T203" s="141"/>
      <c r="U203" s="57"/>
      <c r="V203" s="57"/>
      <c r="W203" s="57"/>
      <c r="X203" s="57"/>
      <c r="Y203" s="57"/>
      <c r="Z203" s="57"/>
      <c r="AA203" s="57"/>
      <c r="AB203" s="57"/>
    </row>
    <row r="204">
      <c r="A204" s="349"/>
      <c r="B204" s="185" t="s">
        <v>53</v>
      </c>
      <c r="C204" s="141"/>
      <c r="D204" s="199">
        <v>10.0</v>
      </c>
      <c r="E204" s="200" t="s">
        <v>1926</v>
      </c>
      <c r="F204" s="141"/>
      <c r="G204" s="48"/>
      <c r="H204" s="48"/>
      <c r="I204" s="48"/>
      <c r="J204" s="203">
        <v>45907.0</v>
      </c>
      <c r="K204" s="380" t="s">
        <v>38</v>
      </c>
      <c r="L204" s="380" t="s">
        <v>2968</v>
      </c>
      <c r="M204" s="381">
        <v>1.0</v>
      </c>
      <c r="N204" s="193">
        <v>622057.0</v>
      </c>
      <c r="O204" s="382"/>
      <c r="P204" s="48"/>
      <c r="Q204" s="117"/>
      <c r="R204" s="141"/>
      <c r="S204" s="141"/>
      <c r="T204" s="141"/>
      <c r="U204" s="57"/>
      <c r="V204" s="57"/>
      <c r="W204" s="57"/>
      <c r="X204" s="57"/>
      <c r="Y204" s="57"/>
      <c r="Z204" s="57"/>
      <c r="AA204" s="57"/>
      <c r="AB204" s="57"/>
    </row>
    <row r="205">
      <c r="A205" s="349"/>
      <c r="B205" s="185" t="s">
        <v>53</v>
      </c>
      <c r="C205" s="141"/>
      <c r="D205" s="199">
        <v>10.0</v>
      </c>
      <c r="E205" s="200" t="s">
        <v>1927</v>
      </c>
      <c r="F205" s="141"/>
      <c r="G205" s="48"/>
      <c r="H205" s="48"/>
      <c r="I205" s="48"/>
      <c r="J205" s="203">
        <v>45907.0</v>
      </c>
      <c r="K205" s="380" t="s">
        <v>38</v>
      </c>
      <c r="L205" s="380" t="s">
        <v>2968</v>
      </c>
      <c r="M205" s="381">
        <v>1.0</v>
      </c>
      <c r="N205" s="193">
        <v>622057.0</v>
      </c>
      <c r="O205" s="382"/>
      <c r="P205" s="48"/>
      <c r="Q205" s="117"/>
      <c r="R205" s="141"/>
      <c r="S205" s="141"/>
      <c r="T205" s="141"/>
      <c r="U205" s="57"/>
      <c r="V205" s="57"/>
      <c r="W205" s="57"/>
      <c r="X205" s="57"/>
      <c r="Y205" s="57"/>
      <c r="Z205" s="57"/>
      <c r="AA205" s="57"/>
      <c r="AB205" s="57"/>
    </row>
    <row r="206">
      <c r="A206" s="349"/>
      <c r="B206" s="185" t="s">
        <v>53</v>
      </c>
      <c r="C206" s="141"/>
      <c r="D206" s="199">
        <v>5.0</v>
      </c>
      <c r="E206" s="200" t="s">
        <v>1928</v>
      </c>
      <c r="F206" s="141"/>
      <c r="G206" s="48"/>
      <c r="H206" s="48"/>
      <c r="I206" s="48"/>
      <c r="J206" s="203">
        <v>45907.0</v>
      </c>
      <c r="K206" s="380" t="s">
        <v>38</v>
      </c>
      <c r="L206" s="380" t="s">
        <v>2968</v>
      </c>
      <c r="M206" s="381">
        <v>1.0</v>
      </c>
      <c r="N206" s="193" t="s">
        <v>2980</v>
      </c>
      <c r="O206" s="382"/>
      <c r="P206" s="48"/>
      <c r="Q206" s="117"/>
      <c r="R206" s="141"/>
      <c r="S206" s="141"/>
      <c r="T206" s="141"/>
      <c r="U206" s="57"/>
      <c r="V206" s="57"/>
      <c r="W206" s="57"/>
      <c r="X206" s="57"/>
      <c r="Y206" s="57"/>
      <c r="Z206" s="57"/>
      <c r="AA206" s="57"/>
      <c r="AB206" s="57"/>
    </row>
    <row r="207">
      <c r="A207" s="349"/>
      <c r="B207" s="185" t="s">
        <v>53</v>
      </c>
      <c r="C207" s="117"/>
      <c r="D207" s="186">
        <v>5.0</v>
      </c>
      <c r="E207" s="186" t="s">
        <v>1929</v>
      </c>
      <c r="F207" s="141"/>
      <c r="G207" s="48"/>
      <c r="H207" s="48"/>
      <c r="I207" s="48"/>
      <c r="J207" s="203">
        <v>45907.0</v>
      </c>
      <c r="K207" s="380" t="s">
        <v>38</v>
      </c>
      <c r="L207" s="380" t="s">
        <v>2968</v>
      </c>
      <c r="M207" s="381">
        <v>1.0</v>
      </c>
      <c r="N207" s="193">
        <v>622057.0</v>
      </c>
      <c r="O207" s="382"/>
      <c r="P207" s="48"/>
      <c r="Q207" s="117"/>
      <c r="R207" s="141"/>
      <c r="S207" s="141"/>
      <c r="T207" s="141"/>
      <c r="U207" s="57"/>
      <c r="V207" s="57"/>
      <c r="W207" s="57"/>
      <c r="X207" s="57"/>
      <c r="Y207" s="57"/>
      <c r="Z207" s="57"/>
      <c r="AA207" s="57"/>
      <c r="AB207" s="57"/>
    </row>
    <row r="208">
      <c r="A208" s="349"/>
      <c r="B208" s="185" t="s">
        <v>1150</v>
      </c>
      <c r="C208" s="186" t="s">
        <v>1151</v>
      </c>
      <c r="D208" s="186">
        <v>1.0</v>
      </c>
      <c r="E208" s="186" t="s">
        <v>1930</v>
      </c>
      <c r="F208" s="141"/>
      <c r="G208" s="48"/>
      <c r="H208" s="48"/>
      <c r="I208" s="48"/>
      <c r="J208" s="203">
        <v>45908.0</v>
      </c>
      <c r="K208" s="380" t="s">
        <v>69</v>
      </c>
      <c r="L208" s="380">
        <v>249491.0</v>
      </c>
      <c r="M208" s="381">
        <v>149.41</v>
      </c>
      <c r="N208" s="197"/>
      <c r="O208" s="382"/>
      <c r="P208" s="48"/>
      <c r="Q208" s="186" t="s">
        <v>2294</v>
      </c>
      <c r="R208" s="141"/>
      <c r="S208" s="141"/>
      <c r="T208" s="141"/>
      <c r="U208" s="57"/>
      <c r="V208" s="57"/>
      <c r="W208" s="57"/>
      <c r="X208" s="57"/>
      <c r="Y208" s="57"/>
      <c r="Z208" s="57"/>
      <c r="AA208" s="57"/>
      <c r="AB208" s="57"/>
    </row>
    <row r="209">
      <c r="A209" s="349"/>
      <c r="B209" s="185" t="s">
        <v>142</v>
      </c>
      <c r="C209" s="198" t="s">
        <v>2981</v>
      </c>
      <c r="D209" s="186">
        <v>1.0</v>
      </c>
      <c r="E209" s="186" t="s">
        <v>828</v>
      </c>
      <c r="F209" s="141"/>
      <c r="G209" s="48"/>
      <c r="H209" s="48"/>
      <c r="I209" s="48"/>
      <c r="J209" s="203">
        <v>45908.0</v>
      </c>
      <c r="K209" s="380" t="s">
        <v>69</v>
      </c>
      <c r="L209" s="380">
        <v>249491.0</v>
      </c>
      <c r="M209" s="381">
        <v>119.9</v>
      </c>
      <c r="N209" s="197"/>
      <c r="O209" s="382"/>
      <c r="P209" s="48"/>
      <c r="Q209" s="186" t="s">
        <v>2294</v>
      </c>
      <c r="R209" s="141"/>
      <c r="S209" s="141"/>
      <c r="T209" s="141"/>
      <c r="U209" s="57"/>
      <c r="V209" s="57"/>
      <c r="W209" s="57"/>
      <c r="X209" s="57"/>
      <c r="Y209" s="57"/>
      <c r="Z209" s="57"/>
      <c r="AA209" s="57"/>
      <c r="AB209" s="57"/>
    </row>
    <row r="210">
      <c r="A210" s="349"/>
      <c r="B210" s="185" t="s">
        <v>2728</v>
      </c>
      <c r="C210" s="141"/>
      <c r="D210" s="186">
        <v>1.0</v>
      </c>
      <c r="E210" s="186" t="s">
        <v>1837</v>
      </c>
      <c r="F210" s="141"/>
      <c r="G210" s="48"/>
      <c r="H210" s="48"/>
      <c r="I210" s="48"/>
      <c r="J210" s="203">
        <v>45908.0</v>
      </c>
      <c r="K210" s="380" t="s">
        <v>69</v>
      </c>
      <c r="L210" s="380">
        <v>249491.0</v>
      </c>
      <c r="M210" s="381">
        <v>156.52</v>
      </c>
      <c r="N210" s="197"/>
      <c r="O210" s="382"/>
      <c r="P210" s="48"/>
      <c r="Q210" s="186" t="s">
        <v>2294</v>
      </c>
      <c r="R210" s="141"/>
      <c r="S210" s="141"/>
      <c r="T210" s="141"/>
      <c r="U210" s="57"/>
      <c r="V210" s="57"/>
      <c r="W210" s="57"/>
      <c r="X210" s="57"/>
      <c r="Y210" s="57"/>
      <c r="Z210" s="57"/>
      <c r="AA210" s="57"/>
      <c r="AB210" s="57"/>
    </row>
    <row r="211">
      <c r="A211" s="349"/>
      <c r="B211" s="185" t="s">
        <v>1248</v>
      </c>
      <c r="C211" s="141"/>
      <c r="D211" s="186">
        <v>1.0</v>
      </c>
      <c r="E211" s="186" t="s">
        <v>1870</v>
      </c>
      <c r="F211" s="141"/>
      <c r="G211" s="48"/>
      <c r="H211" s="48"/>
      <c r="I211" s="48"/>
      <c r="J211" s="203">
        <v>45908.0</v>
      </c>
      <c r="K211" s="380" t="s">
        <v>69</v>
      </c>
      <c r="L211" s="380">
        <v>249491.0</v>
      </c>
      <c r="M211" s="381">
        <v>133.41</v>
      </c>
      <c r="N211" s="197"/>
      <c r="O211" s="382"/>
      <c r="P211" s="48"/>
      <c r="Q211" s="186" t="s">
        <v>2294</v>
      </c>
      <c r="R211" s="141"/>
      <c r="S211" s="141"/>
      <c r="T211" s="141"/>
      <c r="U211" s="57"/>
      <c r="V211" s="57"/>
      <c r="W211" s="57"/>
      <c r="X211" s="57"/>
      <c r="Y211" s="57"/>
      <c r="Z211" s="57"/>
      <c r="AA211" s="57"/>
      <c r="AB211" s="57"/>
    </row>
    <row r="212">
      <c r="A212" s="349"/>
      <c r="B212" s="185" t="s">
        <v>53</v>
      </c>
      <c r="C212" s="141"/>
      <c r="D212" s="186">
        <v>10.0</v>
      </c>
      <c r="E212" s="186" t="s">
        <v>1842</v>
      </c>
      <c r="F212" s="117"/>
      <c r="G212" s="48"/>
      <c r="H212" s="48"/>
      <c r="I212" s="48"/>
      <c r="J212" s="203">
        <v>45908.0</v>
      </c>
      <c r="K212" s="380" t="s">
        <v>69</v>
      </c>
      <c r="L212" s="380">
        <v>249491.0</v>
      </c>
      <c r="M212" s="381">
        <v>8.04</v>
      </c>
      <c r="N212" s="197"/>
      <c r="O212" s="382"/>
      <c r="P212" s="48"/>
      <c r="Q212" s="117"/>
      <c r="R212" s="141"/>
      <c r="S212" s="141"/>
      <c r="T212" s="141"/>
      <c r="U212" s="57"/>
      <c r="V212" s="57"/>
      <c r="W212" s="57"/>
      <c r="X212" s="57"/>
      <c r="Y212" s="57"/>
      <c r="Z212" s="57"/>
      <c r="AA212" s="57"/>
      <c r="AB212" s="57"/>
    </row>
    <row r="213">
      <c r="A213" s="349"/>
      <c r="B213" s="185" t="s">
        <v>2982</v>
      </c>
      <c r="C213" s="141"/>
      <c r="D213" s="186">
        <v>1.0</v>
      </c>
      <c r="E213" s="186" t="s">
        <v>1894</v>
      </c>
      <c r="F213" s="198" t="s">
        <v>1745</v>
      </c>
      <c r="G213" s="48"/>
      <c r="H213" s="48"/>
      <c r="I213" s="48"/>
      <c r="J213" s="203">
        <v>45919.0</v>
      </c>
      <c r="K213" s="380" t="s">
        <v>347</v>
      </c>
      <c r="L213" s="380">
        <v>7395658.0</v>
      </c>
      <c r="M213" s="381">
        <v>100.0</v>
      </c>
      <c r="N213" s="197"/>
      <c r="O213" s="382"/>
      <c r="P213" s="48"/>
      <c r="Q213" s="186" t="s">
        <v>2294</v>
      </c>
      <c r="R213" s="141"/>
      <c r="S213" s="141"/>
      <c r="T213" s="141"/>
      <c r="U213" s="57"/>
      <c r="V213" s="57"/>
      <c r="W213" s="57"/>
      <c r="X213" s="57"/>
      <c r="Y213" s="57"/>
      <c r="Z213" s="57"/>
      <c r="AA213" s="57"/>
      <c r="AB213" s="57"/>
    </row>
    <row r="214">
      <c r="A214" s="349"/>
      <c r="B214" s="185" t="s">
        <v>53</v>
      </c>
      <c r="C214" s="141"/>
      <c r="D214" s="186">
        <v>1.0</v>
      </c>
      <c r="E214" s="186" t="s">
        <v>1901</v>
      </c>
      <c r="F214" s="141"/>
      <c r="G214" s="48"/>
      <c r="H214" s="48"/>
      <c r="I214" s="48"/>
      <c r="J214" s="203">
        <v>45910.0</v>
      </c>
      <c r="K214" s="380" t="s">
        <v>347</v>
      </c>
      <c r="L214" s="380">
        <v>7395658.0</v>
      </c>
      <c r="M214" s="381">
        <v>100.0</v>
      </c>
      <c r="N214" s="197"/>
      <c r="O214" s="382"/>
      <c r="P214" s="48"/>
      <c r="Q214" s="117"/>
      <c r="R214" s="141"/>
      <c r="S214" s="141"/>
      <c r="T214" s="141"/>
      <c r="U214" s="57"/>
      <c r="V214" s="57"/>
      <c r="W214" s="57"/>
      <c r="X214" s="57"/>
      <c r="Y214" s="57"/>
      <c r="Z214" s="57"/>
      <c r="AA214" s="57"/>
      <c r="AB214" s="57"/>
    </row>
    <row r="215">
      <c r="A215" s="349"/>
      <c r="B215" s="185" t="s">
        <v>2736</v>
      </c>
      <c r="C215" s="141"/>
      <c r="D215" s="186">
        <v>1.0</v>
      </c>
      <c r="E215" s="186" t="s">
        <v>839</v>
      </c>
      <c r="F215" s="141"/>
      <c r="G215" s="48"/>
      <c r="H215" s="48"/>
      <c r="I215" s="48"/>
      <c r="J215" s="203">
        <v>45912.0</v>
      </c>
      <c r="K215" s="380" t="s">
        <v>38</v>
      </c>
      <c r="L215" s="380" t="s">
        <v>673</v>
      </c>
      <c r="M215" s="381">
        <v>132.15</v>
      </c>
      <c r="N215" s="193">
        <v>623645.0</v>
      </c>
      <c r="O215" s="382"/>
      <c r="P215" s="48"/>
      <c r="Q215" s="186" t="s">
        <v>2294</v>
      </c>
      <c r="R215" s="141"/>
      <c r="S215" s="141"/>
      <c r="T215" s="141"/>
      <c r="U215" s="57"/>
      <c r="V215" s="57"/>
      <c r="W215" s="57"/>
      <c r="X215" s="57"/>
      <c r="Y215" s="57"/>
      <c r="Z215" s="57"/>
      <c r="AA215" s="57"/>
      <c r="AB215" s="57"/>
    </row>
    <row r="216">
      <c r="A216" s="349"/>
      <c r="B216" s="185" t="s">
        <v>2736</v>
      </c>
      <c r="C216" s="141"/>
      <c r="D216" s="186">
        <v>1.0</v>
      </c>
      <c r="E216" s="186" t="s">
        <v>1786</v>
      </c>
      <c r="F216" s="141"/>
      <c r="G216" s="48"/>
      <c r="H216" s="48"/>
      <c r="I216" s="48"/>
      <c r="J216" s="203">
        <v>45912.0</v>
      </c>
      <c r="K216" s="380" t="s">
        <v>38</v>
      </c>
      <c r="L216" s="380" t="s">
        <v>673</v>
      </c>
      <c r="M216" s="381">
        <v>95.62</v>
      </c>
      <c r="N216" s="193">
        <v>623645.0</v>
      </c>
      <c r="O216" s="382"/>
      <c r="P216" s="48"/>
      <c r="Q216" s="186" t="s">
        <v>2294</v>
      </c>
      <c r="R216" s="141"/>
      <c r="S216" s="141"/>
      <c r="T216" s="141"/>
      <c r="U216" s="57"/>
      <c r="V216" s="57"/>
      <c r="W216" s="57"/>
      <c r="X216" s="57"/>
      <c r="Y216" s="57"/>
      <c r="Z216" s="57"/>
      <c r="AA216" s="57"/>
      <c r="AB216" s="57"/>
    </row>
    <row r="217">
      <c r="A217" s="349"/>
      <c r="B217" s="185" t="s">
        <v>53</v>
      </c>
      <c r="C217" s="141"/>
      <c r="D217" s="186">
        <v>1.0</v>
      </c>
      <c r="E217" s="186" t="s">
        <v>1828</v>
      </c>
      <c r="F217" s="141"/>
      <c r="G217" s="48"/>
      <c r="H217" s="48"/>
      <c r="I217" s="48"/>
      <c r="J217" s="203">
        <v>45912.0</v>
      </c>
      <c r="K217" s="380" t="s">
        <v>38</v>
      </c>
      <c r="L217" s="380" t="s">
        <v>673</v>
      </c>
      <c r="M217" s="381">
        <v>132.15</v>
      </c>
      <c r="N217" s="193">
        <v>628348.0</v>
      </c>
      <c r="O217" s="382"/>
      <c r="P217" s="48"/>
      <c r="Q217" s="117"/>
      <c r="R217" s="141"/>
      <c r="S217" s="141"/>
      <c r="T217" s="141"/>
      <c r="U217" s="57"/>
      <c r="V217" s="57"/>
      <c r="W217" s="57"/>
      <c r="X217" s="57"/>
      <c r="Y217" s="57"/>
      <c r="Z217" s="57"/>
      <c r="AA217" s="57"/>
      <c r="AB217" s="57"/>
    </row>
    <row r="218">
      <c r="A218" s="349"/>
      <c r="B218" s="185" t="s">
        <v>2983</v>
      </c>
      <c r="C218" s="141"/>
      <c r="D218" s="186">
        <v>1.0</v>
      </c>
      <c r="E218" s="186" t="s">
        <v>1809</v>
      </c>
      <c r="F218" s="141"/>
      <c r="G218" s="48"/>
      <c r="H218" s="48"/>
      <c r="I218" s="48"/>
      <c r="J218" s="203">
        <v>45912.0</v>
      </c>
      <c r="K218" s="380" t="s">
        <v>38</v>
      </c>
      <c r="L218" s="380" t="s">
        <v>673</v>
      </c>
      <c r="M218" s="381">
        <v>131.43</v>
      </c>
      <c r="N218" s="193">
        <v>623645.0</v>
      </c>
      <c r="O218" s="382"/>
      <c r="P218" s="48"/>
      <c r="Q218" s="186" t="s">
        <v>2294</v>
      </c>
      <c r="R218" s="141"/>
      <c r="S218" s="141"/>
      <c r="T218" s="141"/>
      <c r="U218" s="57"/>
      <c r="V218" s="57"/>
      <c r="W218" s="57"/>
      <c r="X218" s="57"/>
      <c r="Y218" s="57"/>
      <c r="Z218" s="57"/>
      <c r="AA218" s="57"/>
      <c r="AB218" s="57"/>
    </row>
    <row r="219">
      <c r="A219" s="349"/>
      <c r="B219" s="185" t="s">
        <v>459</v>
      </c>
      <c r="C219" s="141"/>
      <c r="D219" s="186">
        <v>1.0</v>
      </c>
      <c r="E219" s="186" t="s">
        <v>1934</v>
      </c>
      <c r="F219" s="117"/>
      <c r="G219" s="48"/>
      <c r="H219" s="48"/>
      <c r="I219" s="48"/>
      <c r="J219" s="203">
        <v>45912.0</v>
      </c>
      <c r="K219" s="380" t="s">
        <v>38</v>
      </c>
      <c r="L219" s="380" t="s">
        <v>673</v>
      </c>
      <c r="M219" s="381">
        <v>60.8</v>
      </c>
      <c r="N219" s="193">
        <v>623645.0</v>
      </c>
      <c r="O219" s="382"/>
      <c r="P219" s="48"/>
      <c r="Q219" s="186" t="s">
        <v>2294</v>
      </c>
      <c r="R219" s="141"/>
      <c r="S219" s="141"/>
      <c r="T219" s="141"/>
      <c r="U219" s="57"/>
      <c r="V219" s="57"/>
      <c r="W219" s="57"/>
      <c r="X219" s="57"/>
      <c r="Y219" s="57"/>
      <c r="Z219" s="57"/>
      <c r="AA219" s="57"/>
      <c r="AB219" s="57"/>
    </row>
    <row r="220">
      <c r="A220" s="349"/>
      <c r="B220" s="185" t="s">
        <v>1120</v>
      </c>
      <c r="C220" s="141"/>
      <c r="D220" s="186">
        <v>1.0</v>
      </c>
      <c r="E220" s="186" t="s">
        <v>1893</v>
      </c>
      <c r="F220" s="198" t="s">
        <v>35</v>
      </c>
      <c r="G220" s="48"/>
      <c r="H220" s="48"/>
      <c r="I220" s="48"/>
      <c r="J220" s="203">
        <v>45912.0</v>
      </c>
      <c r="K220" s="380" t="s">
        <v>38</v>
      </c>
      <c r="L220" s="380" t="s">
        <v>673</v>
      </c>
      <c r="M220" s="381">
        <v>152.81</v>
      </c>
      <c r="N220" s="193">
        <v>623645.0</v>
      </c>
      <c r="O220" s="380"/>
      <c r="P220" s="48"/>
      <c r="Q220" s="186" t="s">
        <v>2294</v>
      </c>
      <c r="R220" s="141"/>
      <c r="S220" s="141"/>
      <c r="T220" s="141"/>
      <c r="U220" s="57"/>
      <c r="V220" s="57"/>
      <c r="W220" s="57"/>
      <c r="X220" s="57"/>
      <c r="Y220" s="57"/>
      <c r="Z220" s="57"/>
      <c r="AA220" s="57"/>
      <c r="AB220" s="57"/>
    </row>
    <row r="221">
      <c r="A221" s="349"/>
      <c r="B221" s="185" t="s">
        <v>53</v>
      </c>
      <c r="C221" s="117"/>
      <c r="D221" s="186">
        <v>20.0</v>
      </c>
      <c r="E221" s="186" t="s">
        <v>1935</v>
      </c>
      <c r="F221" s="141"/>
      <c r="G221" s="48"/>
      <c r="H221" s="48"/>
      <c r="I221" s="48"/>
      <c r="J221" s="203">
        <v>45912.0</v>
      </c>
      <c r="K221" s="380" t="s">
        <v>38</v>
      </c>
      <c r="L221" s="380" t="s">
        <v>673</v>
      </c>
      <c r="M221" s="381">
        <v>9.12</v>
      </c>
      <c r="N221" s="193">
        <v>623645.0</v>
      </c>
      <c r="O221" s="382"/>
      <c r="P221" s="48"/>
      <c r="Q221" s="117"/>
      <c r="R221" s="141"/>
      <c r="S221" s="141"/>
      <c r="T221" s="141"/>
      <c r="U221" s="57"/>
      <c r="V221" s="57"/>
      <c r="W221" s="57"/>
      <c r="X221" s="57"/>
      <c r="Y221" s="57"/>
      <c r="Z221" s="57"/>
      <c r="AA221" s="57"/>
      <c r="AB221" s="57"/>
    </row>
    <row r="222">
      <c r="A222" s="349"/>
      <c r="B222" s="185" t="s">
        <v>2904</v>
      </c>
      <c r="C222" s="198" t="s">
        <v>2984</v>
      </c>
      <c r="D222" s="186">
        <v>1.0</v>
      </c>
      <c r="E222" s="186" t="s">
        <v>1936</v>
      </c>
      <c r="F222" s="141"/>
      <c r="G222" s="48"/>
      <c r="H222" s="48"/>
      <c r="I222" s="48"/>
      <c r="J222" s="203">
        <v>45912.0</v>
      </c>
      <c r="K222" s="380" t="s">
        <v>38</v>
      </c>
      <c r="L222" s="380" t="s">
        <v>673</v>
      </c>
      <c r="M222" s="381">
        <v>9.41</v>
      </c>
      <c r="N222" s="193">
        <v>628348.0</v>
      </c>
      <c r="O222" s="382"/>
      <c r="P222" s="48"/>
      <c r="Q222" s="186" t="s">
        <v>2294</v>
      </c>
      <c r="R222" s="141"/>
      <c r="S222" s="141"/>
      <c r="T222" s="141"/>
      <c r="U222" s="57"/>
      <c r="V222" s="57"/>
      <c r="W222" s="57"/>
      <c r="X222" s="57"/>
      <c r="Y222" s="57"/>
      <c r="Z222" s="57"/>
      <c r="AA222" s="57"/>
      <c r="AB222" s="57"/>
    </row>
    <row r="223">
      <c r="A223" s="349"/>
      <c r="B223" s="185" t="s">
        <v>53</v>
      </c>
      <c r="C223" s="141"/>
      <c r="D223" s="186">
        <v>1.0</v>
      </c>
      <c r="E223" s="186" t="s">
        <v>1937</v>
      </c>
      <c r="F223" s="141"/>
      <c r="G223" s="48"/>
      <c r="H223" s="48"/>
      <c r="I223" s="48"/>
      <c r="J223" s="203">
        <v>45912.0</v>
      </c>
      <c r="K223" s="380" t="s">
        <v>38</v>
      </c>
      <c r="L223" s="380" t="s">
        <v>673</v>
      </c>
      <c r="M223" s="381">
        <v>5.23</v>
      </c>
      <c r="N223" s="193">
        <v>623645.0</v>
      </c>
      <c r="O223" s="382"/>
      <c r="P223" s="48"/>
      <c r="Q223" s="117"/>
      <c r="R223" s="141"/>
      <c r="S223" s="141"/>
      <c r="T223" s="141"/>
      <c r="U223" s="57"/>
      <c r="V223" s="57"/>
      <c r="W223" s="57"/>
      <c r="X223" s="57"/>
      <c r="Y223" s="57"/>
      <c r="Z223" s="57"/>
      <c r="AA223" s="57"/>
      <c r="AB223" s="57"/>
    </row>
    <row r="224">
      <c r="A224" s="349"/>
      <c r="B224" s="185" t="s">
        <v>2736</v>
      </c>
      <c r="C224" s="141"/>
      <c r="D224" s="186">
        <v>1.0</v>
      </c>
      <c r="E224" s="186" t="s">
        <v>1938</v>
      </c>
      <c r="F224" s="141"/>
      <c r="G224" s="48"/>
      <c r="H224" s="48"/>
      <c r="I224" s="48"/>
      <c r="J224" s="203">
        <v>45917.0</v>
      </c>
      <c r="K224" s="380" t="s">
        <v>38</v>
      </c>
      <c r="L224" s="380" t="s">
        <v>2985</v>
      </c>
      <c r="M224" s="381">
        <v>156.51</v>
      </c>
      <c r="N224" s="193">
        <v>624952.0</v>
      </c>
      <c r="O224" s="382"/>
      <c r="P224" s="48"/>
      <c r="Q224" s="186" t="s">
        <v>2294</v>
      </c>
      <c r="R224" s="141"/>
      <c r="S224" s="141"/>
      <c r="T224" s="141"/>
      <c r="U224" s="57"/>
      <c r="V224" s="57"/>
      <c r="W224" s="57"/>
      <c r="X224" s="57"/>
      <c r="Y224" s="57"/>
      <c r="Z224" s="57"/>
      <c r="AA224" s="57"/>
      <c r="AB224" s="57"/>
    </row>
    <row r="225">
      <c r="A225" s="349"/>
      <c r="B225" s="185" t="s">
        <v>53</v>
      </c>
      <c r="C225" s="141"/>
      <c r="D225" s="186">
        <v>1.0</v>
      </c>
      <c r="E225" s="186" t="s">
        <v>1894</v>
      </c>
      <c r="F225" s="141"/>
      <c r="G225" s="48"/>
      <c r="H225" s="48"/>
      <c r="I225" s="48"/>
      <c r="J225" s="203">
        <v>45917.0</v>
      </c>
      <c r="K225" s="380" t="s">
        <v>38</v>
      </c>
      <c r="L225" s="380" t="s">
        <v>2985</v>
      </c>
      <c r="M225" s="381">
        <v>156.51</v>
      </c>
      <c r="N225" s="193">
        <v>624952.0</v>
      </c>
      <c r="O225" s="382"/>
      <c r="P225" s="48"/>
      <c r="Q225" s="117"/>
      <c r="R225" s="141"/>
      <c r="S225" s="141"/>
      <c r="T225" s="141"/>
      <c r="U225" s="57"/>
      <c r="V225" s="57"/>
      <c r="W225" s="57"/>
      <c r="X225" s="57"/>
      <c r="Y225" s="57"/>
      <c r="Z225" s="57"/>
      <c r="AA225" s="57"/>
      <c r="AB225" s="57"/>
    </row>
    <row r="226">
      <c r="A226" s="349"/>
      <c r="B226" s="185" t="s">
        <v>53</v>
      </c>
      <c r="C226" s="117"/>
      <c r="D226" s="186">
        <v>1.0</v>
      </c>
      <c r="E226" s="186" t="s">
        <v>1939</v>
      </c>
      <c r="F226" s="117"/>
      <c r="G226" s="48"/>
      <c r="H226" s="48"/>
      <c r="I226" s="48"/>
      <c r="J226" s="203">
        <v>45917.0</v>
      </c>
      <c r="K226" s="380" t="s">
        <v>38</v>
      </c>
      <c r="L226" s="380" t="s">
        <v>2985</v>
      </c>
      <c r="M226" s="381">
        <v>132.15</v>
      </c>
      <c r="N226" s="193">
        <v>624952.0</v>
      </c>
      <c r="O226" s="382"/>
      <c r="P226" s="48"/>
      <c r="Q226" s="117"/>
      <c r="R226" s="141"/>
      <c r="S226" s="141"/>
      <c r="T226" s="141"/>
      <c r="U226" s="57"/>
      <c r="V226" s="57"/>
      <c r="W226" s="57"/>
      <c r="X226" s="57"/>
      <c r="Y226" s="57"/>
      <c r="Z226" s="57"/>
      <c r="AA226" s="57"/>
      <c r="AB226" s="57"/>
    </row>
    <row r="227">
      <c r="A227" s="349"/>
      <c r="B227" s="185" t="s">
        <v>2986</v>
      </c>
      <c r="C227" s="186" t="s">
        <v>2987</v>
      </c>
      <c r="D227" s="186">
        <v>1.0</v>
      </c>
      <c r="E227" s="186" t="s">
        <v>579</v>
      </c>
      <c r="F227" s="186" t="s">
        <v>2916</v>
      </c>
      <c r="G227" s="48"/>
      <c r="H227" s="48"/>
      <c r="I227" s="48"/>
      <c r="J227" s="203">
        <v>45917.0</v>
      </c>
      <c r="K227" s="380" t="s">
        <v>38</v>
      </c>
      <c r="L227" s="380" t="s">
        <v>2985</v>
      </c>
      <c r="M227" s="381">
        <v>95.62</v>
      </c>
      <c r="N227" s="193">
        <v>624952.0</v>
      </c>
      <c r="O227" s="382"/>
      <c r="P227" s="48"/>
      <c r="Q227" s="186" t="s">
        <v>2294</v>
      </c>
      <c r="R227" s="141"/>
      <c r="S227" s="141"/>
      <c r="T227" s="141"/>
      <c r="U227" s="57"/>
      <c r="V227" s="57"/>
      <c r="W227" s="57"/>
      <c r="X227" s="57"/>
      <c r="Y227" s="57"/>
      <c r="Z227" s="57"/>
      <c r="AA227" s="57"/>
      <c r="AB227" s="57"/>
    </row>
    <row r="228">
      <c r="A228" s="349"/>
      <c r="B228" s="185" t="s">
        <v>2988</v>
      </c>
      <c r="C228" s="198" t="s">
        <v>2989</v>
      </c>
      <c r="D228" s="186">
        <v>1.0</v>
      </c>
      <c r="E228" s="186" t="s">
        <v>1940</v>
      </c>
      <c r="F228" s="198" t="s">
        <v>2990</v>
      </c>
      <c r="G228" s="48"/>
      <c r="H228" s="48"/>
      <c r="I228" s="48"/>
      <c r="J228" s="203">
        <v>45917.0</v>
      </c>
      <c r="K228" s="380" t="s">
        <v>38</v>
      </c>
      <c r="L228" s="380" t="s">
        <v>2985</v>
      </c>
      <c r="M228" s="381">
        <v>50.11</v>
      </c>
      <c r="N228" s="193">
        <v>624952.0</v>
      </c>
      <c r="O228" s="382"/>
      <c r="P228" s="48"/>
      <c r="Q228" s="186" t="s">
        <v>2294</v>
      </c>
      <c r="R228" s="141"/>
      <c r="S228" s="141"/>
      <c r="T228" s="141"/>
      <c r="U228" s="57"/>
      <c r="V228" s="57"/>
      <c r="W228" s="57"/>
      <c r="X228" s="57"/>
      <c r="Y228" s="57"/>
      <c r="Z228" s="57"/>
      <c r="AA228" s="57"/>
      <c r="AB228" s="57"/>
    </row>
    <row r="229">
      <c r="A229" s="349"/>
      <c r="B229" s="185" t="s">
        <v>2991</v>
      </c>
      <c r="C229" s="141"/>
      <c r="D229" s="186">
        <v>1.0</v>
      </c>
      <c r="E229" s="186" t="s">
        <v>1912</v>
      </c>
      <c r="F229" s="141"/>
      <c r="G229" s="48"/>
      <c r="H229" s="48"/>
      <c r="I229" s="48"/>
      <c r="J229" s="203">
        <v>45917.0</v>
      </c>
      <c r="K229" s="380" t="s">
        <v>38</v>
      </c>
      <c r="L229" s="380" t="s">
        <v>2985</v>
      </c>
      <c r="M229" s="381">
        <v>114.0</v>
      </c>
      <c r="N229" s="193">
        <v>624952.0</v>
      </c>
      <c r="O229" s="382"/>
      <c r="P229" s="48"/>
      <c r="Q229" s="186" t="s">
        <v>2294</v>
      </c>
      <c r="R229" s="141"/>
      <c r="S229" s="141"/>
      <c r="T229" s="141"/>
      <c r="U229" s="57"/>
      <c r="V229" s="57"/>
      <c r="W229" s="57"/>
      <c r="X229" s="57"/>
      <c r="Y229" s="57"/>
      <c r="Z229" s="57"/>
      <c r="AA229" s="57"/>
      <c r="AB229" s="57"/>
    </row>
    <row r="230">
      <c r="A230" s="349"/>
      <c r="B230" s="185" t="s">
        <v>53</v>
      </c>
      <c r="C230" s="141"/>
      <c r="D230" s="186">
        <v>1.0</v>
      </c>
      <c r="E230" s="186" t="s">
        <v>610</v>
      </c>
      <c r="F230" s="141"/>
      <c r="G230" s="48"/>
      <c r="H230" s="48"/>
      <c r="I230" s="48"/>
      <c r="J230" s="203">
        <v>45917.0</v>
      </c>
      <c r="K230" s="380" t="s">
        <v>38</v>
      </c>
      <c r="L230" s="380" t="s">
        <v>2985</v>
      </c>
      <c r="M230" s="381">
        <v>10.4</v>
      </c>
      <c r="N230" s="193">
        <v>624952.0</v>
      </c>
      <c r="O230" s="382"/>
      <c r="P230" s="48"/>
      <c r="Q230" s="117"/>
      <c r="R230" s="141"/>
      <c r="S230" s="141"/>
      <c r="T230" s="141"/>
      <c r="U230" s="57"/>
      <c r="V230" s="57"/>
      <c r="W230" s="57"/>
      <c r="X230" s="57"/>
      <c r="Y230" s="57"/>
      <c r="Z230" s="57"/>
      <c r="AA230" s="57"/>
      <c r="AB230" s="57"/>
    </row>
    <row r="231">
      <c r="A231" s="349"/>
      <c r="B231" s="185" t="s">
        <v>53</v>
      </c>
      <c r="C231" s="117"/>
      <c r="D231" s="186">
        <v>1.0</v>
      </c>
      <c r="E231" s="186" t="s">
        <v>1941</v>
      </c>
      <c r="F231" s="117"/>
      <c r="G231" s="48"/>
      <c r="H231" s="48"/>
      <c r="I231" s="48"/>
      <c r="J231" s="203">
        <v>45917.0</v>
      </c>
      <c r="K231" s="380" t="s">
        <v>38</v>
      </c>
      <c r="L231" s="380" t="s">
        <v>2985</v>
      </c>
      <c r="M231" s="381">
        <v>10.4</v>
      </c>
      <c r="N231" s="193">
        <v>624952.0</v>
      </c>
      <c r="O231" s="382"/>
      <c r="P231" s="48"/>
      <c r="Q231" s="117"/>
      <c r="R231" s="141"/>
      <c r="S231" s="141"/>
      <c r="T231" s="141"/>
      <c r="U231" s="57"/>
      <c r="V231" s="57"/>
      <c r="W231" s="57"/>
      <c r="X231" s="57"/>
      <c r="Y231" s="57"/>
      <c r="Z231" s="57"/>
      <c r="AA231" s="57"/>
      <c r="AB231" s="57"/>
    </row>
    <row r="232">
      <c r="A232" s="349"/>
      <c r="B232" s="185" t="s">
        <v>1724</v>
      </c>
      <c r="C232" s="198" t="s">
        <v>1725</v>
      </c>
      <c r="D232" s="186">
        <v>1.0</v>
      </c>
      <c r="E232" s="186" t="s">
        <v>1942</v>
      </c>
      <c r="F232" s="198" t="s">
        <v>2950</v>
      </c>
      <c r="G232" s="48"/>
      <c r="H232" s="48"/>
      <c r="I232" s="48"/>
      <c r="J232" s="203">
        <v>45917.0</v>
      </c>
      <c r="K232" s="380" t="s">
        <v>38</v>
      </c>
      <c r="L232" s="380" t="s">
        <v>2985</v>
      </c>
      <c r="M232" s="381">
        <v>77.43</v>
      </c>
      <c r="N232" s="193">
        <v>624952.0</v>
      </c>
      <c r="O232" s="382"/>
      <c r="P232" s="48"/>
      <c r="Q232" s="186" t="s">
        <v>2294</v>
      </c>
      <c r="R232" s="141"/>
      <c r="S232" s="141"/>
      <c r="T232" s="141"/>
      <c r="U232" s="57"/>
      <c r="V232" s="57"/>
      <c r="W232" s="57"/>
      <c r="X232" s="57"/>
      <c r="Y232" s="57"/>
      <c r="Z232" s="57"/>
      <c r="AA232" s="57"/>
      <c r="AB232" s="57"/>
    </row>
    <row r="233">
      <c r="A233" s="349"/>
      <c r="B233" s="185" t="s">
        <v>53</v>
      </c>
      <c r="C233" s="141"/>
      <c r="D233" s="186">
        <v>1.0</v>
      </c>
      <c r="E233" s="186" t="s">
        <v>61</v>
      </c>
      <c r="F233" s="141"/>
      <c r="G233" s="48"/>
      <c r="H233" s="48"/>
      <c r="I233" s="48"/>
      <c r="J233" s="203">
        <v>45917.0</v>
      </c>
      <c r="K233" s="380" t="s">
        <v>38</v>
      </c>
      <c r="L233" s="380" t="s">
        <v>2985</v>
      </c>
      <c r="M233" s="381">
        <v>42.47</v>
      </c>
      <c r="N233" s="193">
        <v>624952.0</v>
      </c>
      <c r="O233" s="382"/>
      <c r="P233" s="48"/>
      <c r="Q233" s="117"/>
      <c r="R233" s="141"/>
      <c r="S233" s="141"/>
      <c r="T233" s="141"/>
      <c r="U233" s="57"/>
      <c r="V233" s="57"/>
      <c r="W233" s="57"/>
      <c r="X233" s="57"/>
      <c r="Y233" s="57"/>
      <c r="Z233" s="57"/>
      <c r="AA233" s="57"/>
      <c r="AB233" s="57"/>
    </row>
    <row r="234">
      <c r="A234" s="349"/>
      <c r="B234" s="185" t="s">
        <v>53</v>
      </c>
      <c r="C234" s="141"/>
      <c r="D234" s="186">
        <v>1.0</v>
      </c>
      <c r="E234" s="186" t="s">
        <v>1944</v>
      </c>
      <c r="F234" s="141"/>
      <c r="G234" s="48"/>
      <c r="H234" s="48"/>
      <c r="I234" s="48"/>
      <c r="J234" s="203">
        <v>45917.0</v>
      </c>
      <c r="K234" s="380" t="s">
        <v>38</v>
      </c>
      <c r="L234" s="380" t="s">
        <v>2985</v>
      </c>
      <c r="M234" s="381">
        <v>42.47</v>
      </c>
      <c r="N234" s="193">
        <v>624952.0</v>
      </c>
      <c r="O234" s="382"/>
      <c r="P234" s="48"/>
      <c r="Q234" s="117"/>
      <c r="R234" s="141"/>
      <c r="S234" s="141"/>
      <c r="T234" s="141"/>
      <c r="U234" s="57"/>
      <c r="V234" s="57"/>
      <c r="W234" s="57"/>
      <c r="X234" s="57"/>
      <c r="Y234" s="57"/>
      <c r="Z234" s="57"/>
      <c r="AA234" s="57"/>
      <c r="AB234" s="57"/>
    </row>
    <row r="235">
      <c r="A235" s="349"/>
      <c r="B235" s="185" t="s">
        <v>53</v>
      </c>
      <c r="C235" s="117"/>
      <c r="D235" s="186">
        <v>1.0</v>
      </c>
      <c r="E235" s="186" t="s">
        <v>1945</v>
      </c>
      <c r="F235" s="117"/>
      <c r="G235" s="48"/>
      <c r="H235" s="48"/>
      <c r="I235" s="48"/>
      <c r="J235" s="203">
        <v>45917.0</v>
      </c>
      <c r="K235" s="380" t="s">
        <v>38</v>
      </c>
      <c r="L235" s="380" t="s">
        <v>2985</v>
      </c>
      <c r="M235" s="381">
        <v>42.47</v>
      </c>
      <c r="N235" s="193">
        <v>624952.0</v>
      </c>
      <c r="O235" s="382"/>
      <c r="P235" s="48"/>
      <c r="Q235" s="117"/>
      <c r="R235" s="141"/>
      <c r="S235" s="141"/>
      <c r="T235" s="141"/>
      <c r="U235" s="57"/>
      <c r="V235" s="57"/>
      <c r="W235" s="57"/>
      <c r="X235" s="57"/>
      <c r="Y235" s="57"/>
      <c r="Z235" s="57"/>
      <c r="AA235" s="57"/>
      <c r="AB235" s="57"/>
    </row>
    <row r="236">
      <c r="A236" s="349"/>
      <c r="B236" s="185" t="s">
        <v>2992</v>
      </c>
      <c r="C236" s="186" t="s">
        <v>2993</v>
      </c>
      <c r="D236" s="186">
        <v>1.0</v>
      </c>
      <c r="E236" s="186" t="s">
        <v>1946</v>
      </c>
      <c r="F236" s="186" t="s">
        <v>2950</v>
      </c>
      <c r="G236" s="48"/>
      <c r="H236" s="48"/>
      <c r="I236" s="48"/>
      <c r="J236" s="203">
        <v>45917.0</v>
      </c>
      <c r="K236" s="380" t="s">
        <v>38</v>
      </c>
      <c r="L236" s="380" t="s">
        <v>2985</v>
      </c>
      <c r="M236" s="381">
        <v>60.8</v>
      </c>
      <c r="N236" s="193">
        <v>624952.0</v>
      </c>
      <c r="O236" s="382"/>
      <c r="P236" s="48"/>
      <c r="Q236" s="186" t="s">
        <v>2294</v>
      </c>
      <c r="R236" s="141"/>
      <c r="S236" s="141"/>
      <c r="T236" s="141"/>
      <c r="U236" s="57"/>
      <c r="V236" s="57"/>
      <c r="W236" s="57"/>
      <c r="X236" s="57"/>
      <c r="Y236" s="57"/>
      <c r="Z236" s="57"/>
      <c r="AA236" s="57"/>
      <c r="AB236" s="57"/>
    </row>
    <row r="237">
      <c r="A237" s="349"/>
      <c r="B237" s="185" t="s">
        <v>2565</v>
      </c>
      <c r="C237" s="198" t="s">
        <v>2566</v>
      </c>
      <c r="D237" s="186">
        <v>1.0</v>
      </c>
      <c r="E237" s="186" t="s">
        <v>1947</v>
      </c>
      <c r="F237" s="186" t="s">
        <v>35</v>
      </c>
      <c r="G237" s="48"/>
      <c r="H237" s="48"/>
      <c r="I237" s="48"/>
      <c r="J237" s="203">
        <v>45917.0</v>
      </c>
      <c r="K237" s="380" t="s">
        <v>38</v>
      </c>
      <c r="L237" s="380" t="s">
        <v>2985</v>
      </c>
      <c r="M237" s="381">
        <v>58.43</v>
      </c>
      <c r="N237" s="193">
        <v>624952.0</v>
      </c>
      <c r="O237" s="382"/>
      <c r="P237" s="48"/>
      <c r="Q237" s="186" t="s">
        <v>2294</v>
      </c>
      <c r="R237" s="141"/>
      <c r="S237" s="141"/>
      <c r="T237" s="141"/>
      <c r="U237" s="57"/>
      <c r="V237" s="57"/>
      <c r="W237" s="57"/>
      <c r="X237" s="57"/>
      <c r="Y237" s="57"/>
      <c r="Z237" s="57"/>
      <c r="AA237" s="57"/>
      <c r="AB237" s="57"/>
    </row>
    <row r="238">
      <c r="A238" s="349"/>
      <c r="B238" s="185" t="s">
        <v>2994</v>
      </c>
      <c r="C238" s="141"/>
      <c r="D238" s="186">
        <v>1.0</v>
      </c>
      <c r="E238" s="186" t="s">
        <v>1826</v>
      </c>
      <c r="F238" s="198" t="s">
        <v>35</v>
      </c>
      <c r="G238" s="48"/>
      <c r="H238" s="48"/>
      <c r="I238" s="48"/>
      <c r="J238" s="203">
        <v>45918.0</v>
      </c>
      <c r="K238" s="380" t="s">
        <v>38</v>
      </c>
      <c r="L238" s="380" t="s">
        <v>2995</v>
      </c>
      <c r="M238" s="381">
        <v>114.0</v>
      </c>
      <c r="N238" s="193">
        <v>625574.0</v>
      </c>
      <c r="O238" s="382"/>
      <c r="P238" s="48"/>
      <c r="Q238" s="186" t="s">
        <v>2294</v>
      </c>
      <c r="R238" s="141"/>
      <c r="S238" s="141"/>
      <c r="T238" s="141"/>
      <c r="U238" s="57"/>
      <c r="V238" s="57"/>
      <c r="W238" s="57"/>
      <c r="X238" s="57"/>
      <c r="Y238" s="57"/>
      <c r="Z238" s="57"/>
      <c r="AA238" s="57"/>
      <c r="AB238" s="57"/>
    </row>
    <row r="239">
      <c r="A239" s="349"/>
      <c r="B239" s="185" t="s">
        <v>929</v>
      </c>
      <c r="C239" s="141"/>
      <c r="D239" s="186">
        <v>1.0</v>
      </c>
      <c r="E239" s="186" t="s">
        <v>1636</v>
      </c>
      <c r="F239" s="117"/>
      <c r="G239" s="48"/>
      <c r="H239" s="48"/>
      <c r="I239" s="48"/>
      <c r="J239" s="203">
        <v>45918.0</v>
      </c>
      <c r="K239" s="380" t="s">
        <v>38</v>
      </c>
      <c r="L239" s="380" t="s">
        <v>2995</v>
      </c>
      <c r="M239" s="381">
        <v>159.46</v>
      </c>
      <c r="N239" s="193">
        <v>625574.0</v>
      </c>
      <c r="O239" s="382"/>
      <c r="P239" s="48"/>
      <c r="Q239" s="186" t="s">
        <v>2294</v>
      </c>
      <c r="R239" s="141"/>
      <c r="S239" s="141"/>
      <c r="T239" s="141"/>
      <c r="U239" s="57"/>
      <c r="V239" s="57"/>
      <c r="W239" s="57"/>
      <c r="X239" s="57"/>
      <c r="Y239" s="57"/>
      <c r="Z239" s="57"/>
      <c r="AA239" s="57"/>
      <c r="AB239" s="57"/>
    </row>
    <row r="240">
      <c r="A240" s="349"/>
      <c r="B240" s="185" t="s">
        <v>53</v>
      </c>
      <c r="C240" s="117"/>
      <c r="D240" s="186">
        <v>1.0</v>
      </c>
      <c r="E240" s="186" t="s">
        <v>1948</v>
      </c>
      <c r="F240" s="186" t="s">
        <v>35</v>
      </c>
      <c r="G240" s="48"/>
      <c r="H240" s="48"/>
      <c r="I240" s="48"/>
      <c r="J240" s="203">
        <v>45918.0</v>
      </c>
      <c r="K240" s="380" t="s">
        <v>38</v>
      </c>
      <c r="L240" s="380" t="s">
        <v>2995</v>
      </c>
      <c r="M240" s="381">
        <v>42.47</v>
      </c>
      <c r="N240" s="193">
        <v>625574.0</v>
      </c>
      <c r="O240" s="382"/>
      <c r="P240" s="48"/>
      <c r="Q240" s="186" t="s">
        <v>59</v>
      </c>
      <c r="R240" s="141"/>
      <c r="S240" s="141"/>
      <c r="T240" s="141"/>
      <c r="U240" s="57"/>
      <c r="V240" s="57"/>
      <c r="W240" s="57"/>
      <c r="X240" s="57"/>
      <c r="Y240" s="57"/>
      <c r="Z240" s="57"/>
      <c r="AA240" s="57"/>
      <c r="AB240" s="57"/>
    </row>
    <row r="241">
      <c r="A241" s="349"/>
      <c r="B241" s="185" t="s">
        <v>2996</v>
      </c>
      <c r="C241" s="198" t="s">
        <v>2997</v>
      </c>
      <c r="D241" s="186">
        <v>1.0</v>
      </c>
      <c r="E241" s="186" t="s">
        <v>1949</v>
      </c>
      <c r="F241" s="198" t="s">
        <v>35</v>
      </c>
      <c r="G241" s="48"/>
      <c r="H241" s="48"/>
      <c r="I241" s="48"/>
      <c r="J241" s="203">
        <v>45918.0</v>
      </c>
      <c r="K241" s="380" t="s">
        <v>38</v>
      </c>
      <c r="L241" s="380" t="s">
        <v>2995</v>
      </c>
      <c r="M241" s="381">
        <v>50.11</v>
      </c>
      <c r="N241" s="193">
        <v>625574.0</v>
      </c>
      <c r="O241" s="382"/>
      <c r="P241" s="48"/>
      <c r="Q241" s="186" t="s">
        <v>2294</v>
      </c>
      <c r="R241" s="141"/>
      <c r="S241" s="141"/>
      <c r="T241" s="141"/>
      <c r="U241" s="57"/>
      <c r="V241" s="57"/>
      <c r="W241" s="57"/>
      <c r="X241" s="57"/>
      <c r="Y241" s="57"/>
      <c r="Z241" s="57"/>
      <c r="AA241" s="57"/>
      <c r="AB241" s="57"/>
    </row>
    <row r="242">
      <c r="A242" s="349"/>
      <c r="B242" s="185" t="s">
        <v>53</v>
      </c>
      <c r="C242" s="117"/>
      <c r="D242" s="186">
        <v>2.0</v>
      </c>
      <c r="E242" s="186" t="s">
        <v>583</v>
      </c>
      <c r="F242" s="117"/>
      <c r="G242" s="48"/>
      <c r="H242" s="48"/>
      <c r="I242" s="48"/>
      <c r="J242" s="203">
        <v>45918.0</v>
      </c>
      <c r="K242" s="380" t="s">
        <v>38</v>
      </c>
      <c r="L242" s="380" t="s">
        <v>2995</v>
      </c>
      <c r="M242" s="381">
        <v>85.45</v>
      </c>
      <c r="N242" s="193">
        <v>625574.0</v>
      </c>
      <c r="O242" s="382"/>
      <c r="P242" s="48"/>
      <c r="Q242" s="117"/>
      <c r="R242" s="141"/>
      <c r="S242" s="141"/>
      <c r="T242" s="141"/>
      <c r="U242" s="57"/>
      <c r="V242" s="57"/>
      <c r="W242" s="57"/>
      <c r="X242" s="57"/>
      <c r="Y242" s="57"/>
      <c r="Z242" s="57"/>
      <c r="AA242" s="57"/>
      <c r="AB242" s="57"/>
    </row>
    <row r="243">
      <c r="A243" s="349"/>
      <c r="B243" s="185" t="s">
        <v>2998</v>
      </c>
      <c r="C243" s="186" t="s">
        <v>2734</v>
      </c>
      <c r="D243" s="186">
        <v>1.0</v>
      </c>
      <c r="E243" s="186" t="s">
        <v>1951</v>
      </c>
      <c r="F243" s="186" t="s">
        <v>2950</v>
      </c>
      <c r="G243" s="48"/>
      <c r="H243" s="48"/>
      <c r="I243" s="48"/>
      <c r="J243" s="203">
        <v>45918.0</v>
      </c>
      <c r="K243" s="380" t="s">
        <v>38</v>
      </c>
      <c r="L243" s="380" t="s">
        <v>2995</v>
      </c>
      <c r="M243" s="381">
        <v>23.75</v>
      </c>
      <c r="N243" s="193">
        <v>625574.0</v>
      </c>
      <c r="O243" s="382"/>
      <c r="P243" s="48"/>
      <c r="Q243" s="186" t="s">
        <v>2294</v>
      </c>
      <c r="R243" s="141"/>
      <c r="S243" s="141"/>
      <c r="T243" s="141"/>
      <c r="U243" s="57"/>
      <c r="V243" s="57"/>
      <c r="W243" s="57"/>
      <c r="X243" s="57"/>
      <c r="Y243" s="57"/>
      <c r="Z243" s="57"/>
      <c r="AA243" s="57"/>
      <c r="AB243" s="57"/>
    </row>
    <row r="244">
      <c r="A244" s="349"/>
      <c r="B244" s="185" t="s">
        <v>2565</v>
      </c>
      <c r="C244" s="186" t="s">
        <v>2566</v>
      </c>
      <c r="D244" s="186">
        <v>1.0</v>
      </c>
      <c r="E244" s="186" t="s">
        <v>1952</v>
      </c>
      <c r="F244" s="186" t="s">
        <v>2999</v>
      </c>
      <c r="G244" s="48"/>
      <c r="H244" s="48"/>
      <c r="I244" s="48"/>
      <c r="J244" s="203">
        <v>45918.0</v>
      </c>
      <c r="K244" s="380" t="s">
        <v>38</v>
      </c>
      <c r="L244" s="380" t="s">
        <v>2995</v>
      </c>
      <c r="M244" s="381">
        <v>50.11</v>
      </c>
      <c r="N244" s="193">
        <v>625574.0</v>
      </c>
      <c r="O244" s="382"/>
      <c r="P244" s="48"/>
      <c r="Q244" s="186" t="s">
        <v>2294</v>
      </c>
      <c r="R244" s="141"/>
      <c r="S244" s="141"/>
      <c r="T244" s="141"/>
      <c r="U244" s="57"/>
      <c r="V244" s="57"/>
      <c r="W244" s="57"/>
      <c r="X244" s="57"/>
      <c r="Y244" s="57"/>
      <c r="Z244" s="57"/>
      <c r="AA244" s="57"/>
      <c r="AB244" s="57"/>
    </row>
    <row r="245">
      <c r="A245" s="349"/>
      <c r="B245" s="185" t="s">
        <v>2565</v>
      </c>
      <c r="C245" s="198" t="s">
        <v>2566</v>
      </c>
      <c r="D245" s="186">
        <v>1.0</v>
      </c>
      <c r="E245" s="186" t="s">
        <v>1953</v>
      </c>
      <c r="F245" s="198" t="s">
        <v>35</v>
      </c>
      <c r="G245" s="48"/>
      <c r="H245" s="48"/>
      <c r="I245" s="48"/>
      <c r="J245" s="203">
        <v>45918.0</v>
      </c>
      <c r="K245" s="380" t="s">
        <v>38</v>
      </c>
      <c r="L245" s="380" t="s">
        <v>2995</v>
      </c>
      <c r="M245" s="381">
        <v>34.87</v>
      </c>
      <c r="N245" s="193">
        <v>627212.0</v>
      </c>
      <c r="O245" s="382"/>
      <c r="P245" s="48"/>
      <c r="Q245" s="186" t="s">
        <v>59</v>
      </c>
      <c r="R245" s="141"/>
      <c r="S245" s="141"/>
      <c r="T245" s="141"/>
      <c r="U245" s="57"/>
      <c r="V245" s="57"/>
      <c r="W245" s="57"/>
      <c r="X245" s="57"/>
      <c r="Y245" s="57"/>
      <c r="Z245" s="57"/>
      <c r="AA245" s="57"/>
      <c r="AB245" s="57"/>
    </row>
    <row r="246">
      <c r="A246" s="349"/>
      <c r="B246" s="185" t="s">
        <v>53</v>
      </c>
      <c r="C246" s="141"/>
      <c r="D246" s="186">
        <v>1.0</v>
      </c>
      <c r="E246" s="186" t="s">
        <v>1292</v>
      </c>
      <c r="F246" s="141"/>
      <c r="G246" s="48"/>
      <c r="H246" s="48"/>
      <c r="I246" s="48"/>
      <c r="J246" s="203">
        <v>45918.0</v>
      </c>
      <c r="K246" s="380" t="s">
        <v>38</v>
      </c>
      <c r="L246" s="380" t="s">
        <v>2995</v>
      </c>
      <c r="M246" s="381">
        <v>130.63</v>
      </c>
      <c r="N246" s="193">
        <v>625574.0</v>
      </c>
      <c r="O246" s="382"/>
      <c r="P246" s="48"/>
      <c r="Q246" s="117"/>
      <c r="R246" s="141"/>
      <c r="S246" s="141"/>
      <c r="T246" s="141"/>
      <c r="U246" s="57"/>
      <c r="V246" s="57"/>
      <c r="W246" s="57"/>
      <c r="X246" s="57"/>
      <c r="Y246" s="57"/>
      <c r="Z246" s="57"/>
      <c r="AA246" s="57"/>
      <c r="AB246" s="57"/>
    </row>
    <row r="247">
      <c r="A247" s="349"/>
      <c r="B247" s="185" t="s">
        <v>53</v>
      </c>
      <c r="C247" s="141"/>
      <c r="D247" s="186">
        <v>10.0</v>
      </c>
      <c r="E247" s="186" t="s">
        <v>860</v>
      </c>
      <c r="F247" s="141"/>
      <c r="G247" s="48"/>
      <c r="H247" s="48"/>
      <c r="I247" s="48"/>
      <c r="J247" s="203">
        <v>45918.0</v>
      </c>
      <c r="K247" s="380" t="s">
        <v>38</v>
      </c>
      <c r="L247" s="380" t="s">
        <v>2995</v>
      </c>
      <c r="M247" s="381">
        <v>1.0</v>
      </c>
      <c r="N247" s="193">
        <v>625574.0</v>
      </c>
      <c r="O247" s="382"/>
      <c r="P247" s="48"/>
      <c r="Q247" s="117"/>
      <c r="R247" s="141"/>
      <c r="S247" s="141"/>
      <c r="T247" s="141"/>
      <c r="U247" s="57"/>
      <c r="V247" s="57"/>
      <c r="W247" s="57"/>
      <c r="X247" s="57"/>
      <c r="Y247" s="57"/>
      <c r="Z247" s="57"/>
      <c r="AA247" s="57"/>
      <c r="AB247" s="57"/>
    </row>
    <row r="248">
      <c r="A248" s="349"/>
      <c r="B248" s="185" t="s">
        <v>53</v>
      </c>
      <c r="C248" s="141"/>
      <c r="D248" s="186">
        <v>5.0</v>
      </c>
      <c r="E248" s="186" t="s">
        <v>1024</v>
      </c>
      <c r="F248" s="141"/>
      <c r="G248" s="48"/>
      <c r="H248" s="48"/>
      <c r="I248" s="48"/>
      <c r="J248" s="203">
        <v>45918.0</v>
      </c>
      <c r="K248" s="380" t="s">
        <v>38</v>
      </c>
      <c r="L248" s="380" t="s">
        <v>2995</v>
      </c>
      <c r="M248" s="381">
        <v>1.0</v>
      </c>
      <c r="N248" s="193">
        <v>625574.0</v>
      </c>
      <c r="O248" s="382"/>
      <c r="P248" s="48"/>
      <c r="Q248" s="117"/>
      <c r="R248" s="141"/>
      <c r="S248" s="141"/>
      <c r="T248" s="141"/>
      <c r="U248" s="57"/>
      <c r="V248" s="57"/>
      <c r="W248" s="57"/>
      <c r="X248" s="57"/>
      <c r="Y248" s="57"/>
      <c r="Z248" s="57"/>
      <c r="AA248" s="57"/>
      <c r="AB248" s="57"/>
    </row>
    <row r="249">
      <c r="A249" s="349"/>
      <c r="B249" s="185" t="s">
        <v>53</v>
      </c>
      <c r="C249" s="141"/>
      <c r="D249" s="186">
        <v>5.0</v>
      </c>
      <c r="E249" s="186" t="s">
        <v>1955</v>
      </c>
      <c r="F249" s="141"/>
      <c r="G249" s="48"/>
      <c r="H249" s="48"/>
      <c r="I249" s="48"/>
      <c r="J249" s="203">
        <v>45918.0</v>
      </c>
      <c r="K249" s="380" t="s">
        <v>38</v>
      </c>
      <c r="L249" s="380" t="s">
        <v>2995</v>
      </c>
      <c r="M249" s="381">
        <v>1.0</v>
      </c>
      <c r="N249" s="193">
        <v>625574.0</v>
      </c>
      <c r="O249" s="382"/>
      <c r="P249" s="48"/>
      <c r="Q249" s="117"/>
      <c r="R249" s="141"/>
      <c r="S249" s="141"/>
      <c r="T249" s="141"/>
      <c r="U249" s="57"/>
      <c r="V249" s="57"/>
      <c r="W249" s="57"/>
      <c r="X249" s="57"/>
      <c r="Y249" s="57"/>
      <c r="Z249" s="57"/>
      <c r="AA249" s="57"/>
      <c r="AB249" s="57"/>
    </row>
    <row r="250">
      <c r="A250" s="349"/>
      <c r="B250" s="185" t="s">
        <v>53</v>
      </c>
      <c r="C250" s="141"/>
      <c r="D250" s="186">
        <v>10.0</v>
      </c>
      <c r="E250" s="186" t="s">
        <v>72</v>
      </c>
      <c r="F250" s="141"/>
      <c r="G250" s="48"/>
      <c r="H250" s="48"/>
      <c r="I250" s="48"/>
      <c r="J250" s="203">
        <v>45918.0</v>
      </c>
      <c r="K250" s="380" t="s">
        <v>38</v>
      </c>
      <c r="L250" s="380" t="s">
        <v>2995</v>
      </c>
      <c r="M250" s="381">
        <v>1.0</v>
      </c>
      <c r="N250" s="193">
        <v>625574.0</v>
      </c>
      <c r="O250" s="382"/>
      <c r="P250" s="48"/>
      <c r="Q250" s="117"/>
      <c r="R250" s="141"/>
      <c r="S250" s="141"/>
      <c r="T250" s="141"/>
      <c r="U250" s="57"/>
      <c r="V250" s="57"/>
      <c r="W250" s="57"/>
      <c r="X250" s="57"/>
      <c r="Y250" s="57"/>
      <c r="Z250" s="57"/>
      <c r="AA250" s="57"/>
      <c r="AB250" s="57"/>
    </row>
    <row r="251">
      <c r="A251" s="349"/>
      <c r="B251" s="185" t="s">
        <v>53</v>
      </c>
      <c r="C251" s="141"/>
      <c r="D251" s="186">
        <v>5.0</v>
      </c>
      <c r="E251" s="186" t="s">
        <v>1956</v>
      </c>
      <c r="F251" s="141"/>
      <c r="G251" s="48"/>
      <c r="H251" s="48"/>
      <c r="I251" s="48"/>
      <c r="J251" s="203">
        <v>45918.0</v>
      </c>
      <c r="K251" s="380" t="s">
        <v>38</v>
      </c>
      <c r="L251" s="380" t="s">
        <v>2995</v>
      </c>
      <c r="M251" s="381">
        <v>1.0</v>
      </c>
      <c r="N251" s="193">
        <v>625574.0</v>
      </c>
      <c r="O251" s="382"/>
      <c r="P251" s="48"/>
      <c r="Q251" s="117"/>
      <c r="R251" s="141"/>
      <c r="S251" s="141"/>
      <c r="T251" s="141"/>
      <c r="U251" s="57"/>
      <c r="V251" s="57"/>
      <c r="W251" s="57"/>
      <c r="X251" s="57"/>
      <c r="Y251" s="57"/>
      <c r="Z251" s="57"/>
      <c r="AA251" s="57"/>
      <c r="AB251" s="57"/>
    </row>
    <row r="252">
      <c r="A252" s="349"/>
      <c r="B252" s="185" t="s">
        <v>53</v>
      </c>
      <c r="C252" s="141"/>
      <c r="D252" s="186">
        <v>1.0</v>
      </c>
      <c r="E252" s="186" t="s">
        <v>1957</v>
      </c>
      <c r="F252" s="141"/>
      <c r="G252" s="48"/>
      <c r="H252" s="48"/>
      <c r="I252" s="48"/>
      <c r="J252" s="203">
        <v>45918.0</v>
      </c>
      <c r="K252" s="380" t="s">
        <v>38</v>
      </c>
      <c r="L252" s="380" t="s">
        <v>2995</v>
      </c>
      <c r="M252" s="381">
        <v>9.12</v>
      </c>
      <c r="N252" s="193">
        <v>625574.0</v>
      </c>
      <c r="O252" s="382"/>
      <c r="P252" s="48"/>
      <c r="Q252" s="117"/>
      <c r="R252" s="141"/>
      <c r="S252" s="141"/>
      <c r="T252" s="141"/>
      <c r="U252" s="57"/>
      <c r="V252" s="57"/>
      <c r="W252" s="57"/>
      <c r="X252" s="57"/>
      <c r="Y252" s="57"/>
      <c r="Z252" s="57"/>
      <c r="AA252" s="57"/>
      <c r="AB252" s="57"/>
    </row>
    <row r="253">
      <c r="A253" s="349"/>
      <c r="B253" s="185" t="s">
        <v>53</v>
      </c>
      <c r="C253" s="117"/>
      <c r="D253" s="186">
        <v>1.0</v>
      </c>
      <c r="E253" s="186" t="s">
        <v>1958</v>
      </c>
      <c r="F253" s="117"/>
      <c r="G253" s="48"/>
      <c r="H253" s="48"/>
      <c r="I253" s="48"/>
      <c r="J253" s="203">
        <v>45918.0</v>
      </c>
      <c r="K253" s="380" t="s">
        <v>38</v>
      </c>
      <c r="L253" s="380" t="s">
        <v>2995</v>
      </c>
      <c r="M253" s="381">
        <v>9.12</v>
      </c>
      <c r="N253" s="193">
        <v>625574.0</v>
      </c>
      <c r="O253" s="382"/>
      <c r="P253" s="48"/>
      <c r="Q253" s="117"/>
      <c r="R253" s="141"/>
      <c r="S253" s="141"/>
      <c r="T253" s="141"/>
      <c r="U253" s="57"/>
      <c r="V253" s="57"/>
      <c r="W253" s="57"/>
      <c r="X253" s="57"/>
      <c r="Y253" s="57"/>
      <c r="Z253" s="57"/>
      <c r="AA253" s="57"/>
      <c r="AB253" s="57"/>
    </row>
    <row r="254">
      <c r="A254" s="349"/>
      <c r="B254" s="185" t="s">
        <v>3000</v>
      </c>
      <c r="C254" s="186" t="s">
        <v>3001</v>
      </c>
      <c r="D254" s="186">
        <v>1.0</v>
      </c>
      <c r="E254" s="186" t="s">
        <v>1960</v>
      </c>
      <c r="F254" s="186" t="s">
        <v>3002</v>
      </c>
      <c r="G254" s="48"/>
      <c r="H254" s="48"/>
      <c r="I254" s="48"/>
      <c r="J254" s="203">
        <v>45922.0</v>
      </c>
      <c r="K254" s="380" t="s">
        <v>38</v>
      </c>
      <c r="L254" s="380" t="s">
        <v>1044</v>
      </c>
      <c r="M254" s="381">
        <v>77.43</v>
      </c>
      <c r="N254" s="193">
        <v>626288.0</v>
      </c>
      <c r="O254" s="382"/>
      <c r="P254" s="48"/>
      <c r="Q254" s="117"/>
      <c r="R254" s="141"/>
      <c r="S254" s="141"/>
      <c r="T254" s="141"/>
      <c r="U254" s="57"/>
      <c r="V254" s="57"/>
      <c r="W254" s="57"/>
      <c r="X254" s="57"/>
      <c r="Y254" s="57"/>
      <c r="Z254" s="57"/>
      <c r="AA254" s="57"/>
      <c r="AB254" s="57"/>
    </row>
    <row r="255">
      <c r="A255" s="349"/>
      <c r="B255" s="185" t="s">
        <v>3003</v>
      </c>
      <c r="C255" s="186" t="s">
        <v>3004</v>
      </c>
      <c r="D255" s="186">
        <v>1.0</v>
      </c>
      <c r="E255" s="186" t="s">
        <v>1961</v>
      </c>
      <c r="F255" s="186" t="s">
        <v>35</v>
      </c>
      <c r="G255" s="48"/>
      <c r="H255" s="48"/>
      <c r="I255" s="48"/>
      <c r="J255" s="203">
        <v>45922.0</v>
      </c>
      <c r="K255" s="380" t="s">
        <v>38</v>
      </c>
      <c r="L255" s="380" t="s">
        <v>1044</v>
      </c>
      <c r="M255" s="381">
        <v>70.16</v>
      </c>
      <c r="N255" s="193">
        <v>626288.0</v>
      </c>
      <c r="O255" s="382"/>
      <c r="P255" s="48"/>
      <c r="Q255" s="186" t="s">
        <v>2294</v>
      </c>
      <c r="R255" s="141"/>
      <c r="S255" s="141"/>
      <c r="T255" s="141"/>
      <c r="U255" s="57"/>
      <c r="V255" s="57"/>
      <c r="W255" s="57"/>
      <c r="X255" s="57"/>
      <c r="Y255" s="57"/>
      <c r="Z255" s="57"/>
      <c r="AA255" s="57"/>
      <c r="AB255" s="57"/>
    </row>
    <row r="256">
      <c r="A256" s="349"/>
      <c r="B256" s="185" t="s">
        <v>3005</v>
      </c>
      <c r="C256" s="186" t="s">
        <v>3006</v>
      </c>
      <c r="D256" s="186">
        <v>1.0</v>
      </c>
      <c r="E256" s="186" t="s">
        <v>741</v>
      </c>
      <c r="F256" s="198" t="s">
        <v>35</v>
      </c>
      <c r="G256" s="48"/>
      <c r="H256" s="48"/>
      <c r="I256" s="48"/>
      <c r="J256" s="203">
        <v>45922.0</v>
      </c>
      <c r="K256" s="380" t="s">
        <v>38</v>
      </c>
      <c r="L256" s="380" t="s">
        <v>1044</v>
      </c>
      <c r="M256" s="381">
        <v>50.11</v>
      </c>
      <c r="N256" s="193">
        <v>626288.0</v>
      </c>
      <c r="O256" s="382"/>
      <c r="P256" s="48"/>
      <c r="Q256" s="186" t="s">
        <v>2294</v>
      </c>
      <c r="R256" s="141"/>
      <c r="S256" s="141"/>
      <c r="T256" s="141"/>
      <c r="U256" s="57"/>
      <c r="V256" s="57"/>
      <c r="W256" s="57"/>
      <c r="X256" s="57"/>
      <c r="Y256" s="57"/>
      <c r="Z256" s="57"/>
      <c r="AA256" s="57"/>
      <c r="AB256" s="57"/>
    </row>
    <row r="257">
      <c r="A257" s="349"/>
      <c r="B257" s="185" t="s">
        <v>3007</v>
      </c>
      <c r="C257" s="186" t="s">
        <v>3008</v>
      </c>
      <c r="D257" s="186">
        <v>1.0</v>
      </c>
      <c r="E257" s="186" t="s">
        <v>1963</v>
      </c>
      <c r="F257" s="117"/>
      <c r="G257" s="48"/>
      <c r="H257" s="48"/>
      <c r="I257" s="48"/>
      <c r="J257" s="203">
        <v>45922.0</v>
      </c>
      <c r="K257" s="380" t="s">
        <v>38</v>
      </c>
      <c r="L257" s="380" t="s">
        <v>1044</v>
      </c>
      <c r="M257" s="381">
        <v>156.51</v>
      </c>
      <c r="N257" s="193">
        <v>626288.0</v>
      </c>
      <c r="O257" s="382"/>
      <c r="P257" s="48"/>
      <c r="Q257" s="186" t="s">
        <v>59</v>
      </c>
      <c r="R257" s="141"/>
      <c r="S257" s="141"/>
      <c r="T257" s="141"/>
      <c r="U257" s="57"/>
      <c r="V257" s="57"/>
      <c r="W257" s="57"/>
      <c r="X257" s="57"/>
      <c r="Y257" s="57"/>
      <c r="Z257" s="57"/>
      <c r="AA257" s="57"/>
      <c r="AB257" s="57"/>
    </row>
    <row r="258">
      <c r="A258" s="349"/>
      <c r="B258" s="185" t="s">
        <v>2408</v>
      </c>
      <c r="C258" s="387" t="s">
        <v>2409</v>
      </c>
      <c r="D258" s="186">
        <v>1.0</v>
      </c>
      <c r="E258" s="186" t="s">
        <v>1964</v>
      </c>
      <c r="F258" s="186" t="s">
        <v>2410</v>
      </c>
      <c r="G258" s="48"/>
      <c r="H258" s="48"/>
      <c r="I258" s="48"/>
      <c r="J258" s="203">
        <v>45922.0</v>
      </c>
      <c r="K258" s="380" t="s">
        <v>38</v>
      </c>
      <c r="L258" s="380" t="s">
        <v>1044</v>
      </c>
      <c r="M258" s="381">
        <v>50.11</v>
      </c>
      <c r="N258" s="193">
        <v>626288.0</v>
      </c>
      <c r="O258" s="382"/>
      <c r="P258" s="47"/>
      <c r="Q258" s="186" t="s">
        <v>2294</v>
      </c>
      <c r="R258" s="141"/>
      <c r="S258" s="141"/>
      <c r="T258" s="141"/>
      <c r="U258" s="57"/>
      <c r="V258" s="57"/>
      <c r="W258" s="57"/>
      <c r="X258" s="57"/>
      <c r="Y258" s="57"/>
      <c r="Z258" s="57"/>
      <c r="AA258" s="57"/>
      <c r="AB258" s="57"/>
    </row>
    <row r="259">
      <c r="A259" s="349"/>
      <c r="B259" s="185" t="s">
        <v>3009</v>
      </c>
      <c r="C259" s="186" t="s">
        <v>3010</v>
      </c>
      <c r="D259" s="186">
        <v>1.0</v>
      </c>
      <c r="E259" s="186" t="s">
        <v>1965</v>
      </c>
      <c r="F259" s="186" t="s">
        <v>3011</v>
      </c>
      <c r="G259" s="48"/>
      <c r="H259" s="48"/>
      <c r="I259" s="48"/>
      <c r="J259" s="203">
        <v>45922.0</v>
      </c>
      <c r="K259" s="380" t="s">
        <v>38</v>
      </c>
      <c r="L259" s="380" t="s">
        <v>1044</v>
      </c>
      <c r="M259" s="381">
        <v>60.8</v>
      </c>
      <c r="N259" s="193">
        <v>626288.0</v>
      </c>
      <c r="O259" s="382"/>
      <c r="P259" s="47"/>
      <c r="Q259" s="186" t="s">
        <v>2294</v>
      </c>
      <c r="R259" s="141"/>
      <c r="S259" s="141"/>
      <c r="T259" s="141"/>
      <c r="U259" s="57"/>
      <c r="V259" s="57"/>
      <c r="W259" s="57"/>
      <c r="X259" s="57"/>
      <c r="Y259" s="57"/>
      <c r="Z259" s="57"/>
      <c r="AA259" s="57"/>
      <c r="AB259" s="57"/>
    </row>
    <row r="260">
      <c r="A260" s="349"/>
      <c r="B260" s="185" t="s">
        <v>3012</v>
      </c>
      <c r="C260" s="186" t="s">
        <v>3013</v>
      </c>
      <c r="D260" s="186">
        <v>1.0</v>
      </c>
      <c r="E260" s="186" t="s">
        <v>1967</v>
      </c>
      <c r="F260" s="186" t="s">
        <v>3014</v>
      </c>
      <c r="G260" s="48"/>
      <c r="H260" s="48"/>
      <c r="I260" s="48"/>
      <c r="J260" s="203">
        <v>45922.0</v>
      </c>
      <c r="K260" s="380" t="s">
        <v>38</v>
      </c>
      <c r="L260" s="380" t="s">
        <v>1044</v>
      </c>
      <c r="M260" s="381">
        <v>50.11</v>
      </c>
      <c r="N260" s="193">
        <v>626288.0</v>
      </c>
      <c r="O260" s="382"/>
      <c r="P260" s="48"/>
      <c r="Q260" s="186" t="s">
        <v>2294</v>
      </c>
      <c r="R260" s="141"/>
      <c r="S260" s="141"/>
      <c r="T260" s="141"/>
      <c r="U260" s="57"/>
      <c r="V260" s="57"/>
      <c r="W260" s="57"/>
      <c r="X260" s="57"/>
      <c r="Y260" s="57"/>
      <c r="Z260" s="57"/>
      <c r="AA260" s="57"/>
      <c r="AB260" s="57"/>
    </row>
    <row r="261">
      <c r="A261" s="349"/>
      <c r="B261" s="185" t="s">
        <v>3012</v>
      </c>
      <c r="C261" s="186" t="s">
        <v>3013</v>
      </c>
      <c r="D261" s="186">
        <v>1.0</v>
      </c>
      <c r="E261" s="186" t="s">
        <v>1968</v>
      </c>
      <c r="F261" s="186" t="s">
        <v>3015</v>
      </c>
      <c r="G261" s="48"/>
      <c r="H261" s="48"/>
      <c r="I261" s="48"/>
      <c r="J261" s="203">
        <v>45922.0</v>
      </c>
      <c r="K261" s="380" t="s">
        <v>38</v>
      </c>
      <c r="L261" s="380" t="s">
        <v>1044</v>
      </c>
      <c r="M261" s="381">
        <v>70.16</v>
      </c>
      <c r="N261" s="193">
        <v>626288.0</v>
      </c>
      <c r="O261" s="382"/>
      <c r="P261" s="48"/>
      <c r="Q261" s="186" t="s">
        <v>2294</v>
      </c>
      <c r="R261" s="141"/>
      <c r="S261" s="141"/>
      <c r="T261" s="141"/>
      <c r="U261" s="57"/>
      <c r="V261" s="57"/>
      <c r="W261" s="57"/>
      <c r="X261" s="57"/>
      <c r="Y261" s="57"/>
      <c r="Z261" s="57"/>
      <c r="AA261" s="57"/>
      <c r="AB261" s="57"/>
    </row>
    <row r="262">
      <c r="A262" s="349"/>
      <c r="B262" s="185" t="s">
        <v>3012</v>
      </c>
      <c r="C262" s="198" t="s">
        <v>3013</v>
      </c>
      <c r="D262" s="186">
        <v>1.0</v>
      </c>
      <c r="E262" s="186" t="s">
        <v>1969</v>
      </c>
      <c r="F262" s="198" t="s">
        <v>3016</v>
      </c>
      <c r="G262" s="48"/>
      <c r="H262" s="48"/>
      <c r="I262" s="48"/>
      <c r="J262" s="203">
        <v>45922.0</v>
      </c>
      <c r="K262" s="380" t="s">
        <v>38</v>
      </c>
      <c r="L262" s="380" t="s">
        <v>1044</v>
      </c>
      <c r="M262" s="381">
        <v>77.43</v>
      </c>
      <c r="N262" s="193">
        <v>626288.0</v>
      </c>
      <c r="O262" s="382"/>
      <c r="P262" s="48"/>
      <c r="Q262" s="186" t="s">
        <v>2294</v>
      </c>
      <c r="R262" s="141"/>
      <c r="S262" s="141"/>
      <c r="T262" s="141"/>
      <c r="U262" s="57"/>
      <c r="V262" s="57"/>
      <c r="W262" s="57"/>
      <c r="X262" s="57"/>
      <c r="Y262" s="57"/>
      <c r="Z262" s="57"/>
      <c r="AA262" s="57"/>
      <c r="AB262" s="57"/>
    </row>
    <row r="263">
      <c r="A263" s="349"/>
      <c r="B263" s="185" t="s">
        <v>53</v>
      </c>
      <c r="C263" s="141"/>
      <c r="D263" s="199">
        <v>1.0</v>
      </c>
      <c r="E263" s="200" t="s">
        <v>1970</v>
      </c>
      <c r="F263" s="141"/>
      <c r="G263" s="48"/>
      <c r="H263" s="48"/>
      <c r="I263" s="48"/>
      <c r="J263" s="203">
        <v>45922.0</v>
      </c>
      <c r="K263" s="380" t="s">
        <v>38</v>
      </c>
      <c r="L263" s="380" t="s">
        <v>1044</v>
      </c>
      <c r="M263" s="381">
        <v>20.9</v>
      </c>
      <c r="N263" s="193">
        <v>626288.0</v>
      </c>
      <c r="O263" s="382"/>
      <c r="P263" s="48"/>
      <c r="Q263" s="117"/>
      <c r="R263" s="141"/>
      <c r="S263" s="141"/>
      <c r="T263" s="141"/>
      <c r="U263" s="57"/>
      <c r="V263" s="57"/>
      <c r="W263" s="57"/>
      <c r="X263" s="57"/>
      <c r="Y263" s="57"/>
      <c r="Z263" s="57"/>
      <c r="AA263" s="57"/>
      <c r="AB263" s="57"/>
    </row>
    <row r="264">
      <c r="A264" s="349"/>
      <c r="B264" s="185" t="s">
        <v>53</v>
      </c>
      <c r="C264" s="141"/>
      <c r="D264" s="199">
        <v>2.0</v>
      </c>
      <c r="E264" s="200" t="s">
        <v>1971</v>
      </c>
      <c r="F264" s="117"/>
      <c r="G264" s="48"/>
      <c r="H264" s="48"/>
      <c r="I264" s="48"/>
      <c r="J264" s="203">
        <v>45922.0</v>
      </c>
      <c r="K264" s="380" t="s">
        <v>38</v>
      </c>
      <c r="L264" s="380" t="s">
        <v>1044</v>
      </c>
      <c r="M264" s="381">
        <v>13.3</v>
      </c>
      <c r="N264" s="193">
        <v>626288.0</v>
      </c>
      <c r="O264" s="382"/>
      <c r="P264" s="48"/>
      <c r="Q264" s="117"/>
      <c r="R264" s="141"/>
      <c r="S264" s="141"/>
      <c r="T264" s="141"/>
      <c r="U264" s="57"/>
      <c r="V264" s="57"/>
      <c r="W264" s="57"/>
      <c r="X264" s="57"/>
      <c r="Y264" s="57"/>
      <c r="Z264" s="57"/>
      <c r="AA264" s="57"/>
      <c r="AB264" s="57"/>
    </row>
    <row r="265">
      <c r="A265" s="349"/>
      <c r="B265" s="185" t="s">
        <v>732</v>
      </c>
      <c r="C265" s="117"/>
      <c r="D265" s="199">
        <v>1.0</v>
      </c>
      <c r="E265" s="200" t="s">
        <v>1972</v>
      </c>
      <c r="F265" s="198" t="s">
        <v>3017</v>
      </c>
      <c r="G265" s="48"/>
      <c r="H265" s="48"/>
      <c r="I265" s="48"/>
      <c r="J265" s="203">
        <v>45925.0</v>
      </c>
      <c r="K265" s="380" t="s">
        <v>38</v>
      </c>
      <c r="L265" s="380" t="s">
        <v>3018</v>
      </c>
      <c r="M265" s="381">
        <v>50.11</v>
      </c>
      <c r="N265" s="193">
        <v>627526.0</v>
      </c>
      <c r="O265" s="382"/>
      <c r="P265" s="48"/>
      <c r="Q265" s="186" t="s">
        <v>2294</v>
      </c>
      <c r="R265" s="141"/>
      <c r="S265" s="141"/>
      <c r="T265" s="141"/>
      <c r="U265" s="57"/>
      <c r="V265" s="57"/>
      <c r="W265" s="57"/>
      <c r="X265" s="57"/>
      <c r="Y265" s="57"/>
      <c r="Z265" s="57"/>
      <c r="AA265" s="57"/>
      <c r="AB265" s="57"/>
    </row>
    <row r="266">
      <c r="A266" s="349"/>
      <c r="B266" s="185" t="s">
        <v>3019</v>
      </c>
      <c r="C266" s="186" t="s">
        <v>3020</v>
      </c>
      <c r="D266" s="186">
        <v>1.0</v>
      </c>
      <c r="E266" s="186" t="s">
        <v>1973</v>
      </c>
      <c r="F266" s="198" t="s">
        <v>2586</v>
      </c>
      <c r="G266" s="48"/>
      <c r="H266" s="48"/>
      <c r="I266" s="48"/>
      <c r="J266" s="203">
        <v>45925.0</v>
      </c>
      <c r="K266" s="380" t="s">
        <v>38</v>
      </c>
      <c r="L266" s="380" t="s">
        <v>3018</v>
      </c>
      <c r="M266" s="381">
        <v>50.11</v>
      </c>
      <c r="N266" s="193">
        <v>627526.0</v>
      </c>
      <c r="O266" s="382"/>
      <c r="P266" s="48"/>
      <c r="Q266" s="186" t="s">
        <v>2294</v>
      </c>
      <c r="R266" s="141"/>
      <c r="S266" s="141"/>
      <c r="T266" s="141"/>
      <c r="U266" s="57"/>
      <c r="V266" s="57"/>
      <c r="W266" s="57"/>
      <c r="X266" s="57"/>
      <c r="Y266" s="57"/>
      <c r="Z266" s="57"/>
      <c r="AA266" s="57"/>
      <c r="AB266" s="57"/>
    </row>
    <row r="267">
      <c r="A267" s="349"/>
      <c r="B267" s="185" t="s">
        <v>2645</v>
      </c>
      <c r="C267" s="186" t="s">
        <v>2646</v>
      </c>
      <c r="D267" s="186">
        <v>1.0</v>
      </c>
      <c r="E267" s="186" t="s">
        <v>1974</v>
      </c>
      <c r="F267" s="117"/>
      <c r="G267" s="48"/>
      <c r="H267" s="48"/>
      <c r="I267" s="48"/>
      <c r="J267" s="203">
        <v>45925.0</v>
      </c>
      <c r="K267" s="380" t="s">
        <v>38</v>
      </c>
      <c r="L267" s="380" t="s">
        <v>3018</v>
      </c>
      <c r="M267" s="381">
        <v>42.47</v>
      </c>
      <c r="N267" s="193" t="s">
        <v>59</v>
      </c>
      <c r="O267" s="382"/>
      <c r="P267" s="48"/>
      <c r="Q267" s="186" t="s">
        <v>59</v>
      </c>
      <c r="R267" s="141"/>
      <c r="S267" s="141"/>
      <c r="T267" s="141"/>
      <c r="U267" s="57"/>
      <c r="V267" s="57"/>
      <c r="W267" s="57"/>
      <c r="X267" s="57"/>
      <c r="Y267" s="57"/>
      <c r="Z267" s="57"/>
      <c r="AA267" s="57"/>
      <c r="AB267" s="57"/>
    </row>
    <row r="268">
      <c r="A268" s="349"/>
      <c r="B268" s="185" t="s">
        <v>3021</v>
      </c>
      <c r="C268" s="186" t="s">
        <v>3022</v>
      </c>
      <c r="D268" s="186">
        <v>1.0</v>
      </c>
      <c r="E268" s="186" t="s">
        <v>677</v>
      </c>
      <c r="F268" s="198" t="s">
        <v>3023</v>
      </c>
      <c r="G268" s="48"/>
      <c r="H268" s="48"/>
      <c r="I268" s="48"/>
      <c r="J268" s="203">
        <v>45925.0</v>
      </c>
      <c r="K268" s="380" t="s">
        <v>38</v>
      </c>
      <c r="L268" s="380" t="s">
        <v>3018</v>
      </c>
      <c r="M268" s="381">
        <v>95.62</v>
      </c>
      <c r="N268" s="193">
        <v>627526.0</v>
      </c>
      <c r="O268" s="382"/>
      <c r="P268" s="48"/>
      <c r="Q268" s="186" t="s">
        <v>2294</v>
      </c>
      <c r="R268" s="141"/>
      <c r="S268" s="141"/>
      <c r="T268" s="141"/>
      <c r="U268" s="57"/>
      <c r="V268" s="57"/>
      <c r="W268" s="57"/>
      <c r="X268" s="57"/>
      <c r="Y268" s="57"/>
      <c r="Z268" s="57"/>
      <c r="AA268" s="57"/>
      <c r="AB268" s="57"/>
    </row>
    <row r="269">
      <c r="A269" s="349"/>
      <c r="B269" s="185" t="s">
        <v>3021</v>
      </c>
      <c r="C269" s="186" t="s">
        <v>3022</v>
      </c>
      <c r="D269" s="186">
        <v>1.0</v>
      </c>
      <c r="E269" s="186" t="s">
        <v>1038</v>
      </c>
      <c r="F269" s="141"/>
      <c r="G269" s="48"/>
      <c r="H269" s="48"/>
      <c r="I269" s="48"/>
      <c r="J269" s="203">
        <v>45925.0</v>
      </c>
      <c r="K269" s="380" t="s">
        <v>38</v>
      </c>
      <c r="L269" s="380" t="s">
        <v>3018</v>
      </c>
      <c r="M269" s="381">
        <v>55.1</v>
      </c>
      <c r="N269" s="193">
        <v>627526.0</v>
      </c>
      <c r="O269" s="382"/>
      <c r="P269" s="48"/>
      <c r="Q269" s="186" t="s">
        <v>2294</v>
      </c>
      <c r="R269" s="141"/>
      <c r="S269" s="141"/>
      <c r="T269" s="141"/>
      <c r="U269" s="57"/>
      <c r="V269" s="57"/>
      <c r="W269" s="57"/>
      <c r="X269" s="57"/>
      <c r="Y269" s="57"/>
      <c r="Z269" s="57"/>
      <c r="AA269" s="57"/>
      <c r="AB269" s="57"/>
    </row>
    <row r="270">
      <c r="A270" s="349"/>
      <c r="B270" s="185" t="s">
        <v>1504</v>
      </c>
      <c r="C270" s="198" t="s">
        <v>1505</v>
      </c>
      <c r="D270" s="186">
        <v>1.0</v>
      </c>
      <c r="E270" s="186" t="s">
        <v>678</v>
      </c>
      <c r="F270" s="141"/>
      <c r="G270" s="48"/>
      <c r="H270" s="48"/>
      <c r="I270" s="48"/>
      <c r="J270" s="203">
        <v>45925.0</v>
      </c>
      <c r="K270" s="380" t="s">
        <v>38</v>
      </c>
      <c r="L270" s="380" t="s">
        <v>3018</v>
      </c>
      <c r="M270" s="381">
        <v>95.62</v>
      </c>
      <c r="N270" s="193">
        <v>627526.0</v>
      </c>
      <c r="O270" s="382"/>
      <c r="P270" s="48"/>
      <c r="Q270" s="186" t="s">
        <v>2294</v>
      </c>
      <c r="R270" s="141"/>
      <c r="S270" s="141"/>
      <c r="T270" s="141"/>
      <c r="U270" s="57"/>
      <c r="V270" s="57"/>
      <c r="W270" s="57"/>
      <c r="X270" s="57"/>
      <c r="Y270" s="57"/>
      <c r="Z270" s="57"/>
      <c r="AA270" s="57"/>
      <c r="AB270" s="57"/>
    </row>
    <row r="271">
      <c r="A271" s="349"/>
      <c r="B271" s="185" t="s">
        <v>53</v>
      </c>
      <c r="C271" s="117"/>
      <c r="D271" s="186">
        <v>1.0</v>
      </c>
      <c r="E271" s="186" t="s">
        <v>1975</v>
      </c>
      <c r="F271" s="117"/>
      <c r="G271" s="48"/>
      <c r="H271" s="48"/>
      <c r="I271" s="48"/>
      <c r="J271" s="203">
        <v>45925.0</v>
      </c>
      <c r="K271" s="380" t="s">
        <v>38</v>
      </c>
      <c r="L271" s="380" t="s">
        <v>3018</v>
      </c>
      <c r="M271" s="381">
        <v>42.47</v>
      </c>
      <c r="N271" s="193">
        <v>627526.0</v>
      </c>
      <c r="O271" s="382"/>
      <c r="P271" s="48"/>
      <c r="Q271" s="186" t="s">
        <v>2294</v>
      </c>
      <c r="R271" s="141"/>
      <c r="S271" s="141"/>
      <c r="T271" s="141"/>
      <c r="U271" s="57"/>
      <c r="V271" s="57"/>
      <c r="W271" s="57"/>
      <c r="X271" s="57"/>
      <c r="Y271" s="57"/>
      <c r="Z271" s="57"/>
      <c r="AA271" s="57"/>
      <c r="AB271" s="57"/>
    </row>
    <row r="272">
      <c r="A272" s="349"/>
      <c r="B272" s="185" t="s">
        <v>3024</v>
      </c>
      <c r="C272" s="186" t="s">
        <v>3025</v>
      </c>
      <c r="D272" s="186">
        <v>1.0</v>
      </c>
      <c r="E272" s="186" t="s">
        <v>1976</v>
      </c>
      <c r="F272" s="186" t="s">
        <v>3026</v>
      </c>
      <c r="G272" s="48"/>
      <c r="H272" s="48"/>
      <c r="I272" s="48"/>
      <c r="J272" s="203">
        <v>45925.0</v>
      </c>
      <c r="K272" s="380" t="s">
        <v>38</v>
      </c>
      <c r="L272" s="380" t="s">
        <v>3018</v>
      </c>
      <c r="M272" s="381">
        <v>77.43</v>
      </c>
      <c r="N272" s="193">
        <v>627526.0</v>
      </c>
      <c r="O272" s="382"/>
      <c r="P272" s="48"/>
      <c r="Q272" s="186" t="s">
        <v>2294</v>
      </c>
      <c r="R272" s="141"/>
      <c r="S272" s="141"/>
      <c r="T272" s="141"/>
      <c r="U272" s="57"/>
      <c r="V272" s="57"/>
      <c r="W272" s="57"/>
      <c r="X272" s="57"/>
      <c r="Y272" s="57"/>
      <c r="Z272" s="57"/>
      <c r="AA272" s="57"/>
      <c r="AB272" s="57"/>
    </row>
    <row r="273">
      <c r="A273" s="349"/>
      <c r="B273" s="185" t="s">
        <v>3024</v>
      </c>
      <c r="C273" s="198" t="s">
        <v>3025</v>
      </c>
      <c r="D273" s="186">
        <v>1.0</v>
      </c>
      <c r="E273" s="186" t="s">
        <v>1977</v>
      </c>
      <c r="F273" s="198" t="s">
        <v>3026</v>
      </c>
      <c r="G273" s="48"/>
      <c r="H273" s="48"/>
      <c r="I273" s="48"/>
      <c r="J273" s="203">
        <v>45925.0</v>
      </c>
      <c r="K273" s="380" t="s">
        <v>38</v>
      </c>
      <c r="L273" s="380" t="s">
        <v>3018</v>
      </c>
      <c r="M273" s="381">
        <v>70.16</v>
      </c>
      <c r="N273" s="193">
        <v>627526.0</v>
      </c>
      <c r="O273" s="382"/>
      <c r="P273" s="48"/>
      <c r="Q273" s="186" t="s">
        <v>2294</v>
      </c>
      <c r="R273" s="141"/>
      <c r="S273" s="141"/>
      <c r="T273" s="141"/>
      <c r="U273" s="57"/>
      <c r="V273" s="57"/>
      <c r="W273" s="57"/>
      <c r="X273" s="57"/>
      <c r="Y273" s="57"/>
      <c r="Z273" s="57"/>
      <c r="AA273" s="57"/>
      <c r="AB273" s="57"/>
    </row>
    <row r="274">
      <c r="A274" s="349"/>
      <c r="B274" s="185" t="s">
        <v>53</v>
      </c>
      <c r="C274" s="141"/>
      <c r="D274" s="186">
        <v>1.0</v>
      </c>
      <c r="E274" s="186" t="s">
        <v>1978</v>
      </c>
      <c r="F274" s="141"/>
      <c r="G274" s="48"/>
      <c r="H274" s="48"/>
      <c r="I274" s="48"/>
      <c r="J274" s="203">
        <v>45925.0</v>
      </c>
      <c r="K274" s="380" t="s">
        <v>38</v>
      </c>
      <c r="L274" s="380" t="s">
        <v>3018</v>
      </c>
      <c r="M274" s="381">
        <v>23.56</v>
      </c>
      <c r="N274" s="193">
        <v>627526.0</v>
      </c>
      <c r="O274" s="382"/>
      <c r="P274" s="48"/>
      <c r="Q274" s="117"/>
      <c r="R274" s="141"/>
      <c r="S274" s="141"/>
      <c r="T274" s="141"/>
      <c r="U274" s="57"/>
      <c r="V274" s="57"/>
      <c r="W274" s="57"/>
      <c r="X274" s="57"/>
      <c r="Y274" s="57"/>
      <c r="Z274" s="57"/>
      <c r="AA274" s="57"/>
      <c r="AB274" s="57"/>
    </row>
    <row r="275">
      <c r="A275" s="384"/>
      <c r="B275" s="278" t="s">
        <v>53</v>
      </c>
      <c r="C275" s="325"/>
      <c r="D275" s="186">
        <v>1.0</v>
      </c>
      <c r="E275" s="186" t="s">
        <v>1979</v>
      </c>
      <c r="F275" s="117"/>
      <c r="G275" s="48"/>
      <c r="H275" s="48"/>
      <c r="I275" s="48"/>
      <c r="J275" s="203">
        <v>45925.0</v>
      </c>
      <c r="K275" s="380" t="s">
        <v>38</v>
      </c>
      <c r="L275" s="380" t="s">
        <v>3018</v>
      </c>
      <c r="M275" s="381">
        <v>8.88</v>
      </c>
      <c r="N275" s="193">
        <v>627526.0</v>
      </c>
      <c r="O275" s="382"/>
      <c r="P275" s="48"/>
      <c r="Q275" s="117"/>
      <c r="R275" s="141"/>
      <c r="S275" s="141"/>
      <c r="T275" s="141"/>
      <c r="U275" s="57"/>
      <c r="V275" s="57"/>
      <c r="W275" s="57"/>
      <c r="X275" s="57"/>
      <c r="Y275" s="57"/>
      <c r="Z275" s="57"/>
      <c r="AA275" s="57"/>
      <c r="AB275" s="57"/>
    </row>
    <row r="276">
      <c r="A276" s="385"/>
      <c r="B276" s="300" t="s">
        <v>3027</v>
      </c>
      <c r="C276" s="387" t="s">
        <v>3028</v>
      </c>
      <c r="D276" s="186">
        <v>1.0</v>
      </c>
      <c r="E276" s="186" t="s">
        <v>1896</v>
      </c>
      <c r="F276" s="198" t="s">
        <v>3029</v>
      </c>
      <c r="G276" s="48"/>
      <c r="H276" s="48"/>
      <c r="I276" s="48"/>
      <c r="J276" s="203">
        <v>45929.0</v>
      </c>
      <c r="K276" s="380" t="s">
        <v>38</v>
      </c>
      <c r="L276" s="380">
        <v>489149.0</v>
      </c>
      <c r="M276" s="381">
        <v>132.15</v>
      </c>
      <c r="N276" s="193">
        <v>628142.0</v>
      </c>
      <c r="O276" s="382"/>
      <c r="P276" s="47"/>
      <c r="Q276" s="186" t="s">
        <v>2294</v>
      </c>
      <c r="R276" s="141"/>
      <c r="S276" s="141"/>
      <c r="T276" s="141"/>
      <c r="U276" s="57"/>
      <c r="V276" s="57"/>
      <c r="W276" s="57"/>
      <c r="X276" s="57"/>
      <c r="Y276" s="57"/>
      <c r="Z276" s="57"/>
      <c r="AA276" s="57"/>
      <c r="AB276" s="57"/>
    </row>
    <row r="277">
      <c r="A277" s="385"/>
      <c r="B277" s="300" t="s">
        <v>3030</v>
      </c>
      <c r="C277" s="387" t="s">
        <v>2813</v>
      </c>
      <c r="D277" s="186">
        <v>1.0</v>
      </c>
      <c r="E277" s="186" t="s">
        <v>1896</v>
      </c>
      <c r="F277" s="141"/>
      <c r="G277" s="48"/>
      <c r="H277" s="48"/>
      <c r="I277" s="48"/>
      <c r="J277" s="203">
        <v>45929.0</v>
      </c>
      <c r="K277" s="380" t="s">
        <v>38</v>
      </c>
      <c r="L277" s="380">
        <v>489149.0</v>
      </c>
      <c r="M277" s="381">
        <v>132.15</v>
      </c>
      <c r="N277" s="193">
        <v>628142.0</v>
      </c>
      <c r="O277" s="382"/>
      <c r="P277" s="48"/>
      <c r="Q277" s="186" t="s">
        <v>2294</v>
      </c>
      <c r="R277" s="141"/>
      <c r="S277" s="141"/>
      <c r="T277" s="141"/>
      <c r="U277" s="57"/>
      <c r="V277" s="57"/>
      <c r="W277" s="57"/>
      <c r="X277" s="57"/>
      <c r="Y277" s="57"/>
      <c r="Z277" s="57"/>
      <c r="AA277" s="57"/>
      <c r="AB277" s="57"/>
    </row>
    <row r="278">
      <c r="A278" s="384"/>
      <c r="B278" s="278" t="s">
        <v>3031</v>
      </c>
      <c r="C278" s="280" t="s">
        <v>3032</v>
      </c>
      <c r="D278" s="186">
        <v>1.0</v>
      </c>
      <c r="E278" s="186" t="s">
        <v>1896</v>
      </c>
      <c r="F278" s="141"/>
      <c r="G278" s="48"/>
      <c r="H278" s="48"/>
      <c r="I278" s="48"/>
      <c r="J278" s="203">
        <v>45929.0</v>
      </c>
      <c r="K278" s="380" t="s">
        <v>38</v>
      </c>
      <c r="L278" s="380">
        <v>489149.0</v>
      </c>
      <c r="M278" s="381">
        <v>132.15</v>
      </c>
      <c r="N278" s="193">
        <v>628142.0</v>
      </c>
      <c r="O278" s="382"/>
      <c r="P278" s="48"/>
      <c r="Q278" s="186" t="s">
        <v>2294</v>
      </c>
      <c r="R278" s="141"/>
      <c r="S278" s="141"/>
      <c r="T278" s="141"/>
      <c r="U278" s="57"/>
      <c r="V278" s="57"/>
      <c r="W278" s="57"/>
      <c r="X278" s="57"/>
      <c r="Y278" s="57"/>
      <c r="Z278" s="57"/>
      <c r="AA278" s="57"/>
      <c r="AB278" s="57"/>
    </row>
    <row r="279">
      <c r="A279" s="384"/>
      <c r="B279" s="278" t="s">
        <v>3033</v>
      </c>
      <c r="C279" s="280" t="s">
        <v>2003</v>
      </c>
      <c r="D279" s="186">
        <v>1.0</v>
      </c>
      <c r="E279" s="186" t="s">
        <v>1896</v>
      </c>
      <c r="F279" s="141"/>
      <c r="G279" s="48"/>
      <c r="H279" s="48"/>
      <c r="I279" s="48"/>
      <c r="J279" s="203">
        <v>45929.0</v>
      </c>
      <c r="K279" s="380" t="s">
        <v>38</v>
      </c>
      <c r="L279" s="380">
        <v>489149.0</v>
      </c>
      <c r="M279" s="381">
        <v>132.15</v>
      </c>
      <c r="N279" s="193">
        <v>628142.0</v>
      </c>
      <c r="O279" s="382"/>
      <c r="P279" s="48"/>
      <c r="Q279" s="117"/>
      <c r="R279" s="141"/>
      <c r="S279" s="141"/>
      <c r="T279" s="141"/>
      <c r="U279" s="57"/>
      <c r="V279" s="57"/>
      <c r="W279" s="57"/>
      <c r="X279" s="57"/>
      <c r="Y279" s="57"/>
      <c r="Z279" s="57"/>
      <c r="AA279" s="57"/>
      <c r="AB279" s="57"/>
    </row>
    <row r="280">
      <c r="A280" s="385"/>
      <c r="B280" s="300" t="s">
        <v>3034</v>
      </c>
      <c r="C280" s="387" t="s">
        <v>3035</v>
      </c>
      <c r="D280" s="186">
        <v>1.0</v>
      </c>
      <c r="E280" s="186" t="s">
        <v>1939</v>
      </c>
      <c r="F280" s="141"/>
      <c r="G280" s="48"/>
      <c r="H280" s="48"/>
      <c r="I280" s="48"/>
      <c r="J280" s="203">
        <v>45929.0</v>
      </c>
      <c r="K280" s="380" t="s">
        <v>38</v>
      </c>
      <c r="L280" s="380">
        <v>489149.0</v>
      </c>
      <c r="M280" s="381">
        <v>132.15</v>
      </c>
      <c r="N280" s="193">
        <v>628142.0</v>
      </c>
      <c r="O280" s="382"/>
      <c r="P280" s="48"/>
      <c r="Q280" s="186" t="s">
        <v>2294</v>
      </c>
      <c r="R280" s="141"/>
      <c r="S280" s="141"/>
      <c r="T280" s="141"/>
      <c r="U280" s="57"/>
      <c r="V280" s="57"/>
      <c r="W280" s="57"/>
      <c r="X280" s="57"/>
      <c r="Y280" s="57"/>
      <c r="Z280" s="57"/>
      <c r="AA280" s="57"/>
      <c r="AB280" s="57"/>
    </row>
    <row r="281">
      <c r="A281" s="384"/>
      <c r="B281" s="278" t="s">
        <v>3036</v>
      </c>
      <c r="C281" s="280" t="s">
        <v>3037</v>
      </c>
      <c r="D281" s="186">
        <v>1.0</v>
      </c>
      <c r="E281" s="186" t="s">
        <v>1894</v>
      </c>
      <c r="F281" s="141"/>
      <c r="G281" s="48"/>
      <c r="H281" s="48"/>
      <c r="I281" s="48"/>
      <c r="J281" s="203">
        <v>45929.0</v>
      </c>
      <c r="K281" s="380" t="s">
        <v>38</v>
      </c>
      <c r="L281" s="380">
        <v>489149.0</v>
      </c>
      <c r="M281" s="381">
        <v>156.51</v>
      </c>
      <c r="N281" s="193">
        <v>628142.0</v>
      </c>
      <c r="O281" s="382"/>
      <c r="P281" s="48"/>
      <c r="Q281" s="186" t="s">
        <v>2294</v>
      </c>
      <c r="R281" s="141"/>
      <c r="S281" s="141"/>
      <c r="T281" s="141"/>
      <c r="U281" s="57"/>
      <c r="V281" s="57"/>
      <c r="W281" s="57"/>
      <c r="X281" s="57"/>
      <c r="Y281" s="57"/>
      <c r="Z281" s="57"/>
      <c r="AA281" s="57"/>
      <c r="AB281" s="57"/>
    </row>
    <row r="282">
      <c r="A282" s="141"/>
      <c r="B282" s="198" t="s">
        <v>3038</v>
      </c>
      <c r="C282" s="186" t="s">
        <v>456</v>
      </c>
      <c r="D282" s="186">
        <v>1.0</v>
      </c>
      <c r="E282" s="186" t="s">
        <v>1938</v>
      </c>
      <c r="F282" s="141"/>
      <c r="G282" s="48"/>
      <c r="H282" s="48"/>
      <c r="I282" s="48"/>
      <c r="J282" s="203">
        <v>45929.0</v>
      </c>
      <c r="K282" s="380" t="s">
        <v>38</v>
      </c>
      <c r="L282" s="380">
        <v>489149.0</v>
      </c>
      <c r="M282" s="381">
        <v>156.51</v>
      </c>
      <c r="N282" s="193">
        <v>628142.0</v>
      </c>
      <c r="O282" s="382"/>
      <c r="P282" s="48"/>
      <c r="Q282" s="186" t="s">
        <v>2294</v>
      </c>
      <c r="R282" s="141"/>
      <c r="S282" s="141"/>
      <c r="T282" s="141"/>
      <c r="U282" s="57"/>
      <c r="V282" s="57"/>
      <c r="W282" s="57"/>
      <c r="X282" s="57"/>
      <c r="Y282" s="57"/>
      <c r="Z282" s="57"/>
      <c r="AA282" s="57"/>
      <c r="AB282" s="57"/>
    </row>
    <row r="283">
      <c r="A283" s="384"/>
      <c r="B283" s="278" t="s">
        <v>3039</v>
      </c>
      <c r="C283" s="280" t="s">
        <v>2478</v>
      </c>
      <c r="D283" s="186">
        <v>1.0</v>
      </c>
      <c r="E283" s="186" t="s">
        <v>1980</v>
      </c>
      <c r="F283" s="141"/>
      <c r="G283" s="48"/>
      <c r="H283" s="48"/>
      <c r="I283" s="48"/>
      <c r="J283" s="203">
        <v>45929.0</v>
      </c>
      <c r="K283" s="380" t="s">
        <v>38</v>
      </c>
      <c r="L283" s="380">
        <v>489149.0</v>
      </c>
      <c r="M283" s="381">
        <v>150.58</v>
      </c>
      <c r="N283" s="193">
        <v>633098.0</v>
      </c>
      <c r="O283" s="382"/>
      <c r="P283" s="48"/>
      <c r="Q283" s="186" t="s">
        <v>2294</v>
      </c>
      <c r="R283" s="141"/>
      <c r="S283" s="141"/>
      <c r="T283" s="141"/>
      <c r="U283" s="57"/>
      <c r="V283" s="57"/>
      <c r="W283" s="57"/>
      <c r="X283" s="57"/>
      <c r="Y283" s="57"/>
      <c r="Z283" s="57"/>
      <c r="AA283" s="57"/>
      <c r="AB283" s="57"/>
    </row>
    <row r="284">
      <c r="A284" s="385"/>
      <c r="B284" s="300" t="s">
        <v>3040</v>
      </c>
      <c r="C284" s="387" t="s">
        <v>3041</v>
      </c>
      <c r="D284" s="186">
        <v>1.0</v>
      </c>
      <c r="E284" s="186" t="s">
        <v>1872</v>
      </c>
      <c r="F284" s="117"/>
      <c r="G284" s="48"/>
      <c r="H284" s="48"/>
      <c r="I284" s="48"/>
      <c r="J284" s="203">
        <v>45929.0</v>
      </c>
      <c r="K284" s="380" t="s">
        <v>38</v>
      </c>
      <c r="L284" s="380">
        <v>489149.0</v>
      </c>
      <c r="M284" s="381">
        <v>150.58</v>
      </c>
      <c r="N284" s="193">
        <v>628142.0</v>
      </c>
      <c r="O284" s="382"/>
      <c r="P284" s="48"/>
      <c r="Q284" s="186" t="s">
        <v>2294</v>
      </c>
      <c r="R284" s="141"/>
      <c r="S284" s="141"/>
      <c r="T284" s="141"/>
      <c r="U284" s="57"/>
      <c r="V284" s="57"/>
      <c r="W284" s="57"/>
      <c r="X284" s="57"/>
      <c r="Y284" s="57"/>
      <c r="Z284" s="57"/>
      <c r="AA284" s="57"/>
      <c r="AB284" s="57"/>
    </row>
    <row r="285">
      <c r="A285" s="385"/>
      <c r="B285" s="300" t="s">
        <v>3009</v>
      </c>
      <c r="C285" s="387" t="s">
        <v>3010</v>
      </c>
      <c r="D285" s="186">
        <v>1.0</v>
      </c>
      <c r="E285" s="186" t="s">
        <v>1814</v>
      </c>
      <c r="F285" s="198" t="s">
        <v>3042</v>
      </c>
      <c r="G285" s="48"/>
      <c r="H285" s="48"/>
      <c r="I285" s="48"/>
      <c r="J285" s="203">
        <v>45929.0</v>
      </c>
      <c r="K285" s="380" t="s">
        <v>38</v>
      </c>
      <c r="L285" s="380">
        <v>489149.0</v>
      </c>
      <c r="M285" s="381">
        <v>150.58</v>
      </c>
      <c r="N285" s="193">
        <v>628142.0</v>
      </c>
      <c r="O285" s="382"/>
      <c r="P285" s="48"/>
      <c r="Q285" s="186" t="s">
        <v>2294</v>
      </c>
      <c r="R285" s="141"/>
      <c r="S285" s="141"/>
      <c r="T285" s="141"/>
      <c r="U285" s="57"/>
      <c r="V285" s="57"/>
      <c r="W285" s="57"/>
      <c r="X285" s="57"/>
      <c r="Y285" s="57"/>
      <c r="Z285" s="57"/>
      <c r="AA285" s="57"/>
      <c r="AB285" s="57"/>
    </row>
    <row r="286">
      <c r="A286" s="349"/>
      <c r="B286" s="185" t="s">
        <v>3043</v>
      </c>
      <c r="C286" s="186" t="s">
        <v>3044</v>
      </c>
      <c r="D286" s="186">
        <v>1.0</v>
      </c>
      <c r="E286" s="186" t="s">
        <v>1840</v>
      </c>
      <c r="F286" s="117"/>
      <c r="G286" s="48"/>
      <c r="H286" s="48"/>
      <c r="I286" s="48"/>
      <c r="J286" s="203">
        <v>45929.0</v>
      </c>
      <c r="K286" s="380" t="s">
        <v>38</v>
      </c>
      <c r="L286" s="380">
        <v>489149.0</v>
      </c>
      <c r="M286" s="381">
        <v>156.51</v>
      </c>
      <c r="N286" s="193">
        <v>628142.0</v>
      </c>
      <c r="O286" s="382"/>
      <c r="P286" s="48"/>
      <c r="Q286" s="186" t="s">
        <v>2294</v>
      </c>
      <c r="R286" s="141"/>
      <c r="S286" s="141"/>
      <c r="T286" s="141"/>
      <c r="U286" s="57"/>
      <c r="V286" s="57"/>
      <c r="W286" s="57"/>
      <c r="X286" s="57"/>
      <c r="Y286" s="57"/>
      <c r="Z286" s="57"/>
      <c r="AA286" s="57"/>
      <c r="AB286" s="57"/>
    </row>
    <row r="287">
      <c r="A287" s="349"/>
      <c r="B287" s="185" t="s">
        <v>1544</v>
      </c>
      <c r="C287" s="186" t="s">
        <v>1545</v>
      </c>
      <c r="D287" s="186">
        <v>1.0</v>
      </c>
      <c r="E287" s="186" t="s">
        <v>1984</v>
      </c>
      <c r="F287" s="198" t="s">
        <v>35</v>
      </c>
      <c r="G287" s="48"/>
      <c r="H287" s="48"/>
      <c r="I287" s="48"/>
      <c r="J287" s="203">
        <v>45929.0</v>
      </c>
      <c r="K287" s="380" t="s">
        <v>38</v>
      </c>
      <c r="L287" s="380">
        <v>489149.0</v>
      </c>
      <c r="M287" s="381">
        <v>50.11</v>
      </c>
      <c r="N287" s="193">
        <v>628142.0</v>
      </c>
      <c r="O287" s="382"/>
      <c r="P287" s="48"/>
      <c r="Q287" s="117"/>
      <c r="R287" s="141"/>
      <c r="S287" s="141"/>
      <c r="T287" s="141"/>
      <c r="U287" s="57"/>
      <c r="V287" s="57"/>
      <c r="W287" s="57"/>
      <c r="X287" s="57"/>
      <c r="Y287" s="57"/>
      <c r="Z287" s="57"/>
      <c r="AA287" s="57"/>
      <c r="AB287" s="57"/>
    </row>
    <row r="288">
      <c r="A288" s="349"/>
      <c r="B288" s="185" t="s">
        <v>2960</v>
      </c>
      <c r="C288" s="186" t="s">
        <v>2961</v>
      </c>
      <c r="D288" s="186">
        <v>1.0</v>
      </c>
      <c r="E288" s="186" t="s">
        <v>1986</v>
      </c>
      <c r="F288" s="141"/>
      <c r="G288" s="48"/>
      <c r="H288" s="48"/>
      <c r="I288" s="48"/>
      <c r="J288" s="203">
        <v>45929.0</v>
      </c>
      <c r="K288" s="380" t="s">
        <v>38</v>
      </c>
      <c r="L288" s="380">
        <v>489149.0</v>
      </c>
      <c r="M288" s="381">
        <v>73.48</v>
      </c>
      <c r="N288" s="193">
        <v>628142.0</v>
      </c>
      <c r="O288" s="382"/>
      <c r="P288" s="48"/>
      <c r="Q288" s="117"/>
      <c r="R288" s="141"/>
      <c r="S288" s="141"/>
      <c r="T288" s="141"/>
      <c r="U288" s="57"/>
      <c r="V288" s="57"/>
      <c r="W288" s="57"/>
      <c r="X288" s="57"/>
      <c r="Y288" s="57"/>
      <c r="Z288" s="57"/>
      <c r="AA288" s="57"/>
      <c r="AB288" s="57"/>
    </row>
    <row r="289">
      <c r="A289" s="349"/>
      <c r="B289" s="185" t="s">
        <v>2960</v>
      </c>
      <c r="C289" s="186" t="s">
        <v>2961</v>
      </c>
      <c r="D289" s="186">
        <v>1.0</v>
      </c>
      <c r="E289" s="186" t="s">
        <v>1987</v>
      </c>
      <c r="F289" s="117"/>
      <c r="G289" s="48"/>
      <c r="H289" s="48"/>
      <c r="I289" s="48"/>
      <c r="J289" s="203">
        <v>45929.0</v>
      </c>
      <c r="K289" s="380" t="s">
        <v>38</v>
      </c>
      <c r="L289" s="380">
        <v>489149.0</v>
      </c>
      <c r="M289" s="381">
        <v>88.87</v>
      </c>
      <c r="N289" s="193">
        <v>628142.0</v>
      </c>
      <c r="O289" s="382"/>
      <c r="P289" s="48"/>
      <c r="Q289" s="186" t="s">
        <v>2294</v>
      </c>
      <c r="R289" s="141"/>
      <c r="S289" s="141"/>
      <c r="T289" s="141"/>
      <c r="U289" s="57"/>
      <c r="V289" s="57"/>
      <c r="W289" s="57"/>
      <c r="X289" s="57"/>
      <c r="Y289" s="57"/>
      <c r="Z289" s="57"/>
      <c r="AA289" s="57"/>
      <c r="AB289" s="57"/>
    </row>
    <row r="290">
      <c r="A290" s="349"/>
      <c r="B290" s="185" t="s">
        <v>3045</v>
      </c>
      <c r="C290" s="186" t="s">
        <v>3046</v>
      </c>
      <c r="D290" s="186">
        <v>1.0</v>
      </c>
      <c r="E290" s="186" t="s">
        <v>678</v>
      </c>
      <c r="F290" s="186" t="s">
        <v>3047</v>
      </c>
      <c r="G290" s="48"/>
      <c r="H290" s="48"/>
      <c r="I290" s="48"/>
      <c r="J290" s="203">
        <v>45929.0</v>
      </c>
      <c r="K290" s="380" t="s">
        <v>38</v>
      </c>
      <c r="L290" s="380">
        <v>489149.0</v>
      </c>
      <c r="M290" s="381">
        <v>95.62</v>
      </c>
      <c r="N290" s="193">
        <v>628142.0</v>
      </c>
      <c r="O290" s="382"/>
      <c r="P290" s="48"/>
      <c r="Q290" s="186" t="s">
        <v>2294</v>
      </c>
      <c r="R290" s="141"/>
      <c r="S290" s="141"/>
      <c r="T290" s="141"/>
      <c r="U290" s="57"/>
      <c r="V290" s="57"/>
      <c r="W290" s="57"/>
      <c r="X290" s="57"/>
      <c r="Y290" s="57"/>
      <c r="Z290" s="57"/>
      <c r="AA290" s="57"/>
      <c r="AB290" s="57"/>
    </row>
    <row r="291">
      <c r="A291" s="349"/>
      <c r="B291" s="185" t="s">
        <v>2602</v>
      </c>
      <c r="C291" s="186" t="s">
        <v>3048</v>
      </c>
      <c r="D291" s="186">
        <v>1.0</v>
      </c>
      <c r="E291" s="186" t="s">
        <v>1988</v>
      </c>
      <c r="F291" s="198" t="s">
        <v>3049</v>
      </c>
      <c r="G291" s="48"/>
      <c r="H291" s="48"/>
      <c r="I291" s="48"/>
      <c r="J291" s="203">
        <v>45929.0</v>
      </c>
      <c r="K291" s="380" t="s">
        <v>38</v>
      </c>
      <c r="L291" s="380">
        <v>489149.0</v>
      </c>
      <c r="M291" s="381">
        <v>58.9</v>
      </c>
      <c r="N291" s="193">
        <v>628142.0</v>
      </c>
      <c r="O291" s="382"/>
      <c r="P291" s="48"/>
      <c r="Q291" s="186" t="s">
        <v>2294</v>
      </c>
      <c r="R291" s="141"/>
      <c r="S291" s="141"/>
      <c r="T291" s="141"/>
      <c r="U291" s="57"/>
      <c r="V291" s="57"/>
      <c r="W291" s="57"/>
      <c r="X291" s="57"/>
      <c r="Y291" s="57"/>
      <c r="Z291" s="57"/>
      <c r="AA291" s="57"/>
      <c r="AB291" s="57"/>
    </row>
    <row r="292">
      <c r="A292" s="349"/>
      <c r="B292" s="185" t="s">
        <v>2602</v>
      </c>
      <c r="C292" s="198" t="s">
        <v>3048</v>
      </c>
      <c r="D292" s="186">
        <v>1.0</v>
      </c>
      <c r="E292" s="186" t="s">
        <v>1989</v>
      </c>
      <c r="F292" s="117"/>
      <c r="G292" s="48"/>
      <c r="H292" s="48"/>
      <c r="I292" s="48"/>
      <c r="J292" s="203">
        <v>45929.0</v>
      </c>
      <c r="K292" s="380" t="s">
        <v>38</v>
      </c>
      <c r="L292" s="380">
        <v>489149.0</v>
      </c>
      <c r="M292" s="381">
        <v>58.9</v>
      </c>
      <c r="N292" s="193" t="s">
        <v>59</v>
      </c>
      <c r="O292" s="382"/>
      <c r="P292" s="48"/>
      <c r="Q292" s="186" t="s">
        <v>59</v>
      </c>
      <c r="R292" s="141"/>
      <c r="S292" s="141"/>
      <c r="T292" s="141"/>
      <c r="U292" s="57"/>
      <c r="V292" s="57"/>
      <c r="W292" s="57"/>
      <c r="X292" s="57"/>
      <c r="Y292" s="57"/>
      <c r="Z292" s="57"/>
      <c r="AA292" s="57"/>
      <c r="AB292" s="57"/>
    </row>
    <row r="293">
      <c r="A293" s="349"/>
      <c r="B293" s="185" t="s">
        <v>578</v>
      </c>
      <c r="C293" s="141"/>
      <c r="D293" s="186">
        <v>1.0</v>
      </c>
      <c r="E293" s="186" t="s">
        <v>1825</v>
      </c>
      <c r="F293" s="186" t="s">
        <v>540</v>
      </c>
      <c r="G293" s="48"/>
      <c r="H293" s="48"/>
      <c r="I293" s="48"/>
      <c r="J293" s="203">
        <v>45929.0</v>
      </c>
      <c r="K293" s="380" t="s">
        <v>38</v>
      </c>
      <c r="L293" s="380">
        <v>489149.0</v>
      </c>
      <c r="M293" s="381">
        <v>50.11</v>
      </c>
      <c r="N293" s="193">
        <v>628142.0</v>
      </c>
      <c r="O293" s="382"/>
      <c r="P293" s="48"/>
      <c r="Q293" s="186" t="s">
        <v>2294</v>
      </c>
      <c r="R293" s="141"/>
      <c r="S293" s="141"/>
      <c r="T293" s="141"/>
      <c r="U293" s="57"/>
      <c r="V293" s="57"/>
      <c r="W293" s="57"/>
      <c r="X293" s="57"/>
      <c r="Y293" s="57"/>
      <c r="Z293" s="57"/>
      <c r="AA293" s="57"/>
      <c r="AB293" s="57"/>
    </row>
    <row r="294">
      <c r="A294" s="349"/>
      <c r="B294" s="185" t="s">
        <v>3050</v>
      </c>
      <c r="C294" s="117"/>
      <c r="D294" s="186">
        <v>1.0</v>
      </c>
      <c r="E294" s="186" t="s">
        <v>1990</v>
      </c>
      <c r="F294" s="186" t="s">
        <v>2773</v>
      </c>
      <c r="G294" s="48"/>
      <c r="H294" s="48"/>
      <c r="I294" s="48"/>
      <c r="J294" s="203">
        <v>45929.0</v>
      </c>
      <c r="K294" s="380" t="s">
        <v>38</v>
      </c>
      <c r="L294" s="380">
        <v>489149.0</v>
      </c>
      <c r="M294" s="381">
        <v>39.9</v>
      </c>
      <c r="N294" s="193">
        <v>628142.0</v>
      </c>
      <c r="O294" s="382"/>
      <c r="P294" s="47"/>
      <c r="Q294" s="186" t="s">
        <v>2294</v>
      </c>
      <c r="R294" s="141"/>
      <c r="S294" s="141"/>
      <c r="T294" s="141"/>
      <c r="U294" s="57"/>
      <c r="V294" s="57"/>
      <c r="W294" s="57"/>
      <c r="X294" s="57"/>
      <c r="Y294" s="57"/>
      <c r="Z294" s="57"/>
      <c r="AA294" s="57"/>
      <c r="AB294" s="57"/>
    </row>
    <row r="295">
      <c r="A295" s="349"/>
      <c r="B295" s="185" t="s">
        <v>3051</v>
      </c>
      <c r="C295" s="186" t="s">
        <v>3052</v>
      </c>
      <c r="D295" s="186">
        <v>1.0</v>
      </c>
      <c r="E295" s="186" t="s">
        <v>1991</v>
      </c>
      <c r="F295" s="186" t="s">
        <v>35</v>
      </c>
      <c r="G295" s="48"/>
      <c r="H295" s="48"/>
      <c r="I295" s="48"/>
      <c r="J295" s="203">
        <v>45929.0</v>
      </c>
      <c r="K295" s="380" t="s">
        <v>38</v>
      </c>
      <c r="L295" s="380">
        <v>489149.0</v>
      </c>
      <c r="M295" s="381">
        <v>19.0</v>
      </c>
      <c r="N295" s="193">
        <v>628142.0</v>
      </c>
      <c r="O295" s="382"/>
      <c r="P295" s="47"/>
      <c r="Q295" s="186" t="s">
        <v>2294</v>
      </c>
      <c r="R295" s="141"/>
      <c r="S295" s="141"/>
      <c r="T295" s="141"/>
      <c r="U295" s="57"/>
      <c r="V295" s="57"/>
      <c r="W295" s="57"/>
      <c r="X295" s="57"/>
      <c r="Y295" s="57"/>
      <c r="Z295" s="57"/>
      <c r="AA295" s="57"/>
      <c r="AB295" s="57"/>
    </row>
    <row r="296">
      <c r="A296" s="349"/>
      <c r="B296" s="185" t="s">
        <v>3053</v>
      </c>
      <c r="C296" s="186" t="s">
        <v>3054</v>
      </c>
      <c r="D296" s="186">
        <v>1.0</v>
      </c>
      <c r="E296" s="186" t="s">
        <v>1993</v>
      </c>
      <c r="F296" s="186" t="s">
        <v>3055</v>
      </c>
      <c r="G296" s="48"/>
      <c r="H296" s="48"/>
      <c r="I296" s="48"/>
      <c r="J296" s="203">
        <v>45929.0</v>
      </c>
      <c r="K296" s="380" t="s">
        <v>38</v>
      </c>
      <c r="L296" s="380">
        <v>489149.0</v>
      </c>
      <c r="M296" s="381">
        <v>77.43</v>
      </c>
      <c r="N296" s="193">
        <v>628142.0</v>
      </c>
      <c r="O296" s="382"/>
      <c r="P296" s="47"/>
      <c r="Q296" s="117"/>
      <c r="R296" s="141"/>
      <c r="S296" s="141"/>
      <c r="T296" s="141"/>
      <c r="U296" s="57"/>
      <c r="V296" s="57"/>
      <c r="W296" s="57"/>
      <c r="X296" s="57"/>
      <c r="Y296" s="57"/>
      <c r="Z296" s="57"/>
      <c r="AA296" s="57"/>
      <c r="AB296" s="57"/>
    </row>
    <row r="297">
      <c r="A297" s="349"/>
      <c r="B297" s="185" t="s">
        <v>2712</v>
      </c>
      <c r="C297" s="186" t="s">
        <v>2713</v>
      </c>
      <c r="D297" s="186">
        <v>1.0</v>
      </c>
      <c r="E297" s="186" t="s">
        <v>1994</v>
      </c>
      <c r="F297" s="186" t="s">
        <v>2916</v>
      </c>
      <c r="G297" s="48"/>
      <c r="H297" s="48"/>
      <c r="I297" s="48"/>
      <c r="J297" s="203">
        <v>45929.0</v>
      </c>
      <c r="K297" s="380" t="s">
        <v>38</v>
      </c>
      <c r="L297" s="380">
        <v>489149.0</v>
      </c>
      <c r="M297" s="381">
        <v>50.11</v>
      </c>
      <c r="N297" s="193">
        <v>628142.0</v>
      </c>
      <c r="O297" s="382"/>
      <c r="P297" s="47"/>
      <c r="Q297" s="186" t="s">
        <v>2294</v>
      </c>
      <c r="R297" s="141"/>
      <c r="S297" s="141"/>
      <c r="T297" s="141"/>
      <c r="U297" s="57"/>
      <c r="V297" s="57"/>
      <c r="W297" s="57"/>
      <c r="X297" s="57"/>
      <c r="Y297" s="57"/>
      <c r="Z297" s="57"/>
      <c r="AA297" s="57"/>
      <c r="AB297" s="57"/>
    </row>
    <row r="298">
      <c r="A298" s="349"/>
      <c r="B298" s="185" t="s">
        <v>2712</v>
      </c>
      <c r="C298" s="198" t="s">
        <v>2713</v>
      </c>
      <c r="D298" s="186">
        <v>1.0</v>
      </c>
      <c r="E298" s="186" t="s">
        <v>1995</v>
      </c>
      <c r="F298" s="198" t="s">
        <v>2916</v>
      </c>
      <c r="G298" s="48"/>
      <c r="H298" s="48"/>
      <c r="I298" s="48"/>
      <c r="J298" s="203">
        <v>45929.0</v>
      </c>
      <c r="K298" s="380" t="s">
        <v>38</v>
      </c>
      <c r="L298" s="380">
        <v>489149.0</v>
      </c>
      <c r="M298" s="381">
        <v>17.1</v>
      </c>
      <c r="N298" s="193">
        <v>628142.0</v>
      </c>
      <c r="O298" s="382"/>
      <c r="P298" s="48"/>
      <c r="Q298" s="186" t="s">
        <v>2294</v>
      </c>
      <c r="R298" s="141"/>
      <c r="S298" s="141"/>
      <c r="T298" s="141"/>
      <c r="U298" s="57"/>
      <c r="V298" s="57"/>
      <c r="W298" s="57"/>
      <c r="X298" s="57"/>
      <c r="Y298" s="57"/>
      <c r="Z298" s="57"/>
      <c r="AA298" s="57"/>
      <c r="AB298" s="57"/>
    </row>
    <row r="299">
      <c r="A299" s="349"/>
      <c r="B299" s="185" t="s">
        <v>53</v>
      </c>
      <c r="C299" s="117"/>
      <c r="D299" s="186">
        <v>1.0</v>
      </c>
      <c r="E299" s="186" t="s">
        <v>745</v>
      </c>
      <c r="F299" s="141"/>
      <c r="G299" s="48"/>
      <c r="H299" s="48"/>
      <c r="I299" s="48"/>
      <c r="J299" s="203">
        <v>45929.0</v>
      </c>
      <c r="K299" s="380" t="s">
        <v>38</v>
      </c>
      <c r="L299" s="380">
        <v>489149.0</v>
      </c>
      <c r="M299" s="381">
        <v>8.88</v>
      </c>
      <c r="N299" s="193">
        <v>628142.0</v>
      </c>
      <c r="O299" s="382"/>
      <c r="P299" s="48"/>
      <c r="Q299" s="117"/>
      <c r="R299" s="141"/>
      <c r="S299" s="141"/>
      <c r="T299" s="141"/>
      <c r="U299" s="57"/>
      <c r="V299" s="57"/>
      <c r="W299" s="57"/>
      <c r="X299" s="57"/>
      <c r="Y299" s="57"/>
      <c r="Z299" s="57"/>
      <c r="AA299" s="57"/>
      <c r="AB299" s="57"/>
    </row>
    <row r="300">
      <c r="A300" s="349"/>
      <c r="B300" s="185" t="s">
        <v>3056</v>
      </c>
      <c r="C300" s="198" t="s">
        <v>3057</v>
      </c>
      <c r="D300" s="186">
        <v>1.0</v>
      </c>
      <c r="E300" s="186" t="s">
        <v>1996</v>
      </c>
      <c r="F300" s="141"/>
      <c r="G300" s="48"/>
      <c r="H300" s="48"/>
      <c r="I300" s="48"/>
      <c r="J300" s="203">
        <v>45929.0</v>
      </c>
      <c r="K300" s="380" t="s">
        <v>38</v>
      </c>
      <c r="L300" s="380" t="s">
        <v>1044</v>
      </c>
      <c r="M300" s="381">
        <v>42.47</v>
      </c>
      <c r="N300" s="193">
        <v>628278.0</v>
      </c>
      <c r="O300" s="382"/>
      <c r="P300" s="48"/>
      <c r="Q300" s="186" t="s">
        <v>2294</v>
      </c>
      <c r="R300" s="141"/>
      <c r="S300" s="141"/>
      <c r="T300" s="141"/>
      <c r="U300" s="57"/>
      <c r="V300" s="57"/>
      <c r="W300" s="57"/>
      <c r="X300" s="57"/>
      <c r="Y300" s="57"/>
      <c r="Z300" s="57"/>
      <c r="AA300" s="57"/>
      <c r="AB300" s="57"/>
    </row>
    <row r="301">
      <c r="A301" s="349"/>
      <c r="B301" s="185" t="s">
        <v>334</v>
      </c>
      <c r="C301" s="141"/>
      <c r="D301" s="186">
        <v>1.0</v>
      </c>
      <c r="E301" s="186" t="s">
        <v>1997</v>
      </c>
      <c r="F301" s="198" t="s">
        <v>3058</v>
      </c>
      <c r="G301" s="48"/>
      <c r="H301" s="48"/>
      <c r="I301" s="48"/>
      <c r="J301" s="203">
        <v>45929.0</v>
      </c>
      <c r="K301" s="380" t="s">
        <v>38</v>
      </c>
      <c r="L301" s="380" t="s">
        <v>1044</v>
      </c>
      <c r="M301" s="381">
        <v>73.15</v>
      </c>
      <c r="N301" s="193">
        <v>628278.0</v>
      </c>
      <c r="O301" s="382"/>
      <c r="P301" s="48"/>
      <c r="Q301" s="186" t="s">
        <v>59</v>
      </c>
      <c r="R301" s="141"/>
      <c r="S301" s="141"/>
      <c r="T301" s="141"/>
      <c r="U301" s="57"/>
      <c r="V301" s="57"/>
      <c r="W301" s="57"/>
      <c r="X301" s="57"/>
      <c r="Y301" s="57"/>
      <c r="Z301" s="57"/>
      <c r="AA301" s="57"/>
      <c r="AB301" s="57"/>
    </row>
    <row r="302">
      <c r="A302" s="349"/>
      <c r="B302" s="185" t="s">
        <v>334</v>
      </c>
      <c r="C302" s="117"/>
      <c r="D302" s="186">
        <v>1.0</v>
      </c>
      <c r="E302" s="186" t="s">
        <v>1998</v>
      </c>
      <c r="F302" s="117"/>
      <c r="G302" s="48"/>
      <c r="H302" s="48"/>
      <c r="I302" s="48"/>
      <c r="J302" s="203">
        <v>45929.0</v>
      </c>
      <c r="K302" s="380" t="s">
        <v>38</v>
      </c>
      <c r="L302" s="380" t="s">
        <v>1044</v>
      </c>
      <c r="M302" s="381">
        <v>73.15</v>
      </c>
      <c r="N302" s="193">
        <v>628278.0</v>
      </c>
      <c r="O302" s="382"/>
      <c r="P302" s="48"/>
      <c r="Q302" s="186" t="s">
        <v>2294</v>
      </c>
      <c r="R302" s="141"/>
      <c r="S302" s="141"/>
      <c r="T302" s="141"/>
      <c r="U302" s="57"/>
      <c r="V302" s="57"/>
      <c r="W302" s="57"/>
      <c r="X302" s="57"/>
      <c r="Y302" s="57"/>
      <c r="Z302" s="57"/>
      <c r="AA302" s="57"/>
      <c r="AB302" s="57"/>
    </row>
    <row r="303">
      <c r="A303" s="349"/>
      <c r="B303" s="185" t="s">
        <v>3051</v>
      </c>
      <c r="C303" s="198" t="s">
        <v>3052</v>
      </c>
      <c r="D303" s="186">
        <v>1.0</v>
      </c>
      <c r="E303" s="186" t="s">
        <v>844</v>
      </c>
      <c r="F303" s="186" t="s">
        <v>35</v>
      </c>
      <c r="G303" s="48"/>
      <c r="H303" s="48"/>
      <c r="I303" s="48"/>
      <c r="J303" s="203">
        <v>45929.0</v>
      </c>
      <c r="K303" s="380" t="s">
        <v>38</v>
      </c>
      <c r="L303" s="380" t="s">
        <v>1044</v>
      </c>
      <c r="M303" s="381">
        <v>95.62</v>
      </c>
      <c r="N303" s="193">
        <v>628278.0</v>
      </c>
      <c r="O303" s="382"/>
      <c r="P303" s="48"/>
      <c r="Q303" s="186" t="s">
        <v>2294</v>
      </c>
      <c r="R303" s="141"/>
      <c r="S303" s="141"/>
      <c r="T303" s="141"/>
      <c r="U303" s="57"/>
      <c r="V303" s="57"/>
      <c r="W303" s="57"/>
      <c r="X303" s="57"/>
      <c r="Y303" s="57"/>
      <c r="Z303" s="57"/>
      <c r="AA303" s="57"/>
      <c r="AB303" s="57"/>
    </row>
    <row r="304">
      <c r="A304" s="349"/>
      <c r="B304" s="349"/>
      <c r="C304" s="141"/>
      <c r="D304" s="117"/>
      <c r="E304" s="117"/>
      <c r="F304" s="117"/>
      <c r="G304" s="48"/>
      <c r="H304" s="48"/>
      <c r="I304" s="48"/>
      <c r="J304" s="118"/>
      <c r="K304" s="197"/>
      <c r="L304" s="197"/>
      <c r="M304" s="388"/>
      <c r="N304" s="220"/>
      <c r="O304" s="382"/>
      <c r="P304" s="48"/>
      <c r="Q304" s="141"/>
      <c r="R304" s="141"/>
      <c r="S304" s="141"/>
      <c r="T304" s="141"/>
      <c r="U304" s="57"/>
      <c r="V304" s="57"/>
      <c r="W304" s="57"/>
      <c r="X304" s="57"/>
      <c r="Y304" s="57"/>
      <c r="Z304" s="57"/>
      <c r="AA304" s="57"/>
      <c r="AB304" s="57"/>
    </row>
    <row r="305">
      <c r="A305" s="349"/>
      <c r="B305" s="349"/>
      <c r="C305" s="141"/>
      <c r="D305" s="117"/>
      <c r="E305" s="117"/>
      <c r="F305" s="141"/>
      <c r="G305" s="48"/>
      <c r="H305" s="48"/>
      <c r="I305" s="48"/>
      <c r="J305" s="118"/>
      <c r="K305" s="197"/>
      <c r="L305" s="197"/>
      <c r="M305" s="388"/>
      <c r="N305" s="197"/>
      <c r="O305" s="382"/>
      <c r="P305" s="48"/>
      <c r="Q305" s="141"/>
      <c r="R305" s="141"/>
      <c r="S305" s="141"/>
      <c r="T305" s="141"/>
      <c r="U305" s="57"/>
      <c r="V305" s="57"/>
      <c r="W305" s="57"/>
      <c r="X305" s="57"/>
      <c r="Y305" s="57"/>
      <c r="Z305" s="57"/>
      <c r="AA305" s="57"/>
      <c r="AB305" s="57"/>
    </row>
    <row r="306">
      <c r="A306" s="349"/>
      <c r="B306" s="349"/>
      <c r="C306" s="117"/>
      <c r="D306" s="117"/>
      <c r="E306" s="117"/>
      <c r="F306" s="141"/>
      <c r="G306" s="48"/>
      <c r="H306" s="48"/>
      <c r="I306" s="48"/>
      <c r="J306" s="118"/>
      <c r="K306" s="197"/>
      <c r="L306" s="197"/>
      <c r="M306" s="388"/>
      <c r="N306" s="197"/>
      <c r="O306" s="382"/>
      <c r="P306" s="48"/>
      <c r="Q306" s="141"/>
      <c r="R306" s="141"/>
      <c r="S306" s="141"/>
      <c r="T306" s="141"/>
      <c r="U306" s="57"/>
      <c r="V306" s="57"/>
      <c r="W306" s="57"/>
      <c r="X306" s="57"/>
      <c r="Y306" s="57"/>
      <c r="Z306" s="57"/>
      <c r="AA306" s="57"/>
      <c r="AB306" s="57"/>
    </row>
    <row r="307">
      <c r="A307" s="349"/>
      <c r="B307" s="349"/>
      <c r="C307" s="117"/>
      <c r="D307" s="117"/>
      <c r="E307" s="117"/>
      <c r="F307" s="141"/>
      <c r="G307" s="48"/>
      <c r="H307" s="48"/>
      <c r="I307" s="48"/>
      <c r="J307" s="118"/>
      <c r="K307" s="197"/>
      <c r="L307" s="197"/>
      <c r="M307" s="388"/>
      <c r="N307" s="197"/>
      <c r="O307" s="382"/>
      <c r="P307" s="48"/>
      <c r="Q307" s="141"/>
      <c r="R307" s="141"/>
      <c r="S307" s="141"/>
      <c r="T307" s="141"/>
      <c r="U307" s="57"/>
      <c r="V307" s="57"/>
      <c r="W307" s="57"/>
      <c r="X307" s="57"/>
      <c r="Y307" s="57"/>
      <c r="Z307" s="57"/>
      <c r="AA307" s="57"/>
      <c r="AB307" s="57"/>
    </row>
    <row r="308">
      <c r="A308" s="349"/>
      <c r="B308" s="349"/>
      <c r="C308" s="117"/>
      <c r="D308" s="117"/>
      <c r="E308" s="117"/>
      <c r="F308" s="117"/>
      <c r="G308" s="48"/>
      <c r="H308" s="48"/>
      <c r="I308" s="48"/>
      <c r="J308" s="118"/>
      <c r="K308" s="197"/>
      <c r="L308" s="197"/>
      <c r="M308" s="388"/>
      <c r="N308" s="197"/>
      <c r="O308" s="382"/>
      <c r="P308" s="48"/>
      <c r="Q308" s="141"/>
      <c r="R308" s="141"/>
      <c r="S308" s="141"/>
      <c r="T308" s="141"/>
      <c r="U308" s="57"/>
      <c r="V308" s="57"/>
      <c r="W308" s="57"/>
      <c r="X308" s="57"/>
      <c r="Y308" s="57"/>
      <c r="Z308" s="57"/>
      <c r="AA308" s="57"/>
      <c r="AB308" s="57"/>
    </row>
    <row r="309">
      <c r="A309" s="349"/>
      <c r="B309" s="349"/>
      <c r="C309" s="117"/>
      <c r="D309" s="117"/>
      <c r="E309" s="117"/>
      <c r="F309" s="141"/>
      <c r="G309" s="48"/>
      <c r="H309" s="48"/>
      <c r="I309" s="48"/>
      <c r="J309" s="118"/>
      <c r="K309" s="197"/>
      <c r="L309" s="197"/>
      <c r="M309" s="388"/>
      <c r="N309" s="197"/>
      <c r="O309" s="382"/>
      <c r="P309" s="48"/>
      <c r="Q309" s="141"/>
      <c r="R309" s="141"/>
      <c r="S309" s="141"/>
      <c r="T309" s="141"/>
      <c r="U309" s="57"/>
      <c r="V309" s="57"/>
      <c r="W309" s="57"/>
      <c r="X309" s="57"/>
      <c r="Y309" s="57"/>
      <c r="Z309" s="57"/>
      <c r="AA309" s="57"/>
      <c r="AB309" s="57"/>
    </row>
    <row r="310">
      <c r="A310" s="349"/>
      <c r="B310" s="349"/>
      <c r="C310" s="117"/>
      <c r="D310" s="117"/>
      <c r="E310" s="117"/>
      <c r="F310" s="186"/>
      <c r="G310" s="48"/>
      <c r="H310" s="48"/>
      <c r="I310" s="48"/>
      <c r="J310" s="118"/>
      <c r="K310" s="197"/>
      <c r="L310" s="197"/>
      <c r="M310" s="388"/>
      <c r="N310" s="197"/>
      <c r="O310" s="382"/>
      <c r="P310" s="47"/>
      <c r="Q310" s="141"/>
      <c r="R310" s="141"/>
      <c r="S310" s="141"/>
      <c r="T310" s="141"/>
      <c r="U310" s="57"/>
      <c r="V310" s="57"/>
      <c r="W310" s="57"/>
      <c r="X310" s="57"/>
      <c r="Y310" s="57"/>
      <c r="Z310" s="57"/>
      <c r="AA310" s="57"/>
      <c r="AB310" s="57"/>
    </row>
    <row r="311">
      <c r="A311" s="349"/>
      <c r="B311" s="349"/>
      <c r="C311" s="117"/>
      <c r="D311" s="117"/>
      <c r="E311" s="117"/>
      <c r="F311" s="117"/>
      <c r="G311" s="48"/>
      <c r="H311" s="48"/>
      <c r="I311" s="48"/>
      <c r="J311" s="118"/>
      <c r="K311" s="197"/>
      <c r="L311" s="197"/>
      <c r="M311" s="388"/>
      <c r="N311" s="197"/>
      <c r="O311" s="382"/>
      <c r="P311" s="48"/>
      <c r="Q311" s="141"/>
      <c r="R311" s="141"/>
      <c r="S311" s="141"/>
      <c r="T311" s="141"/>
      <c r="U311" s="57"/>
      <c r="V311" s="57"/>
      <c r="W311" s="57"/>
      <c r="X311" s="57"/>
      <c r="Y311" s="57"/>
      <c r="Z311" s="57"/>
      <c r="AA311" s="57"/>
      <c r="AB311" s="57"/>
    </row>
    <row r="312">
      <c r="A312" s="349"/>
      <c r="B312" s="349"/>
      <c r="C312" s="117"/>
      <c r="D312" s="117"/>
      <c r="E312" s="117"/>
      <c r="F312" s="186"/>
      <c r="G312" s="48"/>
      <c r="H312" s="48"/>
      <c r="I312" s="48"/>
      <c r="J312" s="118"/>
      <c r="K312" s="197"/>
      <c r="L312" s="197"/>
      <c r="M312" s="388"/>
      <c r="N312" s="197"/>
      <c r="O312" s="382"/>
      <c r="P312" s="48"/>
      <c r="Q312" s="141"/>
      <c r="R312" s="141"/>
      <c r="S312" s="141"/>
      <c r="T312" s="141"/>
      <c r="U312" s="57"/>
      <c r="V312" s="57"/>
      <c r="W312" s="57"/>
      <c r="X312" s="57"/>
      <c r="Y312" s="57"/>
      <c r="Z312" s="57"/>
      <c r="AA312" s="57"/>
      <c r="AB312" s="57"/>
    </row>
    <row r="313">
      <c r="A313" s="349"/>
      <c r="B313" s="349"/>
      <c r="C313" s="141"/>
      <c r="D313" s="117"/>
      <c r="E313" s="117"/>
      <c r="F313" s="141"/>
      <c r="G313" s="48"/>
      <c r="H313" s="48"/>
      <c r="I313" s="48"/>
      <c r="J313" s="118"/>
      <c r="K313" s="197"/>
      <c r="L313" s="197"/>
      <c r="M313" s="388"/>
      <c r="N313" s="197"/>
      <c r="O313" s="382"/>
      <c r="P313" s="48"/>
      <c r="Q313" s="141"/>
      <c r="R313" s="141"/>
      <c r="S313" s="141"/>
      <c r="T313" s="141"/>
      <c r="U313" s="57"/>
      <c r="V313" s="57"/>
      <c r="W313" s="57"/>
      <c r="X313" s="57"/>
      <c r="Y313" s="57"/>
      <c r="Z313" s="57"/>
      <c r="AA313" s="57"/>
      <c r="AB313" s="57"/>
    </row>
    <row r="314">
      <c r="A314" s="349"/>
      <c r="B314" s="349"/>
      <c r="C314" s="117"/>
      <c r="D314" s="117"/>
      <c r="E314" s="117"/>
      <c r="F314" s="141"/>
      <c r="G314" s="48"/>
      <c r="H314" s="48"/>
      <c r="I314" s="48"/>
      <c r="J314" s="118"/>
      <c r="K314" s="197"/>
      <c r="L314" s="197"/>
      <c r="M314" s="388"/>
      <c r="N314" s="197"/>
      <c r="O314" s="382"/>
      <c r="P314" s="48"/>
      <c r="Q314" s="141"/>
      <c r="R314" s="141"/>
      <c r="S314" s="141"/>
      <c r="T314" s="141"/>
      <c r="U314" s="57"/>
      <c r="V314" s="57"/>
      <c r="W314" s="57"/>
      <c r="X314" s="57"/>
      <c r="Y314" s="57"/>
      <c r="Z314" s="57"/>
      <c r="AA314" s="57"/>
      <c r="AB314" s="57"/>
    </row>
    <row r="315">
      <c r="A315" s="141"/>
      <c r="B315" s="141"/>
      <c r="C315" s="141"/>
      <c r="D315" s="117"/>
      <c r="E315" s="389"/>
      <c r="F315" s="141"/>
      <c r="G315" s="48"/>
      <c r="H315" s="48"/>
      <c r="I315" s="48"/>
      <c r="J315" s="118"/>
      <c r="K315" s="197"/>
      <c r="L315" s="197"/>
      <c r="M315" s="388"/>
      <c r="N315" s="197"/>
      <c r="O315" s="382"/>
      <c r="P315" s="48"/>
      <c r="Q315" s="141"/>
      <c r="R315" s="141"/>
      <c r="S315" s="141"/>
      <c r="T315" s="141"/>
      <c r="U315" s="57"/>
      <c r="V315" s="57"/>
      <c r="W315" s="57"/>
      <c r="X315" s="57"/>
      <c r="Y315" s="57"/>
      <c r="Z315" s="57"/>
      <c r="AA315" s="57"/>
      <c r="AB315" s="57"/>
    </row>
    <row r="316">
      <c r="A316" s="349"/>
      <c r="B316" s="349"/>
      <c r="C316" s="141"/>
      <c r="D316" s="119"/>
      <c r="E316" s="389"/>
      <c r="F316" s="141"/>
      <c r="G316" s="48"/>
      <c r="H316" s="48"/>
      <c r="I316" s="48"/>
      <c r="J316" s="118"/>
      <c r="K316" s="197"/>
      <c r="L316" s="197"/>
      <c r="M316" s="388"/>
      <c r="N316" s="197"/>
      <c r="O316" s="382"/>
      <c r="P316" s="48"/>
      <c r="Q316" s="141"/>
      <c r="R316" s="141"/>
      <c r="S316" s="141"/>
      <c r="T316" s="141"/>
      <c r="U316" s="57"/>
      <c r="V316" s="57"/>
      <c r="W316" s="57"/>
      <c r="X316" s="57"/>
      <c r="Y316" s="57"/>
      <c r="Z316" s="57"/>
      <c r="AA316" s="57"/>
      <c r="AB316" s="57"/>
    </row>
    <row r="317">
      <c r="A317" s="349"/>
      <c r="B317" s="349"/>
      <c r="C317" s="117"/>
      <c r="D317" s="117"/>
      <c r="E317" s="117"/>
      <c r="F317" s="117"/>
      <c r="G317" s="48"/>
      <c r="H317" s="48"/>
      <c r="I317" s="48"/>
      <c r="J317" s="118"/>
      <c r="K317" s="197"/>
      <c r="L317" s="197"/>
      <c r="M317" s="388"/>
      <c r="N317" s="197"/>
      <c r="O317" s="382"/>
      <c r="P317" s="48"/>
      <c r="Q317" s="141"/>
      <c r="R317" s="141"/>
      <c r="S317" s="141"/>
      <c r="T317" s="141"/>
      <c r="U317" s="57"/>
      <c r="V317" s="57"/>
      <c r="W317" s="57"/>
      <c r="X317" s="57"/>
      <c r="Y317" s="57"/>
      <c r="Z317" s="57"/>
      <c r="AA317" s="57"/>
      <c r="AB317" s="57"/>
    </row>
    <row r="318">
      <c r="A318" s="349"/>
      <c r="B318" s="349"/>
      <c r="C318" s="141"/>
      <c r="D318" s="117"/>
      <c r="E318" s="117"/>
      <c r="F318" s="141"/>
      <c r="G318" s="48"/>
      <c r="H318" s="48"/>
      <c r="I318" s="48"/>
      <c r="J318" s="383"/>
      <c r="K318" s="220"/>
      <c r="L318" s="220"/>
      <c r="M318" s="390"/>
      <c r="N318" s="220"/>
      <c r="O318" s="382"/>
      <c r="P318" s="141"/>
      <c r="Q318" s="48"/>
      <c r="R318" s="141"/>
      <c r="S318" s="141"/>
      <c r="T318" s="141"/>
      <c r="U318" s="57"/>
      <c r="V318" s="57"/>
      <c r="W318" s="57"/>
      <c r="X318" s="57"/>
      <c r="Y318" s="57"/>
      <c r="Z318" s="57"/>
      <c r="AA318" s="57"/>
      <c r="AB318" s="57"/>
    </row>
    <row r="319">
      <c r="A319" s="141"/>
      <c r="B319" s="141"/>
      <c r="C319" s="117"/>
      <c r="D319" s="117"/>
      <c r="E319" s="117"/>
      <c r="F319" s="141"/>
      <c r="G319" s="48"/>
      <c r="H319" s="141"/>
      <c r="I319" s="141"/>
      <c r="J319" s="383"/>
      <c r="K319" s="390"/>
      <c r="L319" s="220"/>
      <c r="M319" s="220"/>
      <c r="N319" s="220"/>
      <c r="O319" s="382"/>
      <c r="P319" s="141"/>
      <c r="Q319" s="141"/>
      <c r="R319" s="141"/>
      <c r="S319" s="141"/>
      <c r="T319" s="141"/>
      <c r="U319" s="57"/>
      <c r="V319" s="57"/>
      <c r="W319" s="57"/>
      <c r="X319" s="57"/>
      <c r="Y319" s="57"/>
      <c r="Z319" s="57"/>
      <c r="AA319" s="57"/>
      <c r="AB319" s="57"/>
    </row>
    <row r="320">
      <c r="A320" s="349"/>
      <c r="B320" s="349"/>
      <c r="C320" s="117"/>
      <c r="D320" s="117"/>
      <c r="E320" s="117"/>
      <c r="F320" s="141"/>
      <c r="G320" s="48"/>
      <c r="H320" s="141"/>
      <c r="I320" s="141"/>
      <c r="J320" s="383"/>
      <c r="K320" s="390"/>
      <c r="L320" s="220"/>
      <c r="M320" s="220"/>
      <c r="N320" s="220"/>
      <c r="O320" s="382"/>
      <c r="P320" s="141"/>
      <c r="Q320" s="141"/>
      <c r="R320" s="141"/>
      <c r="S320" s="141"/>
      <c r="T320" s="141"/>
      <c r="U320" s="57"/>
      <c r="V320" s="57"/>
      <c r="W320" s="57"/>
      <c r="X320" s="57"/>
      <c r="Y320" s="57"/>
      <c r="Z320" s="57"/>
      <c r="AA320" s="57"/>
      <c r="AB320" s="57"/>
    </row>
    <row r="321">
      <c r="A321" s="349"/>
      <c r="B321" s="349"/>
      <c r="C321" s="141"/>
      <c r="D321" s="117"/>
      <c r="E321" s="117"/>
      <c r="F321" s="141"/>
      <c r="G321" s="48"/>
      <c r="H321" s="141"/>
      <c r="I321" s="141"/>
      <c r="J321" s="383"/>
      <c r="K321" s="390"/>
      <c r="L321" s="220"/>
      <c r="M321" s="220"/>
      <c r="N321" s="220"/>
      <c r="O321" s="382"/>
      <c r="P321" s="141"/>
      <c r="Q321" s="141"/>
      <c r="R321" s="141"/>
      <c r="S321" s="141"/>
      <c r="T321" s="141"/>
      <c r="U321" s="57"/>
      <c r="V321" s="57"/>
      <c r="W321" s="57"/>
      <c r="X321" s="57"/>
      <c r="Y321" s="57"/>
      <c r="Z321" s="57"/>
      <c r="AA321" s="57"/>
      <c r="AB321" s="57"/>
    </row>
    <row r="322">
      <c r="A322" s="349"/>
      <c r="B322" s="349"/>
      <c r="C322" s="141"/>
      <c r="D322" s="117"/>
      <c r="E322" s="117"/>
      <c r="F322" s="141"/>
      <c r="G322" s="48"/>
      <c r="H322" s="141"/>
      <c r="I322" s="141"/>
      <c r="J322" s="383"/>
      <c r="K322" s="390"/>
      <c r="L322" s="220"/>
      <c r="M322" s="220"/>
      <c r="N322" s="220"/>
      <c r="O322" s="382"/>
      <c r="P322" s="141"/>
      <c r="Q322" s="141"/>
      <c r="R322" s="141"/>
      <c r="S322" s="141"/>
      <c r="T322" s="141"/>
      <c r="U322" s="57"/>
      <c r="V322" s="57"/>
      <c r="W322" s="57"/>
      <c r="X322" s="57"/>
      <c r="Y322" s="57"/>
      <c r="Z322" s="57"/>
      <c r="AA322" s="57"/>
      <c r="AB322" s="57"/>
    </row>
    <row r="323">
      <c r="A323" s="349"/>
      <c r="B323" s="349"/>
      <c r="C323" s="141"/>
      <c r="D323" s="141"/>
      <c r="E323" s="117"/>
      <c r="F323" s="141"/>
      <c r="G323" s="48"/>
      <c r="H323" s="141"/>
      <c r="I323" s="141"/>
      <c r="J323" s="383"/>
      <c r="K323" s="390"/>
      <c r="L323" s="220"/>
      <c r="M323" s="220"/>
      <c r="N323" s="220"/>
      <c r="O323" s="382"/>
      <c r="P323" s="141"/>
      <c r="Q323" s="141"/>
      <c r="R323" s="141"/>
      <c r="S323" s="141"/>
      <c r="T323" s="141"/>
      <c r="U323" s="57"/>
      <c r="V323" s="57"/>
      <c r="W323" s="57"/>
      <c r="X323" s="57"/>
      <c r="Y323" s="57"/>
      <c r="Z323" s="57"/>
      <c r="AA323" s="57"/>
      <c r="AB323" s="57"/>
    </row>
    <row r="324">
      <c r="A324" s="349"/>
      <c r="B324" s="349"/>
      <c r="C324" s="141"/>
      <c r="D324" s="141"/>
      <c r="E324" s="117"/>
      <c r="F324" s="141"/>
      <c r="G324" s="48"/>
      <c r="H324" s="141"/>
      <c r="I324" s="141"/>
      <c r="J324" s="383"/>
      <c r="K324" s="390"/>
      <c r="L324" s="220"/>
      <c r="M324" s="220"/>
      <c r="N324" s="220"/>
      <c r="O324" s="382"/>
      <c r="P324" s="141"/>
      <c r="Q324" s="141"/>
      <c r="R324" s="141"/>
      <c r="S324" s="141"/>
      <c r="T324" s="141"/>
      <c r="U324" s="57"/>
      <c r="V324" s="57"/>
      <c r="W324" s="57"/>
      <c r="X324" s="57"/>
      <c r="Y324" s="57"/>
      <c r="Z324" s="57"/>
      <c r="AA324" s="57"/>
      <c r="AB324" s="57"/>
    </row>
    <row r="325">
      <c r="A325" s="349"/>
      <c r="B325" s="349"/>
      <c r="C325" s="141"/>
      <c r="D325" s="141"/>
      <c r="E325" s="117"/>
      <c r="F325" s="141"/>
      <c r="G325" s="48"/>
      <c r="H325" s="141"/>
      <c r="I325" s="141"/>
      <c r="J325" s="383"/>
      <c r="K325" s="390"/>
      <c r="L325" s="220"/>
      <c r="M325" s="220"/>
      <c r="N325" s="220"/>
      <c r="O325" s="382"/>
      <c r="P325" s="141"/>
      <c r="Q325" s="141"/>
      <c r="R325" s="141"/>
      <c r="S325" s="141"/>
      <c r="T325" s="141"/>
      <c r="U325" s="57"/>
      <c r="V325" s="57"/>
      <c r="W325" s="57"/>
      <c r="X325" s="57"/>
      <c r="Y325" s="57"/>
      <c r="Z325" s="57"/>
      <c r="AA325" s="57"/>
      <c r="AB325" s="57"/>
    </row>
    <row r="326">
      <c r="A326" s="349"/>
      <c r="B326" s="349"/>
      <c r="C326" s="141"/>
      <c r="D326" s="141"/>
      <c r="E326" s="117"/>
      <c r="F326" s="141"/>
      <c r="G326" s="48"/>
      <c r="H326" s="141"/>
      <c r="I326" s="141"/>
      <c r="J326" s="383"/>
      <c r="K326" s="390"/>
      <c r="L326" s="220"/>
      <c r="M326" s="220"/>
      <c r="N326" s="220"/>
      <c r="O326" s="382"/>
      <c r="P326" s="141"/>
      <c r="Q326" s="141"/>
      <c r="R326" s="141"/>
      <c r="S326" s="141"/>
      <c r="T326" s="141"/>
      <c r="U326" s="57"/>
      <c r="V326" s="57"/>
      <c r="W326" s="57"/>
      <c r="X326" s="57"/>
      <c r="Y326" s="57"/>
      <c r="Z326" s="57"/>
      <c r="AA326" s="57"/>
      <c r="AB326" s="57"/>
    </row>
    <row r="327">
      <c r="A327" s="349"/>
      <c r="B327" s="349"/>
      <c r="C327" s="141"/>
      <c r="D327" s="141"/>
      <c r="E327" s="117"/>
      <c r="F327" s="141"/>
      <c r="G327" s="48"/>
      <c r="H327" s="141"/>
      <c r="I327" s="141"/>
      <c r="J327" s="383"/>
      <c r="K327" s="390"/>
      <c r="L327" s="220"/>
      <c r="M327" s="220"/>
      <c r="N327" s="220"/>
      <c r="O327" s="382"/>
      <c r="P327" s="141"/>
      <c r="Q327" s="141"/>
      <c r="R327" s="141"/>
      <c r="S327" s="141"/>
      <c r="T327" s="141"/>
      <c r="U327" s="57"/>
      <c r="V327" s="57"/>
      <c r="W327" s="57"/>
      <c r="X327" s="57"/>
      <c r="Y327" s="57"/>
      <c r="Z327" s="57"/>
      <c r="AA327" s="57"/>
      <c r="AB327" s="57"/>
    </row>
    <row r="328">
      <c r="A328" s="349"/>
      <c r="B328" s="349"/>
      <c r="C328" s="117"/>
      <c r="D328" s="117"/>
      <c r="E328" s="117"/>
      <c r="F328" s="141"/>
      <c r="G328" s="48"/>
      <c r="H328" s="141"/>
      <c r="I328" s="141"/>
      <c r="J328" s="383"/>
      <c r="K328" s="390"/>
      <c r="L328" s="220"/>
      <c r="M328" s="220"/>
      <c r="N328" s="220"/>
      <c r="O328" s="382"/>
      <c r="P328" s="141"/>
      <c r="Q328" s="141"/>
      <c r="R328" s="141"/>
      <c r="S328" s="141"/>
      <c r="T328" s="141"/>
      <c r="U328" s="57"/>
      <c r="V328" s="57"/>
      <c r="W328" s="57"/>
      <c r="X328" s="57"/>
      <c r="Y328" s="57"/>
      <c r="Z328" s="57"/>
      <c r="AA328" s="57"/>
      <c r="AB328" s="57"/>
    </row>
    <row r="329">
      <c r="A329" s="349"/>
      <c r="B329" s="349"/>
      <c r="C329" s="117"/>
      <c r="D329" s="117"/>
      <c r="E329" s="119"/>
      <c r="F329" s="141"/>
      <c r="G329" s="48"/>
      <c r="H329" s="141"/>
      <c r="I329" s="141"/>
      <c r="J329" s="383"/>
      <c r="K329" s="390"/>
      <c r="L329" s="220"/>
      <c r="M329" s="220"/>
      <c r="N329" s="220"/>
      <c r="O329" s="382"/>
      <c r="P329" s="141"/>
      <c r="Q329" s="141"/>
      <c r="R329" s="141"/>
      <c r="S329" s="141"/>
      <c r="T329" s="141"/>
      <c r="U329" s="57"/>
      <c r="V329" s="57"/>
      <c r="W329" s="57"/>
      <c r="X329" s="57"/>
      <c r="Y329" s="57"/>
      <c r="Z329" s="57"/>
      <c r="AA329" s="57"/>
      <c r="AB329" s="57"/>
    </row>
    <row r="330">
      <c r="A330" s="349"/>
      <c r="B330" s="349"/>
      <c r="C330" s="141"/>
      <c r="D330" s="117"/>
      <c r="E330" s="117"/>
      <c r="F330" s="141"/>
      <c r="G330" s="48"/>
      <c r="H330" s="141"/>
      <c r="I330" s="141"/>
      <c r="J330" s="383"/>
      <c r="K330" s="390"/>
      <c r="L330" s="220"/>
      <c r="M330" s="220"/>
      <c r="N330" s="220"/>
      <c r="O330" s="382"/>
      <c r="P330" s="141"/>
      <c r="Q330" s="141"/>
      <c r="R330" s="141"/>
      <c r="S330" s="141"/>
      <c r="T330" s="141"/>
      <c r="U330" s="57"/>
      <c r="V330" s="57"/>
      <c r="W330" s="57"/>
      <c r="X330" s="57"/>
      <c r="Y330" s="57"/>
      <c r="Z330" s="57"/>
      <c r="AA330" s="57"/>
      <c r="AB330" s="57"/>
    </row>
    <row r="331">
      <c r="A331" s="349"/>
      <c r="B331" s="349"/>
      <c r="C331" s="141"/>
      <c r="D331" s="117"/>
      <c r="E331" s="117"/>
      <c r="F331" s="141"/>
      <c r="G331" s="48"/>
      <c r="H331" s="141"/>
      <c r="I331" s="141"/>
      <c r="J331" s="383"/>
      <c r="K331" s="390"/>
      <c r="L331" s="220"/>
      <c r="M331" s="220"/>
      <c r="N331" s="220"/>
      <c r="O331" s="382"/>
      <c r="P331" s="198"/>
      <c r="Q331" s="141"/>
      <c r="R331" s="141"/>
      <c r="S331" s="141"/>
      <c r="T331" s="141"/>
      <c r="U331" s="57"/>
      <c r="V331" s="57"/>
      <c r="W331" s="57"/>
      <c r="X331" s="57"/>
      <c r="Y331" s="57"/>
      <c r="Z331" s="57"/>
      <c r="AA331" s="57"/>
      <c r="AB331" s="57"/>
    </row>
    <row r="332">
      <c r="A332" s="349"/>
      <c r="B332" s="349"/>
      <c r="C332" s="141"/>
      <c r="D332" s="119"/>
      <c r="E332" s="389"/>
      <c r="F332" s="141"/>
      <c r="G332" s="48"/>
      <c r="H332" s="141"/>
      <c r="I332" s="141"/>
      <c r="J332" s="383"/>
      <c r="K332" s="390"/>
      <c r="L332" s="220"/>
      <c r="M332" s="220"/>
      <c r="N332" s="220"/>
      <c r="O332" s="382"/>
      <c r="P332" s="141"/>
      <c r="Q332" s="141"/>
      <c r="R332" s="141"/>
      <c r="S332" s="141"/>
      <c r="T332" s="141"/>
      <c r="U332" s="57"/>
      <c r="V332" s="57"/>
      <c r="W332" s="57"/>
      <c r="X332" s="57"/>
      <c r="Y332" s="57"/>
      <c r="Z332" s="57"/>
      <c r="AA332" s="57"/>
      <c r="AB332" s="57"/>
    </row>
    <row r="333">
      <c r="A333" s="349"/>
      <c r="B333" s="349"/>
      <c r="C333" s="117"/>
      <c r="D333" s="117"/>
      <c r="E333" s="117"/>
      <c r="F333" s="141"/>
      <c r="G333" s="48"/>
      <c r="H333" s="141"/>
      <c r="I333" s="141"/>
      <c r="J333" s="383"/>
      <c r="K333" s="390"/>
      <c r="L333" s="220"/>
      <c r="M333" s="220"/>
      <c r="N333" s="220"/>
      <c r="O333" s="382"/>
      <c r="P333" s="141"/>
      <c r="Q333" s="141"/>
      <c r="R333" s="141"/>
      <c r="S333" s="141"/>
      <c r="T333" s="141"/>
      <c r="U333" s="57"/>
      <c r="V333" s="57"/>
      <c r="W333" s="57"/>
      <c r="X333" s="57"/>
      <c r="Y333" s="57"/>
      <c r="Z333" s="57"/>
      <c r="AA333" s="57"/>
      <c r="AB333" s="57"/>
    </row>
    <row r="334">
      <c r="A334" s="198"/>
      <c r="B334" s="198"/>
      <c r="C334" s="198"/>
      <c r="D334" s="396"/>
      <c r="E334" s="198"/>
      <c r="F334" s="141"/>
      <c r="G334" s="48"/>
      <c r="H334" s="397"/>
      <c r="I334" s="198"/>
      <c r="J334" s="221"/>
      <c r="K334" s="390"/>
      <c r="L334" s="220"/>
      <c r="M334" s="220"/>
      <c r="N334" s="220"/>
      <c r="O334" s="382"/>
      <c r="P334" s="198"/>
      <c r="Q334" s="141"/>
      <c r="R334" s="141"/>
      <c r="S334" s="141"/>
      <c r="T334" s="141"/>
      <c r="U334" s="57"/>
      <c r="V334" s="57"/>
      <c r="W334" s="57"/>
      <c r="X334" s="57"/>
      <c r="Y334" s="57"/>
      <c r="Z334" s="57"/>
      <c r="AA334" s="57"/>
      <c r="AB334" s="57"/>
    </row>
    <row r="335">
      <c r="A335" s="198"/>
      <c r="B335" s="198"/>
      <c r="C335" s="198"/>
      <c r="D335" s="396"/>
      <c r="E335" s="198"/>
      <c r="F335" s="141"/>
      <c r="G335" s="48"/>
      <c r="H335" s="397"/>
      <c r="I335" s="198"/>
      <c r="J335" s="221"/>
      <c r="K335" s="390"/>
      <c r="L335" s="220"/>
      <c r="M335" s="220"/>
      <c r="N335" s="220"/>
      <c r="O335" s="382"/>
      <c r="P335" s="198"/>
      <c r="Q335" s="141"/>
      <c r="R335" s="141"/>
      <c r="S335" s="141"/>
      <c r="T335" s="141"/>
      <c r="U335" s="57"/>
      <c r="V335" s="57"/>
      <c r="W335" s="57"/>
      <c r="X335" s="57"/>
      <c r="Y335" s="57"/>
      <c r="Z335" s="57"/>
      <c r="AA335" s="57"/>
      <c r="AB335" s="57"/>
    </row>
    <row r="336">
      <c r="A336" s="198"/>
      <c r="B336" s="198"/>
      <c r="C336" s="141"/>
      <c r="D336" s="396"/>
      <c r="E336" s="198"/>
      <c r="F336" s="141"/>
      <c r="G336" s="48"/>
      <c r="H336" s="397"/>
      <c r="I336" s="198"/>
      <c r="J336" s="221"/>
      <c r="K336" s="390"/>
      <c r="L336" s="220"/>
      <c r="M336" s="220"/>
      <c r="N336" s="220"/>
      <c r="O336" s="382"/>
      <c r="P336" s="198"/>
      <c r="Q336" s="141"/>
      <c r="R336" s="141"/>
      <c r="S336" s="141"/>
      <c r="T336" s="141"/>
      <c r="U336" s="57"/>
      <c r="V336" s="57"/>
      <c r="W336" s="57"/>
      <c r="X336" s="57"/>
      <c r="Y336" s="57"/>
      <c r="Z336" s="57"/>
      <c r="AA336" s="57"/>
      <c r="AB336" s="57"/>
    </row>
    <row r="337">
      <c r="A337" s="141"/>
      <c r="B337" s="141"/>
      <c r="C337" s="141"/>
      <c r="D337" s="141"/>
      <c r="E337" s="141"/>
      <c r="F337" s="141"/>
      <c r="G337" s="48"/>
      <c r="H337" s="141"/>
      <c r="I337" s="141"/>
      <c r="J337" s="383"/>
      <c r="K337" s="390"/>
      <c r="L337" s="220"/>
      <c r="M337" s="220"/>
      <c r="N337" s="220"/>
      <c r="O337" s="382"/>
      <c r="P337" s="141"/>
      <c r="Q337" s="141"/>
      <c r="R337" s="141"/>
      <c r="S337" s="141"/>
      <c r="T337" s="141"/>
      <c r="U337" s="57"/>
      <c r="V337" s="57"/>
      <c r="W337" s="57"/>
      <c r="X337" s="57"/>
      <c r="Y337" s="57"/>
      <c r="Z337" s="57"/>
      <c r="AA337" s="57"/>
      <c r="AB337" s="57"/>
    </row>
    <row r="338">
      <c r="A338" s="141"/>
      <c r="B338" s="141"/>
      <c r="C338" s="141"/>
      <c r="D338" s="141"/>
      <c r="E338" s="141"/>
      <c r="F338" s="141"/>
      <c r="G338" s="48"/>
      <c r="H338" s="141"/>
      <c r="I338" s="141"/>
      <c r="J338" s="383"/>
      <c r="K338" s="390"/>
      <c r="L338" s="220"/>
      <c r="M338" s="220"/>
      <c r="N338" s="220"/>
      <c r="O338" s="382"/>
      <c r="P338" s="141"/>
      <c r="Q338" s="141"/>
      <c r="R338" s="141"/>
      <c r="S338" s="141"/>
      <c r="T338" s="141"/>
      <c r="U338" s="57"/>
      <c r="V338" s="57"/>
      <c r="W338" s="57"/>
      <c r="X338" s="57"/>
      <c r="Y338" s="57"/>
      <c r="Z338" s="57"/>
      <c r="AA338" s="57"/>
      <c r="AB338" s="57"/>
    </row>
    <row r="339">
      <c r="A339" s="141"/>
      <c r="B339" s="141"/>
      <c r="C339" s="141"/>
      <c r="D339" s="141"/>
      <c r="E339" s="141"/>
      <c r="F339" s="141"/>
      <c r="G339" s="48"/>
      <c r="H339" s="141"/>
      <c r="I339" s="141"/>
      <c r="J339" s="383"/>
      <c r="K339" s="390"/>
      <c r="L339" s="220"/>
      <c r="M339" s="220"/>
      <c r="N339" s="220"/>
      <c r="O339" s="382"/>
      <c r="P339" s="141"/>
      <c r="Q339" s="141"/>
      <c r="R339" s="141"/>
      <c r="S339" s="141"/>
      <c r="T339" s="141"/>
      <c r="U339" s="57"/>
      <c r="V339" s="57"/>
      <c r="W339" s="57"/>
      <c r="X339" s="57"/>
      <c r="Y339" s="57"/>
      <c r="Z339" s="57"/>
      <c r="AA339" s="57"/>
      <c r="AB339" s="57"/>
    </row>
    <row r="340">
      <c r="A340" s="141"/>
      <c r="B340" s="141"/>
      <c r="C340" s="141"/>
      <c r="D340" s="141"/>
      <c r="E340" s="141"/>
      <c r="F340" s="141"/>
      <c r="G340" s="48"/>
      <c r="H340" s="141"/>
      <c r="I340" s="141"/>
      <c r="J340" s="383"/>
      <c r="K340" s="390"/>
      <c r="L340" s="220"/>
      <c r="M340" s="220"/>
      <c r="N340" s="220"/>
      <c r="O340" s="382"/>
      <c r="P340" s="141"/>
      <c r="Q340" s="141"/>
      <c r="R340" s="141"/>
      <c r="S340" s="141"/>
      <c r="T340" s="141"/>
      <c r="U340" s="57"/>
      <c r="V340" s="57"/>
      <c r="W340" s="57"/>
      <c r="X340" s="57"/>
      <c r="Y340" s="57"/>
      <c r="Z340" s="57"/>
      <c r="AA340" s="57"/>
      <c r="AB340" s="57"/>
    </row>
    <row r="341">
      <c r="A341" s="141"/>
      <c r="B341" s="141"/>
      <c r="C341" s="141"/>
      <c r="D341" s="141"/>
      <c r="E341" s="141"/>
      <c r="F341" s="141"/>
      <c r="G341" s="48"/>
      <c r="H341" s="141"/>
      <c r="I341" s="141"/>
      <c r="J341" s="383"/>
      <c r="K341" s="390"/>
      <c r="L341" s="220"/>
      <c r="M341" s="220"/>
      <c r="N341" s="220"/>
      <c r="O341" s="382"/>
      <c r="P341" s="141"/>
      <c r="Q341" s="141"/>
      <c r="R341" s="141"/>
      <c r="S341" s="141"/>
      <c r="T341" s="141"/>
      <c r="U341" s="57"/>
      <c r="V341" s="57"/>
      <c r="W341" s="57"/>
      <c r="X341" s="57"/>
      <c r="Y341" s="57"/>
      <c r="Z341" s="57"/>
      <c r="AA341" s="57"/>
      <c r="AB341" s="57"/>
    </row>
    <row r="342">
      <c r="A342" s="141"/>
      <c r="B342" s="141"/>
      <c r="C342" s="141"/>
      <c r="D342" s="141"/>
      <c r="E342" s="141"/>
      <c r="F342" s="141"/>
      <c r="G342" s="48"/>
      <c r="H342" s="141"/>
      <c r="I342" s="141"/>
      <c r="J342" s="383"/>
      <c r="K342" s="390"/>
      <c r="L342" s="220"/>
      <c r="M342" s="220"/>
      <c r="N342" s="220"/>
      <c r="O342" s="382"/>
      <c r="P342" s="141"/>
      <c r="Q342" s="141"/>
      <c r="R342" s="141"/>
      <c r="S342" s="141"/>
      <c r="T342" s="141"/>
      <c r="U342" s="57"/>
      <c r="V342" s="57"/>
      <c r="W342" s="57"/>
      <c r="X342" s="57"/>
      <c r="Y342" s="57"/>
      <c r="Z342" s="57"/>
      <c r="AA342" s="57"/>
      <c r="AB342" s="57"/>
    </row>
    <row r="343">
      <c r="A343" s="141"/>
      <c r="B343" s="141"/>
      <c r="C343" s="141"/>
      <c r="D343" s="141"/>
      <c r="E343" s="141"/>
      <c r="F343" s="141"/>
      <c r="G343" s="48"/>
      <c r="H343" s="141"/>
      <c r="I343" s="141"/>
      <c r="J343" s="383"/>
      <c r="K343" s="390"/>
      <c r="L343" s="220"/>
      <c r="M343" s="220"/>
      <c r="N343" s="220"/>
      <c r="O343" s="382"/>
      <c r="P343" s="141"/>
      <c r="Q343" s="141"/>
      <c r="R343" s="141"/>
      <c r="S343" s="141"/>
      <c r="T343" s="141"/>
      <c r="U343" s="57"/>
      <c r="V343" s="57"/>
      <c r="W343" s="57"/>
      <c r="X343" s="57"/>
      <c r="Y343" s="57"/>
      <c r="Z343" s="57"/>
      <c r="AA343" s="57"/>
      <c r="AB343" s="57"/>
    </row>
    <row r="344">
      <c r="A344" s="141"/>
      <c r="B344" s="141"/>
      <c r="C344" s="141"/>
      <c r="D344" s="141"/>
      <c r="E344" s="141"/>
      <c r="F344" s="141"/>
      <c r="G344" s="48"/>
      <c r="H344" s="141"/>
      <c r="I344" s="141"/>
      <c r="J344" s="383"/>
      <c r="K344" s="390"/>
      <c r="L344" s="220"/>
      <c r="M344" s="220"/>
      <c r="N344" s="220"/>
      <c r="O344" s="382"/>
      <c r="P344" s="141"/>
      <c r="Q344" s="141"/>
      <c r="R344" s="141"/>
      <c r="S344" s="141"/>
      <c r="T344" s="141"/>
      <c r="U344" s="57"/>
      <c r="V344" s="57"/>
      <c r="W344" s="57"/>
      <c r="X344" s="57"/>
      <c r="Y344" s="57"/>
      <c r="Z344" s="57"/>
      <c r="AA344" s="57"/>
      <c r="AB344" s="57"/>
    </row>
    <row r="345">
      <c r="A345" s="141"/>
      <c r="B345" s="141"/>
      <c r="C345" s="141"/>
      <c r="D345" s="141"/>
      <c r="E345" s="141"/>
      <c r="F345" s="141"/>
      <c r="G345" s="48"/>
      <c r="H345" s="141"/>
      <c r="I345" s="141"/>
      <c r="J345" s="383"/>
      <c r="K345" s="390"/>
      <c r="L345" s="220"/>
      <c r="M345" s="220"/>
      <c r="N345" s="220"/>
      <c r="O345" s="382"/>
      <c r="P345" s="141"/>
      <c r="Q345" s="141"/>
      <c r="R345" s="141"/>
      <c r="S345" s="141"/>
      <c r="T345" s="141"/>
      <c r="U345" s="57"/>
      <c r="V345" s="57"/>
      <c r="W345" s="57"/>
      <c r="X345" s="57"/>
      <c r="Y345" s="57"/>
      <c r="Z345" s="57"/>
      <c r="AA345" s="57"/>
      <c r="AB345" s="57"/>
    </row>
    <row r="346">
      <c r="A346" s="141"/>
      <c r="B346" s="141"/>
      <c r="C346" s="141"/>
      <c r="D346" s="141"/>
      <c r="E346" s="141"/>
      <c r="F346" s="141"/>
      <c r="G346" s="48"/>
      <c r="H346" s="141"/>
      <c r="I346" s="141"/>
      <c r="J346" s="383"/>
      <c r="K346" s="390"/>
      <c r="L346" s="220"/>
      <c r="M346" s="220"/>
      <c r="N346" s="220"/>
      <c r="O346" s="382"/>
      <c r="P346" s="141"/>
      <c r="Q346" s="141"/>
      <c r="R346" s="141"/>
      <c r="S346" s="141"/>
      <c r="T346" s="141"/>
      <c r="U346" s="57"/>
      <c r="V346" s="57"/>
      <c r="W346" s="57"/>
      <c r="X346" s="57"/>
      <c r="Y346" s="57"/>
      <c r="Z346" s="57"/>
      <c r="AA346" s="57"/>
      <c r="AB346" s="57"/>
    </row>
    <row r="347">
      <c r="A347" s="141"/>
      <c r="B347" s="141"/>
      <c r="C347" s="141"/>
      <c r="D347" s="141"/>
      <c r="E347" s="141"/>
      <c r="F347" s="141"/>
      <c r="G347" s="48"/>
      <c r="H347" s="141"/>
      <c r="I347" s="141"/>
      <c r="J347" s="383"/>
      <c r="K347" s="390"/>
      <c r="L347" s="220"/>
      <c r="M347" s="220"/>
      <c r="N347" s="220"/>
      <c r="O347" s="382"/>
      <c r="P347" s="141"/>
      <c r="Q347" s="141"/>
      <c r="R347" s="141"/>
      <c r="S347" s="141"/>
      <c r="T347" s="141"/>
      <c r="U347" s="57"/>
      <c r="V347" s="57"/>
      <c r="W347" s="57"/>
      <c r="X347" s="57"/>
      <c r="Y347" s="57"/>
      <c r="Z347" s="57"/>
      <c r="AA347" s="57"/>
      <c r="AB347" s="57"/>
    </row>
    <row r="348">
      <c r="A348" s="141"/>
      <c r="B348" s="141"/>
      <c r="C348" s="141"/>
      <c r="D348" s="141"/>
      <c r="E348" s="141"/>
      <c r="F348" s="141"/>
      <c r="G348" s="48"/>
      <c r="H348" s="141"/>
      <c r="I348" s="141"/>
      <c r="J348" s="383"/>
      <c r="K348" s="390"/>
      <c r="L348" s="220"/>
      <c r="M348" s="220"/>
      <c r="N348" s="220"/>
      <c r="O348" s="382"/>
      <c r="P348" s="141"/>
      <c r="Q348" s="141"/>
      <c r="R348" s="141"/>
      <c r="S348" s="141"/>
      <c r="T348" s="141"/>
      <c r="U348" s="57"/>
      <c r="V348" s="57"/>
      <c r="W348" s="57"/>
      <c r="X348" s="57"/>
      <c r="Y348" s="57"/>
      <c r="Z348" s="57"/>
      <c r="AA348" s="57"/>
      <c r="AB348" s="57"/>
    </row>
    <row r="349">
      <c r="A349" s="141"/>
      <c r="B349" s="141"/>
      <c r="C349" s="141"/>
      <c r="D349" s="141"/>
      <c r="E349" s="141"/>
      <c r="F349" s="141"/>
      <c r="G349" s="48"/>
      <c r="H349" s="141"/>
      <c r="I349" s="141"/>
      <c r="J349" s="383"/>
      <c r="K349" s="390"/>
      <c r="L349" s="220"/>
      <c r="M349" s="220"/>
      <c r="N349" s="220"/>
      <c r="O349" s="382"/>
      <c r="P349" s="141"/>
      <c r="Q349" s="141"/>
      <c r="R349" s="141"/>
      <c r="S349" s="141"/>
      <c r="T349" s="141"/>
      <c r="U349" s="57"/>
      <c r="V349" s="57"/>
      <c r="W349" s="57"/>
      <c r="X349" s="57"/>
      <c r="Y349" s="57"/>
      <c r="Z349" s="57"/>
      <c r="AA349" s="57"/>
      <c r="AB349" s="57"/>
    </row>
    <row r="350">
      <c r="A350" s="141"/>
      <c r="B350" s="141"/>
      <c r="C350" s="141"/>
      <c r="D350" s="141"/>
      <c r="E350" s="141"/>
      <c r="F350" s="141"/>
      <c r="G350" s="48"/>
      <c r="H350" s="141"/>
      <c r="I350" s="141"/>
      <c r="J350" s="383"/>
      <c r="K350" s="390"/>
      <c r="L350" s="220"/>
      <c r="M350" s="220"/>
      <c r="N350" s="220"/>
      <c r="O350" s="382"/>
      <c r="P350" s="141"/>
      <c r="Q350" s="141"/>
      <c r="R350" s="141"/>
      <c r="S350" s="141"/>
      <c r="T350" s="141"/>
      <c r="U350" s="57"/>
      <c r="V350" s="57"/>
      <c r="W350" s="57"/>
      <c r="X350" s="57"/>
      <c r="Y350" s="57"/>
      <c r="Z350" s="57"/>
      <c r="AA350" s="57"/>
      <c r="AB350" s="57"/>
    </row>
    <row r="351">
      <c r="A351" s="141"/>
      <c r="B351" s="141"/>
      <c r="C351" s="141"/>
      <c r="D351" s="141"/>
      <c r="E351" s="141"/>
      <c r="F351" s="141"/>
      <c r="G351" s="48"/>
      <c r="H351" s="141"/>
      <c r="I351" s="141"/>
      <c r="J351" s="383"/>
      <c r="K351" s="390"/>
      <c r="L351" s="220"/>
      <c r="M351" s="220"/>
      <c r="N351" s="220"/>
      <c r="O351" s="382"/>
      <c r="P351" s="141"/>
      <c r="Q351" s="141"/>
      <c r="R351" s="141"/>
      <c r="S351" s="141"/>
      <c r="T351" s="141"/>
      <c r="U351" s="57"/>
      <c r="V351" s="57"/>
      <c r="W351" s="57"/>
      <c r="X351" s="57"/>
      <c r="Y351" s="57"/>
      <c r="Z351" s="57"/>
      <c r="AA351" s="57"/>
      <c r="AB351" s="57"/>
    </row>
    <row r="352">
      <c r="A352" s="141"/>
      <c r="B352" s="141"/>
      <c r="C352" s="141"/>
      <c r="D352" s="141"/>
      <c r="E352" s="141"/>
      <c r="F352" s="141"/>
      <c r="G352" s="48"/>
      <c r="H352" s="141"/>
      <c r="I352" s="141"/>
      <c r="J352" s="383"/>
      <c r="K352" s="390"/>
      <c r="L352" s="220"/>
      <c r="M352" s="220"/>
      <c r="N352" s="220"/>
      <c r="O352" s="382"/>
      <c r="P352" s="141"/>
      <c r="Q352" s="141"/>
      <c r="R352" s="141"/>
      <c r="S352" s="141"/>
      <c r="T352" s="141"/>
      <c r="U352" s="57"/>
      <c r="V352" s="57"/>
      <c r="W352" s="57"/>
      <c r="X352" s="57"/>
      <c r="Y352" s="57"/>
      <c r="Z352" s="57"/>
      <c r="AA352" s="57"/>
      <c r="AB352" s="57"/>
    </row>
    <row r="353">
      <c r="A353" s="141"/>
      <c r="B353" s="141"/>
      <c r="C353" s="141"/>
      <c r="D353" s="141"/>
      <c r="E353" s="141"/>
      <c r="F353" s="141"/>
      <c r="G353" s="48"/>
      <c r="H353" s="141"/>
      <c r="I353" s="141"/>
      <c r="J353" s="383"/>
      <c r="K353" s="390"/>
      <c r="L353" s="220"/>
      <c r="M353" s="220"/>
      <c r="N353" s="220"/>
      <c r="O353" s="382"/>
      <c r="P353" s="141"/>
      <c r="Q353" s="141"/>
      <c r="R353" s="141"/>
      <c r="S353" s="141"/>
      <c r="T353" s="141"/>
      <c r="U353" s="57"/>
      <c r="V353" s="57"/>
      <c r="W353" s="57"/>
      <c r="X353" s="57"/>
      <c r="Y353" s="57"/>
      <c r="Z353" s="57"/>
      <c r="AA353" s="57"/>
      <c r="AB353" s="57"/>
    </row>
    <row r="354">
      <c r="A354" s="141"/>
      <c r="B354" s="141"/>
      <c r="C354" s="141"/>
      <c r="D354" s="141"/>
      <c r="E354" s="141"/>
      <c r="F354" s="141"/>
      <c r="G354" s="48"/>
      <c r="H354" s="141"/>
      <c r="I354" s="141"/>
      <c r="J354" s="383"/>
      <c r="K354" s="390"/>
      <c r="L354" s="220"/>
      <c r="M354" s="220"/>
      <c r="N354" s="220"/>
      <c r="O354" s="382"/>
      <c r="P354" s="141"/>
      <c r="Q354" s="141"/>
      <c r="R354" s="141"/>
      <c r="S354" s="141"/>
      <c r="T354" s="141"/>
      <c r="U354" s="57"/>
      <c r="V354" s="57"/>
      <c r="W354" s="57"/>
      <c r="X354" s="57"/>
      <c r="Y354" s="57"/>
      <c r="Z354" s="57"/>
      <c r="AA354" s="57"/>
      <c r="AB354" s="57"/>
    </row>
    <row r="355">
      <c r="A355" s="141"/>
      <c r="B355" s="141"/>
      <c r="C355" s="141"/>
      <c r="D355" s="141"/>
      <c r="E355" s="141"/>
      <c r="F355" s="141"/>
      <c r="G355" s="48"/>
      <c r="H355" s="141"/>
      <c r="I355" s="141"/>
      <c r="J355" s="383"/>
      <c r="K355" s="390"/>
      <c r="L355" s="220"/>
      <c r="M355" s="220"/>
      <c r="N355" s="220"/>
      <c r="O355" s="382"/>
      <c r="P355" s="141"/>
      <c r="Q355" s="141"/>
      <c r="R355" s="141"/>
      <c r="S355" s="141"/>
      <c r="T355" s="141"/>
      <c r="U355" s="57"/>
      <c r="V355" s="57"/>
      <c r="W355" s="57"/>
      <c r="X355" s="57"/>
      <c r="Y355" s="57"/>
      <c r="Z355" s="57"/>
      <c r="AA355" s="57"/>
      <c r="AB355" s="57"/>
    </row>
    <row r="356">
      <c r="A356" s="141"/>
      <c r="B356" s="141"/>
      <c r="C356" s="141"/>
      <c r="D356" s="141"/>
      <c r="E356" s="141"/>
      <c r="F356" s="141"/>
      <c r="G356" s="48"/>
      <c r="H356" s="141"/>
      <c r="I356" s="141"/>
      <c r="J356" s="383"/>
      <c r="K356" s="390"/>
      <c r="L356" s="220"/>
      <c r="M356" s="220"/>
      <c r="N356" s="220"/>
      <c r="O356" s="382"/>
      <c r="P356" s="141"/>
      <c r="Q356" s="141"/>
      <c r="R356" s="141"/>
      <c r="S356" s="141"/>
      <c r="T356" s="141"/>
      <c r="U356" s="57"/>
      <c r="V356" s="57"/>
      <c r="W356" s="57"/>
      <c r="X356" s="57"/>
      <c r="Y356" s="57"/>
      <c r="Z356" s="57"/>
      <c r="AA356" s="57"/>
      <c r="AB356" s="57"/>
    </row>
    <row r="357">
      <c r="A357" s="141"/>
      <c r="B357" s="141"/>
      <c r="C357" s="141"/>
      <c r="D357" s="141"/>
      <c r="E357" s="141"/>
      <c r="F357" s="141"/>
      <c r="G357" s="48"/>
      <c r="H357" s="141"/>
      <c r="I357" s="141"/>
      <c r="J357" s="383"/>
      <c r="K357" s="390"/>
      <c r="L357" s="220"/>
      <c r="M357" s="220"/>
      <c r="N357" s="220"/>
      <c r="O357" s="382"/>
      <c r="P357" s="141"/>
      <c r="Q357" s="141"/>
      <c r="R357" s="141"/>
      <c r="S357" s="141"/>
      <c r="T357" s="141"/>
      <c r="U357" s="57"/>
      <c r="V357" s="57"/>
      <c r="W357" s="57"/>
      <c r="X357" s="57"/>
      <c r="Y357" s="57"/>
      <c r="Z357" s="57"/>
      <c r="AA357" s="57"/>
      <c r="AB357" s="57"/>
    </row>
    <row r="358">
      <c r="A358" s="141"/>
      <c r="B358" s="141"/>
      <c r="C358" s="141"/>
      <c r="D358" s="141"/>
      <c r="E358" s="141"/>
      <c r="F358" s="141"/>
      <c r="G358" s="48"/>
      <c r="H358" s="141"/>
      <c r="I358" s="141"/>
      <c r="J358" s="220"/>
      <c r="K358" s="390"/>
      <c r="L358" s="220"/>
      <c r="M358" s="220"/>
      <c r="N358" s="220"/>
      <c r="O358" s="382"/>
      <c r="P358" s="141"/>
      <c r="Q358" s="141"/>
      <c r="R358" s="141"/>
      <c r="S358" s="141"/>
      <c r="T358" s="141"/>
      <c r="U358" s="57"/>
      <c r="V358" s="57"/>
      <c r="W358" s="57"/>
      <c r="X358" s="57"/>
      <c r="Y358" s="57"/>
      <c r="Z358" s="57"/>
      <c r="AA358" s="57"/>
      <c r="AB358" s="57"/>
    </row>
    <row r="359">
      <c r="A359" s="141"/>
      <c r="B359" s="141"/>
      <c r="C359" s="141"/>
      <c r="D359" s="141"/>
      <c r="E359" s="141"/>
      <c r="F359" s="141"/>
      <c r="G359" s="48"/>
      <c r="H359" s="141"/>
      <c r="I359" s="141"/>
      <c r="J359" s="220"/>
      <c r="K359" s="390"/>
      <c r="L359" s="220"/>
      <c r="M359" s="220"/>
      <c r="N359" s="220"/>
      <c r="O359" s="382"/>
      <c r="P359" s="141"/>
      <c r="Q359" s="141"/>
      <c r="R359" s="141"/>
      <c r="S359" s="141"/>
      <c r="T359" s="141"/>
      <c r="U359" s="57"/>
      <c r="V359" s="57"/>
      <c r="W359" s="57"/>
      <c r="X359" s="57"/>
      <c r="Y359" s="57"/>
      <c r="Z359" s="57"/>
      <c r="AA359" s="57"/>
      <c r="AB359" s="57"/>
    </row>
    <row r="360">
      <c r="A360" s="141"/>
      <c r="B360" s="141"/>
      <c r="C360" s="141"/>
      <c r="D360" s="141"/>
      <c r="E360" s="141"/>
      <c r="F360" s="141"/>
      <c r="G360" s="48"/>
      <c r="H360" s="141"/>
      <c r="I360" s="141"/>
      <c r="J360" s="220"/>
      <c r="K360" s="390"/>
      <c r="L360" s="220"/>
      <c r="M360" s="220"/>
      <c r="N360" s="220"/>
      <c r="O360" s="382"/>
      <c r="P360" s="141"/>
      <c r="Q360" s="141"/>
      <c r="R360" s="141"/>
      <c r="S360" s="141"/>
      <c r="T360" s="141"/>
      <c r="U360" s="57"/>
      <c r="V360" s="57"/>
      <c r="W360" s="57"/>
      <c r="X360" s="57"/>
      <c r="Y360" s="57"/>
      <c r="Z360" s="57"/>
      <c r="AA360" s="57"/>
      <c r="AB360" s="57"/>
    </row>
    <row r="361">
      <c r="A361" s="141"/>
      <c r="B361" s="141"/>
      <c r="C361" s="141"/>
      <c r="D361" s="141"/>
      <c r="E361" s="141"/>
      <c r="F361" s="141"/>
      <c r="G361" s="48"/>
      <c r="H361" s="141"/>
      <c r="I361" s="141"/>
      <c r="J361" s="220"/>
      <c r="K361" s="390"/>
      <c r="L361" s="220"/>
      <c r="M361" s="220"/>
      <c r="N361" s="220"/>
      <c r="O361" s="382"/>
      <c r="P361" s="141"/>
      <c r="Q361" s="141"/>
      <c r="R361" s="141"/>
      <c r="S361" s="141"/>
      <c r="T361" s="141"/>
      <c r="U361" s="57"/>
      <c r="V361" s="57"/>
      <c r="W361" s="57"/>
      <c r="X361" s="57"/>
      <c r="Y361" s="57"/>
      <c r="Z361" s="57"/>
      <c r="AA361" s="57"/>
      <c r="AB361" s="57"/>
    </row>
    <row r="362">
      <c r="A362" s="141"/>
      <c r="B362" s="141"/>
      <c r="C362" s="141"/>
      <c r="D362" s="141"/>
      <c r="E362" s="141"/>
      <c r="F362" s="141"/>
      <c r="G362" s="48"/>
      <c r="H362" s="141"/>
      <c r="I362" s="141"/>
      <c r="J362" s="220"/>
      <c r="K362" s="390"/>
      <c r="L362" s="220"/>
      <c r="M362" s="220"/>
      <c r="N362" s="220"/>
      <c r="O362" s="382"/>
      <c r="P362" s="141"/>
      <c r="Q362" s="141"/>
      <c r="R362" s="141"/>
      <c r="S362" s="141"/>
      <c r="T362" s="141"/>
      <c r="U362" s="57"/>
      <c r="V362" s="57"/>
      <c r="W362" s="57"/>
      <c r="X362" s="57"/>
      <c r="Y362" s="57"/>
      <c r="Z362" s="57"/>
      <c r="AA362" s="57"/>
      <c r="AB362" s="57"/>
    </row>
    <row r="363">
      <c r="A363" s="141"/>
      <c r="B363" s="141"/>
      <c r="C363" s="141"/>
      <c r="D363" s="141"/>
      <c r="E363" s="141"/>
      <c r="F363" s="141"/>
      <c r="G363" s="48"/>
      <c r="H363" s="141"/>
      <c r="I363" s="141"/>
      <c r="J363" s="220"/>
      <c r="K363" s="390"/>
      <c r="L363" s="220"/>
      <c r="M363" s="220"/>
      <c r="N363" s="220"/>
      <c r="O363" s="382"/>
      <c r="P363" s="141"/>
      <c r="Q363" s="141"/>
      <c r="R363" s="141"/>
      <c r="S363" s="141"/>
      <c r="T363" s="141"/>
      <c r="U363" s="57"/>
      <c r="V363" s="57"/>
      <c r="W363" s="57"/>
      <c r="X363" s="57"/>
      <c r="Y363" s="57"/>
      <c r="Z363" s="57"/>
      <c r="AA363" s="57"/>
      <c r="AB363" s="57"/>
    </row>
    <row r="364">
      <c r="A364" s="141"/>
      <c r="B364" s="141"/>
      <c r="C364" s="141"/>
      <c r="D364" s="141"/>
      <c r="E364" s="141"/>
      <c r="F364" s="141"/>
      <c r="G364" s="48"/>
      <c r="H364" s="141"/>
      <c r="I364" s="141"/>
      <c r="J364" s="220"/>
      <c r="K364" s="390"/>
      <c r="L364" s="220"/>
      <c r="M364" s="220"/>
      <c r="N364" s="220"/>
      <c r="O364" s="382"/>
      <c r="P364" s="141"/>
      <c r="Q364" s="141"/>
      <c r="R364" s="141"/>
      <c r="S364" s="141"/>
      <c r="T364" s="141"/>
      <c r="U364" s="57"/>
      <c r="V364" s="57"/>
      <c r="W364" s="57"/>
      <c r="X364" s="57"/>
      <c r="Y364" s="57"/>
      <c r="Z364" s="57"/>
      <c r="AA364" s="57"/>
      <c r="AB364" s="57"/>
    </row>
    <row r="365">
      <c r="A365" s="141"/>
      <c r="B365" s="141"/>
      <c r="C365" s="141"/>
      <c r="D365" s="141"/>
      <c r="E365" s="141"/>
      <c r="F365" s="141"/>
      <c r="G365" s="48"/>
      <c r="H365" s="141"/>
      <c r="I365" s="141"/>
      <c r="J365" s="220"/>
      <c r="K365" s="390"/>
      <c r="L365" s="220"/>
      <c r="M365" s="220"/>
      <c r="N365" s="220"/>
      <c r="O365" s="382"/>
      <c r="P365" s="141"/>
      <c r="Q365" s="141"/>
      <c r="R365" s="141"/>
      <c r="S365" s="141"/>
      <c r="T365" s="141"/>
      <c r="U365" s="57"/>
      <c r="V365" s="57"/>
      <c r="W365" s="57"/>
      <c r="X365" s="57"/>
      <c r="Y365" s="57"/>
      <c r="Z365" s="57"/>
      <c r="AA365" s="57"/>
      <c r="AB365" s="57"/>
    </row>
    <row r="366">
      <c r="A366" s="141"/>
      <c r="B366" s="141"/>
      <c r="C366" s="141"/>
      <c r="D366" s="141"/>
      <c r="E366" s="141"/>
      <c r="F366" s="141"/>
      <c r="G366" s="48"/>
      <c r="H366" s="141"/>
      <c r="I366" s="141"/>
      <c r="J366" s="220"/>
      <c r="K366" s="390"/>
      <c r="L366" s="220"/>
      <c r="M366" s="220"/>
      <c r="N366" s="220"/>
      <c r="O366" s="382"/>
      <c r="P366" s="141"/>
      <c r="Q366" s="141"/>
      <c r="R366" s="141"/>
      <c r="S366" s="141"/>
      <c r="T366" s="141"/>
      <c r="U366" s="57"/>
      <c r="V366" s="57"/>
      <c r="W366" s="57"/>
      <c r="X366" s="57"/>
      <c r="Y366" s="57"/>
      <c r="Z366" s="57"/>
      <c r="AA366" s="57"/>
      <c r="AB366" s="57"/>
    </row>
    <row r="367">
      <c r="A367" s="141"/>
      <c r="B367" s="141"/>
      <c r="C367" s="141"/>
      <c r="D367" s="141"/>
      <c r="E367" s="141"/>
      <c r="F367" s="141"/>
      <c r="G367" s="48"/>
      <c r="H367" s="141"/>
      <c r="I367" s="141"/>
      <c r="J367" s="220"/>
      <c r="K367" s="390"/>
      <c r="L367" s="220"/>
      <c r="M367" s="220"/>
      <c r="N367" s="220"/>
      <c r="O367" s="382"/>
      <c r="P367" s="141"/>
      <c r="Q367" s="141"/>
      <c r="R367" s="141"/>
      <c r="S367" s="141"/>
      <c r="T367" s="141"/>
      <c r="U367" s="57"/>
      <c r="V367" s="57"/>
      <c r="W367" s="57"/>
      <c r="X367" s="57"/>
      <c r="Y367" s="57"/>
      <c r="Z367" s="57"/>
      <c r="AA367" s="57"/>
      <c r="AB367" s="57"/>
    </row>
    <row r="368">
      <c r="A368" s="141"/>
      <c r="B368" s="141"/>
      <c r="C368" s="141"/>
      <c r="D368" s="141"/>
      <c r="E368" s="141"/>
      <c r="F368" s="141"/>
      <c r="G368" s="48"/>
      <c r="H368" s="141"/>
      <c r="I368" s="141"/>
      <c r="J368" s="220"/>
      <c r="K368" s="390"/>
      <c r="L368" s="220"/>
      <c r="M368" s="220"/>
      <c r="N368" s="220"/>
      <c r="O368" s="382"/>
      <c r="P368" s="141"/>
      <c r="Q368" s="141"/>
      <c r="R368" s="141"/>
      <c r="S368" s="141"/>
      <c r="T368" s="141"/>
      <c r="U368" s="57"/>
      <c r="V368" s="57"/>
      <c r="W368" s="57"/>
      <c r="X368" s="57"/>
      <c r="Y368" s="57"/>
      <c r="Z368" s="57"/>
      <c r="AA368" s="57"/>
      <c r="AB368" s="57"/>
    </row>
    <row r="369">
      <c r="A369" s="141"/>
      <c r="B369" s="141"/>
      <c r="C369" s="141"/>
      <c r="D369" s="141"/>
      <c r="E369" s="141"/>
      <c r="F369" s="141"/>
      <c r="G369" s="48"/>
      <c r="H369" s="141"/>
      <c r="I369" s="141"/>
      <c r="J369" s="220"/>
      <c r="K369" s="390"/>
      <c r="L369" s="220"/>
      <c r="M369" s="220"/>
      <c r="N369" s="220"/>
      <c r="O369" s="382"/>
      <c r="P369" s="141"/>
      <c r="Q369" s="141"/>
      <c r="R369" s="141"/>
      <c r="S369" s="141"/>
      <c r="T369" s="141"/>
      <c r="U369" s="57"/>
      <c r="V369" s="57"/>
      <c r="W369" s="57"/>
      <c r="X369" s="57"/>
      <c r="Y369" s="57"/>
      <c r="Z369" s="57"/>
      <c r="AA369" s="57"/>
      <c r="AB369" s="57"/>
    </row>
    <row r="370">
      <c r="A370" s="141"/>
      <c r="B370" s="141"/>
      <c r="C370" s="141"/>
      <c r="D370" s="141"/>
      <c r="E370" s="141"/>
      <c r="F370" s="141"/>
      <c r="G370" s="48"/>
      <c r="H370" s="141"/>
      <c r="I370" s="141"/>
      <c r="J370" s="220"/>
      <c r="K370" s="390"/>
      <c r="L370" s="220"/>
      <c r="M370" s="220"/>
      <c r="N370" s="220"/>
      <c r="O370" s="382"/>
      <c r="P370" s="141"/>
      <c r="Q370" s="141"/>
      <c r="R370" s="141"/>
      <c r="S370" s="141"/>
      <c r="T370" s="141"/>
      <c r="U370" s="57"/>
      <c r="V370" s="57"/>
      <c r="W370" s="57"/>
      <c r="X370" s="57"/>
      <c r="Y370" s="57"/>
      <c r="Z370" s="57"/>
      <c r="AA370" s="57"/>
      <c r="AB370" s="57"/>
    </row>
    <row r="371">
      <c r="A371" s="141"/>
      <c r="B371" s="141"/>
      <c r="C371" s="141"/>
      <c r="D371" s="141"/>
      <c r="E371" s="141"/>
      <c r="F371" s="141"/>
      <c r="G371" s="48"/>
      <c r="H371" s="141"/>
      <c r="I371" s="141"/>
      <c r="J371" s="220"/>
      <c r="K371" s="390"/>
      <c r="L371" s="220"/>
      <c r="M371" s="220"/>
      <c r="N371" s="220"/>
      <c r="O371" s="382"/>
      <c r="P371" s="141"/>
      <c r="Q371" s="141"/>
      <c r="R371" s="141"/>
      <c r="S371" s="141"/>
      <c r="T371" s="141"/>
      <c r="U371" s="57"/>
      <c r="V371" s="57"/>
      <c r="W371" s="57"/>
      <c r="X371" s="57"/>
      <c r="Y371" s="57"/>
      <c r="Z371" s="57"/>
      <c r="AA371" s="57"/>
      <c r="AB371" s="57"/>
    </row>
    <row r="372">
      <c r="A372" s="141"/>
      <c r="B372" s="141"/>
      <c r="C372" s="141"/>
      <c r="D372" s="141"/>
      <c r="E372" s="141"/>
      <c r="F372" s="141"/>
      <c r="G372" s="48"/>
      <c r="H372" s="141"/>
      <c r="I372" s="141"/>
      <c r="J372" s="220"/>
      <c r="K372" s="390"/>
      <c r="L372" s="220"/>
      <c r="M372" s="220"/>
      <c r="N372" s="220"/>
      <c r="O372" s="382"/>
      <c r="P372" s="141"/>
      <c r="Q372" s="141"/>
      <c r="R372" s="141"/>
      <c r="S372" s="141"/>
      <c r="T372" s="141"/>
      <c r="U372" s="57"/>
      <c r="V372" s="57"/>
      <c r="W372" s="57"/>
      <c r="X372" s="57"/>
      <c r="Y372" s="57"/>
      <c r="Z372" s="57"/>
      <c r="AA372" s="57"/>
      <c r="AB372" s="57"/>
    </row>
    <row r="373">
      <c r="A373" s="141"/>
      <c r="B373" s="141"/>
      <c r="C373" s="141"/>
      <c r="D373" s="141"/>
      <c r="E373" s="141"/>
      <c r="F373" s="141"/>
      <c r="G373" s="48"/>
      <c r="H373" s="141"/>
      <c r="I373" s="141"/>
      <c r="J373" s="220"/>
      <c r="K373" s="390"/>
      <c r="L373" s="220"/>
      <c r="M373" s="220"/>
      <c r="N373" s="220"/>
      <c r="O373" s="382"/>
      <c r="P373" s="141"/>
      <c r="Q373" s="141"/>
      <c r="R373" s="141"/>
      <c r="S373" s="141"/>
      <c r="T373" s="141"/>
      <c r="U373" s="57"/>
      <c r="V373" s="57"/>
      <c r="W373" s="57"/>
      <c r="X373" s="57"/>
      <c r="Y373" s="57"/>
      <c r="Z373" s="57"/>
      <c r="AA373" s="57"/>
      <c r="AB373" s="57"/>
    </row>
    <row r="374">
      <c r="A374" s="141"/>
      <c r="B374" s="141"/>
      <c r="C374" s="141"/>
      <c r="D374" s="141"/>
      <c r="E374" s="141"/>
      <c r="F374" s="141"/>
      <c r="G374" s="48"/>
      <c r="H374" s="141"/>
      <c r="I374" s="141"/>
      <c r="J374" s="220"/>
      <c r="K374" s="390"/>
      <c r="L374" s="220"/>
      <c r="M374" s="220"/>
      <c r="N374" s="220"/>
      <c r="O374" s="382"/>
      <c r="P374" s="141"/>
      <c r="Q374" s="141"/>
      <c r="R374" s="141"/>
      <c r="S374" s="141"/>
      <c r="T374" s="141"/>
      <c r="U374" s="57"/>
      <c r="V374" s="57"/>
      <c r="W374" s="57"/>
      <c r="X374" s="57"/>
      <c r="Y374" s="57"/>
      <c r="Z374" s="57"/>
      <c r="AA374" s="57"/>
      <c r="AB374" s="57"/>
    </row>
    <row r="375">
      <c r="A375" s="141"/>
      <c r="B375" s="141"/>
      <c r="C375" s="141"/>
      <c r="D375" s="141"/>
      <c r="E375" s="141"/>
      <c r="F375" s="141"/>
      <c r="G375" s="48"/>
      <c r="H375" s="141"/>
      <c r="I375" s="141"/>
      <c r="J375" s="220"/>
      <c r="K375" s="390"/>
      <c r="L375" s="220"/>
      <c r="M375" s="220"/>
      <c r="N375" s="220"/>
      <c r="O375" s="382"/>
      <c r="P375" s="141"/>
      <c r="Q375" s="141"/>
      <c r="R375" s="141"/>
      <c r="S375" s="141"/>
      <c r="T375" s="141"/>
      <c r="U375" s="57"/>
      <c r="V375" s="57"/>
      <c r="W375" s="57"/>
      <c r="X375" s="57"/>
      <c r="Y375" s="57"/>
      <c r="Z375" s="57"/>
      <c r="AA375" s="57"/>
      <c r="AB375" s="57"/>
    </row>
    <row r="376">
      <c r="A376" s="141"/>
      <c r="B376" s="141"/>
      <c r="C376" s="141"/>
      <c r="D376" s="141"/>
      <c r="E376" s="141"/>
      <c r="F376" s="141"/>
      <c r="G376" s="48"/>
      <c r="H376" s="141"/>
      <c r="I376" s="141"/>
      <c r="J376" s="220"/>
      <c r="K376" s="390"/>
      <c r="L376" s="220"/>
      <c r="M376" s="220"/>
      <c r="N376" s="220"/>
      <c r="O376" s="382"/>
      <c r="P376" s="141"/>
      <c r="Q376" s="141"/>
      <c r="R376" s="141"/>
      <c r="S376" s="141"/>
      <c r="T376" s="141"/>
      <c r="U376" s="57"/>
      <c r="V376" s="57"/>
      <c r="W376" s="57"/>
      <c r="X376" s="57"/>
      <c r="Y376" s="57"/>
      <c r="Z376" s="57"/>
      <c r="AA376" s="57"/>
      <c r="AB376" s="57"/>
    </row>
    <row r="377">
      <c r="A377" s="141"/>
      <c r="B377" s="141"/>
      <c r="C377" s="141"/>
      <c r="D377" s="141"/>
      <c r="E377" s="141"/>
      <c r="F377" s="141"/>
      <c r="G377" s="48"/>
      <c r="H377" s="141"/>
      <c r="I377" s="141"/>
      <c r="J377" s="220"/>
      <c r="K377" s="390"/>
      <c r="L377" s="220"/>
      <c r="M377" s="220"/>
      <c r="N377" s="220"/>
      <c r="O377" s="382"/>
      <c r="P377" s="141"/>
      <c r="Q377" s="141"/>
      <c r="R377" s="141"/>
      <c r="S377" s="141"/>
      <c r="T377" s="141"/>
      <c r="U377" s="57"/>
      <c r="V377" s="57"/>
      <c r="W377" s="57"/>
      <c r="X377" s="57"/>
      <c r="Y377" s="57"/>
      <c r="Z377" s="57"/>
      <c r="AA377" s="57"/>
      <c r="AB377" s="57"/>
    </row>
    <row r="378">
      <c r="A378" s="141"/>
      <c r="B378" s="141"/>
      <c r="C378" s="141"/>
      <c r="D378" s="141"/>
      <c r="E378" s="141"/>
      <c r="F378" s="141"/>
      <c r="G378" s="48"/>
      <c r="H378" s="141"/>
      <c r="I378" s="141"/>
      <c r="J378" s="220"/>
      <c r="K378" s="390"/>
      <c r="L378" s="220"/>
      <c r="M378" s="220"/>
      <c r="N378" s="220"/>
      <c r="O378" s="382"/>
      <c r="P378" s="141"/>
      <c r="Q378" s="141"/>
      <c r="R378" s="141"/>
      <c r="S378" s="141"/>
      <c r="T378" s="141"/>
      <c r="U378" s="57"/>
      <c r="V378" s="57"/>
      <c r="W378" s="57"/>
      <c r="X378" s="57"/>
      <c r="Y378" s="57"/>
      <c r="Z378" s="57"/>
      <c r="AA378" s="57"/>
      <c r="AB378" s="57"/>
    </row>
    <row r="379">
      <c r="A379" s="141"/>
      <c r="B379" s="141"/>
      <c r="C379" s="141"/>
      <c r="D379" s="141"/>
      <c r="E379" s="141"/>
      <c r="F379" s="141"/>
      <c r="G379" s="48"/>
      <c r="H379" s="141"/>
      <c r="I379" s="141"/>
      <c r="J379" s="220"/>
      <c r="K379" s="390"/>
      <c r="L379" s="220"/>
      <c r="M379" s="220"/>
      <c r="N379" s="220"/>
      <c r="O379" s="382"/>
      <c r="P379" s="141"/>
      <c r="Q379" s="141"/>
      <c r="R379" s="141"/>
      <c r="S379" s="141"/>
      <c r="T379" s="141"/>
      <c r="U379" s="57"/>
      <c r="V379" s="57"/>
      <c r="W379" s="57"/>
      <c r="X379" s="57"/>
      <c r="Y379" s="57"/>
      <c r="Z379" s="57"/>
      <c r="AA379" s="57"/>
      <c r="AB379" s="57"/>
    </row>
    <row r="380">
      <c r="A380" s="141"/>
      <c r="B380" s="141"/>
      <c r="C380" s="141"/>
      <c r="D380" s="141"/>
      <c r="E380" s="141"/>
      <c r="F380" s="141"/>
      <c r="G380" s="48"/>
      <c r="H380" s="141"/>
      <c r="I380" s="141"/>
      <c r="J380" s="220"/>
      <c r="K380" s="390"/>
      <c r="L380" s="220"/>
      <c r="M380" s="220"/>
      <c r="N380" s="220"/>
      <c r="O380" s="382"/>
      <c r="P380" s="141"/>
      <c r="Q380" s="141"/>
      <c r="R380" s="141"/>
      <c r="S380" s="141"/>
      <c r="T380" s="141"/>
      <c r="U380" s="57"/>
      <c r="V380" s="57"/>
      <c r="W380" s="57"/>
      <c r="X380" s="57"/>
      <c r="Y380" s="57"/>
      <c r="Z380" s="57"/>
      <c r="AA380" s="57"/>
      <c r="AB380" s="57"/>
    </row>
    <row r="381">
      <c r="A381" s="141"/>
      <c r="B381" s="141"/>
      <c r="C381" s="141"/>
      <c r="D381" s="141"/>
      <c r="E381" s="141"/>
      <c r="F381" s="141"/>
      <c r="G381" s="48"/>
      <c r="H381" s="141"/>
      <c r="I381" s="141"/>
      <c r="J381" s="220"/>
      <c r="K381" s="390"/>
      <c r="L381" s="220"/>
      <c r="M381" s="220"/>
      <c r="N381" s="220"/>
      <c r="O381" s="382"/>
      <c r="P381" s="141"/>
      <c r="Q381" s="141"/>
      <c r="R381" s="141"/>
      <c r="S381" s="141"/>
      <c r="T381" s="141"/>
      <c r="U381" s="57"/>
      <c r="V381" s="57"/>
      <c r="W381" s="57"/>
      <c r="X381" s="57"/>
      <c r="Y381" s="57"/>
      <c r="Z381" s="57"/>
      <c r="AA381" s="57"/>
      <c r="AB381" s="57"/>
    </row>
    <row r="382">
      <c r="A382" s="141"/>
      <c r="B382" s="141"/>
      <c r="C382" s="141"/>
      <c r="D382" s="141"/>
      <c r="E382" s="141"/>
      <c r="F382" s="141"/>
      <c r="G382" s="48"/>
      <c r="H382" s="141"/>
      <c r="I382" s="141"/>
      <c r="J382" s="220"/>
      <c r="K382" s="390"/>
      <c r="L382" s="220"/>
      <c r="M382" s="220"/>
      <c r="N382" s="220"/>
      <c r="O382" s="382"/>
      <c r="P382" s="141"/>
      <c r="Q382" s="141"/>
      <c r="R382" s="141"/>
      <c r="S382" s="141"/>
      <c r="T382" s="141"/>
      <c r="U382" s="57"/>
      <c r="V382" s="57"/>
      <c r="W382" s="57"/>
      <c r="X382" s="57"/>
      <c r="Y382" s="57"/>
      <c r="Z382" s="57"/>
      <c r="AA382" s="57"/>
      <c r="AB382" s="57"/>
    </row>
    <row r="383">
      <c r="A383" s="141"/>
      <c r="B383" s="141"/>
      <c r="C383" s="141"/>
      <c r="D383" s="141"/>
      <c r="E383" s="141"/>
      <c r="F383" s="141"/>
      <c r="G383" s="48"/>
      <c r="H383" s="141"/>
      <c r="I383" s="141"/>
      <c r="J383" s="220"/>
      <c r="K383" s="390"/>
      <c r="L383" s="220"/>
      <c r="M383" s="220"/>
      <c r="N383" s="220"/>
      <c r="O383" s="382"/>
      <c r="P383" s="141"/>
      <c r="Q383" s="141"/>
      <c r="R383" s="141"/>
      <c r="S383" s="141"/>
      <c r="T383" s="141"/>
      <c r="U383" s="57"/>
      <c r="V383" s="57"/>
      <c r="W383" s="57"/>
      <c r="X383" s="57"/>
      <c r="Y383" s="57"/>
      <c r="Z383" s="57"/>
      <c r="AA383" s="57"/>
      <c r="AB383" s="57"/>
    </row>
    <row r="384">
      <c r="A384" s="141"/>
      <c r="B384" s="141"/>
      <c r="C384" s="141"/>
      <c r="D384" s="141"/>
      <c r="E384" s="141"/>
      <c r="F384" s="141"/>
      <c r="G384" s="48"/>
      <c r="H384" s="141"/>
      <c r="I384" s="141"/>
      <c r="J384" s="220"/>
      <c r="K384" s="390"/>
      <c r="L384" s="220"/>
      <c r="M384" s="220"/>
      <c r="N384" s="220"/>
      <c r="O384" s="382"/>
      <c r="P384" s="141"/>
      <c r="Q384" s="141"/>
      <c r="R384" s="141"/>
      <c r="S384" s="141"/>
      <c r="T384" s="141"/>
      <c r="U384" s="57"/>
      <c r="V384" s="57"/>
      <c r="W384" s="57"/>
      <c r="X384" s="57"/>
      <c r="Y384" s="57"/>
      <c r="Z384" s="57"/>
      <c r="AA384" s="57"/>
      <c r="AB384" s="57"/>
    </row>
    <row r="385">
      <c r="A385" s="141"/>
      <c r="B385" s="141"/>
      <c r="C385" s="141"/>
      <c r="D385" s="141"/>
      <c r="E385" s="141"/>
      <c r="F385" s="141"/>
      <c r="G385" s="48"/>
      <c r="H385" s="141"/>
      <c r="I385" s="141"/>
      <c r="J385" s="220"/>
      <c r="K385" s="390"/>
      <c r="L385" s="220"/>
      <c r="M385" s="220"/>
      <c r="N385" s="220"/>
      <c r="O385" s="382"/>
      <c r="P385" s="141"/>
      <c r="Q385" s="141"/>
      <c r="R385" s="141"/>
      <c r="S385" s="141"/>
      <c r="T385" s="141"/>
      <c r="U385" s="57"/>
      <c r="V385" s="57"/>
      <c r="W385" s="57"/>
      <c r="X385" s="57"/>
      <c r="Y385" s="57"/>
      <c r="Z385" s="57"/>
      <c r="AA385" s="57"/>
      <c r="AB385" s="57"/>
    </row>
    <row r="386">
      <c r="A386" s="141"/>
      <c r="B386" s="141"/>
      <c r="C386" s="141"/>
      <c r="D386" s="141"/>
      <c r="E386" s="141"/>
      <c r="F386" s="141"/>
      <c r="G386" s="48"/>
      <c r="H386" s="141"/>
      <c r="I386" s="141"/>
      <c r="J386" s="220"/>
      <c r="K386" s="390"/>
      <c r="L386" s="220"/>
      <c r="M386" s="220"/>
      <c r="N386" s="220"/>
      <c r="O386" s="382"/>
      <c r="P386" s="141"/>
      <c r="Q386" s="141"/>
      <c r="R386" s="141"/>
      <c r="S386" s="141"/>
      <c r="T386" s="141"/>
      <c r="U386" s="57"/>
      <c r="V386" s="57"/>
      <c r="W386" s="57"/>
      <c r="X386" s="57"/>
      <c r="Y386" s="57"/>
      <c r="Z386" s="57"/>
      <c r="AA386" s="57"/>
      <c r="AB386" s="57"/>
    </row>
    <row r="387">
      <c r="A387" s="141"/>
      <c r="B387" s="141"/>
      <c r="C387" s="141"/>
      <c r="D387" s="141"/>
      <c r="E387" s="141"/>
      <c r="F387" s="141"/>
      <c r="G387" s="48"/>
      <c r="H387" s="141"/>
      <c r="I387" s="141"/>
      <c r="J387" s="220"/>
      <c r="K387" s="390"/>
      <c r="L387" s="220"/>
      <c r="M387" s="220"/>
      <c r="N387" s="220"/>
      <c r="O387" s="382"/>
      <c r="P387" s="141"/>
      <c r="Q387" s="141"/>
      <c r="R387" s="141"/>
      <c r="S387" s="141"/>
      <c r="T387" s="141"/>
      <c r="U387" s="57"/>
      <c r="V387" s="57"/>
      <c r="W387" s="57"/>
      <c r="X387" s="57"/>
      <c r="Y387" s="57"/>
      <c r="Z387" s="57"/>
      <c r="AA387" s="57"/>
      <c r="AB387" s="57"/>
    </row>
    <row r="388">
      <c r="A388" s="141"/>
      <c r="B388" s="141"/>
      <c r="C388" s="141"/>
      <c r="D388" s="141"/>
      <c r="E388" s="141"/>
      <c r="F388" s="141"/>
      <c r="G388" s="48"/>
      <c r="H388" s="141"/>
      <c r="I388" s="141"/>
      <c r="J388" s="220"/>
      <c r="K388" s="390"/>
      <c r="L388" s="220"/>
      <c r="M388" s="220"/>
      <c r="N388" s="220"/>
      <c r="O388" s="382"/>
      <c r="P388" s="141"/>
      <c r="Q388" s="141"/>
      <c r="R388" s="141"/>
      <c r="S388" s="141"/>
      <c r="T388" s="141"/>
      <c r="U388" s="57"/>
      <c r="V388" s="57"/>
      <c r="W388" s="57"/>
      <c r="X388" s="57"/>
      <c r="Y388" s="57"/>
      <c r="Z388" s="57"/>
      <c r="AA388" s="57"/>
      <c r="AB388" s="57"/>
    </row>
    <row r="389">
      <c r="A389" s="141"/>
      <c r="B389" s="141"/>
      <c r="C389" s="141"/>
      <c r="D389" s="141"/>
      <c r="E389" s="141"/>
      <c r="F389" s="141"/>
      <c r="G389" s="48"/>
      <c r="H389" s="141"/>
      <c r="I389" s="141"/>
      <c r="J389" s="220"/>
      <c r="K389" s="390"/>
      <c r="L389" s="220"/>
      <c r="M389" s="220"/>
      <c r="N389" s="220"/>
      <c r="O389" s="382"/>
      <c r="P389" s="141"/>
      <c r="Q389" s="141"/>
      <c r="R389" s="141"/>
      <c r="S389" s="141"/>
      <c r="T389" s="141"/>
      <c r="U389" s="57"/>
      <c r="V389" s="57"/>
      <c r="W389" s="57"/>
      <c r="X389" s="57"/>
      <c r="Y389" s="57"/>
      <c r="Z389" s="57"/>
      <c r="AA389" s="57"/>
      <c r="AB389" s="57"/>
    </row>
    <row r="390">
      <c r="A390" s="141"/>
      <c r="B390" s="141"/>
      <c r="C390" s="141"/>
      <c r="D390" s="141"/>
      <c r="E390" s="141"/>
      <c r="F390" s="141"/>
      <c r="G390" s="48"/>
      <c r="H390" s="141"/>
      <c r="I390" s="141"/>
      <c r="J390" s="220"/>
      <c r="K390" s="390"/>
      <c r="L390" s="220"/>
      <c r="M390" s="220"/>
      <c r="N390" s="220"/>
      <c r="O390" s="382"/>
      <c r="P390" s="141"/>
      <c r="Q390" s="141"/>
      <c r="R390" s="141"/>
      <c r="S390" s="141"/>
      <c r="T390" s="141"/>
      <c r="U390" s="57"/>
      <c r="V390" s="57"/>
      <c r="W390" s="57"/>
      <c r="X390" s="57"/>
      <c r="Y390" s="57"/>
      <c r="Z390" s="57"/>
      <c r="AA390" s="57"/>
      <c r="AB390" s="57"/>
    </row>
    <row r="391">
      <c r="A391" s="141"/>
      <c r="B391" s="141"/>
      <c r="C391" s="141"/>
      <c r="D391" s="141"/>
      <c r="E391" s="141"/>
      <c r="F391" s="141"/>
      <c r="G391" s="48"/>
      <c r="H391" s="141"/>
      <c r="I391" s="141"/>
      <c r="J391" s="220"/>
      <c r="K391" s="390"/>
      <c r="L391" s="220"/>
      <c r="M391" s="220"/>
      <c r="N391" s="220"/>
      <c r="O391" s="382"/>
      <c r="P391" s="141"/>
      <c r="Q391" s="141"/>
      <c r="R391" s="141"/>
      <c r="S391" s="141"/>
      <c r="T391" s="141"/>
      <c r="U391" s="57"/>
      <c r="V391" s="57"/>
      <c r="W391" s="57"/>
      <c r="X391" s="57"/>
      <c r="Y391" s="57"/>
      <c r="Z391" s="57"/>
      <c r="AA391" s="57"/>
      <c r="AB391" s="57"/>
    </row>
    <row r="392">
      <c r="A392" s="141"/>
      <c r="B392" s="141"/>
      <c r="C392" s="141"/>
      <c r="D392" s="141"/>
      <c r="E392" s="141"/>
      <c r="F392" s="141"/>
      <c r="G392" s="48"/>
      <c r="H392" s="141"/>
      <c r="I392" s="141"/>
      <c r="J392" s="220"/>
      <c r="K392" s="220"/>
      <c r="L392" s="220"/>
      <c r="M392" s="220"/>
      <c r="N392" s="220"/>
      <c r="O392" s="382"/>
      <c r="P392" s="141"/>
      <c r="Q392" s="141"/>
      <c r="R392" s="141"/>
      <c r="S392" s="141"/>
      <c r="T392" s="141"/>
      <c r="U392" s="57"/>
      <c r="V392" s="57"/>
      <c r="W392" s="57"/>
      <c r="X392" s="57"/>
      <c r="Y392" s="57"/>
      <c r="Z392" s="57"/>
      <c r="AA392" s="57"/>
      <c r="AB392" s="57"/>
    </row>
    <row r="393">
      <c r="A393" s="141"/>
      <c r="B393" s="141"/>
      <c r="C393" s="141"/>
      <c r="D393" s="141"/>
      <c r="E393" s="141"/>
      <c r="F393" s="141"/>
      <c r="G393" s="48"/>
      <c r="H393" s="141"/>
      <c r="I393" s="141"/>
      <c r="J393" s="220"/>
      <c r="K393" s="390"/>
      <c r="L393" s="220"/>
      <c r="M393" s="220"/>
      <c r="N393" s="220"/>
      <c r="O393" s="382"/>
      <c r="P393" s="141"/>
      <c r="Q393" s="141"/>
      <c r="R393" s="141"/>
      <c r="S393" s="141"/>
      <c r="T393" s="141"/>
      <c r="U393" s="57"/>
      <c r="V393" s="57"/>
      <c r="W393" s="57"/>
      <c r="X393" s="57"/>
      <c r="Y393" s="57"/>
      <c r="Z393" s="57"/>
      <c r="AA393" s="57"/>
      <c r="AB393" s="57"/>
    </row>
    <row r="394">
      <c r="A394" s="141"/>
      <c r="B394" s="141"/>
      <c r="C394" s="141"/>
      <c r="D394" s="141"/>
      <c r="E394" s="141"/>
      <c r="F394" s="141"/>
      <c r="G394" s="48"/>
      <c r="H394" s="141"/>
      <c r="I394" s="141"/>
      <c r="J394" s="220"/>
      <c r="K394" s="390"/>
      <c r="L394" s="220"/>
      <c r="M394" s="220"/>
      <c r="N394" s="220"/>
      <c r="O394" s="382"/>
      <c r="P394" s="141"/>
      <c r="Q394" s="141"/>
      <c r="R394" s="141"/>
      <c r="S394" s="141"/>
      <c r="T394" s="141"/>
      <c r="U394" s="57"/>
      <c r="V394" s="57"/>
      <c r="W394" s="57"/>
      <c r="X394" s="57"/>
      <c r="Y394" s="57"/>
      <c r="Z394" s="57"/>
      <c r="AA394" s="57"/>
      <c r="AB394" s="57"/>
    </row>
    <row r="395">
      <c r="A395" s="141"/>
      <c r="B395" s="141"/>
      <c r="C395" s="141"/>
      <c r="D395" s="141"/>
      <c r="E395" s="141"/>
      <c r="F395" s="141"/>
      <c r="G395" s="48"/>
      <c r="H395" s="141"/>
      <c r="I395" s="141"/>
      <c r="J395" s="220"/>
      <c r="K395" s="390"/>
      <c r="L395" s="220"/>
      <c r="M395" s="220"/>
      <c r="N395" s="220"/>
      <c r="O395" s="382"/>
      <c r="P395" s="141"/>
      <c r="Q395" s="141"/>
      <c r="R395" s="141"/>
      <c r="S395" s="141"/>
      <c r="T395" s="141"/>
      <c r="U395" s="57"/>
      <c r="V395" s="57"/>
      <c r="W395" s="57"/>
      <c r="X395" s="57"/>
      <c r="Y395" s="57"/>
      <c r="Z395" s="57"/>
      <c r="AA395" s="57"/>
      <c r="AB395" s="57"/>
    </row>
    <row r="396">
      <c r="A396" s="141"/>
      <c r="B396" s="141"/>
      <c r="C396" s="141"/>
      <c r="D396" s="141"/>
      <c r="E396" s="141"/>
      <c r="F396" s="141"/>
      <c r="G396" s="48"/>
      <c r="H396" s="141"/>
      <c r="I396" s="141"/>
      <c r="J396" s="220"/>
      <c r="K396" s="390"/>
      <c r="L396" s="220"/>
      <c r="M396" s="220"/>
      <c r="N396" s="220"/>
      <c r="O396" s="382"/>
      <c r="P396" s="141"/>
      <c r="Q396" s="141"/>
      <c r="R396" s="141"/>
      <c r="S396" s="141"/>
      <c r="T396" s="141"/>
      <c r="U396" s="57"/>
      <c r="V396" s="57"/>
      <c r="W396" s="57"/>
      <c r="X396" s="57"/>
      <c r="Y396" s="57"/>
      <c r="Z396" s="57"/>
      <c r="AA396" s="57"/>
      <c r="AB396" s="57"/>
    </row>
    <row r="397">
      <c r="A397" s="141"/>
      <c r="B397" s="141"/>
      <c r="C397" s="141"/>
      <c r="D397" s="141"/>
      <c r="E397" s="141"/>
      <c r="F397" s="141"/>
      <c r="G397" s="48"/>
      <c r="H397" s="141"/>
      <c r="I397" s="141"/>
      <c r="J397" s="220"/>
      <c r="K397" s="390"/>
      <c r="L397" s="220"/>
      <c r="M397" s="220"/>
      <c r="N397" s="220"/>
      <c r="O397" s="382"/>
      <c r="P397" s="141"/>
      <c r="Q397" s="141"/>
      <c r="R397" s="141"/>
      <c r="S397" s="141"/>
      <c r="T397" s="141"/>
      <c r="U397" s="57"/>
      <c r="V397" s="57"/>
      <c r="W397" s="57"/>
      <c r="X397" s="57"/>
      <c r="Y397" s="57"/>
      <c r="Z397" s="57"/>
      <c r="AA397" s="57"/>
      <c r="AB397" s="57"/>
    </row>
    <row r="398">
      <c r="A398" s="141"/>
      <c r="B398" s="141"/>
      <c r="C398" s="141"/>
      <c r="D398" s="141"/>
      <c r="E398" s="141"/>
      <c r="F398" s="141"/>
      <c r="G398" s="48"/>
      <c r="H398" s="141"/>
      <c r="I398" s="141"/>
      <c r="J398" s="220"/>
      <c r="K398" s="390"/>
      <c r="L398" s="220"/>
      <c r="M398" s="220"/>
      <c r="N398" s="220"/>
      <c r="O398" s="382"/>
      <c r="P398" s="141"/>
      <c r="Q398" s="141"/>
      <c r="R398" s="141"/>
      <c r="S398" s="141"/>
      <c r="T398" s="141"/>
      <c r="U398" s="57"/>
      <c r="V398" s="57"/>
      <c r="W398" s="57"/>
      <c r="X398" s="57"/>
      <c r="Y398" s="57"/>
      <c r="Z398" s="57"/>
      <c r="AA398" s="57"/>
      <c r="AB398" s="57"/>
    </row>
    <row r="399">
      <c r="A399" s="141"/>
      <c r="B399" s="141"/>
      <c r="C399" s="141"/>
      <c r="D399" s="141"/>
      <c r="E399" s="141"/>
      <c r="F399" s="141"/>
      <c r="G399" s="48"/>
      <c r="H399" s="141"/>
      <c r="I399" s="141"/>
      <c r="J399" s="220"/>
      <c r="K399" s="390"/>
      <c r="L399" s="220"/>
      <c r="M399" s="220"/>
      <c r="N399" s="220"/>
      <c r="O399" s="382"/>
      <c r="P399" s="141"/>
      <c r="Q399" s="141"/>
      <c r="R399" s="141"/>
      <c r="S399" s="141"/>
      <c r="T399" s="141"/>
      <c r="U399" s="57"/>
      <c r="V399" s="57"/>
      <c r="W399" s="57"/>
      <c r="X399" s="57"/>
      <c r="Y399" s="57"/>
      <c r="Z399" s="57"/>
      <c r="AA399" s="57"/>
      <c r="AB399" s="57"/>
    </row>
    <row r="400">
      <c r="A400" s="141"/>
      <c r="B400" s="141"/>
      <c r="C400" s="141"/>
      <c r="D400" s="141"/>
      <c r="E400" s="141"/>
      <c r="F400" s="141"/>
      <c r="G400" s="48"/>
      <c r="H400" s="141"/>
      <c r="I400" s="141"/>
      <c r="J400" s="220"/>
      <c r="K400" s="390"/>
      <c r="L400" s="220"/>
      <c r="M400" s="220"/>
      <c r="N400" s="220"/>
      <c r="O400" s="382"/>
      <c r="P400" s="141"/>
      <c r="Q400" s="141"/>
      <c r="R400" s="141"/>
      <c r="S400" s="141"/>
      <c r="T400" s="141"/>
      <c r="U400" s="57"/>
      <c r="V400" s="57"/>
      <c r="W400" s="57"/>
      <c r="X400" s="57"/>
      <c r="Y400" s="57"/>
      <c r="Z400" s="57"/>
      <c r="AA400" s="57"/>
      <c r="AB400" s="57"/>
    </row>
    <row r="401">
      <c r="A401" s="141"/>
      <c r="B401" s="141"/>
      <c r="C401" s="141"/>
      <c r="D401" s="141"/>
      <c r="E401" s="141"/>
      <c r="F401" s="141"/>
      <c r="G401" s="48"/>
      <c r="H401" s="141"/>
      <c r="I401" s="141"/>
      <c r="J401" s="220"/>
      <c r="K401" s="220"/>
      <c r="L401" s="220"/>
      <c r="M401" s="220"/>
      <c r="N401" s="220"/>
      <c r="O401" s="382"/>
      <c r="P401" s="141"/>
      <c r="Q401" s="141"/>
      <c r="R401" s="141"/>
      <c r="S401" s="141"/>
      <c r="T401" s="141"/>
      <c r="U401" s="57"/>
      <c r="V401" s="57"/>
      <c r="W401" s="57"/>
      <c r="X401" s="57"/>
      <c r="Y401" s="57"/>
      <c r="Z401" s="57"/>
      <c r="AA401" s="57"/>
      <c r="AB401" s="57"/>
    </row>
    <row r="402">
      <c r="A402" s="141"/>
      <c r="B402" s="141"/>
      <c r="C402" s="141"/>
      <c r="D402" s="141"/>
      <c r="E402" s="141"/>
      <c r="F402" s="141"/>
      <c r="G402" s="48"/>
      <c r="H402" s="141"/>
      <c r="I402" s="141"/>
      <c r="J402" s="220"/>
      <c r="K402" s="220"/>
      <c r="L402" s="220"/>
      <c r="M402" s="220"/>
      <c r="N402" s="220"/>
      <c r="O402" s="382"/>
      <c r="P402" s="141"/>
      <c r="Q402" s="141"/>
      <c r="R402" s="141"/>
      <c r="S402" s="141"/>
      <c r="T402" s="141"/>
      <c r="U402" s="57"/>
      <c r="V402" s="57"/>
      <c r="W402" s="57"/>
      <c r="X402" s="57"/>
      <c r="Y402" s="57"/>
      <c r="Z402" s="57"/>
      <c r="AA402" s="57"/>
      <c r="AB402" s="57"/>
    </row>
    <row r="403">
      <c r="A403" s="141"/>
      <c r="B403" s="141"/>
      <c r="C403" s="141"/>
      <c r="D403" s="141"/>
      <c r="E403" s="141"/>
      <c r="F403" s="141"/>
      <c r="G403" s="48"/>
      <c r="H403" s="141"/>
      <c r="I403" s="141"/>
      <c r="J403" s="220"/>
      <c r="K403" s="220"/>
      <c r="L403" s="220"/>
      <c r="M403" s="220"/>
      <c r="N403" s="220"/>
      <c r="O403" s="382"/>
      <c r="P403" s="141"/>
      <c r="Q403" s="141"/>
      <c r="R403" s="141"/>
      <c r="S403" s="141"/>
      <c r="T403" s="141"/>
      <c r="U403" s="57"/>
      <c r="V403" s="57"/>
      <c r="W403" s="57"/>
      <c r="X403" s="57"/>
      <c r="Y403" s="57"/>
      <c r="Z403" s="57"/>
      <c r="AA403" s="57"/>
      <c r="AB403" s="57"/>
    </row>
    <row r="404">
      <c r="A404" s="141"/>
      <c r="B404" s="141"/>
      <c r="C404" s="141"/>
      <c r="D404" s="141"/>
      <c r="E404" s="141"/>
      <c r="F404" s="141"/>
      <c r="G404" s="48"/>
      <c r="H404" s="141"/>
      <c r="I404" s="141"/>
      <c r="J404" s="220"/>
      <c r="K404" s="220"/>
      <c r="L404" s="220"/>
      <c r="M404" s="220"/>
      <c r="N404" s="220"/>
      <c r="O404" s="382"/>
      <c r="P404" s="141"/>
      <c r="Q404" s="141"/>
      <c r="R404" s="141"/>
      <c r="S404" s="141"/>
      <c r="T404" s="141"/>
      <c r="U404" s="57"/>
      <c r="V404" s="57"/>
      <c r="W404" s="57"/>
      <c r="X404" s="57"/>
      <c r="Y404" s="57"/>
      <c r="Z404" s="57"/>
      <c r="AA404" s="57"/>
      <c r="AB404" s="57"/>
    </row>
    <row r="405">
      <c r="A405" s="141"/>
      <c r="B405" s="141"/>
      <c r="C405" s="141"/>
      <c r="D405" s="141"/>
      <c r="E405" s="141"/>
      <c r="F405" s="141"/>
      <c r="G405" s="48"/>
      <c r="H405" s="141"/>
      <c r="I405" s="141"/>
      <c r="J405" s="220"/>
      <c r="K405" s="220"/>
      <c r="L405" s="220"/>
      <c r="M405" s="220"/>
      <c r="N405" s="220"/>
      <c r="O405" s="382"/>
      <c r="P405" s="141"/>
      <c r="Q405" s="141"/>
      <c r="R405" s="141"/>
      <c r="S405" s="141"/>
      <c r="T405" s="141"/>
      <c r="U405" s="57"/>
      <c r="V405" s="57"/>
      <c r="W405" s="57"/>
      <c r="X405" s="57"/>
      <c r="Y405" s="57"/>
      <c r="Z405" s="57"/>
      <c r="AA405" s="57"/>
      <c r="AB405" s="57"/>
    </row>
    <row r="406">
      <c r="A406" s="141"/>
      <c r="B406" s="141"/>
      <c r="C406" s="141"/>
      <c r="D406" s="141"/>
      <c r="E406" s="141"/>
      <c r="F406" s="141"/>
      <c r="G406" s="48"/>
      <c r="H406" s="141"/>
      <c r="I406" s="141"/>
      <c r="J406" s="220"/>
      <c r="K406" s="220"/>
      <c r="L406" s="220"/>
      <c r="M406" s="220"/>
      <c r="N406" s="220"/>
      <c r="O406" s="382"/>
      <c r="P406" s="141"/>
      <c r="Q406" s="141"/>
      <c r="R406" s="141"/>
      <c r="S406" s="141"/>
      <c r="T406" s="141"/>
      <c r="U406" s="57"/>
      <c r="V406" s="57"/>
      <c r="W406" s="57"/>
      <c r="X406" s="57"/>
      <c r="Y406" s="57"/>
      <c r="Z406" s="57"/>
      <c r="AA406" s="57"/>
      <c r="AB406" s="57"/>
    </row>
    <row r="407">
      <c r="A407" s="141"/>
      <c r="B407" s="141"/>
      <c r="C407" s="141"/>
      <c r="D407" s="141"/>
      <c r="E407" s="141"/>
      <c r="F407" s="141"/>
      <c r="G407" s="48"/>
      <c r="H407" s="141"/>
      <c r="I407" s="141"/>
      <c r="J407" s="220"/>
      <c r="K407" s="220"/>
      <c r="L407" s="220"/>
      <c r="M407" s="220"/>
      <c r="N407" s="220"/>
      <c r="O407" s="382"/>
      <c r="P407" s="141"/>
      <c r="Q407" s="141"/>
      <c r="R407" s="141"/>
      <c r="S407" s="141"/>
      <c r="T407" s="141"/>
      <c r="U407" s="57"/>
      <c r="V407" s="57"/>
      <c r="W407" s="57"/>
      <c r="X407" s="57"/>
      <c r="Y407" s="57"/>
      <c r="Z407" s="57"/>
      <c r="AA407" s="57"/>
      <c r="AB407" s="57"/>
    </row>
    <row r="408">
      <c r="A408" s="141"/>
      <c r="B408" s="141"/>
      <c r="C408" s="141"/>
      <c r="D408" s="141"/>
      <c r="E408" s="141"/>
      <c r="F408" s="141"/>
      <c r="G408" s="48"/>
      <c r="H408" s="141"/>
      <c r="I408" s="141"/>
      <c r="J408" s="220"/>
      <c r="K408" s="220"/>
      <c r="L408" s="220"/>
      <c r="M408" s="220"/>
      <c r="N408" s="220"/>
      <c r="O408" s="382"/>
      <c r="P408" s="141"/>
      <c r="Q408" s="141"/>
      <c r="R408" s="141"/>
      <c r="S408" s="141"/>
      <c r="T408" s="141"/>
      <c r="U408" s="57"/>
      <c r="V408" s="57"/>
      <c r="W408" s="57"/>
      <c r="X408" s="57"/>
      <c r="Y408" s="57"/>
      <c r="Z408" s="57"/>
      <c r="AA408" s="57"/>
      <c r="AB408" s="57"/>
    </row>
    <row r="409">
      <c r="A409" s="141"/>
      <c r="B409" s="141"/>
      <c r="C409" s="141"/>
      <c r="D409" s="141"/>
      <c r="E409" s="141"/>
      <c r="F409" s="141"/>
      <c r="G409" s="48"/>
      <c r="H409" s="141"/>
      <c r="I409" s="141"/>
      <c r="J409" s="220"/>
      <c r="K409" s="220"/>
      <c r="L409" s="220"/>
      <c r="M409" s="220"/>
      <c r="N409" s="220"/>
      <c r="O409" s="382"/>
      <c r="P409" s="141"/>
      <c r="Q409" s="141"/>
      <c r="R409" s="141"/>
      <c r="S409" s="141"/>
      <c r="T409" s="141"/>
      <c r="U409" s="57"/>
      <c r="V409" s="57"/>
      <c r="W409" s="57"/>
      <c r="X409" s="57"/>
      <c r="Y409" s="57"/>
      <c r="Z409" s="57"/>
      <c r="AA409" s="57"/>
      <c r="AB409" s="57"/>
    </row>
    <row r="410">
      <c r="A410" s="141"/>
      <c r="B410" s="141"/>
      <c r="C410" s="141"/>
      <c r="D410" s="141"/>
      <c r="E410" s="141"/>
      <c r="F410" s="141"/>
      <c r="G410" s="48"/>
      <c r="H410" s="141"/>
      <c r="I410" s="141"/>
      <c r="J410" s="220"/>
      <c r="K410" s="220"/>
      <c r="L410" s="220"/>
      <c r="M410" s="220"/>
      <c r="N410" s="220"/>
      <c r="O410" s="382"/>
      <c r="P410" s="141"/>
      <c r="Q410" s="141"/>
      <c r="R410" s="141"/>
      <c r="S410" s="141"/>
      <c r="T410" s="141"/>
      <c r="U410" s="57"/>
      <c r="V410" s="57"/>
      <c r="W410" s="57"/>
      <c r="X410" s="57"/>
      <c r="Y410" s="57"/>
      <c r="Z410" s="57"/>
      <c r="AA410" s="57"/>
      <c r="AB410" s="57"/>
    </row>
    <row r="411">
      <c r="A411" s="141"/>
      <c r="B411" s="141"/>
      <c r="C411" s="141"/>
      <c r="D411" s="141"/>
      <c r="E411" s="141"/>
      <c r="F411" s="141"/>
      <c r="G411" s="48"/>
      <c r="H411" s="141"/>
      <c r="I411" s="141"/>
      <c r="J411" s="220"/>
      <c r="K411" s="220"/>
      <c r="L411" s="220"/>
      <c r="M411" s="220"/>
      <c r="N411" s="220"/>
      <c r="O411" s="382"/>
      <c r="P411" s="141"/>
      <c r="Q411" s="141"/>
      <c r="R411" s="141"/>
      <c r="S411" s="141"/>
      <c r="T411" s="141"/>
      <c r="U411" s="57"/>
      <c r="V411" s="57"/>
      <c r="W411" s="57"/>
      <c r="X411" s="57"/>
      <c r="Y411" s="57"/>
      <c r="Z411" s="57"/>
      <c r="AA411" s="57"/>
      <c r="AB411" s="57"/>
    </row>
    <row r="412">
      <c r="A412" s="141"/>
      <c r="B412" s="141"/>
      <c r="C412" s="141"/>
      <c r="D412" s="141"/>
      <c r="E412" s="141"/>
      <c r="F412" s="141"/>
      <c r="G412" s="48"/>
      <c r="H412" s="141"/>
      <c r="I412" s="141"/>
      <c r="J412" s="220"/>
      <c r="K412" s="220"/>
      <c r="L412" s="220"/>
      <c r="M412" s="220"/>
      <c r="N412" s="220"/>
      <c r="O412" s="382"/>
      <c r="P412" s="141"/>
      <c r="Q412" s="141"/>
      <c r="R412" s="141"/>
      <c r="S412" s="141"/>
      <c r="T412" s="141"/>
      <c r="U412" s="57"/>
      <c r="V412" s="57"/>
      <c r="W412" s="57"/>
      <c r="X412" s="57"/>
      <c r="Y412" s="57"/>
      <c r="Z412" s="57"/>
      <c r="AA412" s="57"/>
      <c r="AB412" s="57"/>
    </row>
    <row r="413">
      <c r="A413" s="141"/>
      <c r="B413" s="141"/>
      <c r="C413" s="141"/>
      <c r="D413" s="141"/>
      <c r="E413" s="141"/>
      <c r="F413" s="141"/>
      <c r="G413" s="48"/>
      <c r="H413" s="141"/>
      <c r="I413" s="141"/>
      <c r="J413" s="220"/>
      <c r="K413" s="220"/>
      <c r="L413" s="220"/>
      <c r="M413" s="220"/>
      <c r="N413" s="220"/>
      <c r="O413" s="382"/>
      <c r="P413" s="141"/>
      <c r="Q413" s="141"/>
      <c r="R413" s="141"/>
      <c r="S413" s="141"/>
      <c r="T413" s="141"/>
      <c r="U413" s="57"/>
      <c r="V413" s="57"/>
      <c r="W413" s="57"/>
      <c r="X413" s="57"/>
      <c r="Y413" s="57"/>
      <c r="Z413" s="57"/>
      <c r="AA413" s="57"/>
      <c r="AB413" s="57"/>
    </row>
    <row r="414">
      <c r="A414" s="141"/>
      <c r="B414" s="141"/>
      <c r="C414" s="141"/>
      <c r="D414" s="141"/>
      <c r="E414" s="141"/>
      <c r="F414" s="141"/>
      <c r="G414" s="48"/>
      <c r="H414" s="141"/>
      <c r="I414" s="141"/>
      <c r="J414" s="220"/>
      <c r="K414" s="220"/>
      <c r="L414" s="220"/>
      <c r="M414" s="220"/>
      <c r="N414" s="220"/>
      <c r="O414" s="382"/>
      <c r="P414" s="141"/>
      <c r="Q414" s="141"/>
      <c r="R414" s="141"/>
      <c r="S414" s="141"/>
      <c r="T414" s="141"/>
      <c r="U414" s="57"/>
      <c r="V414" s="57"/>
      <c r="W414" s="57"/>
      <c r="X414" s="57"/>
      <c r="Y414" s="57"/>
      <c r="Z414" s="57"/>
      <c r="AA414" s="57"/>
      <c r="AB414" s="57"/>
    </row>
    <row r="415">
      <c r="A415" s="141"/>
      <c r="B415" s="141"/>
      <c r="C415" s="141"/>
      <c r="D415" s="141"/>
      <c r="E415" s="141"/>
      <c r="F415" s="141"/>
      <c r="G415" s="48"/>
      <c r="H415" s="141"/>
      <c r="I415" s="141"/>
      <c r="J415" s="220"/>
      <c r="K415" s="220"/>
      <c r="L415" s="220"/>
      <c r="M415" s="220"/>
      <c r="N415" s="220"/>
      <c r="O415" s="382"/>
      <c r="P415" s="141"/>
      <c r="Q415" s="141"/>
      <c r="R415" s="141"/>
      <c r="S415" s="141"/>
      <c r="T415" s="141"/>
      <c r="U415" s="57"/>
      <c r="V415" s="57"/>
      <c r="W415" s="57"/>
      <c r="X415" s="57"/>
      <c r="Y415" s="57"/>
      <c r="Z415" s="57"/>
      <c r="AA415" s="57"/>
      <c r="AB415" s="57"/>
    </row>
    <row r="416">
      <c r="A416" s="141"/>
      <c r="B416" s="141"/>
      <c r="C416" s="141"/>
      <c r="D416" s="141"/>
      <c r="E416" s="141"/>
      <c r="F416" s="141"/>
      <c r="G416" s="48"/>
      <c r="H416" s="141"/>
      <c r="I416" s="141"/>
      <c r="J416" s="220"/>
      <c r="K416" s="220"/>
      <c r="L416" s="220"/>
      <c r="M416" s="220"/>
      <c r="N416" s="220"/>
      <c r="O416" s="382"/>
      <c r="P416" s="141"/>
      <c r="Q416" s="141"/>
      <c r="R416" s="141"/>
      <c r="S416" s="141"/>
      <c r="T416" s="141"/>
      <c r="U416" s="57"/>
      <c r="V416" s="57"/>
      <c r="W416" s="57"/>
      <c r="X416" s="57"/>
      <c r="Y416" s="57"/>
      <c r="Z416" s="57"/>
      <c r="AA416" s="57"/>
      <c r="AB416" s="57"/>
    </row>
    <row r="417">
      <c r="A417" s="141"/>
      <c r="B417" s="141"/>
      <c r="C417" s="141"/>
      <c r="D417" s="141"/>
      <c r="E417" s="141"/>
      <c r="F417" s="141"/>
      <c r="G417" s="48"/>
      <c r="H417" s="141"/>
      <c r="I417" s="141"/>
      <c r="J417" s="220"/>
      <c r="K417" s="220"/>
      <c r="L417" s="220"/>
      <c r="M417" s="220"/>
      <c r="N417" s="220"/>
      <c r="O417" s="382"/>
      <c r="P417" s="141"/>
      <c r="Q417" s="141"/>
      <c r="R417" s="141"/>
      <c r="S417" s="141"/>
      <c r="T417" s="141"/>
      <c r="U417" s="57"/>
      <c r="V417" s="57"/>
      <c r="W417" s="57"/>
      <c r="X417" s="57"/>
      <c r="Y417" s="57"/>
      <c r="Z417" s="57"/>
      <c r="AA417" s="57"/>
      <c r="AB417" s="57"/>
    </row>
    <row r="418">
      <c r="A418" s="141"/>
      <c r="B418" s="141"/>
      <c r="C418" s="141"/>
      <c r="D418" s="141"/>
      <c r="E418" s="141"/>
      <c r="F418" s="141"/>
      <c r="G418" s="48"/>
      <c r="H418" s="141"/>
      <c r="I418" s="141"/>
      <c r="J418" s="220"/>
      <c r="K418" s="220"/>
      <c r="L418" s="220"/>
      <c r="M418" s="220"/>
      <c r="N418" s="220"/>
      <c r="O418" s="382"/>
      <c r="P418" s="141"/>
      <c r="Q418" s="141"/>
      <c r="R418" s="141"/>
      <c r="S418" s="141"/>
      <c r="T418" s="141"/>
      <c r="U418" s="57"/>
      <c r="V418" s="57"/>
      <c r="W418" s="57"/>
      <c r="X418" s="57"/>
      <c r="Y418" s="57"/>
      <c r="Z418" s="57"/>
      <c r="AA418" s="57"/>
      <c r="AB418" s="57"/>
    </row>
    <row r="419">
      <c r="A419" s="141"/>
      <c r="B419" s="141"/>
      <c r="C419" s="141"/>
      <c r="D419" s="141"/>
      <c r="E419" s="141"/>
      <c r="F419" s="141"/>
      <c r="G419" s="48"/>
      <c r="H419" s="141"/>
      <c r="I419" s="141"/>
      <c r="J419" s="220"/>
      <c r="K419" s="220"/>
      <c r="L419" s="220"/>
      <c r="M419" s="220"/>
      <c r="N419" s="220"/>
      <c r="O419" s="382"/>
      <c r="P419" s="141"/>
      <c r="Q419" s="141"/>
      <c r="R419" s="141"/>
      <c r="S419" s="141"/>
      <c r="T419" s="141"/>
      <c r="U419" s="57"/>
      <c r="V419" s="57"/>
      <c r="W419" s="57"/>
      <c r="X419" s="57"/>
      <c r="Y419" s="57"/>
      <c r="Z419" s="57"/>
      <c r="AA419" s="57"/>
      <c r="AB419" s="57"/>
    </row>
    <row r="420">
      <c r="A420" s="141"/>
      <c r="B420" s="141"/>
      <c r="C420" s="141"/>
      <c r="D420" s="141"/>
      <c r="E420" s="141"/>
      <c r="F420" s="141"/>
      <c r="G420" s="48"/>
      <c r="H420" s="141"/>
      <c r="I420" s="141"/>
      <c r="J420" s="220"/>
      <c r="K420" s="220"/>
      <c r="L420" s="220"/>
      <c r="M420" s="220"/>
      <c r="N420" s="220"/>
      <c r="O420" s="382"/>
      <c r="P420" s="141"/>
      <c r="Q420" s="141"/>
      <c r="R420" s="141"/>
      <c r="S420" s="141"/>
      <c r="T420" s="141"/>
      <c r="U420" s="57"/>
      <c r="V420" s="57"/>
      <c r="W420" s="57"/>
      <c r="X420" s="57"/>
      <c r="Y420" s="57"/>
      <c r="Z420" s="57"/>
      <c r="AA420" s="57"/>
      <c r="AB420" s="57"/>
    </row>
    <row r="421">
      <c r="A421" s="141"/>
      <c r="B421" s="141"/>
      <c r="C421" s="141"/>
      <c r="D421" s="141"/>
      <c r="E421" s="141"/>
      <c r="F421" s="141"/>
      <c r="G421" s="48"/>
      <c r="H421" s="141"/>
      <c r="I421" s="141"/>
      <c r="J421" s="220"/>
      <c r="K421" s="220"/>
      <c r="L421" s="220"/>
      <c r="M421" s="220"/>
      <c r="N421" s="220"/>
      <c r="O421" s="382"/>
      <c r="P421" s="141"/>
      <c r="Q421" s="141"/>
      <c r="R421" s="141"/>
      <c r="S421" s="141"/>
      <c r="T421" s="141"/>
      <c r="U421" s="57"/>
      <c r="V421" s="57"/>
      <c r="W421" s="57"/>
      <c r="X421" s="57"/>
      <c r="Y421" s="57"/>
      <c r="Z421" s="57"/>
      <c r="AA421" s="57"/>
      <c r="AB421" s="57"/>
    </row>
    <row r="422">
      <c r="A422" s="141"/>
      <c r="B422" s="141"/>
      <c r="C422" s="141"/>
      <c r="D422" s="141"/>
      <c r="E422" s="141"/>
      <c r="F422" s="141"/>
      <c r="G422" s="48"/>
      <c r="H422" s="141"/>
      <c r="I422" s="141"/>
      <c r="J422" s="220"/>
      <c r="K422" s="220"/>
      <c r="L422" s="220"/>
      <c r="M422" s="220"/>
      <c r="N422" s="220"/>
      <c r="O422" s="382"/>
      <c r="P422" s="141"/>
      <c r="Q422" s="141"/>
      <c r="R422" s="141"/>
      <c r="S422" s="141"/>
      <c r="T422" s="141"/>
      <c r="U422" s="57"/>
      <c r="V422" s="57"/>
      <c r="W422" s="57"/>
      <c r="X422" s="57"/>
      <c r="Y422" s="57"/>
      <c r="Z422" s="57"/>
      <c r="AA422" s="57"/>
      <c r="AB422" s="57"/>
    </row>
    <row r="423">
      <c r="A423" s="141"/>
      <c r="B423" s="141"/>
      <c r="C423" s="141"/>
      <c r="D423" s="141"/>
      <c r="E423" s="141"/>
      <c r="F423" s="141"/>
      <c r="G423" s="48"/>
      <c r="H423" s="141"/>
      <c r="I423" s="141"/>
      <c r="J423" s="220"/>
      <c r="K423" s="220"/>
      <c r="L423" s="220"/>
      <c r="M423" s="220"/>
      <c r="N423" s="220"/>
      <c r="O423" s="382"/>
      <c r="P423" s="141"/>
      <c r="Q423" s="141"/>
      <c r="R423" s="141"/>
      <c r="S423" s="141"/>
      <c r="T423" s="141"/>
      <c r="U423" s="57"/>
      <c r="V423" s="57"/>
      <c r="W423" s="57"/>
      <c r="X423" s="57"/>
      <c r="Y423" s="57"/>
      <c r="Z423" s="57"/>
      <c r="AA423" s="57"/>
      <c r="AB423" s="57"/>
    </row>
    <row r="424">
      <c r="A424" s="141"/>
      <c r="B424" s="141"/>
      <c r="C424" s="141"/>
      <c r="D424" s="141"/>
      <c r="E424" s="141"/>
      <c r="F424" s="141"/>
      <c r="G424" s="48"/>
      <c r="H424" s="141"/>
      <c r="I424" s="141"/>
      <c r="J424" s="220"/>
      <c r="K424" s="220"/>
      <c r="L424" s="220"/>
      <c r="M424" s="220"/>
      <c r="N424" s="220"/>
      <c r="O424" s="382"/>
      <c r="P424" s="141"/>
      <c r="Q424" s="141"/>
      <c r="R424" s="141"/>
      <c r="S424" s="141"/>
      <c r="T424" s="141"/>
      <c r="U424" s="57"/>
      <c r="V424" s="57"/>
      <c r="W424" s="57"/>
      <c r="X424" s="57"/>
      <c r="Y424" s="57"/>
      <c r="Z424" s="57"/>
      <c r="AA424" s="57"/>
      <c r="AB424" s="57"/>
    </row>
    <row r="425">
      <c r="A425" s="141"/>
      <c r="B425" s="141"/>
      <c r="C425" s="141"/>
      <c r="D425" s="141"/>
      <c r="E425" s="141"/>
      <c r="F425" s="141"/>
      <c r="G425" s="48"/>
      <c r="H425" s="141"/>
      <c r="I425" s="141"/>
      <c r="J425" s="220"/>
      <c r="K425" s="220"/>
      <c r="L425" s="220"/>
      <c r="M425" s="220"/>
      <c r="N425" s="220"/>
      <c r="O425" s="382"/>
      <c r="P425" s="141"/>
      <c r="Q425" s="141"/>
      <c r="R425" s="141"/>
      <c r="S425" s="141"/>
      <c r="T425" s="141"/>
      <c r="U425" s="57"/>
      <c r="V425" s="57"/>
      <c r="W425" s="57"/>
      <c r="X425" s="57"/>
      <c r="Y425" s="57"/>
      <c r="Z425" s="57"/>
      <c r="AA425" s="57"/>
      <c r="AB425" s="57"/>
    </row>
    <row r="426">
      <c r="A426" s="141"/>
      <c r="B426" s="141"/>
      <c r="C426" s="141"/>
      <c r="D426" s="141"/>
      <c r="E426" s="141"/>
      <c r="F426" s="141"/>
      <c r="G426" s="48"/>
      <c r="H426" s="141"/>
      <c r="I426" s="141"/>
      <c r="J426" s="220"/>
      <c r="K426" s="220"/>
      <c r="L426" s="220"/>
      <c r="M426" s="220"/>
      <c r="N426" s="220"/>
      <c r="O426" s="382"/>
      <c r="P426" s="141"/>
      <c r="Q426" s="141"/>
      <c r="R426" s="141"/>
      <c r="S426" s="141"/>
      <c r="T426" s="141"/>
      <c r="U426" s="57"/>
      <c r="V426" s="57"/>
      <c r="W426" s="57"/>
      <c r="X426" s="57"/>
      <c r="Y426" s="57"/>
      <c r="Z426" s="57"/>
      <c r="AA426" s="57"/>
      <c r="AB426" s="57"/>
    </row>
    <row r="427">
      <c r="A427" s="141"/>
      <c r="B427" s="141"/>
      <c r="C427" s="141"/>
      <c r="D427" s="141"/>
      <c r="E427" s="141"/>
      <c r="F427" s="141"/>
      <c r="G427" s="48"/>
      <c r="H427" s="141"/>
      <c r="I427" s="141"/>
      <c r="J427" s="220"/>
      <c r="K427" s="220"/>
      <c r="L427" s="220"/>
      <c r="M427" s="220"/>
      <c r="N427" s="220"/>
      <c r="O427" s="382"/>
      <c r="P427" s="141"/>
      <c r="Q427" s="141"/>
      <c r="R427" s="141"/>
      <c r="S427" s="141"/>
      <c r="T427" s="141"/>
      <c r="U427" s="57"/>
      <c r="V427" s="57"/>
      <c r="W427" s="57"/>
      <c r="X427" s="57"/>
      <c r="Y427" s="57"/>
      <c r="Z427" s="57"/>
      <c r="AA427" s="57"/>
      <c r="AB427" s="57"/>
    </row>
    <row r="428">
      <c r="A428" s="141"/>
      <c r="B428" s="141"/>
      <c r="C428" s="141"/>
      <c r="D428" s="141"/>
      <c r="E428" s="141"/>
      <c r="F428" s="141"/>
      <c r="G428" s="48"/>
      <c r="H428" s="141"/>
      <c r="I428" s="141"/>
      <c r="J428" s="220"/>
      <c r="K428" s="220"/>
      <c r="L428" s="220"/>
      <c r="M428" s="220"/>
      <c r="N428" s="220"/>
      <c r="O428" s="382"/>
      <c r="P428" s="141"/>
      <c r="Q428" s="141"/>
      <c r="R428" s="141"/>
      <c r="S428" s="141"/>
      <c r="T428" s="141"/>
      <c r="U428" s="57"/>
      <c r="V428" s="57"/>
      <c r="W428" s="57"/>
      <c r="X428" s="57"/>
      <c r="Y428" s="57"/>
      <c r="Z428" s="57"/>
      <c r="AA428" s="57"/>
      <c r="AB428" s="57"/>
    </row>
    <row r="429">
      <c r="A429" s="141"/>
      <c r="B429" s="141"/>
      <c r="C429" s="141"/>
      <c r="D429" s="141"/>
      <c r="E429" s="141"/>
      <c r="F429" s="141"/>
      <c r="G429" s="48"/>
      <c r="H429" s="141"/>
      <c r="I429" s="141"/>
      <c r="J429" s="220"/>
      <c r="K429" s="220"/>
      <c r="L429" s="220"/>
      <c r="M429" s="220"/>
      <c r="N429" s="220"/>
      <c r="O429" s="382"/>
      <c r="P429" s="141"/>
      <c r="Q429" s="141"/>
      <c r="R429" s="141"/>
      <c r="S429" s="141"/>
      <c r="T429" s="141"/>
      <c r="U429" s="57"/>
      <c r="V429" s="57"/>
      <c r="W429" s="57"/>
      <c r="X429" s="57"/>
      <c r="Y429" s="57"/>
      <c r="Z429" s="57"/>
      <c r="AA429" s="57"/>
      <c r="AB429" s="57"/>
    </row>
    <row r="430">
      <c r="A430" s="141"/>
      <c r="B430" s="141"/>
      <c r="C430" s="141"/>
      <c r="D430" s="141"/>
      <c r="E430" s="141"/>
      <c r="F430" s="141"/>
      <c r="G430" s="48"/>
      <c r="H430" s="141"/>
      <c r="I430" s="141"/>
      <c r="J430" s="220"/>
      <c r="K430" s="220"/>
      <c r="L430" s="220"/>
      <c r="M430" s="220"/>
      <c r="N430" s="220"/>
      <c r="O430" s="382"/>
      <c r="P430" s="141"/>
      <c r="Q430" s="141"/>
      <c r="R430" s="141"/>
      <c r="S430" s="141"/>
      <c r="T430" s="141"/>
      <c r="U430" s="57"/>
      <c r="V430" s="57"/>
      <c r="W430" s="57"/>
      <c r="X430" s="57"/>
      <c r="Y430" s="57"/>
      <c r="Z430" s="57"/>
      <c r="AA430" s="57"/>
      <c r="AB430" s="57"/>
    </row>
    <row r="431">
      <c r="A431" s="141"/>
      <c r="B431" s="141"/>
      <c r="C431" s="141"/>
      <c r="D431" s="141"/>
      <c r="E431" s="141"/>
      <c r="F431" s="141"/>
      <c r="G431" s="48"/>
      <c r="H431" s="141"/>
      <c r="I431" s="141"/>
      <c r="J431" s="220"/>
      <c r="K431" s="220"/>
      <c r="L431" s="220"/>
      <c r="M431" s="220"/>
      <c r="N431" s="220"/>
      <c r="O431" s="382"/>
      <c r="P431" s="141"/>
      <c r="Q431" s="141"/>
      <c r="R431" s="141"/>
      <c r="S431" s="141"/>
      <c r="T431" s="141"/>
      <c r="U431" s="57"/>
      <c r="V431" s="57"/>
      <c r="W431" s="57"/>
      <c r="X431" s="57"/>
      <c r="Y431" s="57"/>
      <c r="Z431" s="57"/>
      <c r="AA431" s="57"/>
      <c r="AB431" s="57"/>
    </row>
    <row r="432">
      <c r="A432" s="141"/>
      <c r="B432" s="141"/>
      <c r="C432" s="141"/>
      <c r="D432" s="141"/>
      <c r="E432" s="141"/>
      <c r="F432" s="141"/>
      <c r="G432" s="48"/>
      <c r="H432" s="141"/>
      <c r="I432" s="141"/>
      <c r="J432" s="220"/>
      <c r="K432" s="220"/>
      <c r="L432" s="220"/>
      <c r="M432" s="220"/>
      <c r="N432" s="220"/>
      <c r="O432" s="382"/>
      <c r="P432" s="141"/>
      <c r="Q432" s="141"/>
      <c r="R432" s="141"/>
      <c r="S432" s="141"/>
      <c r="T432" s="141"/>
      <c r="U432" s="57"/>
      <c r="V432" s="57"/>
      <c r="W432" s="57"/>
      <c r="X432" s="57"/>
      <c r="Y432" s="57"/>
      <c r="Z432" s="57"/>
      <c r="AA432" s="57"/>
      <c r="AB432" s="57"/>
    </row>
    <row r="433">
      <c r="A433" s="141"/>
      <c r="B433" s="141"/>
      <c r="C433" s="141"/>
      <c r="D433" s="141"/>
      <c r="E433" s="141"/>
      <c r="F433" s="141"/>
      <c r="G433" s="48"/>
      <c r="H433" s="141"/>
      <c r="I433" s="141"/>
      <c r="J433" s="220"/>
      <c r="K433" s="220"/>
      <c r="L433" s="220"/>
      <c r="M433" s="220"/>
      <c r="N433" s="220"/>
      <c r="O433" s="382"/>
      <c r="P433" s="141"/>
      <c r="Q433" s="141"/>
      <c r="R433" s="141"/>
      <c r="S433" s="141"/>
      <c r="T433" s="141"/>
      <c r="U433" s="57"/>
      <c r="V433" s="57"/>
      <c r="W433" s="57"/>
      <c r="X433" s="57"/>
      <c r="Y433" s="57"/>
      <c r="Z433" s="57"/>
      <c r="AA433" s="57"/>
      <c r="AB433" s="57"/>
    </row>
    <row r="434">
      <c r="A434" s="141"/>
      <c r="B434" s="141"/>
      <c r="C434" s="141"/>
      <c r="D434" s="141"/>
      <c r="E434" s="141"/>
      <c r="F434" s="141"/>
      <c r="G434" s="48"/>
      <c r="H434" s="141"/>
      <c r="I434" s="141"/>
      <c r="J434" s="220"/>
      <c r="K434" s="220"/>
      <c r="L434" s="220"/>
      <c r="M434" s="220"/>
      <c r="N434" s="220"/>
      <c r="O434" s="382"/>
      <c r="P434" s="141"/>
      <c r="Q434" s="141"/>
      <c r="R434" s="141"/>
      <c r="S434" s="141"/>
      <c r="T434" s="141"/>
      <c r="U434" s="57"/>
      <c r="V434" s="57"/>
      <c r="W434" s="57"/>
      <c r="X434" s="57"/>
      <c r="Y434" s="57"/>
      <c r="Z434" s="57"/>
      <c r="AA434" s="57"/>
      <c r="AB434" s="57"/>
    </row>
    <row r="435">
      <c r="A435" s="141"/>
      <c r="B435" s="141"/>
      <c r="C435" s="141"/>
      <c r="D435" s="141"/>
      <c r="E435" s="141"/>
      <c r="F435" s="141"/>
      <c r="G435" s="48"/>
      <c r="H435" s="141"/>
      <c r="I435" s="141"/>
      <c r="J435" s="220"/>
      <c r="K435" s="220"/>
      <c r="L435" s="220"/>
      <c r="M435" s="220"/>
      <c r="N435" s="220"/>
      <c r="O435" s="382"/>
      <c r="P435" s="141"/>
      <c r="Q435" s="141"/>
      <c r="R435" s="141"/>
      <c r="S435" s="141"/>
      <c r="T435" s="141"/>
      <c r="U435" s="57"/>
      <c r="V435" s="57"/>
      <c r="W435" s="57"/>
      <c r="X435" s="57"/>
      <c r="Y435" s="57"/>
      <c r="Z435" s="57"/>
      <c r="AA435" s="57"/>
      <c r="AB435" s="57"/>
    </row>
    <row r="436">
      <c r="A436" s="141"/>
      <c r="B436" s="141"/>
      <c r="C436" s="141"/>
      <c r="D436" s="141"/>
      <c r="E436" s="141"/>
      <c r="F436" s="141"/>
      <c r="G436" s="48"/>
      <c r="H436" s="141"/>
      <c r="I436" s="141"/>
      <c r="J436" s="220"/>
      <c r="K436" s="220"/>
      <c r="L436" s="220"/>
      <c r="M436" s="220"/>
      <c r="N436" s="220"/>
      <c r="O436" s="382"/>
      <c r="P436" s="141"/>
      <c r="Q436" s="141"/>
      <c r="R436" s="141"/>
      <c r="S436" s="141"/>
      <c r="T436" s="141"/>
      <c r="U436" s="57"/>
      <c r="V436" s="57"/>
      <c r="W436" s="57"/>
      <c r="X436" s="57"/>
      <c r="Y436" s="57"/>
      <c r="Z436" s="57"/>
      <c r="AA436" s="57"/>
      <c r="AB436" s="57"/>
    </row>
    <row r="437">
      <c r="A437" s="141"/>
      <c r="B437" s="141"/>
      <c r="C437" s="141"/>
      <c r="D437" s="141"/>
      <c r="E437" s="141"/>
      <c r="F437" s="141"/>
      <c r="G437" s="48"/>
      <c r="H437" s="141"/>
      <c r="I437" s="141"/>
      <c r="J437" s="220"/>
      <c r="K437" s="220"/>
      <c r="L437" s="220"/>
      <c r="M437" s="220"/>
      <c r="N437" s="220"/>
      <c r="O437" s="382"/>
      <c r="P437" s="141"/>
      <c r="Q437" s="141"/>
      <c r="R437" s="141"/>
      <c r="S437" s="141"/>
      <c r="T437" s="141"/>
      <c r="U437" s="57"/>
      <c r="V437" s="57"/>
      <c r="W437" s="57"/>
      <c r="X437" s="57"/>
      <c r="Y437" s="57"/>
      <c r="Z437" s="57"/>
      <c r="AA437" s="57"/>
      <c r="AB437" s="57"/>
    </row>
    <row r="438">
      <c r="A438" s="141"/>
      <c r="B438" s="141"/>
      <c r="C438" s="141"/>
      <c r="D438" s="141"/>
      <c r="E438" s="141"/>
      <c r="F438" s="141"/>
      <c r="G438" s="48"/>
      <c r="H438" s="141"/>
      <c r="I438" s="141"/>
      <c r="J438" s="220"/>
      <c r="K438" s="220"/>
      <c r="L438" s="220"/>
      <c r="M438" s="220"/>
      <c r="N438" s="220"/>
      <c r="O438" s="382"/>
      <c r="P438" s="141"/>
      <c r="Q438" s="141"/>
      <c r="R438" s="141"/>
      <c r="S438" s="141"/>
      <c r="T438" s="141"/>
      <c r="U438" s="57"/>
      <c r="V438" s="57"/>
      <c r="W438" s="57"/>
      <c r="X438" s="57"/>
      <c r="Y438" s="57"/>
      <c r="Z438" s="57"/>
      <c r="AA438" s="57"/>
      <c r="AB438" s="57"/>
    </row>
    <row r="439">
      <c r="A439" s="141"/>
      <c r="B439" s="141"/>
      <c r="C439" s="141"/>
      <c r="D439" s="141"/>
      <c r="E439" s="141"/>
      <c r="F439" s="141"/>
      <c r="G439" s="48"/>
      <c r="H439" s="141"/>
      <c r="I439" s="141"/>
      <c r="J439" s="220"/>
      <c r="K439" s="220"/>
      <c r="L439" s="220"/>
      <c r="M439" s="220"/>
      <c r="N439" s="220"/>
      <c r="O439" s="382"/>
      <c r="P439" s="141"/>
      <c r="Q439" s="141"/>
      <c r="R439" s="141"/>
      <c r="S439" s="141"/>
      <c r="T439" s="141"/>
      <c r="U439" s="57"/>
      <c r="V439" s="57"/>
      <c r="W439" s="57"/>
      <c r="X439" s="57"/>
      <c r="Y439" s="57"/>
      <c r="Z439" s="57"/>
      <c r="AA439" s="57"/>
      <c r="AB439" s="57"/>
    </row>
    <row r="440">
      <c r="A440" s="141"/>
      <c r="B440" s="141"/>
      <c r="C440" s="141"/>
      <c r="D440" s="141"/>
      <c r="E440" s="141"/>
      <c r="F440" s="141"/>
      <c r="G440" s="48"/>
      <c r="H440" s="141"/>
      <c r="I440" s="141"/>
      <c r="J440" s="220"/>
      <c r="K440" s="220"/>
      <c r="L440" s="220"/>
      <c r="M440" s="220"/>
      <c r="N440" s="220"/>
      <c r="O440" s="382"/>
      <c r="P440" s="141"/>
      <c r="Q440" s="141"/>
      <c r="R440" s="141"/>
      <c r="S440" s="141"/>
      <c r="T440" s="141"/>
      <c r="U440" s="57"/>
      <c r="V440" s="57"/>
      <c r="W440" s="57"/>
      <c r="X440" s="57"/>
      <c r="Y440" s="57"/>
      <c r="Z440" s="57"/>
      <c r="AA440" s="57"/>
      <c r="AB440" s="57"/>
    </row>
    <row r="441">
      <c r="A441" s="141"/>
      <c r="B441" s="141"/>
      <c r="C441" s="141"/>
      <c r="D441" s="141"/>
      <c r="E441" s="141"/>
      <c r="F441" s="141"/>
      <c r="G441" s="48"/>
      <c r="H441" s="141"/>
      <c r="I441" s="141"/>
      <c r="J441" s="220"/>
      <c r="K441" s="220"/>
      <c r="L441" s="220"/>
      <c r="M441" s="220"/>
      <c r="N441" s="220"/>
      <c r="O441" s="382"/>
      <c r="P441" s="141"/>
      <c r="Q441" s="141"/>
      <c r="R441" s="141"/>
      <c r="S441" s="141"/>
      <c r="T441" s="141"/>
      <c r="U441" s="57"/>
      <c r="V441" s="57"/>
      <c r="W441" s="57"/>
      <c r="X441" s="57"/>
      <c r="Y441" s="57"/>
      <c r="Z441" s="57"/>
      <c r="AA441" s="57"/>
      <c r="AB441" s="57"/>
    </row>
    <row r="442">
      <c r="A442" s="141"/>
      <c r="B442" s="141"/>
      <c r="C442" s="141"/>
      <c r="D442" s="141"/>
      <c r="E442" s="141"/>
      <c r="F442" s="141"/>
      <c r="G442" s="48"/>
      <c r="H442" s="141"/>
      <c r="I442" s="141"/>
      <c r="J442" s="220"/>
      <c r="K442" s="220"/>
      <c r="L442" s="220"/>
      <c r="M442" s="220"/>
      <c r="N442" s="220"/>
      <c r="O442" s="382"/>
      <c r="P442" s="141"/>
      <c r="Q442" s="141"/>
      <c r="R442" s="141"/>
      <c r="S442" s="141"/>
      <c r="T442" s="141"/>
      <c r="U442" s="57"/>
      <c r="V442" s="57"/>
      <c r="W442" s="57"/>
      <c r="X442" s="57"/>
      <c r="Y442" s="57"/>
      <c r="Z442" s="57"/>
      <c r="AA442" s="57"/>
      <c r="AB442" s="57"/>
    </row>
    <row r="443">
      <c r="A443" s="141"/>
      <c r="B443" s="141"/>
      <c r="C443" s="141"/>
      <c r="D443" s="141"/>
      <c r="E443" s="141"/>
      <c r="F443" s="141"/>
      <c r="G443" s="48"/>
      <c r="H443" s="141"/>
      <c r="I443" s="141"/>
      <c r="J443" s="220"/>
      <c r="K443" s="220"/>
      <c r="L443" s="220"/>
      <c r="M443" s="220"/>
      <c r="N443" s="220"/>
      <c r="O443" s="382"/>
      <c r="P443" s="141"/>
      <c r="Q443" s="141"/>
      <c r="R443" s="141"/>
      <c r="S443" s="141"/>
      <c r="T443" s="141"/>
      <c r="U443" s="57"/>
      <c r="V443" s="57"/>
      <c r="W443" s="57"/>
      <c r="X443" s="57"/>
      <c r="Y443" s="57"/>
      <c r="Z443" s="57"/>
      <c r="AA443" s="57"/>
      <c r="AB443" s="57"/>
    </row>
    <row r="444">
      <c r="A444" s="141"/>
      <c r="B444" s="141"/>
      <c r="C444" s="141"/>
      <c r="D444" s="141"/>
      <c r="E444" s="141"/>
      <c r="F444" s="141"/>
      <c r="G444" s="48"/>
      <c r="H444" s="141"/>
      <c r="I444" s="141"/>
      <c r="J444" s="220"/>
      <c r="K444" s="220"/>
      <c r="L444" s="220"/>
      <c r="M444" s="220"/>
      <c r="N444" s="220"/>
      <c r="O444" s="382"/>
      <c r="P444" s="141"/>
      <c r="Q444" s="141"/>
      <c r="R444" s="141"/>
      <c r="S444" s="141"/>
      <c r="T444" s="141"/>
      <c r="U444" s="57"/>
      <c r="V444" s="57"/>
      <c r="W444" s="57"/>
      <c r="X444" s="57"/>
      <c r="Y444" s="57"/>
      <c r="Z444" s="57"/>
      <c r="AA444" s="57"/>
      <c r="AB444" s="57"/>
    </row>
    <row r="445">
      <c r="A445" s="141"/>
      <c r="B445" s="141"/>
      <c r="C445" s="141"/>
      <c r="D445" s="141"/>
      <c r="E445" s="141"/>
      <c r="F445" s="141"/>
      <c r="G445" s="48"/>
      <c r="H445" s="141"/>
      <c r="I445" s="141"/>
      <c r="J445" s="220"/>
      <c r="K445" s="220"/>
      <c r="L445" s="220"/>
      <c r="M445" s="220"/>
      <c r="N445" s="220"/>
      <c r="O445" s="382"/>
      <c r="P445" s="141"/>
      <c r="Q445" s="141"/>
      <c r="R445" s="141"/>
      <c r="S445" s="141"/>
      <c r="T445" s="141"/>
      <c r="U445" s="57"/>
      <c r="V445" s="57"/>
      <c r="W445" s="57"/>
      <c r="X445" s="57"/>
      <c r="Y445" s="57"/>
      <c r="Z445" s="57"/>
      <c r="AA445" s="57"/>
      <c r="AB445" s="57"/>
    </row>
    <row r="446">
      <c r="A446" s="141"/>
      <c r="B446" s="141"/>
      <c r="C446" s="141"/>
      <c r="D446" s="141"/>
      <c r="E446" s="141"/>
      <c r="F446" s="141"/>
      <c r="G446" s="48"/>
      <c r="H446" s="141"/>
      <c r="I446" s="141"/>
      <c r="J446" s="220"/>
      <c r="K446" s="220"/>
      <c r="L446" s="220"/>
      <c r="M446" s="220"/>
      <c r="N446" s="220"/>
      <c r="O446" s="382"/>
      <c r="P446" s="141"/>
      <c r="Q446" s="141"/>
      <c r="R446" s="141"/>
      <c r="S446" s="141"/>
      <c r="T446" s="141"/>
      <c r="U446" s="57"/>
      <c r="V446" s="57"/>
      <c r="W446" s="57"/>
      <c r="X446" s="57"/>
      <c r="Y446" s="57"/>
      <c r="Z446" s="57"/>
      <c r="AA446" s="57"/>
      <c r="AB446" s="57"/>
    </row>
    <row r="447">
      <c r="A447" s="141"/>
      <c r="B447" s="141"/>
      <c r="C447" s="141"/>
      <c r="D447" s="141"/>
      <c r="E447" s="141"/>
      <c r="F447" s="141"/>
      <c r="G447" s="48"/>
      <c r="H447" s="141"/>
      <c r="I447" s="141"/>
      <c r="J447" s="220"/>
      <c r="K447" s="220"/>
      <c r="L447" s="220"/>
      <c r="M447" s="220"/>
      <c r="N447" s="220"/>
      <c r="O447" s="382"/>
      <c r="P447" s="141"/>
      <c r="Q447" s="141"/>
      <c r="R447" s="141"/>
      <c r="S447" s="141"/>
      <c r="T447" s="141"/>
      <c r="U447" s="57"/>
      <c r="V447" s="57"/>
      <c r="W447" s="57"/>
      <c r="X447" s="57"/>
      <c r="Y447" s="57"/>
      <c r="Z447" s="57"/>
      <c r="AA447" s="57"/>
      <c r="AB447" s="57"/>
    </row>
    <row r="448">
      <c r="A448" s="141"/>
      <c r="B448" s="141"/>
      <c r="C448" s="141"/>
      <c r="D448" s="141"/>
      <c r="E448" s="141"/>
      <c r="F448" s="141"/>
      <c r="G448" s="48"/>
      <c r="H448" s="141"/>
      <c r="I448" s="141"/>
      <c r="J448" s="220"/>
      <c r="K448" s="220"/>
      <c r="L448" s="220"/>
      <c r="M448" s="220"/>
      <c r="N448" s="220"/>
      <c r="O448" s="382"/>
      <c r="P448" s="141"/>
      <c r="Q448" s="141"/>
      <c r="R448" s="141"/>
      <c r="S448" s="141"/>
      <c r="T448" s="141"/>
      <c r="U448" s="57"/>
      <c r="V448" s="57"/>
      <c r="W448" s="57"/>
      <c r="X448" s="57"/>
      <c r="Y448" s="57"/>
      <c r="Z448" s="57"/>
      <c r="AA448" s="57"/>
      <c r="AB448" s="57"/>
    </row>
    <row r="449">
      <c r="A449" s="141"/>
      <c r="B449" s="141"/>
      <c r="C449" s="141"/>
      <c r="D449" s="141"/>
      <c r="E449" s="141"/>
      <c r="F449" s="141"/>
      <c r="G449" s="48"/>
      <c r="H449" s="141"/>
      <c r="I449" s="141"/>
      <c r="J449" s="220"/>
      <c r="K449" s="220"/>
      <c r="L449" s="220"/>
      <c r="M449" s="220"/>
      <c r="N449" s="220"/>
      <c r="O449" s="382"/>
      <c r="P449" s="141"/>
      <c r="Q449" s="141"/>
      <c r="R449" s="141"/>
      <c r="S449" s="141"/>
      <c r="T449" s="141"/>
      <c r="U449" s="57"/>
      <c r="V449" s="57"/>
      <c r="W449" s="57"/>
      <c r="X449" s="57"/>
      <c r="Y449" s="57"/>
      <c r="Z449" s="57"/>
      <c r="AA449" s="57"/>
      <c r="AB449" s="57"/>
    </row>
    <row r="450">
      <c r="A450" s="141"/>
      <c r="B450" s="141"/>
      <c r="C450" s="141"/>
      <c r="D450" s="141"/>
      <c r="E450" s="141"/>
      <c r="F450" s="141"/>
      <c r="G450" s="48"/>
      <c r="H450" s="141"/>
      <c r="I450" s="141"/>
      <c r="J450" s="220"/>
      <c r="K450" s="220"/>
      <c r="L450" s="220"/>
      <c r="M450" s="220"/>
      <c r="N450" s="220"/>
      <c r="O450" s="382"/>
      <c r="P450" s="141"/>
      <c r="Q450" s="141"/>
      <c r="R450" s="141"/>
      <c r="S450" s="141"/>
      <c r="T450" s="141"/>
      <c r="U450" s="57"/>
      <c r="V450" s="57"/>
      <c r="W450" s="57"/>
      <c r="X450" s="57"/>
      <c r="Y450" s="57"/>
      <c r="Z450" s="57"/>
      <c r="AA450" s="57"/>
      <c r="AB450" s="57"/>
    </row>
    <row r="451">
      <c r="A451" s="141"/>
      <c r="B451" s="141"/>
      <c r="C451" s="141"/>
      <c r="D451" s="141"/>
      <c r="E451" s="141"/>
      <c r="F451" s="141"/>
      <c r="G451" s="48"/>
      <c r="H451" s="141"/>
      <c r="I451" s="141"/>
      <c r="J451" s="220"/>
      <c r="K451" s="220"/>
      <c r="L451" s="220"/>
      <c r="M451" s="220"/>
      <c r="N451" s="220"/>
      <c r="O451" s="382"/>
      <c r="P451" s="141"/>
      <c r="Q451" s="141"/>
      <c r="R451" s="141"/>
      <c r="S451" s="141"/>
      <c r="T451" s="141"/>
      <c r="U451" s="57"/>
      <c r="V451" s="57"/>
      <c r="W451" s="57"/>
      <c r="X451" s="57"/>
      <c r="Y451" s="57"/>
      <c r="Z451" s="57"/>
      <c r="AA451" s="57"/>
      <c r="AB451" s="57"/>
    </row>
    <row r="452">
      <c r="A452" s="141"/>
      <c r="B452" s="141"/>
      <c r="C452" s="141"/>
      <c r="D452" s="141"/>
      <c r="E452" s="141"/>
      <c r="F452" s="141"/>
      <c r="G452" s="48"/>
      <c r="H452" s="141"/>
      <c r="I452" s="141"/>
      <c r="J452" s="220"/>
      <c r="K452" s="220"/>
      <c r="L452" s="220"/>
      <c r="M452" s="220"/>
      <c r="N452" s="220"/>
      <c r="O452" s="382"/>
      <c r="P452" s="141"/>
      <c r="Q452" s="141"/>
      <c r="R452" s="141"/>
      <c r="S452" s="141"/>
      <c r="T452" s="141"/>
      <c r="U452" s="57"/>
      <c r="V452" s="57"/>
      <c r="W452" s="57"/>
      <c r="X452" s="57"/>
      <c r="Y452" s="57"/>
      <c r="Z452" s="57"/>
      <c r="AA452" s="57"/>
      <c r="AB452" s="57"/>
    </row>
    <row r="453">
      <c r="A453" s="141"/>
      <c r="B453" s="141"/>
      <c r="C453" s="141"/>
      <c r="D453" s="141"/>
      <c r="E453" s="141"/>
      <c r="F453" s="141"/>
      <c r="G453" s="48"/>
      <c r="H453" s="141"/>
      <c r="I453" s="141"/>
      <c r="J453" s="220"/>
      <c r="K453" s="220"/>
      <c r="L453" s="220"/>
      <c r="M453" s="220"/>
      <c r="N453" s="220"/>
      <c r="O453" s="382"/>
      <c r="P453" s="141"/>
      <c r="Q453" s="141"/>
      <c r="R453" s="141"/>
      <c r="S453" s="141"/>
      <c r="T453" s="141"/>
      <c r="U453" s="57"/>
      <c r="V453" s="57"/>
      <c r="W453" s="57"/>
      <c r="X453" s="57"/>
      <c r="Y453" s="57"/>
      <c r="Z453" s="57"/>
      <c r="AA453" s="57"/>
      <c r="AB453" s="57"/>
    </row>
    <row r="454">
      <c r="A454" s="141"/>
      <c r="B454" s="141"/>
      <c r="C454" s="141"/>
      <c r="D454" s="141"/>
      <c r="E454" s="141"/>
      <c r="F454" s="141"/>
      <c r="G454" s="48"/>
      <c r="H454" s="141"/>
      <c r="I454" s="141"/>
      <c r="J454" s="220"/>
      <c r="K454" s="220"/>
      <c r="L454" s="220"/>
      <c r="M454" s="220"/>
      <c r="N454" s="220"/>
      <c r="O454" s="382"/>
      <c r="P454" s="141"/>
      <c r="Q454" s="141"/>
      <c r="R454" s="141"/>
      <c r="S454" s="141"/>
      <c r="T454" s="141"/>
      <c r="U454" s="57"/>
      <c r="V454" s="57"/>
      <c r="W454" s="57"/>
      <c r="X454" s="57"/>
      <c r="Y454" s="57"/>
      <c r="Z454" s="57"/>
      <c r="AA454" s="57"/>
      <c r="AB454" s="57"/>
    </row>
    <row r="455">
      <c r="A455" s="141"/>
      <c r="B455" s="141"/>
      <c r="C455" s="141"/>
      <c r="D455" s="141"/>
      <c r="E455" s="141"/>
      <c r="F455" s="141"/>
      <c r="G455" s="48"/>
      <c r="H455" s="141"/>
      <c r="I455" s="141"/>
      <c r="J455" s="220"/>
      <c r="K455" s="220"/>
      <c r="L455" s="220"/>
      <c r="M455" s="220"/>
      <c r="N455" s="220"/>
      <c r="O455" s="382"/>
      <c r="P455" s="141"/>
      <c r="Q455" s="141"/>
      <c r="R455" s="141"/>
      <c r="S455" s="141"/>
      <c r="T455" s="141"/>
      <c r="U455" s="57"/>
      <c r="V455" s="57"/>
      <c r="W455" s="57"/>
      <c r="X455" s="57"/>
      <c r="Y455" s="57"/>
      <c r="Z455" s="57"/>
      <c r="AA455" s="57"/>
      <c r="AB455" s="57"/>
    </row>
    <row r="456">
      <c r="A456" s="141"/>
      <c r="B456" s="141"/>
      <c r="C456" s="141"/>
      <c r="D456" s="141"/>
      <c r="E456" s="141"/>
      <c r="F456" s="141"/>
      <c r="G456" s="48"/>
      <c r="H456" s="141"/>
      <c r="I456" s="141"/>
      <c r="J456" s="220"/>
      <c r="K456" s="220"/>
      <c r="L456" s="220"/>
      <c r="M456" s="220"/>
      <c r="N456" s="220"/>
      <c r="O456" s="382"/>
      <c r="P456" s="141"/>
      <c r="Q456" s="141"/>
      <c r="R456" s="141"/>
      <c r="S456" s="141"/>
      <c r="T456" s="141"/>
      <c r="U456" s="57"/>
      <c r="V456" s="57"/>
      <c r="W456" s="57"/>
      <c r="X456" s="57"/>
      <c r="Y456" s="57"/>
      <c r="Z456" s="57"/>
      <c r="AA456" s="57"/>
      <c r="AB456" s="57"/>
    </row>
    <row r="457">
      <c r="A457" s="141"/>
      <c r="B457" s="141"/>
      <c r="C457" s="141"/>
      <c r="D457" s="141"/>
      <c r="E457" s="141"/>
      <c r="F457" s="141"/>
      <c r="G457" s="48"/>
      <c r="H457" s="141"/>
      <c r="I457" s="141"/>
      <c r="J457" s="220"/>
      <c r="K457" s="220"/>
      <c r="L457" s="220"/>
      <c r="M457" s="220"/>
      <c r="N457" s="220"/>
      <c r="O457" s="382"/>
      <c r="P457" s="141"/>
      <c r="Q457" s="141"/>
      <c r="R457" s="141"/>
      <c r="S457" s="141"/>
      <c r="T457" s="141"/>
      <c r="U457" s="57"/>
      <c r="V457" s="57"/>
      <c r="W457" s="57"/>
      <c r="X457" s="57"/>
      <c r="Y457" s="57"/>
      <c r="Z457" s="57"/>
      <c r="AA457" s="57"/>
      <c r="AB457" s="57"/>
    </row>
    <row r="458">
      <c r="A458" s="141"/>
      <c r="B458" s="141"/>
      <c r="C458" s="141"/>
      <c r="D458" s="141"/>
      <c r="E458" s="141"/>
      <c r="F458" s="141"/>
      <c r="G458" s="48"/>
      <c r="H458" s="141"/>
      <c r="I458" s="141"/>
      <c r="J458" s="220"/>
      <c r="K458" s="220"/>
      <c r="L458" s="220"/>
      <c r="M458" s="220"/>
      <c r="N458" s="220"/>
      <c r="O458" s="382"/>
      <c r="P458" s="141"/>
      <c r="Q458" s="141"/>
      <c r="R458" s="141"/>
      <c r="S458" s="141"/>
      <c r="T458" s="141"/>
      <c r="U458" s="57"/>
      <c r="V458" s="57"/>
      <c r="W458" s="57"/>
      <c r="X458" s="57"/>
      <c r="Y458" s="57"/>
      <c r="Z458" s="57"/>
      <c r="AA458" s="57"/>
      <c r="AB458" s="57"/>
    </row>
    <row r="459">
      <c r="A459" s="141"/>
      <c r="B459" s="141"/>
      <c r="C459" s="141"/>
      <c r="D459" s="141"/>
      <c r="E459" s="141"/>
      <c r="F459" s="141"/>
      <c r="G459" s="48"/>
      <c r="H459" s="141"/>
      <c r="I459" s="141"/>
      <c r="J459" s="220"/>
      <c r="K459" s="220"/>
      <c r="L459" s="220"/>
      <c r="M459" s="220"/>
      <c r="N459" s="220"/>
      <c r="O459" s="382"/>
      <c r="P459" s="141"/>
      <c r="Q459" s="141"/>
      <c r="R459" s="141"/>
      <c r="S459" s="141"/>
      <c r="T459" s="141"/>
      <c r="U459" s="57"/>
      <c r="V459" s="57"/>
      <c r="W459" s="57"/>
      <c r="X459" s="57"/>
      <c r="Y459" s="57"/>
      <c r="Z459" s="57"/>
      <c r="AA459" s="57"/>
      <c r="AB459" s="57"/>
    </row>
    <row r="460">
      <c r="A460" s="141"/>
      <c r="B460" s="141"/>
      <c r="C460" s="141"/>
      <c r="D460" s="141"/>
      <c r="E460" s="141"/>
      <c r="F460" s="141"/>
      <c r="G460" s="48"/>
      <c r="H460" s="141"/>
      <c r="I460" s="141"/>
      <c r="J460" s="220"/>
      <c r="K460" s="220"/>
      <c r="L460" s="220"/>
      <c r="M460" s="220"/>
      <c r="N460" s="220"/>
      <c r="O460" s="382"/>
      <c r="P460" s="141"/>
      <c r="Q460" s="141"/>
      <c r="R460" s="141"/>
      <c r="S460" s="141"/>
      <c r="T460" s="141"/>
      <c r="U460" s="57"/>
      <c r="V460" s="57"/>
      <c r="W460" s="57"/>
      <c r="X460" s="57"/>
      <c r="Y460" s="57"/>
      <c r="Z460" s="57"/>
      <c r="AA460" s="57"/>
      <c r="AB460" s="57"/>
    </row>
    <row r="461">
      <c r="A461" s="141"/>
      <c r="B461" s="141"/>
      <c r="C461" s="141"/>
      <c r="D461" s="141"/>
      <c r="E461" s="141"/>
      <c r="F461" s="141"/>
      <c r="G461" s="48"/>
      <c r="H461" s="141"/>
      <c r="I461" s="141"/>
      <c r="J461" s="220"/>
      <c r="K461" s="220"/>
      <c r="L461" s="220"/>
      <c r="M461" s="220"/>
      <c r="N461" s="220"/>
      <c r="O461" s="382"/>
      <c r="P461" s="141"/>
      <c r="Q461" s="141"/>
      <c r="R461" s="141"/>
      <c r="S461" s="141"/>
      <c r="T461" s="141"/>
      <c r="U461" s="57"/>
      <c r="V461" s="57"/>
      <c r="W461" s="57"/>
      <c r="X461" s="57"/>
      <c r="Y461" s="57"/>
      <c r="Z461" s="57"/>
      <c r="AA461" s="57"/>
      <c r="AB461" s="57"/>
    </row>
    <row r="462">
      <c r="A462" s="141"/>
      <c r="B462" s="141"/>
      <c r="C462" s="141"/>
      <c r="D462" s="141"/>
      <c r="E462" s="141"/>
      <c r="F462" s="141"/>
      <c r="G462" s="48"/>
      <c r="H462" s="141"/>
      <c r="I462" s="141"/>
      <c r="J462" s="220"/>
      <c r="K462" s="220"/>
      <c r="L462" s="220"/>
      <c r="M462" s="220"/>
      <c r="N462" s="220"/>
      <c r="O462" s="382"/>
      <c r="P462" s="141"/>
      <c r="Q462" s="141"/>
      <c r="R462" s="141"/>
      <c r="S462" s="141"/>
      <c r="T462" s="141"/>
      <c r="U462" s="57"/>
      <c r="V462" s="57"/>
      <c r="W462" s="57"/>
      <c r="X462" s="57"/>
      <c r="Y462" s="57"/>
      <c r="Z462" s="57"/>
      <c r="AA462" s="57"/>
      <c r="AB462" s="57"/>
    </row>
    <row r="463">
      <c r="A463" s="141"/>
      <c r="B463" s="141"/>
      <c r="C463" s="141"/>
      <c r="D463" s="141"/>
      <c r="E463" s="141"/>
      <c r="F463" s="141"/>
      <c r="G463" s="48"/>
      <c r="H463" s="141"/>
      <c r="I463" s="141"/>
      <c r="J463" s="220"/>
      <c r="K463" s="220"/>
      <c r="L463" s="220"/>
      <c r="M463" s="220"/>
      <c r="N463" s="220"/>
      <c r="O463" s="382"/>
      <c r="P463" s="141"/>
      <c r="Q463" s="141"/>
      <c r="R463" s="141"/>
      <c r="S463" s="141"/>
      <c r="T463" s="141"/>
      <c r="U463" s="57"/>
      <c r="V463" s="57"/>
      <c r="W463" s="57"/>
      <c r="X463" s="57"/>
      <c r="Y463" s="57"/>
      <c r="Z463" s="57"/>
      <c r="AA463" s="57"/>
      <c r="AB463" s="57"/>
    </row>
    <row r="464">
      <c r="A464" s="141"/>
      <c r="B464" s="141"/>
      <c r="C464" s="141"/>
      <c r="D464" s="141"/>
      <c r="E464" s="141"/>
      <c r="F464" s="141"/>
      <c r="G464" s="48"/>
      <c r="H464" s="141"/>
      <c r="I464" s="141"/>
      <c r="J464" s="220"/>
      <c r="K464" s="220"/>
      <c r="L464" s="220"/>
      <c r="M464" s="220"/>
      <c r="N464" s="220"/>
      <c r="O464" s="382"/>
      <c r="P464" s="141"/>
      <c r="Q464" s="141"/>
      <c r="R464" s="141"/>
      <c r="S464" s="141"/>
      <c r="T464" s="141"/>
      <c r="U464" s="57"/>
      <c r="V464" s="57"/>
      <c r="W464" s="57"/>
      <c r="X464" s="57"/>
      <c r="Y464" s="57"/>
      <c r="Z464" s="57"/>
      <c r="AA464" s="57"/>
      <c r="AB464" s="57"/>
    </row>
    <row r="465">
      <c r="A465" s="141"/>
      <c r="B465" s="141"/>
      <c r="C465" s="141"/>
      <c r="D465" s="141"/>
      <c r="E465" s="141"/>
      <c r="F465" s="141"/>
      <c r="G465" s="48"/>
      <c r="H465" s="141"/>
      <c r="I465" s="141"/>
      <c r="J465" s="220"/>
      <c r="K465" s="220"/>
      <c r="L465" s="220"/>
      <c r="M465" s="220"/>
      <c r="N465" s="220"/>
      <c r="O465" s="382"/>
      <c r="P465" s="141"/>
      <c r="Q465" s="141"/>
      <c r="R465" s="141"/>
      <c r="S465" s="141"/>
      <c r="T465" s="141"/>
      <c r="U465" s="57"/>
      <c r="V465" s="57"/>
      <c r="W465" s="57"/>
      <c r="X465" s="57"/>
      <c r="Y465" s="57"/>
      <c r="Z465" s="57"/>
      <c r="AA465" s="57"/>
      <c r="AB465" s="57"/>
    </row>
    <row r="466">
      <c r="A466" s="141"/>
      <c r="B466" s="141"/>
      <c r="C466" s="141"/>
      <c r="D466" s="141"/>
      <c r="E466" s="141"/>
      <c r="F466" s="141"/>
      <c r="G466" s="48"/>
      <c r="H466" s="141"/>
      <c r="I466" s="141"/>
      <c r="J466" s="220"/>
      <c r="K466" s="220"/>
      <c r="L466" s="220"/>
      <c r="M466" s="220"/>
      <c r="N466" s="220"/>
      <c r="O466" s="382"/>
      <c r="P466" s="141"/>
      <c r="Q466" s="141"/>
      <c r="R466" s="141"/>
      <c r="S466" s="141"/>
      <c r="T466" s="141"/>
      <c r="U466" s="57"/>
      <c r="V466" s="57"/>
      <c r="W466" s="57"/>
      <c r="X466" s="57"/>
      <c r="Y466" s="57"/>
      <c r="Z466" s="57"/>
      <c r="AA466" s="57"/>
      <c r="AB466" s="57"/>
    </row>
    <row r="467">
      <c r="A467" s="141"/>
      <c r="B467" s="141"/>
      <c r="C467" s="141"/>
      <c r="D467" s="141"/>
      <c r="E467" s="141"/>
      <c r="F467" s="141"/>
      <c r="G467" s="48"/>
      <c r="H467" s="141"/>
      <c r="I467" s="141"/>
      <c r="J467" s="220"/>
      <c r="K467" s="220"/>
      <c r="L467" s="220"/>
      <c r="M467" s="220"/>
      <c r="N467" s="220"/>
      <c r="O467" s="382"/>
      <c r="P467" s="141"/>
      <c r="Q467" s="141"/>
      <c r="R467" s="141"/>
      <c r="S467" s="141"/>
      <c r="T467" s="141"/>
      <c r="U467" s="57"/>
      <c r="V467" s="57"/>
      <c r="W467" s="57"/>
      <c r="X467" s="57"/>
      <c r="Y467" s="57"/>
      <c r="Z467" s="57"/>
      <c r="AA467" s="57"/>
      <c r="AB467" s="57"/>
    </row>
    <row r="468">
      <c r="A468" s="141"/>
      <c r="B468" s="141"/>
      <c r="C468" s="141"/>
      <c r="D468" s="141"/>
      <c r="E468" s="141"/>
      <c r="F468" s="141"/>
      <c r="G468" s="48"/>
      <c r="H468" s="141"/>
      <c r="I468" s="141"/>
      <c r="J468" s="220"/>
      <c r="K468" s="220"/>
      <c r="L468" s="220"/>
      <c r="M468" s="220"/>
      <c r="N468" s="220"/>
      <c r="O468" s="382"/>
      <c r="P468" s="141"/>
      <c r="Q468" s="141"/>
      <c r="R468" s="141"/>
      <c r="S468" s="141"/>
      <c r="T468" s="141"/>
      <c r="U468" s="57"/>
      <c r="V468" s="57"/>
      <c r="W468" s="57"/>
      <c r="X468" s="57"/>
      <c r="Y468" s="57"/>
      <c r="Z468" s="57"/>
      <c r="AA468" s="57"/>
      <c r="AB468" s="57"/>
    </row>
    <row r="469">
      <c r="A469" s="141"/>
      <c r="B469" s="141"/>
      <c r="C469" s="141"/>
      <c r="D469" s="141"/>
      <c r="E469" s="141"/>
      <c r="F469" s="141"/>
      <c r="G469" s="48"/>
      <c r="H469" s="141"/>
      <c r="I469" s="141"/>
      <c r="J469" s="220"/>
      <c r="K469" s="220"/>
      <c r="L469" s="220"/>
      <c r="M469" s="220"/>
      <c r="N469" s="220"/>
      <c r="O469" s="382"/>
      <c r="P469" s="141"/>
      <c r="Q469" s="141"/>
      <c r="R469" s="141"/>
      <c r="S469" s="141"/>
      <c r="T469" s="141"/>
      <c r="U469" s="57"/>
      <c r="V469" s="57"/>
      <c r="W469" s="57"/>
      <c r="X469" s="57"/>
      <c r="Y469" s="57"/>
      <c r="Z469" s="57"/>
      <c r="AA469" s="57"/>
      <c r="AB469" s="57"/>
    </row>
    <row r="470">
      <c r="A470" s="141"/>
      <c r="B470" s="141"/>
      <c r="C470" s="141"/>
      <c r="D470" s="141"/>
      <c r="E470" s="141"/>
      <c r="F470" s="141"/>
      <c r="G470" s="48"/>
      <c r="H470" s="141"/>
      <c r="I470" s="141"/>
      <c r="J470" s="220"/>
      <c r="K470" s="220"/>
      <c r="L470" s="220"/>
      <c r="M470" s="220"/>
      <c r="N470" s="220"/>
      <c r="O470" s="382"/>
      <c r="P470" s="141"/>
      <c r="Q470" s="141"/>
      <c r="R470" s="141"/>
      <c r="S470" s="141"/>
      <c r="T470" s="141"/>
      <c r="U470" s="57"/>
      <c r="V470" s="57"/>
      <c r="W470" s="57"/>
      <c r="X470" s="57"/>
      <c r="Y470" s="57"/>
      <c r="Z470" s="57"/>
      <c r="AA470" s="57"/>
      <c r="AB470" s="57"/>
    </row>
    <row r="471">
      <c r="A471" s="141"/>
      <c r="B471" s="141"/>
      <c r="C471" s="141"/>
      <c r="D471" s="141"/>
      <c r="E471" s="141"/>
      <c r="F471" s="141"/>
      <c r="G471" s="48"/>
      <c r="H471" s="141"/>
      <c r="I471" s="141"/>
      <c r="J471" s="220"/>
      <c r="K471" s="220"/>
      <c r="L471" s="220"/>
      <c r="M471" s="220"/>
      <c r="N471" s="220"/>
      <c r="O471" s="382"/>
      <c r="P471" s="141"/>
      <c r="Q471" s="141"/>
      <c r="R471" s="141"/>
      <c r="S471" s="141"/>
      <c r="T471" s="141"/>
      <c r="U471" s="57"/>
      <c r="V471" s="57"/>
      <c r="W471" s="57"/>
      <c r="X471" s="57"/>
      <c r="Y471" s="57"/>
      <c r="Z471" s="57"/>
      <c r="AA471" s="57"/>
      <c r="AB471" s="57"/>
    </row>
    <row r="472">
      <c r="A472" s="141"/>
      <c r="B472" s="141"/>
      <c r="C472" s="141"/>
      <c r="D472" s="141"/>
      <c r="E472" s="141"/>
      <c r="F472" s="141"/>
      <c r="G472" s="48"/>
      <c r="H472" s="141"/>
      <c r="I472" s="141"/>
      <c r="J472" s="220"/>
      <c r="K472" s="220"/>
      <c r="L472" s="220"/>
      <c r="M472" s="220"/>
      <c r="N472" s="220"/>
      <c r="O472" s="382"/>
      <c r="P472" s="141"/>
      <c r="Q472" s="141"/>
      <c r="R472" s="141"/>
      <c r="S472" s="141"/>
      <c r="T472" s="141"/>
      <c r="U472" s="57"/>
      <c r="V472" s="57"/>
      <c r="W472" s="57"/>
      <c r="X472" s="57"/>
      <c r="Y472" s="57"/>
      <c r="Z472" s="57"/>
      <c r="AA472" s="57"/>
      <c r="AB472" s="57"/>
    </row>
    <row r="473">
      <c r="A473" s="141"/>
      <c r="B473" s="141"/>
      <c r="C473" s="141"/>
      <c r="D473" s="141"/>
      <c r="E473" s="141"/>
      <c r="F473" s="141"/>
      <c r="G473" s="48"/>
      <c r="H473" s="141"/>
      <c r="I473" s="141"/>
      <c r="J473" s="220"/>
      <c r="K473" s="220"/>
      <c r="L473" s="220"/>
      <c r="M473" s="220"/>
      <c r="N473" s="220"/>
      <c r="O473" s="382"/>
      <c r="P473" s="141"/>
      <c r="Q473" s="141"/>
      <c r="R473" s="141"/>
      <c r="S473" s="141"/>
      <c r="T473" s="141"/>
      <c r="U473" s="57"/>
      <c r="V473" s="57"/>
      <c r="W473" s="57"/>
      <c r="X473" s="57"/>
      <c r="Y473" s="57"/>
      <c r="Z473" s="57"/>
      <c r="AA473" s="57"/>
      <c r="AB473" s="57"/>
    </row>
    <row r="474">
      <c r="A474" s="141"/>
      <c r="B474" s="141"/>
      <c r="C474" s="141"/>
      <c r="D474" s="141"/>
      <c r="E474" s="141"/>
      <c r="F474" s="141"/>
      <c r="G474" s="48"/>
      <c r="H474" s="141"/>
      <c r="I474" s="141"/>
      <c r="J474" s="220"/>
      <c r="K474" s="220"/>
      <c r="L474" s="220"/>
      <c r="M474" s="220"/>
      <c r="N474" s="220"/>
      <c r="O474" s="382"/>
      <c r="P474" s="141"/>
      <c r="Q474" s="141"/>
      <c r="R474" s="141"/>
      <c r="S474" s="141"/>
      <c r="T474" s="141"/>
      <c r="U474" s="57"/>
      <c r="V474" s="57"/>
      <c r="W474" s="57"/>
      <c r="X474" s="57"/>
      <c r="Y474" s="57"/>
      <c r="Z474" s="57"/>
      <c r="AA474" s="57"/>
      <c r="AB474" s="57"/>
    </row>
    <row r="475">
      <c r="A475" s="141"/>
      <c r="B475" s="141"/>
      <c r="C475" s="141"/>
      <c r="D475" s="141"/>
      <c r="E475" s="141"/>
      <c r="F475" s="141"/>
      <c r="G475" s="48"/>
      <c r="H475" s="141"/>
      <c r="I475" s="141"/>
      <c r="J475" s="220"/>
      <c r="K475" s="220"/>
      <c r="L475" s="220"/>
      <c r="M475" s="220"/>
      <c r="N475" s="220"/>
      <c r="O475" s="382"/>
      <c r="P475" s="141"/>
      <c r="Q475" s="141"/>
      <c r="R475" s="141"/>
      <c r="S475" s="141"/>
      <c r="T475" s="141"/>
      <c r="U475" s="57"/>
      <c r="V475" s="57"/>
      <c r="W475" s="57"/>
      <c r="X475" s="57"/>
      <c r="Y475" s="57"/>
      <c r="Z475" s="57"/>
      <c r="AA475" s="57"/>
      <c r="AB475" s="57"/>
    </row>
    <row r="476">
      <c r="A476" s="141"/>
      <c r="B476" s="141"/>
      <c r="C476" s="141"/>
      <c r="D476" s="141"/>
      <c r="E476" s="141"/>
      <c r="F476" s="141"/>
      <c r="G476" s="48"/>
      <c r="H476" s="141"/>
      <c r="I476" s="141"/>
      <c r="J476" s="220"/>
      <c r="K476" s="220"/>
      <c r="L476" s="220"/>
      <c r="M476" s="220"/>
      <c r="N476" s="220"/>
      <c r="O476" s="382"/>
      <c r="P476" s="141"/>
      <c r="Q476" s="141"/>
      <c r="R476" s="141"/>
      <c r="S476" s="141"/>
      <c r="T476" s="141"/>
      <c r="U476" s="57"/>
      <c r="V476" s="57"/>
      <c r="W476" s="57"/>
      <c r="X476" s="57"/>
      <c r="Y476" s="57"/>
      <c r="Z476" s="57"/>
      <c r="AA476" s="57"/>
      <c r="AB476" s="57"/>
    </row>
    <row r="477">
      <c r="A477" s="141"/>
      <c r="B477" s="141"/>
      <c r="C477" s="141"/>
      <c r="D477" s="141"/>
      <c r="E477" s="141"/>
      <c r="F477" s="141"/>
      <c r="G477" s="48"/>
      <c r="H477" s="141"/>
      <c r="I477" s="141"/>
      <c r="J477" s="220"/>
      <c r="K477" s="220"/>
      <c r="L477" s="220"/>
      <c r="M477" s="220"/>
      <c r="N477" s="220"/>
      <c r="O477" s="382"/>
      <c r="P477" s="141"/>
      <c r="Q477" s="141"/>
      <c r="R477" s="141"/>
      <c r="S477" s="141"/>
      <c r="T477" s="141"/>
      <c r="U477" s="57"/>
      <c r="V477" s="57"/>
      <c r="W477" s="57"/>
      <c r="X477" s="57"/>
      <c r="Y477" s="57"/>
      <c r="Z477" s="57"/>
      <c r="AA477" s="57"/>
      <c r="AB477" s="57"/>
    </row>
    <row r="478">
      <c r="A478" s="141"/>
      <c r="B478" s="141"/>
      <c r="C478" s="141"/>
      <c r="D478" s="141"/>
      <c r="E478" s="141"/>
      <c r="F478" s="141"/>
      <c r="G478" s="48"/>
      <c r="H478" s="141"/>
      <c r="I478" s="141"/>
      <c r="J478" s="220"/>
      <c r="K478" s="220"/>
      <c r="L478" s="220"/>
      <c r="M478" s="220"/>
      <c r="N478" s="220"/>
      <c r="O478" s="382"/>
      <c r="P478" s="141"/>
      <c r="Q478" s="141"/>
      <c r="R478" s="141"/>
      <c r="S478" s="141"/>
      <c r="T478" s="141"/>
      <c r="U478" s="57"/>
      <c r="V478" s="57"/>
      <c r="W478" s="57"/>
      <c r="X478" s="57"/>
      <c r="Y478" s="57"/>
      <c r="Z478" s="57"/>
      <c r="AA478" s="57"/>
      <c r="AB478" s="57"/>
    </row>
    <row r="479">
      <c r="A479" s="141"/>
      <c r="B479" s="141"/>
      <c r="C479" s="141"/>
      <c r="D479" s="141"/>
      <c r="E479" s="141"/>
      <c r="F479" s="141"/>
      <c r="G479" s="48"/>
      <c r="H479" s="141"/>
      <c r="I479" s="141"/>
      <c r="J479" s="220"/>
      <c r="K479" s="220"/>
      <c r="L479" s="220"/>
      <c r="M479" s="220"/>
      <c r="N479" s="220"/>
      <c r="O479" s="382"/>
      <c r="P479" s="141"/>
      <c r="Q479" s="141"/>
      <c r="R479" s="141"/>
      <c r="S479" s="141"/>
      <c r="T479" s="141"/>
      <c r="U479" s="57"/>
      <c r="V479" s="57"/>
      <c r="W479" s="57"/>
      <c r="X479" s="57"/>
      <c r="Y479" s="57"/>
      <c r="Z479" s="57"/>
      <c r="AA479" s="57"/>
      <c r="AB479" s="57"/>
    </row>
    <row r="480">
      <c r="A480" s="141"/>
      <c r="B480" s="141"/>
      <c r="C480" s="141"/>
      <c r="D480" s="141"/>
      <c r="E480" s="141"/>
      <c r="F480" s="141"/>
      <c r="G480" s="48"/>
      <c r="H480" s="141"/>
      <c r="I480" s="141"/>
      <c r="J480" s="220"/>
      <c r="K480" s="220"/>
      <c r="L480" s="220"/>
      <c r="M480" s="220"/>
      <c r="N480" s="220"/>
      <c r="O480" s="382"/>
      <c r="P480" s="141"/>
      <c r="Q480" s="141"/>
      <c r="R480" s="141"/>
      <c r="S480" s="141"/>
      <c r="T480" s="141"/>
      <c r="U480" s="57"/>
      <c r="V480" s="57"/>
      <c r="W480" s="57"/>
      <c r="X480" s="57"/>
      <c r="Y480" s="57"/>
      <c r="Z480" s="57"/>
      <c r="AA480" s="57"/>
      <c r="AB480" s="57"/>
    </row>
    <row r="481">
      <c r="A481" s="141"/>
      <c r="B481" s="141"/>
      <c r="C481" s="141"/>
      <c r="D481" s="141"/>
      <c r="E481" s="141"/>
      <c r="F481" s="141"/>
      <c r="G481" s="48"/>
      <c r="H481" s="141"/>
      <c r="I481" s="141"/>
      <c r="J481" s="220"/>
      <c r="K481" s="220"/>
      <c r="L481" s="220"/>
      <c r="M481" s="220"/>
      <c r="N481" s="220"/>
      <c r="O481" s="382"/>
      <c r="P481" s="141"/>
      <c r="Q481" s="141"/>
      <c r="R481" s="141"/>
      <c r="S481" s="141"/>
      <c r="T481" s="141"/>
      <c r="U481" s="57"/>
      <c r="V481" s="57"/>
      <c r="W481" s="57"/>
      <c r="X481" s="57"/>
      <c r="Y481" s="57"/>
      <c r="Z481" s="57"/>
      <c r="AA481" s="57"/>
      <c r="AB481" s="57"/>
    </row>
    <row r="482">
      <c r="A482" s="141"/>
      <c r="B482" s="141"/>
      <c r="C482" s="141"/>
      <c r="D482" s="141"/>
      <c r="E482" s="141"/>
      <c r="F482" s="141"/>
      <c r="G482" s="48"/>
      <c r="H482" s="141"/>
      <c r="I482" s="141"/>
      <c r="J482" s="220"/>
      <c r="K482" s="220"/>
      <c r="L482" s="220"/>
      <c r="M482" s="220"/>
      <c r="N482" s="220"/>
      <c r="O482" s="382"/>
      <c r="P482" s="141"/>
      <c r="Q482" s="141"/>
      <c r="R482" s="141"/>
      <c r="S482" s="141"/>
      <c r="T482" s="141"/>
      <c r="U482" s="57"/>
      <c r="V482" s="57"/>
      <c r="W482" s="57"/>
      <c r="X482" s="57"/>
      <c r="Y482" s="57"/>
      <c r="Z482" s="57"/>
      <c r="AA482" s="57"/>
      <c r="AB482" s="57"/>
    </row>
    <row r="483">
      <c r="A483" s="141"/>
      <c r="B483" s="141"/>
      <c r="C483" s="141"/>
      <c r="D483" s="141"/>
      <c r="E483" s="141"/>
      <c r="F483" s="141"/>
      <c r="G483" s="48"/>
      <c r="H483" s="141"/>
      <c r="I483" s="141"/>
      <c r="J483" s="220"/>
      <c r="K483" s="220"/>
      <c r="L483" s="220"/>
      <c r="M483" s="220"/>
      <c r="N483" s="220"/>
      <c r="O483" s="382"/>
      <c r="P483" s="141"/>
      <c r="Q483" s="141"/>
      <c r="R483" s="141"/>
      <c r="S483" s="141"/>
      <c r="T483" s="141"/>
      <c r="U483" s="57"/>
      <c r="V483" s="57"/>
      <c r="W483" s="57"/>
      <c r="X483" s="57"/>
      <c r="Y483" s="57"/>
      <c r="Z483" s="57"/>
      <c r="AA483" s="57"/>
      <c r="AB483" s="57"/>
    </row>
    <row r="484">
      <c r="A484" s="141"/>
      <c r="B484" s="141"/>
      <c r="C484" s="141"/>
      <c r="D484" s="141"/>
      <c r="E484" s="141"/>
      <c r="F484" s="141"/>
      <c r="G484" s="48"/>
      <c r="H484" s="141"/>
      <c r="I484" s="141"/>
      <c r="J484" s="220"/>
      <c r="K484" s="220"/>
      <c r="L484" s="220"/>
      <c r="M484" s="220"/>
      <c r="N484" s="220"/>
      <c r="O484" s="382"/>
      <c r="P484" s="141"/>
      <c r="Q484" s="141"/>
      <c r="R484" s="141"/>
      <c r="S484" s="141"/>
      <c r="T484" s="141"/>
      <c r="U484" s="57"/>
      <c r="V484" s="57"/>
      <c r="W484" s="57"/>
      <c r="X484" s="57"/>
      <c r="Y484" s="57"/>
      <c r="Z484" s="57"/>
      <c r="AA484" s="57"/>
      <c r="AB484" s="57"/>
    </row>
    <row r="485">
      <c r="A485" s="141"/>
      <c r="B485" s="141"/>
      <c r="C485" s="141"/>
      <c r="D485" s="141"/>
      <c r="E485" s="141"/>
      <c r="F485" s="141"/>
      <c r="G485" s="48"/>
      <c r="H485" s="141"/>
      <c r="I485" s="141"/>
      <c r="J485" s="220"/>
      <c r="K485" s="220"/>
      <c r="L485" s="220"/>
      <c r="M485" s="220"/>
      <c r="N485" s="220"/>
      <c r="O485" s="382"/>
      <c r="P485" s="141"/>
      <c r="Q485" s="141"/>
      <c r="R485" s="141"/>
      <c r="S485" s="141"/>
      <c r="T485" s="141"/>
      <c r="U485" s="57"/>
      <c r="V485" s="57"/>
      <c r="W485" s="57"/>
      <c r="X485" s="57"/>
      <c r="Y485" s="57"/>
      <c r="Z485" s="57"/>
      <c r="AA485" s="57"/>
      <c r="AB485" s="57"/>
    </row>
    <row r="486">
      <c r="A486" s="141"/>
      <c r="B486" s="141"/>
      <c r="C486" s="141"/>
      <c r="D486" s="141"/>
      <c r="E486" s="141"/>
      <c r="F486" s="141"/>
      <c r="G486" s="48"/>
      <c r="H486" s="141"/>
      <c r="I486" s="141"/>
      <c r="J486" s="220"/>
      <c r="K486" s="220"/>
      <c r="L486" s="220"/>
      <c r="M486" s="220"/>
      <c r="N486" s="220"/>
      <c r="O486" s="382"/>
      <c r="P486" s="141"/>
      <c r="Q486" s="141"/>
      <c r="R486" s="141"/>
      <c r="S486" s="141"/>
      <c r="T486" s="141"/>
      <c r="U486" s="57"/>
      <c r="V486" s="57"/>
      <c r="W486" s="57"/>
      <c r="X486" s="57"/>
      <c r="Y486" s="57"/>
      <c r="Z486" s="57"/>
      <c r="AA486" s="57"/>
      <c r="AB486" s="57"/>
    </row>
    <row r="487">
      <c r="A487" s="141"/>
      <c r="B487" s="141"/>
      <c r="C487" s="141"/>
      <c r="D487" s="141"/>
      <c r="E487" s="141"/>
      <c r="F487" s="141"/>
      <c r="G487" s="48"/>
      <c r="H487" s="141"/>
      <c r="I487" s="141"/>
      <c r="J487" s="220"/>
      <c r="K487" s="220"/>
      <c r="L487" s="220"/>
      <c r="M487" s="220"/>
      <c r="N487" s="220"/>
      <c r="O487" s="382"/>
      <c r="P487" s="141"/>
      <c r="Q487" s="141"/>
      <c r="R487" s="141"/>
      <c r="S487" s="141"/>
      <c r="T487" s="141"/>
      <c r="U487" s="57"/>
      <c r="V487" s="57"/>
      <c r="W487" s="57"/>
      <c r="X487" s="57"/>
      <c r="Y487" s="57"/>
      <c r="Z487" s="57"/>
      <c r="AA487" s="57"/>
      <c r="AB487" s="57"/>
    </row>
    <row r="488">
      <c r="A488" s="141"/>
      <c r="B488" s="141"/>
      <c r="C488" s="141"/>
      <c r="D488" s="141"/>
      <c r="E488" s="141"/>
      <c r="F488" s="141"/>
      <c r="G488" s="48"/>
      <c r="H488" s="141"/>
      <c r="I488" s="141"/>
      <c r="J488" s="220"/>
      <c r="K488" s="220"/>
      <c r="L488" s="220"/>
      <c r="M488" s="220"/>
      <c r="N488" s="220"/>
      <c r="O488" s="382"/>
      <c r="P488" s="141"/>
      <c r="Q488" s="141"/>
      <c r="R488" s="141"/>
      <c r="S488" s="141"/>
      <c r="T488" s="141"/>
      <c r="U488" s="57"/>
      <c r="V488" s="57"/>
      <c r="W488" s="57"/>
      <c r="X488" s="57"/>
      <c r="Y488" s="57"/>
      <c r="Z488" s="57"/>
      <c r="AA488" s="57"/>
      <c r="AB488" s="57"/>
    </row>
    <row r="489">
      <c r="A489" s="141"/>
      <c r="B489" s="141"/>
      <c r="C489" s="141"/>
      <c r="D489" s="141"/>
      <c r="E489" s="141"/>
      <c r="F489" s="141"/>
      <c r="G489" s="48"/>
      <c r="H489" s="141"/>
      <c r="I489" s="141"/>
      <c r="J489" s="220"/>
      <c r="K489" s="220"/>
      <c r="L489" s="220"/>
      <c r="M489" s="220"/>
      <c r="N489" s="220"/>
      <c r="O489" s="382"/>
      <c r="P489" s="141"/>
      <c r="Q489" s="141"/>
      <c r="R489" s="141"/>
      <c r="S489" s="141"/>
      <c r="T489" s="141"/>
      <c r="U489" s="57"/>
      <c r="V489" s="57"/>
      <c r="W489" s="57"/>
      <c r="X489" s="57"/>
      <c r="Y489" s="57"/>
      <c r="Z489" s="57"/>
      <c r="AA489" s="57"/>
      <c r="AB489" s="57"/>
    </row>
    <row r="490">
      <c r="A490" s="141"/>
      <c r="B490" s="141"/>
      <c r="C490" s="141"/>
      <c r="D490" s="141"/>
      <c r="E490" s="141"/>
      <c r="F490" s="141"/>
      <c r="G490" s="48"/>
      <c r="H490" s="141"/>
      <c r="I490" s="141"/>
      <c r="J490" s="220"/>
      <c r="K490" s="220"/>
      <c r="L490" s="220"/>
      <c r="M490" s="220"/>
      <c r="N490" s="220"/>
      <c r="O490" s="382"/>
      <c r="P490" s="141"/>
      <c r="Q490" s="141"/>
      <c r="R490" s="141"/>
      <c r="S490" s="141"/>
      <c r="T490" s="141"/>
      <c r="U490" s="57"/>
      <c r="V490" s="57"/>
      <c r="W490" s="57"/>
      <c r="X490" s="57"/>
      <c r="Y490" s="57"/>
      <c r="Z490" s="57"/>
      <c r="AA490" s="57"/>
      <c r="AB490" s="57"/>
    </row>
    <row r="491">
      <c r="A491" s="141"/>
      <c r="B491" s="141"/>
      <c r="C491" s="141"/>
      <c r="D491" s="141"/>
      <c r="E491" s="141"/>
      <c r="F491" s="141"/>
      <c r="G491" s="48"/>
      <c r="H491" s="141"/>
      <c r="I491" s="141"/>
      <c r="J491" s="220"/>
      <c r="K491" s="220"/>
      <c r="L491" s="220"/>
      <c r="M491" s="220"/>
      <c r="N491" s="220"/>
      <c r="O491" s="382"/>
      <c r="P491" s="141"/>
      <c r="Q491" s="141"/>
      <c r="R491" s="141"/>
      <c r="S491" s="141"/>
      <c r="T491" s="141"/>
      <c r="U491" s="57"/>
      <c r="V491" s="57"/>
      <c r="W491" s="57"/>
      <c r="X491" s="57"/>
      <c r="Y491" s="57"/>
      <c r="Z491" s="57"/>
      <c r="AA491" s="57"/>
      <c r="AB491" s="57"/>
    </row>
    <row r="492">
      <c r="A492" s="141"/>
      <c r="B492" s="141"/>
      <c r="C492" s="141"/>
      <c r="D492" s="141"/>
      <c r="E492" s="141"/>
      <c r="F492" s="141"/>
      <c r="G492" s="48"/>
      <c r="H492" s="141"/>
      <c r="I492" s="141"/>
      <c r="J492" s="220"/>
      <c r="K492" s="220"/>
      <c r="L492" s="220"/>
      <c r="M492" s="220"/>
      <c r="N492" s="220"/>
      <c r="O492" s="382"/>
      <c r="P492" s="141"/>
      <c r="Q492" s="141"/>
      <c r="R492" s="141"/>
      <c r="S492" s="141"/>
      <c r="T492" s="141"/>
      <c r="U492" s="57"/>
      <c r="V492" s="57"/>
      <c r="W492" s="57"/>
      <c r="X492" s="57"/>
      <c r="Y492" s="57"/>
      <c r="Z492" s="57"/>
      <c r="AA492" s="57"/>
      <c r="AB492" s="57"/>
    </row>
    <row r="493">
      <c r="A493" s="141"/>
      <c r="B493" s="141"/>
      <c r="C493" s="141"/>
      <c r="D493" s="141"/>
      <c r="E493" s="141"/>
      <c r="F493" s="141"/>
      <c r="G493" s="48"/>
      <c r="H493" s="141"/>
      <c r="I493" s="141"/>
      <c r="J493" s="220"/>
      <c r="K493" s="220"/>
      <c r="L493" s="220"/>
      <c r="M493" s="220"/>
      <c r="N493" s="220"/>
      <c r="O493" s="382"/>
      <c r="P493" s="141"/>
      <c r="Q493" s="141"/>
      <c r="R493" s="141"/>
      <c r="S493" s="141"/>
      <c r="T493" s="141"/>
      <c r="U493" s="57"/>
      <c r="V493" s="57"/>
      <c r="W493" s="57"/>
      <c r="X493" s="57"/>
      <c r="Y493" s="57"/>
      <c r="Z493" s="57"/>
      <c r="AA493" s="57"/>
      <c r="AB493" s="57"/>
    </row>
    <row r="494">
      <c r="A494" s="141"/>
      <c r="B494" s="141"/>
      <c r="C494" s="141"/>
      <c r="D494" s="141"/>
      <c r="E494" s="141"/>
      <c r="F494" s="141"/>
      <c r="G494" s="48"/>
      <c r="H494" s="141"/>
      <c r="I494" s="141"/>
      <c r="J494" s="220"/>
      <c r="K494" s="220"/>
      <c r="L494" s="220"/>
      <c r="M494" s="220"/>
      <c r="N494" s="220"/>
      <c r="O494" s="382"/>
      <c r="P494" s="141"/>
      <c r="Q494" s="141"/>
      <c r="R494" s="141"/>
      <c r="S494" s="141"/>
      <c r="T494" s="141"/>
      <c r="U494" s="57"/>
      <c r="V494" s="57"/>
      <c r="W494" s="57"/>
      <c r="X494" s="57"/>
      <c r="Y494" s="57"/>
      <c r="Z494" s="57"/>
      <c r="AA494" s="57"/>
      <c r="AB494" s="57"/>
    </row>
    <row r="495">
      <c r="A495" s="141"/>
      <c r="B495" s="141"/>
      <c r="C495" s="141"/>
      <c r="D495" s="141"/>
      <c r="E495" s="141"/>
      <c r="F495" s="141"/>
      <c r="G495" s="48"/>
      <c r="H495" s="141"/>
      <c r="I495" s="141"/>
      <c r="J495" s="220"/>
      <c r="K495" s="220"/>
      <c r="L495" s="220"/>
      <c r="M495" s="220"/>
      <c r="N495" s="220"/>
      <c r="O495" s="382"/>
      <c r="P495" s="141"/>
      <c r="Q495" s="141"/>
      <c r="R495" s="141"/>
      <c r="S495" s="141"/>
      <c r="T495" s="141"/>
      <c r="U495" s="57"/>
      <c r="V495" s="57"/>
      <c r="W495" s="57"/>
      <c r="X495" s="57"/>
      <c r="Y495" s="57"/>
      <c r="Z495" s="57"/>
      <c r="AA495" s="57"/>
      <c r="AB495" s="57"/>
    </row>
    <row r="496">
      <c r="A496" s="141"/>
      <c r="B496" s="141"/>
      <c r="C496" s="141"/>
      <c r="D496" s="141"/>
      <c r="E496" s="141"/>
      <c r="F496" s="141"/>
      <c r="G496" s="48"/>
      <c r="H496" s="141"/>
      <c r="I496" s="141"/>
      <c r="J496" s="220"/>
      <c r="K496" s="220"/>
      <c r="L496" s="220"/>
      <c r="M496" s="220"/>
      <c r="N496" s="220"/>
      <c r="O496" s="382"/>
      <c r="P496" s="141"/>
      <c r="Q496" s="141"/>
      <c r="R496" s="141"/>
      <c r="S496" s="141"/>
      <c r="T496" s="141"/>
      <c r="U496" s="57"/>
      <c r="V496" s="57"/>
      <c r="W496" s="57"/>
      <c r="X496" s="57"/>
      <c r="Y496" s="57"/>
      <c r="Z496" s="57"/>
      <c r="AA496" s="57"/>
      <c r="AB496" s="57"/>
    </row>
    <row r="497">
      <c r="A497" s="141"/>
      <c r="B497" s="141"/>
      <c r="C497" s="141"/>
      <c r="D497" s="141"/>
      <c r="E497" s="141"/>
      <c r="F497" s="141"/>
      <c r="G497" s="48"/>
      <c r="H497" s="141"/>
      <c r="I497" s="141"/>
      <c r="J497" s="220"/>
      <c r="K497" s="220"/>
      <c r="L497" s="220"/>
      <c r="M497" s="220"/>
      <c r="N497" s="220"/>
      <c r="O497" s="382"/>
      <c r="P497" s="141"/>
      <c r="Q497" s="141"/>
      <c r="R497" s="141"/>
      <c r="S497" s="141"/>
      <c r="T497" s="141"/>
      <c r="U497" s="57"/>
      <c r="V497" s="57"/>
      <c r="W497" s="57"/>
      <c r="X497" s="57"/>
      <c r="Y497" s="57"/>
      <c r="Z497" s="57"/>
      <c r="AA497" s="57"/>
      <c r="AB497" s="57"/>
    </row>
    <row r="498">
      <c r="A498" s="141"/>
      <c r="B498" s="141"/>
      <c r="C498" s="141"/>
      <c r="D498" s="141"/>
      <c r="E498" s="141"/>
      <c r="F498" s="141"/>
      <c r="G498" s="48"/>
      <c r="H498" s="141"/>
      <c r="I498" s="141"/>
      <c r="J498" s="220"/>
      <c r="K498" s="220"/>
      <c r="L498" s="220"/>
      <c r="M498" s="220"/>
      <c r="N498" s="220"/>
      <c r="O498" s="382"/>
      <c r="P498" s="141"/>
      <c r="Q498" s="141"/>
      <c r="R498" s="141"/>
      <c r="S498" s="141"/>
      <c r="T498" s="141"/>
      <c r="U498" s="57"/>
      <c r="V498" s="57"/>
      <c r="W498" s="57"/>
      <c r="X498" s="57"/>
      <c r="Y498" s="57"/>
      <c r="Z498" s="57"/>
      <c r="AA498" s="57"/>
      <c r="AB498" s="57"/>
    </row>
    <row r="499">
      <c r="A499" s="141"/>
      <c r="B499" s="141"/>
      <c r="C499" s="141"/>
      <c r="D499" s="141"/>
      <c r="E499" s="141"/>
      <c r="F499" s="141"/>
      <c r="G499" s="48"/>
      <c r="H499" s="141"/>
      <c r="I499" s="141"/>
      <c r="J499" s="220"/>
      <c r="K499" s="220"/>
      <c r="L499" s="220"/>
      <c r="M499" s="220"/>
      <c r="N499" s="220"/>
      <c r="O499" s="382"/>
      <c r="P499" s="141"/>
      <c r="Q499" s="141"/>
      <c r="R499" s="141"/>
      <c r="S499" s="141"/>
      <c r="T499" s="141"/>
      <c r="U499" s="57"/>
      <c r="V499" s="57"/>
      <c r="W499" s="57"/>
      <c r="X499" s="57"/>
      <c r="Y499" s="57"/>
      <c r="Z499" s="57"/>
      <c r="AA499" s="57"/>
      <c r="AB499" s="57"/>
    </row>
    <row r="500">
      <c r="A500" s="141"/>
      <c r="B500" s="141"/>
      <c r="C500" s="141"/>
      <c r="D500" s="141"/>
      <c r="E500" s="141"/>
      <c r="F500" s="141"/>
      <c r="G500" s="48"/>
      <c r="H500" s="141"/>
      <c r="I500" s="141"/>
      <c r="J500" s="220"/>
      <c r="K500" s="220"/>
      <c r="L500" s="220"/>
      <c r="M500" s="220"/>
      <c r="N500" s="220"/>
      <c r="O500" s="382"/>
      <c r="P500" s="141"/>
      <c r="Q500" s="141"/>
      <c r="R500" s="141"/>
      <c r="S500" s="141"/>
      <c r="T500" s="141"/>
      <c r="U500" s="57"/>
      <c r="V500" s="57"/>
      <c r="W500" s="57"/>
      <c r="X500" s="57"/>
      <c r="Y500" s="57"/>
      <c r="Z500" s="57"/>
      <c r="AA500" s="57"/>
      <c r="AB500" s="57"/>
    </row>
    <row r="501">
      <c r="A501" s="141"/>
      <c r="B501" s="141"/>
      <c r="C501" s="141"/>
      <c r="D501" s="141"/>
      <c r="E501" s="141"/>
      <c r="F501" s="141"/>
      <c r="G501" s="48"/>
      <c r="H501" s="141"/>
      <c r="I501" s="141"/>
      <c r="J501" s="220"/>
      <c r="K501" s="220"/>
      <c r="L501" s="220"/>
      <c r="M501" s="220"/>
      <c r="N501" s="220"/>
      <c r="O501" s="382"/>
      <c r="P501" s="141"/>
      <c r="Q501" s="141"/>
      <c r="R501" s="141"/>
      <c r="S501" s="141"/>
      <c r="T501" s="141"/>
      <c r="U501" s="57"/>
      <c r="V501" s="57"/>
      <c r="W501" s="57"/>
      <c r="X501" s="57"/>
      <c r="Y501" s="57"/>
      <c r="Z501" s="57"/>
      <c r="AA501" s="57"/>
      <c r="AB501" s="57"/>
    </row>
    <row r="502">
      <c r="A502" s="141"/>
      <c r="B502" s="141"/>
      <c r="C502" s="141"/>
      <c r="D502" s="141"/>
      <c r="E502" s="141"/>
      <c r="F502" s="141"/>
      <c r="G502" s="48"/>
      <c r="H502" s="141"/>
      <c r="I502" s="141"/>
      <c r="J502" s="220"/>
      <c r="K502" s="220"/>
      <c r="L502" s="220"/>
      <c r="M502" s="220"/>
      <c r="N502" s="220"/>
      <c r="O502" s="382"/>
      <c r="P502" s="141"/>
      <c r="Q502" s="141"/>
      <c r="R502" s="141"/>
      <c r="S502" s="141"/>
      <c r="T502" s="141"/>
      <c r="U502" s="57"/>
      <c r="V502" s="57"/>
      <c r="W502" s="57"/>
      <c r="X502" s="57"/>
      <c r="Y502" s="57"/>
      <c r="Z502" s="57"/>
      <c r="AA502" s="57"/>
      <c r="AB502" s="57"/>
    </row>
    <row r="503">
      <c r="A503" s="141"/>
      <c r="B503" s="141"/>
      <c r="C503" s="141"/>
      <c r="D503" s="141"/>
      <c r="E503" s="141"/>
      <c r="F503" s="141"/>
      <c r="G503" s="48"/>
      <c r="H503" s="141"/>
      <c r="I503" s="141"/>
      <c r="J503" s="220"/>
      <c r="K503" s="220"/>
      <c r="L503" s="220"/>
      <c r="M503" s="220"/>
      <c r="N503" s="220"/>
      <c r="O503" s="382"/>
      <c r="P503" s="141"/>
      <c r="Q503" s="141"/>
      <c r="R503" s="141"/>
      <c r="S503" s="141"/>
      <c r="T503" s="141"/>
      <c r="U503" s="57"/>
      <c r="V503" s="57"/>
      <c r="W503" s="57"/>
      <c r="X503" s="57"/>
      <c r="Y503" s="57"/>
      <c r="Z503" s="57"/>
      <c r="AA503" s="57"/>
      <c r="AB503" s="57"/>
    </row>
    <row r="504">
      <c r="A504" s="141"/>
      <c r="B504" s="141"/>
      <c r="C504" s="141"/>
      <c r="D504" s="141"/>
      <c r="E504" s="141"/>
      <c r="F504" s="141"/>
      <c r="G504" s="48"/>
      <c r="H504" s="141"/>
      <c r="I504" s="141"/>
      <c r="J504" s="220"/>
      <c r="K504" s="220"/>
      <c r="L504" s="220"/>
      <c r="M504" s="220"/>
      <c r="N504" s="220"/>
      <c r="O504" s="382"/>
      <c r="P504" s="141"/>
      <c r="Q504" s="141"/>
      <c r="R504" s="141"/>
      <c r="S504" s="141"/>
      <c r="T504" s="141"/>
      <c r="U504" s="57"/>
      <c r="V504" s="57"/>
      <c r="W504" s="57"/>
      <c r="X504" s="57"/>
      <c r="Y504" s="57"/>
      <c r="Z504" s="57"/>
      <c r="AA504" s="57"/>
      <c r="AB504" s="57"/>
    </row>
    <row r="505">
      <c r="A505" s="141"/>
      <c r="B505" s="141"/>
      <c r="C505" s="141"/>
      <c r="D505" s="141"/>
      <c r="E505" s="141"/>
      <c r="F505" s="141"/>
      <c r="G505" s="48"/>
      <c r="H505" s="141"/>
      <c r="I505" s="141"/>
      <c r="J505" s="220"/>
      <c r="K505" s="220"/>
      <c r="L505" s="220"/>
      <c r="M505" s="220"/>
      <c r="N505" s="220"/>
      <c r="O505" s="382"/>
      <c r="P505" s="141"/>
      <c r="Q505" s="141"/>
      <c r="R505" s="141"/>
      <c r="S505" s="141"/>
      <c r="T505" s="141"/>
      <c r="U505" s="57"/>
      <c r="V505" s="57"/>
      <c r="W505" s="57"/>
      <c r="X505" s="57"/>
      <c r="Y505" s="57"/>
      <c r="Z505" s="57"/>
      <c r="AA505" s="57"/>
      <c r="AB505" s="57"/>
    </row>
    <row r="506">
      <c r="A506" s="141"/>
      <c r="B506" s="141"/>
      <c r="C506" s="141"/>
      <c r="D506" s="141"/>
      <c r="E506" s="141"/>
      <c r="F506" s="141"/>
      <c r="G506" s="48"/>
      <c r="H506" s="141"/>
      <c r="I506" s="141"/>
      <c r="J506" s="220"/>
      <c r="K506" s="220"/>
      <c r="L506" s="220"/>
      <c r="M506" s="220"/>
      <c r="N506" s="220"/>
      <c r="O506" s="382"/>
      <c r="P506" s="141"/>
      <c r="Q506" s="141"/>
      <c r="R506" s="141"/>
      <c r="S506" s="141"/>
      <c r="T506" s="141"/>
      <c r="U506" s="57"/>
      <c r="V506" s="57"/>
      <c r="W506" s="57"/>
      <c r="X506" s="57"/>
      <c r="Y506" s="57"/>
      <c r="Z506" s="57"/>
      <c r="AA506" s="57"/>
      <c r="AB506" s="57"/>
    </row>
    <row r="507">
      <c r="A507" s="141"/>
      <c r="B507" s="141"/>
      <c r="C507" s="141"/>
      <c r="D507" s="141"/>
      <c r="E507" s="141"/>
      <c r="F507" s="141"/>
      <c r="G507" s="48"/>
      <c r="H507" s="141"/>
      <c r="I507" s="141"/>
      <c r="J507" s="220"/>
      <c r="K507" s="220"/>
      <c r="L507" s="220"/>
      <c r="M507" s="220"/>
      <c r="N507" s="220"/>
      <c r="O507" s="382"/>
      <c r="P507" s="141"/>
      <c r="Q507" s="141"/>
      <c r="R507" s="141"/>
      <c r="S507" s="141"/>
      <c r="T507" s="141"/>
      <c r="U507" s="57"/>
      <c r="V507" s="57"/>
      <c r="W507" s="57"/>
      <c r="X507" s="57"/>
      <c r="Y507" s="57"/>
      <c r="Z507" s="57"/>
      <c r="AA507" s="57"/>
      <c r="AB507" s="57"/>
    </row>
    <row r="508">
      <c r="A508" s="141"/>
      <c r="B508" s="141"/>
      <c r="C508" s="141"/>
      <c r="D508" s="141"/>
      <c r="E508" s="141"/>
      <c r="F508" s="141"/>
      <c r="G508" s="48"/>
      <c r="H508" s="141"/>
      <c r="I508" s="141"/>
      <c r="J508" s="220"/>
      <c r="K508" s="220"/>
      <c r="L508" s="220"/>
      <c r="M508" s="220"/>
      <c r="N508" s="220"/>
      <c r="O508" s="382"/>
      <c r="P508" s="141"/>
      <c r="Q508" s="141"/>
      <c r="R508" s="141"/>
      <c r="S508" s="141"/>
      <c r="T508" s="141"/>
      <c r="U508" s="57"/>
      <c r="V508" s="57"/>
      <c r="W508" s="57"/>
      <c r="X508" s="57"/>
      <c r="Y508" s="57"/>
      <c r="Z508" s="57"/>
      <c r="AA508" s="57"/>
      <c r="AB508" s="57"/>
    </row>
    <row r="509">
      <c r="A509" s="141"/>
      <c r="B509" s="141"/>
      <c r="C509" s="141"/>
      <c r="D509" s="141"/>
      <c r="E509" s="141"/>
      <c r="F509" s="141"/>
      <c r="G509" s="48"/>
      <c r="H509" s="141"/>
      <c r="I509" s="141"/>
      <c r="J509" s="220"/>
      <c r="K509" s="220"/>
      <c r="L509" s="220"/>
      <c r="M509" s="220"/>
      <c r="N509" s="220"/>
      <c r="O509" s="382"/>
      <c r="P509" s="141"/>
      <c r="Q509" s="141"/>
      <c r="R509" s="141"/>
      <c r="S509" s="141"/>
      <c r="T509" s="141"/>
      <c r="U509" s="57"/>
      <c r="V509" s="57"/>
      <c r="W509" s="57"/>
      <c r="X509" s="57"/>
      <c r="Y509" s="57"/>
      <c r="Z509" s="57"/>
      <c r="AA509" s="57"/>
      <c r="AB509" s="57"/>
    </row>
    <row r="510">
      <c r="A510" s="141"/>
      <c r="B510" s="141"/>
      <c r="C510" s="141"/>
      <c r="D510" s="141"/>
      <c r="E510" s="141"/>
      <c r="F510" s="141"/>
      <c r="G510" s="48"/>
      <c r="H510" s="141"/>
      <c r="I510" s="141"/>
      <c r="J510" s="220"/>
      <c r="K510" s="220"/>
      <c r="L510" s="220"/>
      <c r="M510" s="220"/>
      <c r="N510" s="220"/>
      <c r="O510" s="382"/>
      <c r="P510" s="141"/>
      <c r="Q510" s="141"/>
      <c r="R510" s="141"/>
      <c r="S510" s="141"/>
      <c r="T510" s="141"/>
      <c r="U510" s="57"/>
      <c r="V510" s="57"/>
      <c r="W510" s="57"/>
      <c r="X510" s="57"/>
      <c r="Y510" s="57"/>
      <c r="Z510" s="57"/>
      <c r="AA510" s="57"/>
      <c r="AB510" s="57"/>
    </row>
    <row r="511">
      <c r="A511" s="141"/>
      <c r="B511" s="141"/>
      <c r="C511" s="141"/>
      <c r="D511" s="141"/>
      <c r="E511" s="141"/>
      <c r="F511" s="141"/>
      <c r="G511" s="48"/>
      <c r="H511" s="141"/>
      <c r="I511" s="141"/>
      <c r="J511" s="220"/>
      <c r="K511" s="220"/>
      <c r="L511" s="220"/>
      <c r="M511" s="220"/>
      <c r="N511" s="220"/>
      <c r="O511" s="382"/>
      <c r="P511" s="141"/>
      <c r="Q511" s="141"/>
      <c r="R511" s="141"/>
      <c r="S511" s="141"/>
      <c r="T511" s="141"/>
      <c r="U511" s="57"/>
      <c r="V511" s="57"/>
      <c r="W511" s="57"/>
      <c r="X511" s="57"/>
      <c r="Y511" s="57"/>
      <c r="Z511" s="57"/>
      <c r="AA511" s="57"/>
      <c r="AB511" s="57"/>
    </row>
    <row r="512">
      <c r="A512" s="141"/>
      <c r="B512" s="141"/>
      <c r="C512" s="141"/>
      <c r="D512" s="141"/>
      <c r="E512" s="141"/>
      <c r="F512" s="141"/>
      <c r="G512" s="48"/>
      <c r="H512" s="141"/>
      <c r="I512" s="141"/>
      <c r="J512" s="220"/>
      <c r="K512" s="220"/>
      <c r="L512" s="220"/>
      <c r="M512" s="220"/>
      <c r="N512" s="220"/>
      <c r="O512" s="382"/>
      <c r="P512" s="141"/>
      <c r="Q512" s="141"/>
      <c r="R512" s="141"/>
      <c r="S512" s="141"/>
      <c r="T512" s="141"/>
      <c r="U512" s="57"/>
      <c r="V512" s="57"/>
      <c r="W512" s="57"/>
      <c r="X512" s="57"/>
      <c r="Y512" s="57"/>
      <c r="Z512" s="57"/>
      <c r="AA512" s="57"/>
      <c r="AB512" s="57"/>
    </row>
    <row r="513">
      <c r="A513" s="141"/>
      <c r="B513" s="141"/>
      <c r="C513" s="141"/>
      <c r="D513" s="141"/>
      <c r="E513" s="141"/>
      <c r="F513" s="141"/>
      <c r="G513" s="48"/>
      <c r="H513" s="141"/>
      <c r="I513" s="141"/>
      <c r="J513" s="220"/>
      <c r="K513" s="220"/>
      <c r="L513" s="220"/>
      <c r="M513" s="220"/>
      <c r="N513" s="220"/>
      <c r="O513" s="382"/>
      <c r="P513" s="141"/>
      <c r="Q513" s="141"/>
      <c r="R513" s="141"/>
      <c r="S513" s="141"/>
      <c r="T513" s="141"/>
      <c r="U513" s="57"/>
      <c r="V513" s="57"/>
      <c r="W513" s="57"/>
      <c r="X513" s="57"/>
      <c r="Y513" s="57"/>
      <c r="Z513" s="57"/>
      <c r="AA513" s="57"/>
      <c r="AB513" s="57"/>
    </row>
    <row r="514">
      <c r="A514" s="141"/>
      <c r="B514" s="141"/>
      <c r="C514" s="141"/>
      <c r="D514" s="141"/>
      <c r="E514" s="141"/>
      <c r="F514" s="141"/>
      <c r="G514" s="48"/>
      <c r="H514" s="141"/>
      <c r="I514" s="141"/>
      <c r="J514" s="220"/>
      <c r="K514" s="220"/>
      <c r="L514" s="220"/>
      <c r="M514" s="220"/>
      <c r="N514" s="220"/>
      <c r="O514" s="382"/>
      <c r="P514" s="141"/>
      <c r="Q514" s="141"/>
      <c r="R514" s="141"/>
      <c r="S514" s="141"/>
      <c r="T514" s="141"/>
      <c r="U514" s="57"/>
      <c r="V514" s="57"/>
      <c r="W514" s="57"/>
      <c r="X514" s="57"/>
      <c r="Y514" s="57"/>
      <c r="Z514" s="57"/>
      <c r="AA514" s="57"/>
      <c r="AB514" s="57"/>
    </row>
    <row r="515">
      <c r="A515" s="141"/>
      <c r="B515" s="141"/>
      <c r="C515" s="141"/>
      <c r="D515" s="141"/>
      <c r="E515" s="141"/>
      <c r="F515" s="141"/>
      <c r="G515" s="48"/>
      <c r="H515" s="141"/>
      <c r="I515" s="141"/>
      <c r="J515" s="220"/>
      <c r="K515" s="220"/>
      <c r="L515" s="220"/>
      <c r="M515" s="220"/>
      <c r="N515" s="220"/>
      <c r="O515" s="382"/>
      <c r="P515" s="141"/>
      <c r="Q515" s="141"/>
      <c r="R515" s="141"/>
      <c r="S515" s="141"/>
      <c r="T515" s="141"/>
      <c r="U515" s="57"/>
      <c r="V515" s="57"/>
      <c r="W515" s="57"/>
      <c r="X515" s="57"/>
      <c r="Y515" s="57"/>
      <c r="Z515" s="57"/>
      <c r="AA515" s="57"/>
      <c r="AB515" s="57"/>
    </row>
    <row r="516">
      <c r="A516" s="141"/>
      <c r="B516" s="141"/>
      <c r="C516" s="141"/>
      <c r="D516" s="141"/>
      <c r="E516" s="141"/>
      <c r="F516" s="141"/>
      <c r="G516" s="48"/>
      <c r="H516" s="141"/>
      <c r="I516" s="141"/>
      <c r="J516" s="220"/>
      <c r="K516" s="220"/>
      <c r="L516" s="220"/>
      <c r="M516" s="220"/>
      <c r="N516" s="220"/>
      <c r="O516" s="382"/>
      <c r="P516" s="141"/>
      <c r="Q516" s="141"/>
      <c r="R516" s="141"/>
      <c r="S516" s="141"/>
      <c r="T516" s="141"/>
      <c r="U516" s="57"/>
      <c r="V516" s="57"/>
      <c r="W516" s="57"/>
      <c r="X516" s="57"/>
      <c r="Y516" s="57"/>
      <c r="Z516" s="57"/>
      <c r="AA516" s="57"/>
      <c r="AB516" s="57"/>
    </row>
    <row r="517">
      <c r="A517" s="141"/>
      <c r="B517" s="141"/>
      <c r="C517" s="141"/>
      <c r="D517" s="141"/>
      <c r="E517" s="141"/>
      <c r="F517" s="141"/>
      <c r="G517" s="48"/>
      <c r="H517" s="141"/>
      <c r="I517" s="141"/>
      <c r="J517" s="220"/>
      <c r="K517" s="220"/>
      <c r="L517" s="220"/>
      <c r="M517" s="220"/>
      <c r="N517" s="220"/>
      <c r="O517" s="382"/>
      <c r="P517" s="141"/>
      <c r="Q517" s="141"/>
      <c r="R517" s="141"/>
      <c r="S517" s="141"/>
      <c r="T517" s="141"/>
      <c r="U517" s="57"/>
      <c r="V517" s="57"/>
      <c r="W517" s="57"/>
      <c r="X517" s="57"/>
      <c r="Y517" s="57"/>
      <c r="Z517" s="57"/>
      <c r="AA517" s="57"/>
      <c r="AB517" s="57"/>
    </row>
    <row r="518">
      <c r="A518" s="141"/>
      <c r="B518" s="141"/>
      <c r="C518" s="141"/>
      <c r="D518" s="141"/>
      <c r="E518" s="141"/>
      <c r="F518" s="141"/>
      <c r="G518" s="48"/>
      <c r="H518" s="141"/>
      <c r="I518" s="141"/>
      <c r="J518" s="220"/>
      <c r="K518" s="220"/>
      <c r="L518" s="220"/>
      <c r="M518" s="220"/>
      <c r="N518" s="220"/>
      <c r="O518" s="382"/>
      <c r="P518" s="141"/>
      <c r="Q518" s="141"/>
      <c r="R518" s="141"/>
      <c r="S518" s="141"/>
      <c r="T518" s="141"/>
      <c r="U518" s="57"/>
      <c r="V518" s="57"/>
      <c r="W518" s="57"/>
      <c r="X518" s="57"/>
      <c r="Y518" s="57"/>
      <c r="Z518" s="57"/>
      <c r="AA518" s="57"/>
      <c r="AB518" s="57"/>
    </row>
    <row r="519">
      <c r="A519" s="141"/>
      <c r="B519" s="141"/>
      <c r="C519" s="141"/>
      <c r="D519" s="141"/>
      <c r="E519" s="141"/>
      <c r="F519" s="141"/>
      <c r="G519" s="48"/>
      <c r="H519" s="141"/>
      <c r="I519" s="141"/>
      <c r="J519" s="220"/>
      <c r="K519" s="220"/>
      <c r="L519" s="220"/>
      <c r="M519" s="220"/>
      <c r="N519" s="220"/>
      <c r="O519" s="382"/>
      <c r="P519" s="141"/>
      <c r="Q519" s="141"/>
      <c r="R519" s="141"/>
      <c r="S519" s="141"/>
      <c r="T519" s="141"/>
      <c r="U519" s="57"/>
      <c r="V519" s="57"/>
      <c r="W519" s="57"/>
      <c r="X519" s="57"/>
      <c r="Y519" s="57"/>
      <c r="Z519" s="57"/>
      <c r="AA519" s="57"/>
      <c r="AB519" s="57"/>
    </row>
    <row r="520">
      <c r="A520" s="141"/>
      <c r="B520" s="141"/>
      <c r="C520" s="141"/>
      <c r="D520" s="141"/>
      <c r="E520" s="141"/>
      <c r="F520" s="141"/>
      <c r="G520" s="48"/>
      <c r="H520" s="141"/>
      <c r="I520" s="141"/>
      <c r="J520" s="220"/>
      <c r="K520" s="220"/>
      <c r="L520" s="220"/>
      <c r="M520" s="220"/>
      <c r="N520" s="220"/>
      <c r="O520" s="382"/>
      <c r="P520" s="141"/>
      <c r="Q520" s="141"/>
      <c r="R520" s="141"/>
      <c r="S520" s="141"/>
      <c r="T520" s="141"/>
      <c r="U520" s="57"/>
      <c r="V520" s="57"/>
      <c r="W520" s="57"/>
      <c r="X520" s="57"/>
      <c r="Y520" s="57"/>
      <c r="Z520" s="57"/>
      <c r="AA520" s="57"/>
      <c r="AB520" s="57"/>
    </row>
    <row r="521">
      <c r="A521" s="141"/>
      <c r="B521" s="141"/>
      <c r="C521" s="141"/>
      <c r="D521" s="141"/>
      <c r="E521" s="141"/>
      <c r="F521" s="141"/>
      <c r="G521" s="48"/>
      <c r="H521" s="141"/>
      <c r="I521" s="141"/>
      <c r="J521" s="220"/>
      <c r="K521" s="220"/>
      <c r="L521" s="220"/>
      <c r="M521" s="220"/>
      <c r="N521" s="220"/>
      <c r="O521" s="382"/>
      <c r="P521" s="141"/>
      <c r="Q521" s="141"/>
      <c r="R521" s="141"/>
      <c r="S521" s="141"/>
      <c r="T521" s="141"/>
      <c r="U521" s="57"/>
      <c r="V521" s="57"/>
      <c r="W521" s="57"/>
      <c r="X521" s="57"/>
      <c r="Y521" s="57"/>
      <c r="Z521" s="57"/>
      <c r="AA521" s="57"/>
      <c r="AB521" s="57"/>
    </row>
    <row r="522">
      <c r="A522" s="141"/>
      <c r="B522" s="141"/>
      <c r="C522" s="141"/>
      <c r="D522" s="141"/>
      <c r="E522" s="141"/>
      <c r="F522" s="141"/>
      <c r="G522" s="48"/>
      <c r="H522" s="141"/>
      <c r="I522" s="141"/>
      <c r="J522" s="220"/>
      <c r="K522" s="220"/>
      <c r="L522" s="220"/>
      <c r="M522" s="220"/>
      <c r="N522" s="220"/>
      <c r="O522" s="382"/>
      <c r="P522" s="141"/>
      <c r="Q522" s="141"/>
      <c r="R522" s="141"/>
      <c r="S522" s="141"/>
      <c r="T522" s="141"/>
      <c r="U522" s="57"/>
      <c r="V522" s="57"/>
      <c r="W522" s="57"/>
      <c r="X522" s="57"/>
      <c r="Y522" s="57"/>
      <c r="Z522" s="57"/>
      <c r="AA522" s="57"/>
      <c r="AB522" s="57"/>
    </row>
    <row r="523">
      <c r="A523" s="141"/>
      <c r="B523" s="141"/>
      <c r="C523" s="141"/>
      <c r="D523" s="141"/>
      <c r="E523" s="141"/>
      <c r="F523" s="141"/>
      <c r="G523" s="48"/>
      <c r="H523" s="141"/>
      <c r="I523" s="141"/>
      <c r="J523" s="220"/>
      <c r="K523" s="220"/>
      <c r="L523" s="220"/>
      <c r="M523" s="220"/>
      <c r="N523" s="220"/>
      <c r="O523" s="382"/>
      <c r="P523" s="141"/>
      <c r="Q523" s="141"/>
      <c r="R523" s="141"/>
      <c r="S523" s="141"/>
      <c r="T523" s="141"/>
      <c r="U523" s="57"/>
      <c r="V523" s="57"/>
      <c r="W523" s="57"/>
      <c r="X523" s="57"/>
      <c r="Y523" s="57"/>
      <c r="Z523" s="57"/>
      <c r="AA523" s="57"/>
      <c r="AB523" s="57"/>
    </row>
    <row r="524">
      <c r="A524" s="141"/>
      <c r="B524" s="141"/>
      <c r="C524" s="141"/>
      <c r="D524" s="141"/>
      <c r="E524" s="141"/>
      <c r="F524" s="141"/>
      <c r="G524" s="48"/>
      <c r="H524" s="141"/>
      <c r="I524" s="141"/>
      <c r="J524" s="220"/>
      <c r="K524" s="220"/>
      <c r="L524" s="220"/>
      <c r="M524" s="220"/>
      <c r="N524" s="220"/>
      <c r="O524" s="382"/>
      <c r="P524" s="141"/>
      <c r="Q524" s="141"/>
      <c r="R524" s="141"/>
      <c r="S524" s="141"/>
      <c r="T524" s="141"/>
      <c r="U524" s="57"/>
      <c r="V524" s="57"/>
      <c r="W524" s="57"/>
      <c r="X524" s="57"/>
      <c r="Y524" s="57"/>
      <c r="Z524" s="57"/>
      <c r="AA524" s="57"/>
      <c r="AB524" s="57"/>
    </row>
    <row r="525">
      <c r="A525" s="141"/>
      <c r="B525" s="141"/>
      <c r="C525" s="141"/>
      <c r="D525" s="141"/>
      <c r="E525" s="141"/>
      <c r="F525" s="141"/>
      <c r="G525" s="48"/>
      <c r="H525" s="141"/>
      <c r="I525" s="141"/>
      <c r="J525" s="220"/>
      <c r="K525" s="220"/>
      <c r="L525" s="220"/>
      <c r="M525" s="220"/>
      <c r="N525" s="220"/>
      <c r="O525" s="382"/>
      <c r="P525" s="141"/>
      <c r="Q525" s="141"/>
      <c r="R525" s="141"/>
      <c r="S525" s="141"/>
      <c r="T525" s="141"/>
      <c r="U525" s="57"/>
      <c r="V525" s="57"/>
      <c r="W525" s="57"/>
      <c r="X525" s="57"/>
      <c r="Y525" s="57"/>
      <c r="Z525" s="57"/>
      <c r="AA525" s="57"/>
      <c r="AB525" s="57"/>
    </row>
    <row r="526">
      <c r="A526" s="141"/>
      <c r="B526" s="141"/>
      <c r="C526" s="141"/>
      <c r="D526" s="141"/>
      <c r="E526" s="141"/>
      <c r="F526" s="141"/>
      <c r="G526" s="48"/>
      <c r="H526" s="141"/>
      <c r="I526" s="141"/>
      <c r="J526" s="220"/>
      <c r="K526" s="220"/>
      <c r="L526" s="220"/>
      <c r="M526" s="220"/>
      <c r="N526" s="220"/>
      <c r="O526" s="382"/>
      <c r="P526" s="141"/>
      <c r="Q526" s="141"/>
      <c r="R526" s="141"/>
      <c r="S526" s="141"/>
      <c r="T526" s="141"/>
      <c r="U526" s="57"/>
      <c r="V526" s="57"/>
      <c r="W526" s="57"/>
      <c r="X526" s="57"/>
      <c r="Y526" s="57"/>
      <c r="Z526" s="57"/>
      <c r="AA526" s="57"/>
      <c r="AB526" s="57"/>
    </row>
    <row r="527">
      <c r="A527" s="141"/>
      <c r="B527" s="141"/>
      <c r="C527" s="141"/>
      <c r="D527" s="141"/>
      <c r="E527" s="141"/>
      <c r="F527" s="141"/>
      <c r="G527" s="48"/>
      <c r="H527" s="141"/>
      <c r="I527" s="141"/>
      <c r="J527" s="220"/>
      <c r="K527" s="220"/>
      <c r="L527" s="220"/>
      <c r="M527" s="220"/>
      <c r="N527" s="220"/>
      <c r="O527" s="382"/>
      <c r="P527" s="141"/>
      <c r="Q527" s="141"/>
      <c r="R527" s="141"/>
      <c r="S527" s="141"/>
      <c r="T527" s="141"/>
      <c r="U527" s="57"/>
      <c r="V527" s="57"/>
      <c r="W527" s="57"/>
      <c r="X527" s="57"/>
      <c r="Y527" s="57"/>
      <c r="Z527" s="57"/>
      <c r="AA527" s="57"/>
      <c r="AB527" s="57"/>
    </row>
    <row r="528">
      <c r="A528" s="141"/>
      <c r="B528" s="141"/>
      <c r="C528" s="141"/>
      <c r="D528" s="141"/>
      <c r="E528" s="141"/>
      <c r="F528" s="141"/>
      <c r="G528" s="48"/>
      <c r="H528" s="141"/>
      <c r="I528" s="141"/>
      <c r="J528" s="220"/>
      <c r="K528" s="220"/>
      <c r="L528" s="220"/>
      <c r="M528" s="220"/>
      <c r="N528" s="220"/>
      <c r="O528" s="382"/>
      <c r="P528" s="141"/>
      <c r="Q528" s="141"/>
      <c r="R528" s="141"/>
      <c r="S528" s="141"/>
      <c r="T528" s="141"/>
      <c r="U528" s="57"/>
      <c r="V528" s="57"/>
      <c r="W528" s="57"/>
      <c r="X528" s="57"/>
      <c r="Y528" s="57"/>
      <c r="Z528" s="57"/>
      <c r="AA528" s="57"/>
      <c r="AB528" s="57"/>
    </row>
    <row r="529">
      <c r="A529" s="141"/>
      <c r="B529" s="141"/>
      <c r="C529" s="141"/>
      <c r="D529" s="141"/>
      <c r="E529" s="141"/>
      <c r="F529" s="141"/>
      <c r="G529" s="48"/>
      <c r="H529" s="141"/>
      <c r="I529" s="141"/>
      <c r="J529" s="220"/>
      <c r="K529" s="220"/>
      <c r="L529" s="220"/>
      <c r="M529" s="220"/>
      <c r="N529" s="220"/>
      <c r="O529" s="382"/>
      <c r="P529" s="141"/>
      <c r="Q529" s="141"/>
      <c r="R529" s="141"/>
      <c r="S529" s="141"/>
      <c r="T529" s="141"/>
      <c r="U529" s="57"/>
      <c r="V529" s="57"/>
      <c r="W529" s="57"/>
      <c r="X529" s="57"/>
      <c r="Y529" s="57"/>
      <c r="Z529" s="57"/>
      <c r="AA529" s="57"/>
      <c r="AB529" s="57"/>
    </row>
    <row r="530">
      <c r="A530" s="141"/>
      <c r="B530" s="141"/>
      <c r="C530" s="141"/>
      <c r="D530" s="141"/>
      <c r="E530" s="141"/>
      <c r="F530" s="141"/>
      <c r="G530" s="48"/>
      <c r="H530" s="141"/>
      <c r="I530" s="141"/>
      <c r="J530" s="220"/>
      <c r="K530" s="220"/>
      <c r="L530" s="220"/>
      <c r="M530" s="220"/>
      <c r="N530" s="220"/>
      <c r="O530" s="382"/>
      <c r="P530" s="141"/>
      <c r="Q530" s="141"/>
      <c r="R530" s="141"/>
      <c r="S530" s="141"/>
      <c r="T530" s="141"/>
      <c r="U530" s="57"/>
      <c r="V530" s="57"/>
      <c r="W530" s="57"/>
      <c r="X530" s="57"/>
      <c r="Y530" s="57"/>
      <c r="Z530" s="57"/>
      <c r="AA530" s="57"/>
      <c r="AB530" s="57"/>
    </row>
    <row r="531">
      <c r="A531" s="141"/>
      <c r="B531" s="141"/>
      <c r="C531" s="141"/>
      <c r="D531" s="141"/>
      <c r="E531" s="141"/>
      <c r="F531" s="141"/>
      <c r="G531" s="48"/>
      <c r="H531" s="141"/>
      <c r="I531" s="141"/>
      <c r="J531" s="220"/>
      <c r="K531" s="220"/>
      <c r="L531" s="220"/>
      <c r="M531" s="220"/>
      <c r="N531" s="220"/>
      <c r="O531" s="382"/>
      <c r="P531" s="141"/>
      <c r="Q531" s="141"/>
      <c r="R531" s="141"/>
      <c r="S531" s="141"/>
      <c r="T531" s="141"/>
      <c r="U531" s="57"/>
      <c r="V531" s="57"/>
      <c r="W531" s="57"/>
      <c r="X531" s="57"/>
      <c r="Y531" s="57"/>
      <c r="Z531" s="57"/>
      <c r="AA531" s="57"/>
      <c r="AB531" s="57"/>
    </row>
    <row r="532">
      <c r="A532" s="141"/>
      <c r="B532" s="141"/>
      <c r="C532" s="141"/>
      <c r="D532" s="141"/>
      <c r="E532" s="141"/>
      <c r="F532" s="141"/>
      <c r="G532" s="48"/>
      <c r="H532" s="141"/>
      <c r="I532" s="141"/>
      <c r="J532" s="220"/>
      <c r="K532" s="220"/>
      <c r="L532" s="220"/>
      <c r="M532" s="220"/>
      <c r="N532" s="220"/>
      <c r="O532" s="382"/>
      <c r="P532" s="141"/>
      <c r="Q532" s="141"/>
      <c r="R532" s="141"/>
      <c r="S532" s="141"/>
      <c r="T532" s="141"/>
      <c r="U532" s="57"/>
      <c r="V532" s="57"/>
      <c r="W532" s="57"/>
      <c r="X532" s="57"/>
      <c r="Y532" s="57"/>
      <c r="Z532" s="57"/>
      <c r="AA532" s="57"/>
      <c r="AB532" s="57"/>
    </row>
    <row r="533">
      <c r="A533" s="141"/>
      <c r="B533" s="141"/>
      <c r="C533" s="141"/>
      <c r="D533" s="141"/>
      <c r="E533" s="141"/>
      <c r="F533" s="141"/>
      <c r="G533" s="48"/>
      <c r="H533" s="141"/>
      <c r="I533" s="141"/>
      <c r="J533" s="220"/>
      <c r="K533" s="220"/>
      <c r="L533" s="220"/>
      <c r="M533" s="220"/>
      <c r="N533" s="220"/>
      <c r="O533" s="382"/>
      <c r="P533" s="141"/>
      <c r="Q533" s="141"/>
      <c r="R533" s="141"/>
      <c r="S533" s="141"/>
      <c r="T533" s="141"/>
      <c r="U533" s="57"/>
      <c r="V533" s="57"/>
      <c r="W533" s="57"/>
      <c r="X533" s="57"/>
      <c r="Y533" s="57"/>
      <c r="Z533" s="57"/>
      <c r="AA533" s="57"/>
      <c r="AB533" s="57"/>
    </row>
    <row r="534">
      <c r="A534" s="141"/>
      <c r="B534" s="141"/>
      <c r="C534" s="141"/>
      <c r="D534" s="141"/>
      <c r="E534" s="141"/>
      <c r="F534" s="141"/>
      <c r="G534" s="48"/>
      <c r="H534" s="141"/>
      <c r="I534" s="141"/>
      <c r="J534" s="220"/>
      <c r="K534" s="220"/>
      <c r="L534" s="220"/>
      <c r="M534" s="220"/>
      <c r="N534" s="220"/>
      <c r="O534" s="382"/>
      <c r="P534" s="141"/>
      <c r="Q534" s="141"/>
      <c r="R534" s="141"/>
      <c r="S534" s="141"/>
      <c r="T534" s="141"/>
      <c r="U534" s="57"/>
      <c r="V534" s="57"/>
      <c r="W534" s="57"/>
      <c r="X534" s="57"/>
      <c r="Y534" s="57"/>
      <c r="Z534" s="57"/>
      <c r="AA534" s="57"/>
      <c r="AB534" s="57"/>
    </row>
    <row r="535">
      <c r="A535" s="141"/>
      <c r="B535" s="141"/>
      <c r="C535" s="141"/>
      <c r="D535" s="141"/>
      <c r="E535" s="141"/>
      <c r="F535" s="141"/>
      <c r="G535" s="48"/>
      <c r="H535" s="141"/>
      <c r="I535" s="141"/>
      <c r="J535" s="220"/>
      <c r="K535" s="220"/>
      <c r="L535" s="220"/>
      <c r="M535" s="220"/>
      <c r="N535" s="220"/>
      <c r="O535" s="382"/>
      <c r="P535" s="141"/>
      <c r="Q535" s="141"/>
      <c r="R535" s="141"/>
      <c r="S535" s="141"/>
      <c r="T535" s="141"/>
      <c r="U535" s="57"/>
      <c r="V535" s="57"/>
      <c r="W535" s="57"/>
      <c r="X535" s="57"/>
      <c r="Y535" s="57"/>
      <c r="Z535" s="57"/>
      <c r="AA535" s="57"/>
      <c r="AB535" s="57"/>
    </row>
    <row r="536">
      <c r="A536" s="141"/>
      <c r="B536" s="141"/>
      <c r="C536" s="141"/>
      <c r="D536" s="141"/>
      <c r="E536" s="141"/>
      <c r="F536" s="141"/>
      <c r="G536" s="48"/>
      <c r="H536" s="141"/>
      <c r="I536" s="141"/>
      <c r="J536" s="220"/>
      <c r="K536" s="220"/>
      <c r="L536" s="220"/>
      <c r="M536" s="220"/>
      <c r="N536" s="220"/>
      <c r="O536" s="382"/>
      <c r="P536" s="141"/>
      <c r="Q536" s="141"/>
      <c r="R536" s="141"/>
      <c r="S536" s="141"/>
      <c r="T536" s="141"/>
      <c r="U536" s="57"/>
      <c r="V536" s="57"/>
      <c r="W536" s="57"/>
      <c r="X536" s="57"/>
      <c r="Y536" s="57"/>
      <c r="Z536" s="57"/>
      <c r="AA536" s="57"/>
      <c r="AB536" s="57"/>
    </row>
    <row r="537">
      <c r="A537" s="141"/>
      <c r="B537" s="141"/>
      <c r="C537" s="141"/>
      <c r="D537" s="141"/>
      <c r="E537" s="141"/>
      <c r="F537" s="141"/>
      <c r="G537" s="48"/>
      <c r="H537" s="141"/>
      <c r="I537" s="141"/>
      <c r="J537" s="220"/>
      <c r="K537" s="220"/>
      <c r="L537" s="220"/>
      <c r="M537" s="220"/>
      <c r="N537" s="220"/>
      <c r="O537" s="382"/>
      <c r="P537" s="141"/>
      <c r="Q537" s="141"/>
      <c r="R537" s="141"/>
      <c r="S537" s="141"/>
      <c r="T537" s="141"/>
      <c r="U537" s="57"/>
      <c r="V537" s="57"/>
      <c r="W537" s="57"/>
      <c r="X537" s="57"/>
      <c r="Y537" s="57"/>
      <c r="Z537" s="57"/>
      <c r="AA537" s="57"/>
      <c r="AB537" s="57"/>
    </row>
    <row r="538">
      <c r="A538" s="141"/>
      <c r="B538" s="141"/>
      <c r="C538" s="141"/>
      <c r="D538" s="141"/>
      <c r="E538" s="141"/>
      <c r="F538" s="141"/>
      <c r="G538" s="48"/>
      <c r="H538" s="141"/>
      <c r="I538" s="141"/>
      <c r="J538" s="220"/>
      <c r="K538" s="220"/>
      <c r="L538" s="220"/>
      <c r="M538" s="220"/>
      <c r="N538" s="220"/>
      <c r="O538" s="382"/>
      <c r="P538" s="141"/>
      <c r="Q538" s="141"/>
      <c r="R538" s="141"/>
      <c r="S538" s="141"/>
      <c r="T538" s="141"/>
      <c r="U538" s="57"/>
      <c r="V538" s="57"/>
      <c r="W538" s="57"/>
      <c r="X538" s="57"/>
      <c r="Y538" s="57"/>
      <c r="Z538" s="57"/>
      <c r="AA538" s="57"/>
      <c r="AB538" s="57"/>
    </row>
    <row r="539">
      <c r="A539" s="141"/>
      <c r="B539" s="141"/>
      <c r="C539" s="141"/>
      <c r="D539" s="141"/>
      <c r="E539" s="141"/>
      <c r="F539" s="141"/>
      <c r="G539" s="48"/>
      <c r="H539" s="141"/>
      <c r="I539" s="141"/>
      <c r="J539" s="220"/>
      <c r="K539" s="220"/>
      <c r="L539" s="220"/>
      <c r="M539" s="220"/>
      <c r="N539" s="220"/>
      <c r="O539" s="382"/>
      <c r="P539" s="141"/>
      <c r="Q539" s="141"/>
      <c r="R539" s="141"/>
      <c r="S539" s="141"/>
      <c r="T539" s="141"/>
      <c r="U539" s="57"/>
      <c r="V539" s="57"/>
      <c r="W539" s="57"/>
      <c r="X539" s="57"/>
      <c r="Y539" s="57"/>
      <c r="Z539" s="57"/>
      <c r="AA539" s="57"/>
      <c r="AB539" s="57"/>
    </row>
    <row r="540">
      <c r="A540" s="141"/>
      <c r="B540" s="141"/>
      <c r="C540" s="141"/>
      <c r="D540" s="141"/>
      <c r="E540" s="141"/>
      <c r="F540" s="141"/>
      <c r="G540" s="48"/>
      <c r="H540" s="141"/>
      <c r="I540" s="141"/>
      <c r="J540" s="220"/>
      <c r="K540" s="220"/>
      <c r="L540" s="220"/>
      <c r="M540" s="220"/>
      <c r="N540" s="220"/>
      <c r="O540" s="382"/>
      <c r="P540" s="141"/>
      <c r="Q540" s="141"/>
      <c r="R540" s="141"/>
      <c r="S540" s="141"/>
      <c r="T540" s="141"/>
      <c r="U540" s="57"/>
      <c r="V540" s="57"/>
      <c r="W540" s="57"/>
      <c r="X540" s="57"/>
      <c r="Y540" s="57"/>
      <c r="Z540" s="57"/>
      <c r="AA540" s="57"/>
      <c r="AB540" s="57"/>
    </row>
    <row r="541">
      <c r="A541" s="141"/>
      <c r="B541" s="141"/>
      <c r="C541" s="141"/>
      <c r="D541" s="141"/>
      <c r="E541" s="141"/>
      <c r="F541" s="141"/>
      <c r="G541" s="48"/>
      <c r="H541" s="141"/>
      <c r="I541" s="141"/>
      <c r="J541" s="220"/>
      <c r="K541" s="220"/>
      <c r="L541" s="220"/>
      <c r="M541" s="220"/>
      <c r="N541" s="220"/>
      <c r="O541" s="382"/>
      <c r="P541" s="141"/>
      <c r="Q541" s="141"/>
      <c r="R541" s="141"/>
      <c r="S541" s="141"/>
      <c r="T541" s="141"/>
      <c r="U541" s="57"/>
      <c r="V541" s="57"/>
      <c r="W541" s="57"/>
      <c r="X541" s="57"/>
      <c r="Y541" s="57"/>
      <c r="Z541" s="57"/>
      <c r="AA541" s="57"/>
      <c r="AB541" s="57"/>
    </row>
    <row r="542">
      <c r="A542" s="141"/>
      <c r="B542" s="141"/>
      <c r="C542" s="141"/>
      <c r="D542" s="141"/>
      <c r="E542" s="141"/>
      <c r="F542" s="141"/>
      <c r="G542" s="48"/>
      <c r="H542" s="141"/>
      <c r="I542" s="141"/>
      <c r="J542" s="220"/>
      <c r="K542" s="220"/>
      <c r="L542" s="220"/>
      <c r="M542" s="220"/>
      <c r="N542" s="220"/>
      <c r="O542" s="382"/>
      <c r="P542" s="141"/>
      <c r="Q542" s="141"/>
      <c r="R542" s="141"/>
      <c r="S542" s="141"/>
      <c r="T542" s="141"/>
      <c r="U542" s="57"/>
      <c r="V542" s="57"/>
      <c r="W542" s="57"/>
      <c r="X542" s="57"/>
      <c r="Y542" s="57"/>
      <c r="Z542" s="57"/>
      <c r="AA542" s="57"/>
      <c r="AB542" s="57"/>
    </row>
    <row r="543">
      <c r="A543" s="141"/>
      <c r="B543" s="141"/>
      <c r="C543" s="141"/>
      <c r="D543" s="141"/>
      <c r="E543" s="141"/>
      <c r="F543" s="141"/>
      <c r="G543" s="48"/>
      <c r="H543" s="141"/>
      <c r="I543" s="141"/>
      <c r="J543" s="220"/>
      <c r="K543" s="220"/>
      <c r="L543" s="220"/>
      <c r="M543" s="220"/>
      <c r="N543" s="220"/>
      <c r="O543" s="382"/>
      <c r="P543" s="141"/>
      <c r="Q543" s="141"/>
      <c r="R543" s="141"/>
      <c r="S543" s="141"/>
      <c r="T543" s="141"/>
      <c r="U543" s="57"/>
      <c r="V543" s="57"/>
      <c r="W543" s="57"/>
      <c r="X543" s="57"/>
      <c r="Y543" s="57"/>
      <c r="Z543" s="57"/>
      <c r="AA543" s="57"/>
      <c r="AB543" s="57"/>
    </row>
    <row r="544">
      <c r="A544" s="141"/>
      <c r="B544" s="141"/>
      <c r="C544" s="141"/>
      <c r="D544" s="141"/>
      <c r="E544" s="141"/>
      <c r="F544" s="141"/>
      <c r="G544" s="48"/>
      <c r="H544" s="141"/>
      <c r="I544" s="141"/>
      <c r="J544" s="220"/>
      <c r="K544" s="220"/>
      <c r="L544" s="220"/>
      <c r="M544" s="220"/>
      <c r="N544" s="220"/>
      <c r="O544" s="382"/>
      <c r="P544" s="141"/>
      <c r="Q544" s="141"/>
      <c r="R544" s="141"/>
      <c r="S544" s="141"/>
      <c r="T544" s="141"/>
      <c r="U544" s="57"/>
      <c r="V544" s="57"/>
      <c r="W544" s="57"/>
      <c r="X544" s="57"/>
      <c r="Y544" s="57"/>
      <c r="Z544" s="57"/>
      <c r="AA544" s="57"/>
      <c r="AB544" s="57"/>
    </row>
    <row r="545">
      <c r="A545" s="141"/>
      <c r="B545" s="141"/>
      <c r="C545" s="141"/>
      <c r="D545" s="141"/>
      <c r="E545" s="141"/>
      <c r="F545" s="141"/>
      <c r="G545" s="48"/>
      <c r="H545" s="141"/>
      <c r="I545" s="141"/>
      <c r="J545" s="220"/>
      <c r="K545" s="220"/>
      <c r="L545" s="220"/>
      <c r="M545" s="220"/>
      <c r="N545" s="220"/>
      <c r="O545" s="382"/>
      <c r="P545" s="141"/>
      <c r="Q545" s="141"/>
      <c r="R545" s="141"/>
      <c r="S545" s="141"/>
      <c r="T545" s="141"/>
      <c r="U545" s="57"/>
      <c r="V545" s="57"/>
      <c r="W545" s="57"/>
      <c r="X545" s="57"/>
      <c r="Y545" s="57"/>
      <c r="Z545" s="57"/>
      <c r="AA545" s="57"/>
      <c r="AB545" s="57"/>
    </row>
    <row r="546">
      <c r="A546" s="141"/>
      <c r="B546" s="141"/>
      <c r="C546" s="141"/>
      <c r="D546" s="141"/>
      <c r="E546" s="141"/>
      <c r="F546" s="141"/>
      <c r="G546" s="48"/>
      <c r="H546" s="141"/>
      <c r="I546" s="141"/>
      <c r="J546" s="220"/>
      <c r="K546" s="220"/>
      <c r="L546" s="220"/>
      <c r="M546" s="220"/>
      <c r="N546" s="220"/>
      <c r="O546" s="382"/>
      <c r="P546" s="141"/>
      <c r="Q546" s="141"/>
      <c r="R546" s="141"/>
      <c r="S546" s="141"/>
      <c r="T546" s="141"/>
      <c r="U546" s="57"/>
      <c r="V546" s="57"/>
      <c r="W546" s="57"/>
      <c r="X546" s="57"/>
      <c r="Y546" s="57"/>
      <c r="Z546" s="57"/>
      <c r="AA546" s="57"/>
      <c r="AB546" s="57"/>
    </row>
    <row r="547">
      <c r="A547" s="141"/>
      <c r="B547" s="141"/>
      <c r="C547" s="141"/>
      <c r="D547" s="141"/>
      <c r="E547" s="141"/>
      <c r="F547" s="141"/>
      <c r="G547" s="48"/>
      <c r="H547" s="141"/>
      <c r="I547" s="141"/>
      <c r="J547" s="220"/>
      <c r="K547" s="220"/>
      <c r="L547" s="220"/>
      <c r="M547" s="220"/>
      <c r="N547" s="220"/>
      <c r="O547" s="382"/>
      <c r="P547" s="141"/>
      <c r="Q547" s="141"/>
      <c r="R547" s="141"/>
      <c r="S547" s="141"/>
      <c r="T547" s="141"/>
      <c r="U547" s="57"/>
      <c r="V547" s="57"/>
      <c r="W547" s="57"/>
      <c r="X547" s="57"/>
      <c r="Y547" s="57"/>
      <c r="Z547" s="57"/>
      <c r="AA547" s="57"/>
      <c r="AB547" s="57"/>
    </row>
    <row r="548">
      <c r="A548" s="141"/>
      <c r="B548" s="141"/>
      <c r="C548" s="141"/>
      <c r="D548" s="141"/>
      <c r="E548" s="141"/>
      <c r="F548" s="141"/>
      <c r="G548" s="48"/>
      <c r="H548" s="141"/>
      <c r="I548" s="141"/>
      <c r="J548" s="220"/>
      <c r="K548" s="220"/>
      <c r="L548" s="220"/>
      <c r="M548" s="220"/>
      <c r="N548" s="220"/>
      <c r="O548" s="382"/>
      <c r="P548" s="141"/>
      <c r="Q548" s="141"/>
      <c r="R548" s="141"/>
      <c r="S548" s="141"/>
      <c r="T548" s="141"/>
      <c r="U548" s="57"/>
      <c r="V548" s="57"/>
      <c r="W548" s="57"/>
      <c r="X548" s="57"/>
      <c r="Y548" s="57"/>
      <c r="Z548" s="57"/>
      <c r="AA548" s="57"/>
      <c r="AB548" s="57"/>
    </row>
    <row r="549">
      <c r="A549" s="141"/>
      <c r="B549" s="141"/>
      <c r="C549" s="141"/>
      <c r="D549" s="141"/>
      <c r="E549" s="141"/>
      <c r="F549" s="141"/>
      <c r="G549" s="48"/>
      <c r="H549" s="141"/>
      <c r="I549" s="141"/>
      <c r="J549" s="220"/>
      <c r="K549" s="220"/>
      <c r="L549" s="220"/>
      <c r="M549" s="220"/>
      <c r="N549" s="220"/>
      <c r="O549" s="382"/>
      <c r="P549" s="141"/>
      <c r="Q549" s="141"/>
      <c r="R549" s="141"/>
      <c r="S549" s="141"/>
      <c r="T549" s="141"/>
      <c r="U549" s="57"/>
      <c r="V549" s="57"/>
      <c r="W549" s="57"/>
      <c r="X549" s="57"/>
      <c r="Y549" s="57"/>
      <c r="Z549" s="57"/>
      <c r="AA549" s="57"/>
      <c r="AB549" s="57"/>
    </row>
    <row r="550">
      <c r="A550" s="141"/>
      <c r="B550" s="141"/>
      <c r="C550" s="141"/>
      <c r="D550" s="141"/>
      <c r="E550" s="141"/>
      <c r="F550" s="141"/>
      <c r="G550" s="48"/>
      <c r="H550" s="141"/>
      <c r="I550" s="141"/>
      <c r="J550" s="220"/>
      <c r="K550" s="220"/>
      <c r="L550" s="220"/>
      <c r="M550" s="220"/>
      <c r="N550" s="220"/>
      <c r="O550" s="382"/>
      <c r="P550" s="141"/>
      <c r="Q550" s="141"/>
      <c r="R550" s="141"/>
      <c r="S550" s="141"/>
      <c r="T550" s="141"/>
      <c r="U550" s="57"/>
      <c r="V550" s="57"/>
      <c r="W550" s="57"/>
      <c r="X550" s="57"/>
      <c r="Y550" s="57"/>
      <c r="Z550" s="57"/>
      <c r="AA550" s="57"/>
      <c r="AB550" s="57"/>
    </row>
    <row r="551">
      <c r="A551" s="141"/>
      <c r="B551" s="141"/>
      <c r="C551" s="141"/>
      <c r="D551" s="141"/>
      <c r="E551" s="141"/>
      <c r="F551" s="141"/>
      <c r="G551" s="48"/>
      <c r="H551" s="141"/>
      <c r="I551" s="141"/>
      <c r="J551" s="220"/>
      <c r="K551" s="220"/>
      <c r="L551" s="220"/>
      <c r="M551" s="220"/>
      <c r="N551" s="220"/>
      <c r="O551" s="382"/>
      <c r="P551" s="141"/>
      <c r="Q551" s="141"/>
      <c r="R551" s="141"/>
      <c r="S551" s="141"/>
      <c r="T551" s="141"/>
      <c r="U551" s="57"/>
      <c r="V551" s="57"/>
      <c r="W551" s="57"/>
      <c r="X551" s="57"/>
      <c r="Y551" s="57"/>
      <c r="Z551" s="57"/>
      <c r="AA551" s="57"/>
      <c r="AB551" s="57"/>
    </row>
    <row r="552">
      <c r="A552" s="141"/>
      <c r="B552" s="141"/>
      <c r="C552" s="141"/>
      <c r="D552" s="141"/>
      <c r="E552" s="141"/>
      <c r="F552" s="141"/>
      <c r="G552" s="48"/>
      <c r="H552" s="141"/>
      <c r="I552" s="141"/>
      <c r="J552" s="220"/>
      <c r="K552" s="220"/>
      <c r="L552" s="220"/>
      <c r="M552" s="220"/>
      <c r="N552" s="220"/>
      <c r="O552" s="382"/>
      <c r="P552" s="141"/>
      <c r="Q552" s="141"/>
      <c r="R552" s="141"/>
      <c r="S552" s="141"/>
      <c r="T552" s="141"/>
      <c r="U552" s="57"/>
      <c r="V552" s="57"/>
      <c r="W552" s="57"/>
      <c r="X552" s="57"/>
      <c r="Y552" s="57"/>
      <c r="Z552" s="57"/>
      <c r="AA552" s="57"/>
      <c r="AB552" s="57"/>
    </row>
    <row r="553">
      <c r="A553" s="141"/>
      <c r="B553" s="141"/>
      <c r="C553" s="141"/>
      <c r="D553" s="141"/>
      <c r="E553" s="141"/>
      <c r="F553" s="141"/>
      <c r="G553" s="48"/>
      <c r="H553" s="141"/>
      <c r="I553" s="141"/>
      <c r="J553" s="220"/>
      <c r="K553" s="220"/>
      <c r="L553" s="220"/>
      <c r="M553" s="220"/>
      <c r="N553" s="220"/>
      <c r="O553" s="382"/>
      <c r="P553" s="141"/>
      <c r="Q553" s="141"/>
      <c r="R553" s="141"/>
      <c r="S553" s="141"/>
      <c r="T553" s="141"/>
      <c r="U553" s="57"/>
      <c r="V553" s="57"/>
      <c r="W553" s="57"/>
      <c r="X553" s="57"/>
      <c r="Y553" s="57"/>
      <c r="Z553" s="57"/>
      <c r="AA553" s="57"/>
      <c r="AB553" s="57"/>
    </row>
    <row r="554">
      <c r="A554" s="141"/>
      <c r="B554" s="141"/>
      <c r="C554" s="141"/>
      <c r="D554" s="141"/>
      <c r="E554" s="141"/>
      <c r="F554" s="141"/>
      <c r="G554" s="48"/>
      <c r="H554" s="141"/>
      <c r="I554" s="141"/>
      <c r="J554" s="220"/>
      <c r="K554" s="220"/>
      <c r="L554" s="220"/>
      <c r="M554" s="220"/>
      <c r="N554" s="220"/>
      <c r="O554" s="382"/>
      <c r="P554" s="141"/>
      <c r="Q554" s="141"/>
      <c r="R554" s="141"/>
      <c r="S554" s="141"/>
      <c r="T554" s="141"/>
      <c r="U554" s="57"/>
      <c r="V554" s="57"/>
      <c r="W554" s="57"/>
      <c r="X554" s="57"/>
      <c r="Y554" s="57"/>
      <c r="Z554" s="57"/>
      <c r="AA554" s="57"/>
      <c r="AB554" s="57"/>
    </row>
    <row r="555">
      <c r="A555" s="141"/>
      <c r="B555" s="141"/>
      <c r="C555" s="141"/>
      <c r="D555" s="141"/>
      <c r="E555" s="141"/>
      <c r="F555" s="141"/>
      <c r="G555" s="48"/>
      <c r="H555" s="141"/>
      <c r="I555" s="141"/>
      <c r="J555" s="220"/>
      <c r="K555" s="220"/>
      <c r="L555" s="220"/>
      <c r="M555" s="220"/>
      <c r="N555" s="220"/>
      <c r="O555" s="382"/>
      <c r="P555" s="141"/>
      <c r="Q555" s="141"/>
      <c r="R555" s="141"/>
      <c r="S555" s="141"/>
      <c r="T555" s="141"/>
      <c r="U555" s="57"/>
      <c r="V555" s="57"/>
      <c r="W555" s="57"/>
      <c r="X555" s="57"/>
      <c r="Y555" s="57"/>
      <c r="Z555" s="57"/>
      <c r="AA555" s="57"/>
      <c r="AB555" s="57"/>
    </row>
    <row r="556">
      <c r="A556" s="141"/>
      <c r="B556" s="141"/>
      <c r="C556" s="141"/>
      <c r="D556" s="141"/>
      <c r="E556" s="141"/>
      <c r="F556" s="141"/>
      <c r="G556" s="48"/>
      <c r="H556" s="141"/>
      <c r="I556" s="141"/>
      <c r="J556" s="220"/>
      <c r="K556" s="220"/>
      <c r="L556" s="220"/>
      <c r="M556" s="220"/>
      <c r="N556" s="220"/>
      <c r="O556" s="382"/>
      <c r="P556" s="141"/>
      <c r="Q556" s="141"/>
      <c r="R556" s="141"/>
      <c r="S556" s="141"/>
      <c r="T556" s="141"/>
      <c r="U556" s="57"/>
      <c r="V556" s="57"/>
      <c r="W556" s="57"/>
      <c r="X556" s="57"/>
      <c r="Y556" s="57"/>
      <c r="Z556" s="57"/>
      <c r="AA556" s="57"/>
      <c r="AB556" s="57"/>
    </row>
    <row r="557">
      <c r="A557" s="141"/>
      <c r="B557" s="141"/>
      <c r="C557" s="141"/>
      <c r="D557" s="141"/>
      <c r="E557" s="141"/>
      <c r="F557" s="141"/>
      <c r="G557" s="48"/>
      <c r="H557" s="141"/>
      <c r="I557" s="141"/>
      <c r="J557" s="220"/>
      <c r="K557" s="220"/>
      <c r="L557" s="220"/>
      <c r="M557" s="220"/>
      <c r="N557" s="220"/>
      <c r="O557" s="382"/>
      <c r="P557" s="141"/>
      <c r="Q557" s="141"/>
      <c r="R557" s="141"/>
      <c r="S557" s="141"/>
      <c r="T557" s="141"/>
      <c r="U557" s="57"/>
      <c r="V557" s="57"/>
      <c r="W557" s="57"/>
      <c r="X557" s="57"/>
      <c r="Y557" s="57"/>
      <c r="Z557" s="57"/>
      <c r="AA557" s="57"/>
      <c r="AB557" s="57"/>
    </row>
    <row r="558">
      <c r="A558" s="141"/>
      <c r="B558" s="141"/>
      <c r="C558" s="141"/>
      <c r="D558" s="141"/>
      <c r="E558" s="141"/>
      <c r="F558" s="141"/>
      <c r="G558" s="48"/>
      <c r="H558" s="141"/>
      <c r="I558" s="141"/>
      <c r="J558" s="220"/>
      <c r="K558" s="220"/>
      <c r="L558" s="220"/>
      <c r="M558" s="220"/>
      <c r="N558" s="220"/>
      <c r="O558" s="382"/>
      <c r="P558" s="141"/>
      <c r="Q558" s="141"/>
      <c r="R558" s="141"/>
      <c r="S558" s="141"/>
      <c r="T558" s="141"/>
      <c r="U558" s="57"/>
      <c r="V558" s="57"/>
      <c r="W558" s="57"/>
      <c r="X558" s="57"/>
      <c r="Y558" s="57"/>
      <c r="Z558" s="57"/>
      <c r="AA558" s="57"/>
      <c r="AB558" s="57"/>
    </row>
    <row r="559">
      <c r="A559" s="141"/>
      <c r="B559" s="141"/>
      <c r="C559" s="141"/>
      <c r="D559" s="141"/>
      <c r="E559" s="141"/>
      <c r="F559" s="141"/>
      <c r="G559" s="48"/>
      <c r="H559" s="141"/>
      <c r="I559" s="141"/>
      <c r="J559" s="220"/>
      <c r="K559" s="220"/>
      <c r="L559" s="220"/>
      <c r="M559" s="220"/>
      <c r="N559" s="220"/>
      <c r="O559" s="382"/>
      <c r="P559" s="141"/>
      <c r="Q559" s="141"/>
      <c r="R559" s="141"/>
      <c r="S559" s="141"/>
      <c r="T559" s="141"/>
      <c r="U559" s="57"/>
      <c r="V559" s="57"/>
      <c r="W559" s="57"/>
      <c r="X559" s="57"/>
      <c r="Y559" s="57"/>
      <c r="Z559" s="57"/>
      <c r="AA559" s="57"/>
      <c r="AB559" s="57"/>
    </row>
    <row r="560">
      <c r="A560" s="141"/>
      <c r="B560" s="141"/>
      <c r="C560" s="141"/>
      <c r="D560" s="141"/>
      <c r="E560" s="141"/>
      <c r="F560" s="141"/>
      <c r="G560" s="48"/>
      <c r="H560" s="141"/>
      <c r="I560" s="141"/>
      <c r="J560" s="220"/>
      <c r="K560" s="220"/>
      <c r="L560" s="220"/>
      <c r="M560" s="220"/>
      <c r="N560" s="220"/>
      <c r="O560" s="382"/>
      <c r="P560" s="141"/>
      <c r="Q560" s="141"/>
      <c r="R560" s="141"/>
      <c r="S560" s="141"/>
      <c r="T560" s="141"/>
      <c r="U560" s="57"/>
      <c r="V560" s="57"/>
      <c r="W560" s="57"/>
      <c r="X560" s="57"/>
      <c r="Y560" s="57"/>
      <c r="Z560" s="57"/>
      <c r="AA560" s="57"/>
      <c r="AB560" s="57"/>
    </row>
    <row r="561">
      <c r="A561" s="141"/>
      <c r="B561" s="141"/>
      <c r="C561" s="141"/>
      <c r="D561" s="141"/>
      <c r="E561" s="141"/>
      <c r="F561" s="141"/>
      <c r="G561" s="48"/>
      <c r="H561" s="141"/>
      <c r="I561" s="141"/>
      <c r="J561" s="220"/>
      <c r="K561" s="220"/>
      <c r="L561" s="220"/>
      <c r="M561" s="220"/>
      <c r="N561" s="220"/>
      <c r="O561" s="382"/>
      <c r="P561" s="141"/>
      <c r="Q561" s="141"/>
      <c r="R561" s="141"/>
      <c r="S561" s="141"/>
      <c r="T561" s="141"/>
      <c r="U561" s="57"/>
      <c r="V561" s="57"/>
      <c r="W561" s="57"/>
      <c r="X561" s="57"/>
      <c r="Y561" s="57"/>
      <c r="Z561" s="57"/>
      <c r="AA561" s="57"/>
      <c r="AB561" s="57"/>
    </row>
    <row r="562">
      <c r="A562" s="141"/>
      <c r="B562" s="141"/>
      <c r="C562" s="141"/>
      <c r="D562" s="141"/>
      <c r="E562" s="141"/>
      <c r="F562" s="141"/>
      <c r="G562" s="48"/>
      <c r="H562" s="141"/>
      <c r="I562" s="141"/>
      <c r="J562" s="220"/>
      <c r="K562" s="220"/>
      <c r="L562" s="220"/>
      <c r="M562" s="220"/>
      <c r="N562" s="220"/>
      <c r="O562" s="382"/>
      <c r="P562" s="141"/>
      <c r="Q562" s="141"/>
      <c r="R562" s="141"/>
      <c r="S562" s="141"/>
      <c r="T562" s="141"/>
      <c r="U562" s="57"/>
      <c r="V562" s="57"/>
      <c r="W562" s="57"/>
      <c r="X562" s="57"/>
      <c r="Y562" s="57"/>
      <c r="Z562" s="57"/>
      <c r="AA562" s="57"/>
      <c r="AB562" s="57"/>
    </row>
    <row r="563">
      <c r="A563" s="141"/>
      <c r="B563" s="141"/>
      <c r="C563" s="141"/>
      <c r="D563" s="141"/>
      <c r="E563" s="141"/>
      <c r="F563" s="141"/>
      <c r="G563" s="48"/>
      <c r="H563" s="141"/>
      <c r="I563" s="141"/>
      <c r="J563" s="220"/>
      <c r="K563" s="220"/>
      <c r="L563" s="220"/>
      <c r="M563" s="220"/>
      <c r="N563" s="220"/>
      <c r="O563" s="382"/>
      <c r="P563" s="141"/>
      <c r="Q563" s="141"/>
      <c r="R563" s="141"/>
      <c r="S563" s="141"/>
      <c r="T563" s="141"/>
      <c r="U563" s="57"/>
      <c r="V563" s="57"/>
      <c r="W563" s="57"/>
      <c r="X563" s="57"/>
      <c r="Y563" s="57"/>
      <c r="Z563" s="57"/>
      <c r="AA563" s="57"/>
      <c r="AB563" s="57"/>
    </row>
    <row r="564">
      <c r="A564" s="141"/>
      <c r="B564" s="141"/>
      <c r="C564" s="141"/>
      <c r="D564" s="141"/>
      <c r="E564" s="141"/>
      <c r="F564" s="141"/>
      <c r="G564" s="48"/>
      <c r="H564" s="141"/>
      <c r="I564" s="141"/>
      <c r="J564" s="220"/>
      <c r="K564" s="220"/>
      <c r="L564" s="220"/>
      <c r="M564" s="220"/>
      <c r="N564" s="220"/>
      <c r="O564" s="382"/>
      <c r="P564" s="141"/>
      <c r="Q564" s="141"/>
      <c r="R564" s="141"/>
      <c r="S564" s="141"/>
      <c r="T564" s="141"/>
      <c r="U564" s="57"/>
      <c r="V564" s="57"/>
      <c r="W564" s="57"/>
      <c r="X564" s="57"/>
      <c r="Y564" s="57"/>
      <c r="Z564" s="57"/>
      <c r="AA564" s="57"/>
      <c r="AB564" s="57"/>
    </row>
    <row r="565">
      <c r="A565" s="141"/>
      <c r="B565" s="141"/>
      <c r="C565" s="141"/>
      <c r="D565" s="141"/>
      <c r="E565" s="141"/>
      <c r="F565" s="141"/>
      <c r="G565" s="48"/>
      <c r="H565" s="141"/>
      <c r="I565" s="141"/>
      <c r="J565" s="220"/>
      <c r="K565" s="220"/>
      <c r="L565" s="220"/>
      <c r="M565" s="220"/>
      <c r="N565" s="220"/>
      <c r="O565" s="382"/>
      <c r="P565" s="141"/>
      <c r="Q565" s="141"/>
      <c r="R565" s="141"/>
      <c r="S565" s="141"/>
      <c r="T565" s="141"/>
      <c r="U565" s="57"/>
      <c r="V565" s="57"/>
      <c r="W565" s="57"/>
      <c r="X565" s="57"/>
      <c r="Y565" s="57"/>
      <c r="Z565" s="57"/>
      <c r="AA565" s="57"/>
      <c r="AB565" s="57"/>
    </row>
    <row r="566">
      <c r="A566" s="141"/>
      <c r="B566" s="141"/>
      <c r="C566" s="141"/>
      <c r="D566" s="141"/>
      <c r="E566" s="141"/>
      <c r="F566" s="141"/>
      <c r="G566" s="48"/>
      <c r="H566" s="141"/>
      <c r="I566" s="141"/>
      <c r="J566" s="220"/>
      <c r="K566" s="220"/>
      <c r="L566" s="220"/>
      <c r="M566" s="220"/>
      <c r="N566" s="220"/>
      <c r="O566" s="382"/>
      <c r="P566" s="141"/>
      <c r="Q566" s="141"/>
      <c r="R566" s="141"/>
      <c r="S566" s="141"/>
      <c r="T566" s="141"/>
      <c r="U566" s="57"/>
      <c r="V566" s="57"/>
      <c r="W566" s="57"/>
      <c r="X566" s="57"/>
      <c r="Y566" s="57"/>
      <c r="Z566" s="57"/>
      <c r="AA566" s="57"/>
      <c r="AB566" s="57"/>
    </row>
    <row r="567">
      <c r="A567" s="141"/>
      <c r="B567" s="141"/>
      <c r="C567" s="141"/>
      <c r="D567" s="141"/>
      <c r="E567" s="141"/>
      <c r="F567" s="141"/>
      <c r="G567" s="48"/>
      <c r="H567" s="141"/>
      <c r="I567" s="141"/>
      <c r="J567" s="220"/>
      <c r="K567" s="220"/>
      <c r="L567" s="220"/>
      <c r="M567" s="220"/>
      <c r="N567" s="220"/>
      <c r="O567" s="382"/>
      <c r="P567" s="141"/>
      <c r="Q567" s="141"/>
      <c r="R567" s="141"/>
      <c r="S567" s="141"/>
      <c r="T567" s="141"/>
      <c r="U567" s="57"/>
      <c r="V567" s="57"/>
      <c r="W567" s="57"/>
      <c r="X567" s="57"/>
      <c r="Y567" s="57"/>
      <c r="Z567" s="57"/>
      <c r="AA567" s="57"/>
      <c r="AB567" s="57"/>
    </row>
    <row r="568">
      <c r="A568" s="141"/>
      <c r="B568" s="141"/>
      <c r="C568" s="141"/>
      <c r="D568" s="141"/>
      <c r="E568" s="141"/>
      <c r="F568" s="141"/>
      <c r="G568" s="48"/>
      <c r="H568" s="141"/>
      <c r="I568" s="141"/>
      <c r="J568" s="220"/>
      <c r="K568" s="220"/>
      <c r="L568" s="220"/>
      <c r="M568" s="220"/>
      <c r="N568" s="220"/>
      <c r="O568" s="382"/>
      <c r="P568" s="141"/>
      <c r="Q568" s="141"/>
      <c r="R568" s="141"/>
      <c r="S568" s="141"/>
      <c r="T568" s="141"/>
      <c r="U568" s="57"/>
      <c r="V568" s="57"/>
      <c r="W568" s="57"/>
      <c r="X568" s="57"/>
      <c r="Y568" s="57"/>
      <c r="Z568" s="57"/>
      <c r="AA568" s="57"/>
      <c r="AB568" s="57"/>
    </row>
    <row r="569">
      <c r="A569" s="141"/>
      <c r="B569" s="141"/>
      <c r="C569" s="141"/>
      <c r="D569" s="141"/>
      <c r="E569" s="141"/>
      <c r="F569" s="141"/>
      <c r="G569" s="48"/>
      <c r="H569" s="141"/>
      <c r="I569" s="141"/>
      <c r="J569" s="220"/>
      <c r="K569" s="220"/>
      <c r="L569" s="220"/>
      <c r="M569" s="220"/>
      <c r="N569" s="220"/>
      <c r="O569" s="382"/>
      <c r="P569" s="141"/>
      <c r="Q569" s="141"/>
      <c r="R569" s="141"/>
      <c r="S569" s="141"/>
      <c r="T569" s="141"/>
      <c r="U569" s="57"/>
      <c r="V569" s="57"/>
      <c r="W569" s="57"/>
      <c r="X569" s="57"/>
      <c r="Y569" s="57"/>
      <c r="Z569" s="57"/>
      <c r="AA569" s="57"/>
      <c r="AB569" s="57"/>
    </row>
    <row r="570">
      <c r="A570" s="141"/>
      <c r="B570" s="141"/>
      <c r="C570" s="141"/>
      <c r="D570" s="141"/>
      <c r="E570" s="141"/>
      <c r="F570" s="141"/>
      <c r="G570" s="48"/>
      <c r="H570" s="141"/>
      <c r="I570" s="141"/>
      <c r="J570" s="220"/>
      <c r="K570" s="220"/>
      <c r="L570" s="220"/>
      <c r="M570" s="220"/>
      <c r="N570" s="220"/>
      <c r="O570" s="382"/>
      <c r="P570" s="141"/>
      <c r="Q570" s="141"/>
      <c r="R570" s="141"/>
      <c r="S570" s="141"/>
      <c r="T570" s="141"/>
      <c r="U570" s="57"/>
      <c r="V570" s="57"/>
      <c r="W570" s="57"/>
      <c r="X570" s="57"/>
      <c r="Y570" s="57"/>
      <c r="Z570" s="57"/>
      <c r="AA570" s="57"/>
      <c r="AB570" s="57"/>
    </row>
    <row r="571">
      <c r="A571" s="141"/>
      <c r="B571" s="141"/>
      <c r="C571" s="141"/>
      <c r="D571" s="141"/>
      <c r="E571" s="141"/>
      <c r="F571" s="141"/>
      <c r="G571" s="48"/>
      <c r="H571" s="141"/>
      <c r="I571" s="141"/>
      <c r="J571" s="220"/>
      <c r="K571" s="220"/>
      <c r="L571" s="220"/>
      <c r="M571" s="220"/>
      <c r="N571" s="220"/>
      <c r="O571" s="382"/>
      <c r="P571" s="141"/>
      <c r="Q571" s="141"/>
      <c r="R571" s="141"/>
      <c r="S571" s="141"/>
      <c r="T571" s="141"/>
      <c r="U571" s="57"/>
      <c r="V571" s="57"/>
      <c r="W571" s="57"/>
      <c r="X571" s="57"/>
      <c r="Y571" s="57"/>
      <c r="Z571" s="57"/>
      <c r="AA571" s="57"/>
      <c r="AB571" s="57"/>
    </row>
    <row r="572">
      <c r="A572" s="141"/>
      <c r="B572" s="141"/>
      <c r="C572" s="141"/>
      <c r="D572" s="141"/>
      <c r="E572" s="141"/>
      <c r="F572" s="141"/>
      <c r="G572" s="48"/>
      <c r="H572" s="141"/>
      <c r="I572" s="141"/>
      <c r="J572" s="220"/>
      <c r="K572" s="220"/>
      <c r="L572" s="220"/>
      <c r="M572" s="220"/>
      <c r="N572" s="220"/>
      <c r="O572" s="382"/>
      <c r="P572" s="141"/>
      <c r="Q572" s="141"/>
      <c r="R572" s="141"/>
      <c r="S572" s="141"/>
      <c r="T572" s="141"/>
      <c r="U572" s="57"/>
      <c r="V572" s="57"/>
      <c r="W572" s="57"/>
      <c r="X572" s="57"/>
      <c r="Y572" s="57"/>
      <c r="Z572" s="57"/>
      <c r="AA572" s="57"/>
      <c r="AB572" s="57"/>
    </row>
    <row r="573">
      <c r="A573" s="141"/>
      <c r="B573" s="141"/>
      <c r="C573" s="141"/>
      <c r="D573" s="141"/>
      <c r="E573" s="141"/>
      <c r="F573" s="141"/>
      <c r="G573" s="48"/>
      <c r="H573" s="141"/>
      <c r="I573" s="141"/>
      <c r="J573" s="220"/>
      <c r="K573" s="220"/>
      <c r="L573" s="220"/>
      <c r="M573" s="220"/>
      <c r="N573" s="220"/>
      <c r="O573" s="382"/>
      <c r="P573" s="141"/>
      <c r="Q573" s="141"/>
      <c r="R573" s="141"/>
      <c r="S573" s="141"/>
      <c r="T573" s="141"/>
      <c r="U573" s="57"/>
      <c r="V573" s="57"/>
      <c r="W573" s="57"/>
      <c r="X573" s="57"/>
      <c r="Y573" s="57"/>
      <c r="Z573" s="57"/>
      <c r="AA573" s="57"/>
      <c r="AB573" s="57"/>
    </row>
    <row r="574">
      <c r="A574" s="141"/>
      <c r="B574" s="141"/>
      <c r="C574" s="141"/>
      <c r="D574" s="141"/>
      <c r="E574" s="141"/>
      <c r="F574" s="141"/>
      <c r="G574" s="48"/>
      <c r="H574" s="141"/>
      <c r="I574" s="141"/>
      <c r="J574" s="220"/>
      <c r="K574" s="220"/>
      <c r="L574" s="220"/>
      <c r="M574" s="220"/>
      <c r="N574" s="220"/>
      <c r="O574" s="382"/>
      <c r="P574" s="141"/>
      <c r="Q574" s="141"/>
      <c r="R574" s="141"/>
      <c r="S574" s="141"/>
      <c r="T574" s="141"/>
      <c r="U574" s="57"/>
      <c r="V574" s="57"/>
      <c r="W574" s="57"/>
      <c r="X574" s="57"/>
      <c r="Y574" s="57"/>
      <c r="Z574" s="57"/>
      <c r="AA574" s="57"/>
      <c r="AB574" s="57"/>
    </row>
    <row r="575">
      <c r="A575" s="141"/>
      <c r="B575" s="141"/>
      <c r="C575" s="141"/>
      <c r="D575" s="141"/>
      <c r="E575" s="141"/>
      <c r="F575" s="141"/>
      <c r="G575" s="48"/>
      <c r="H575" s="141"/>
      <c r="I575" s="141"/>
      <c r="J575" s="220"/>
      <c r="K575" s="220"/>
      <c r="L575" s="220"/>
      <c r="M575" s="220"/>
      <c r="N575" s="220"/>
      <c r="O575" s="382"/>
      <c r="P575" s="141"/>
      <c r="Q575" s="141"/>
      <c r="R575" s="141"/>
      <c r="S575" s="141"/>
      <c r="T575" s="141"/>
      <c r="U575" s="57"/>
      <c r="V575" s="57"/>
      <c r="W575" s="57"/>
      <c r="X575" s="57"/>
      <c r="Y575" s="57"/>
      <c r="Z575" s="57"/>
      <c r="AA575" s="57"/>
      <c r="AB575" s="57"/>
    </row>
    <row r="576">
      <c r="A576" s="141"/>
      <c r="B576" s="141"/>
      <c r="C576" s="141"/>
      <c r="D576" s="141"/>
      <c r="E576" s="141"/>
      <c r="F576" s="141"/>
      <c r="G576" s="48"/>
      <c r="H576" s="141"/>
      <c r="I576" s="141"/>
      <c r="J576" s="220"/>
      <c r="K576" s="220"/>
      <c r="L576" s="220"/>
      <c r="M576" s="220"/>
      <c r="N576" s="220"/>
      <c r="O576" s="382"/>
      <c r="P576" s="141"/>
      <c r="Q576" s="141"/>
      <c r="R576" s="141"/>
      <c r="S576" s="141"/>
      <c r="T576" s="141"/>
      <c r="U576" s="57"/>
      <c r="V576" s="57"/>
      <c r="W576" s="57"/>
      <c r="X576" s="57"/>
      <c r="Y576" s="57"/>
      <c r="Z576" s="57"/>
      <c r="AA576" s="57"/>
      <c r="AB576" s="57"/>
    </row>
    <row r="577">
      <c r="A577" s="141"/>
      <c r="B577" s="141"/>
      <c r="C577" s="141"/>
      <c r="D577" s="141"/>
      <c r="E577" s="141"/>
      <c r="F577" s="141"/>
      <c r="G577" s="48"/>
      <c r="H577" s="141"/>
      <c r="I577" s="141"/>
      <c r="J577" s="220"/>
      <c r="K577" s="220"/>
      <c r="L577" s="220"/>
      <c r="M577" s="220"/>
      <c r="N577" s="220"/>
      <c r="O577" s="382"/>
      <c r="P577" s="141"/>
      <c r="Q577" s="141"/>
      <c r="R577" s="141"/>
      <c r="S577" s="141"/>
      <c r="T577" s="141"/>
      <c r="U577" s="57"/>
      <c r="V577" s="57"/>
      <c r="W577" s="57"/>
      <c r="X577" s="57"/>
      <c r="Y577" s="57"/>
      <c r="Z577" s="57"/>
      <c r="AA577" s="57"/>
      <c r="AB577" s="57"/>
    </row>
    <row r="578">
      <c r="A578" s="141"/>
      <c r="B578" s="141"/>
      <c r="C578" s="141"/>
      <c r="D578" s="141"/>
      <c r="E578" s="141"/>
      <c r="F578" s="141"/>
      <c r="G578" s="48"/>
      <c r="H578" s="141"/>
      <c r="I578" s="141"/>
      <c r="J578" s="220"/>
      <c r="K578" s="220"/>
      <c r="L578" s="220"/>
      <c r="M578" s="220"/>
      <c r="N578" s="220"/>
      <c r="O578" s="382"/>
      <c r="P578" s="141"/>
      <c r="Q578" s="141"/>
      <c r="R578" s="141"/>
      <c r="S578" s="141"/>
      <c r="T578" s="141"/>
      <c r="U578" s="57"/>
      <c r="V578" s="57"/>
      <c r="W578" s="57"/>
      <c r="X578" s="57"/>
      <c r="Y578" s="57"/>
      <c r="Z578" s="57"/>
      <c r="AA578" s="57"/>
      <c r="AB578" s="57"/>
    </row>
    <row r="579">
      <c r="A579" s="141"/>
      <c r="B579" s="141"/>
      <c r="C579" s="141"/>
      <c r="D579" s="141"/>
      <c r="E579" s="141"/>
      <c r="F579" s="141"/>
      <c r="G579" s="48"/>
      <c r="H579" s="141"/>
      <c r="I579" s="141"/>
      <c r="J579" s="220"/>
      <c r="K579" s="220"/>
      <c r="L579" s="220"/>
      <c r="M579" s="220"/>
      <c r="N579" s="220"/>
      <c r="O579" s="382"/>
      <c r="P579" s="141"/>
      <c r="Q579" s="141"/>
      <c r="R579" s="141"/>
      <c r="S579" s="141"/>
      <c r="T579" s="141"/>
      <c r="U579" s="57"/>
      <c r="V579" s="57"/>
      <c r="W579" s="57"/>
      <c r="X579" s="57"/>
      <c r="Y579" s="57"/>
      <c r="Z579" s="57"/>
      <c r="AA579" s="57"/>
      <c r="AB579" s="57"/>
    </row>
    <row r="580">
      <c r="A580" s="141"/>
      <c r="B580" s="141"/>
      <c r="C580" s="141"/>
      <c r="D580" s="141"/>
      <c r="E580" s="141"/>
      <c r="F580" s="141"/>
      <c r="G580" s="48"/>
      <c r="H580" s="141"/>
      <c r="I580" s="141"/>
      <c r="J580" s="220"/>
      <c r="K580" s="220"/>
      <c r="L580" s="220"/>
      <c r="M580" s="220"/>
      <c r="N580" s="220"/>
      <c r="O580" s="382"/>
      <c r="P580" s="141"/>
      <c r="Q580" s="141"/>
      <c r="R580" s="141"/>
      <c r="S580" s="141"/>
      <c r="T580" s="141"/>
      <c r="U580" s="57"/>
      <c r="V580" s="57"/>
      <c r="W580" s="57"/>
      <c r="X580" s="57"/>
      <c r="Y580" s="57"/>
      <c r="Z580" s="57"/>
      <c r="AA580" s="57"/>
      <c r="AB580" s="57"/>
    </row>
    <row r="581">
      <c r="A581" s="141"/>
      <c r="B581" s="141"/>
      <c r="C581" s="141"/>
      <c r="D581" s="141"/>
      <c r="E581" s="141"/>
      <c r="F581" s="141"/>
      <c r="G581" s="48"/>
      <c r="H581" s="141"/>
      <c r="I581" s="141"/>
      <c r="J581" s="220"/>
      <c r="K581" s="220"/>
      <c r="L581" s="220"/>
      <c r="M581" s="220"/>
      <c r="N581" s="220"/>
      <c r="O581" s="382"/>
      <c r="P581" s="141"/>
      <c r="Q581" s="141"/>
      <c r="R581" s="141"/>
      <c r="S581" s="141"/>
      <c r="T581" s="141"/>
      <c r="U581" s="57"/>
      <c r="V581" s="57"/>
      <c r="W581" s="57"/>
      <c r="X581" s="57"/>
      <c r="Y581" s="57"/>
      <c r="Z581" s="57"/>
      <c r="AA581" s="57"/>
      <c r="AB581" s="57"/>
    </row>
    <row r="582">
      <c r="A582" s="141"/>
      <c r="B582" s="141"/>
      <c r="C582" s="141"/>
      <c r="D582" s="141"/>
      <c r="E582" s="141"/>
      <c r="F582" s="141"/>
      <c r="G582" s="48"/>
      <c r="H582" s="141"/>
      <c r="I582" s="141"/>
      <c r="J582" s="220"/>
      <c r="K582" s="220"/>
      <c r="L582" s="220"/>
      <c r="M582" s="220"/>
      <c r="N582" s="220"/>
      <c r="O582" s="382"/>
      <c r="P582" s="141"/>
      <c r="Q582" s="141"/>
      <c r="R582" s="141"/>
      <c r="S582" s="141"/>
      <c r="T582" s="141"/>
      <c r="U582" s="57"/>
      <c r="V582" s="57"/>
      <c r="W582" s="57"/>
      <c r="X582" s="57"/>
      <c r="Y582" s="57"/>
      <c r="Z582" s="57"/>
      <c r="AA582" s="57"/>
      <c r="AB582" s="57"/>
    </row>
    <row r="583">
      <c r="A583" s="141"/>
      <c r="B583" s="141"/>
      <c r="C583" s="141"/>
      <c r="D583" s="141"/>
      <c r="E583" s="141"/>
      <c r="F583" s="141"/>
      <c r="G583" s="48"/>
      <c r="H583" s="141"/>
      <c r="I583" s="141"/>
      <c r="J583" s="220"/>
      <c r="K583" s="220"/>
      <c r="L583" s="220"/>
      <c r="M583" s="220"/>
      <c r="N583" s="220"/>
      <c r="O583" s="382"/>
      <c r="P583" s="141"/>
      <c r="Q583" s="141"/>
      <c r="R583" s="141"/>
      <c r="S583" s="141"/>
      <c r="T583" s="141"/>
      <c r="U583" s="57"/>
      <c r="V583" s="57"/>
      <c r="W583" s="57"/>
      <c r="X583" s="57"/>
      <c r="Y583" s="57"/>
      <c r="Z583" s="57"/>
      <c r="AA583" s="57"/>
      <c r="AB583" s="57"/>
    </row>
    <row r="584">
      <c r="A584" s="141"/>
      <c r="B584" s="141"/>
      <c r="C584" s="141"/>
      <c r="D584" s="141"/>
      <c r="E584" s="141"/>
      <c r="F584" s="141"/>
      <c r="G584" s="48"/>
      <c r="H584" s="141"/>
      <c r="I584" s="141"/>
      <c r="J584" s="220"/>
      <c r="K584" s="220"/>
      <c r="L584" s="220"/>
      <c r="M584" s="220"/>
      <c r="N584" s="220"/>
      <c r="O584" s="382"/>
      <c r="P584" s="141"/>
      <c r="Q584" s="141"/>
      <c r="R584" s="141"/>
      <c r="S584" s="141"/>
      <c r="T584" s="141"/>
      <c r="U584" s="57"/>
      <c r="V584" s="57"/>
      <c r="W584" s="57"/>
      <c r="X584" s="57"/>
      <c r="Y584" s="57"/>
      <c r="Z584" s="57"/>
      <c r="AA584" s="57"/>
      <c r="AB584" s="57"/>
    </row>
    <row r="585">
      <c r="A585" s="141"/>
      <c r="B585" s="141"/>
      <c r="C585" s="141"/>
      <c r="D585" s="141"/>
      <c r="E585" s="141"/>
      <c r="F585" s="141"/>
      <c r="G585" s="48"/>
      <c r="H585" s="141"/>
      <c r="I585" s="141"/>
      <c r="J585" s="220"/>
      <c r="K585" s="220"/>
      <c r="L585" s="220"/>
      <c r="M585" s="220"/>
      <c r="N585" s="220"/>
      <c r="O585" s="382"/>
      <c r="P585" s="141"/>
      <c r="Q585" s="141"/>
      <c r="R585" s="141"/>
      <c r="S585" s="141"/>
      <c r="T585" s="141"/>
      <c r="U585" s="57"/>
      <c r="V585" s="57"/>
      <c r="W585" s="57"/>
      <c r="X585" s="57"/>
      <c r="Y585" s="57"/>
      <c r="Z585" s="57"/>
      <c r="AA585" s="57"/>
      <c r="AB585" s="57"/>
    </row>
    <row r="586">
      <c r="A586" s="141"/>
      <c r="B586" s="141"/>
      <c r="C586" s="141"/>
      <c r="D586" s="141"/>
      <c r="E586" s="141"/>
      <c r="F586" s="141"/>
      <c r="G586" s="48"/>
      <c r="H586" s="141"/>
      <c r="I586" s="141"/>
      <c r="J586" s="220"/>
      <c r="K586" s="220"/>
      <c r="L586" s="220"/>
      <c r="M586" s="220"/>
      <c r="N586" s="220"/>
      <c r="O586" s="382"/>
      <c r="P586" s="141"/>
      <c r="Q586" s="141"/>
      <c r="R586" s="141"/>
      <c r="S586" s="141"/>
      <c r="T586" s="141"/>
      <c r="U586" s="57"/>
      <c r="V586" s="57"/>
      <c r="W586" s="57"/>
      <c r="X586" s="57"/>
      <c r="Y586" s="57"/>
      <c r="Z586" s="57"/>
      <c r="AA586" s="57"/>
      <c r="AB586" s="57"/>
    </row>
    <row r="587">
      <c r="A587" s="141"/>
      <c r="B587" s="141"/>
      <c r="C587" s="141"/>
      <c r="D587" s="141"/>
      <c r="E587" s="141"/>
      <c r="F587" s="141"/>
      <c r="G587" s="48"/>
      <c r="H587" s="141"/>
      <c r="I587" s="141"/>
      <c r="J587" s="220"/>
      <c r="K587" s="220"/>
      <c r="L587" s="220"/>
      <c r="M587" s="220"/>
      <c r="N587" s="220"/>
      <c r="O587" s="382"/>
      <c r="P587" s="141"/>
      <c r="Q587" s="141"/>
      <c r="R587" s="141"/>
      <c r="S587" s="141"/>
      <c r="T587" s="141"/>
      <c r="U587" s="57"/>
      <c r="V587" s="57"/>
      <c r="W587" s="57"/>
      <c r="X587" s="57"/>
      <c r="Y587" s="57"/>
      <c r="Z587" s="57"/>
      <c r="AA587" s="57"/>
      <c r="AB587" s="57"/>
    </row>
    <row r="588">
      <c r="A588" s="141"/>
      <c r="B588" s="141"/>
      <c r="C588" s="141"/>
      <c r="D588" s="141"/>
      <c r="E588" s="141"/>
      <c r="F588" s="141"/>
      <c r="G588" s="48"/>
      <c r="H588" s="141"/>
      <c r="I588" s="141"/>
      <c r="J588" s="220"/>
      <c r="K588" s="220"/>
      <c r="L588" s="220"/>
      <c r="M588" s="220"/>
      <c r="N588" s="220"/>
      <c r="O588" s="382"/>
      <c r="P588" s="141"/>
      <c r="Q588" s="141"/>
      <c r="R588" s="141"/>
      <c r="S588" s="141"/>
      <c r="T588" s="141"/>
      <c r="U588" s="57"/>
      <c r="V588" s="57"/>
      <c r="W588" s="57"/>
      <c r="X588" s="57"/>
      <c r="Y588" s="57"/>
      <c r="Z588" s="57"/>
      <c r="AA588" s="57"/>
      <c r="AB588" s="57"/>
    </row>
    <row r="589">
      <c r="A589" s="141"/>
      <c r="B589" s="141"/>
      <c r="C589" s="141"/>
      <c r="D589" s="141"/>
      <c r="E589" s="141"/>
      <c r="F589" s="141"/>
      <c r="G589" s="48"/>
      <c r="H589" s="141"/>
      <c r="I589" s="141"/>
      <c r="J589" s="220"/>
      <c r="K589" s="220"/>
      <c r="L589" s="220"/>
      <c r="M589" s="220"/>
      <c r="N589" s="220"/>
      <c r="O589" s="382"/>
      <c r="P589" s="141"/>
      <c r="Q589" s="141"/>
      <c r="R589" s="141"/>
      <c r="S589" s="141"/>
      <c r="T589" s="141"/>
      <c r="U589" s="57"/>
      <c r="V589" s="57"/>
      <c r="W589" s="57"/>
      <c r="X589" s="57"/>
      <c r="Y589" s="57"/>
      <c r="Z589" s="57"/>
      <c r="AA589" s="57"/>
      <c r="AB589" s="57"/>
    </row>
    <row r="590">
      <c r="A590" s="141"/>
      <c r="B590" s="141"/>
      <c r="C590" s="141"/>
      <c r="D590" s="141"/>
      <c r="E590" s="141"/>
      <c r="F590" s="141"/>
      <c r="G590" s="48"/>
      <c r="H590" s="141"/>
      <c r="I590" s="141"/>
      <c r="J590" s="220"/>
      <c r="K590" s="220"/>
      <c r="L590" s="220"/>
      <c r="M590" s="220"/>
      <c r="N590" s="220"/>
      <c r="O590" s="382"/>
      <c r="P590" s="141"/>
      <c r="Q590" s="141"/>
      <c r="R590" s="141"/>
      <c r="S590" s="141"/>
      <c r="T590" s="141"/>
      <c r="U590" s="57"/>
      <c r="V590" s="57"/>
      <c r="W590" s="57"/>
      <c r="X590" s="57"/>
      <c r="Y590" s="57"/>
      <c r="Z590" s="57"/>
      <c r="AA590" s="57"/>
      <c r="AB590" s="57"/>
    </row>
    <row r="591">
      <c r="A591" s="141"/>
      <c r="B591" s="141"/>
      <c r="C591" s="141"/>
      <c r="D591" s="141"/>
      <c r="E591" s="141"/>
      <c r="F591" s="141"/>
      <c r="G591" s="48"/>
      <c r="H591" s="141"/>
      <c r="I591" s="141"/>
      <c r="J591" s="220"/>
      <c r="K591" s="220"/>
      <c r="L591" s="220"/>
      <c r="M591" s="220"/>
      <c r="N591" s="220"/>
      <c r="O591" s="382"/>
      <c r="P591" s="141"/>
      <c r="Q591" s="141"/>
      <c r="R591" s="141"/>
      <c r="S591" s="141"/>
      <c r="T591" s="141"/>
      <c r="U591" s="57"/>
      <c r="V591" s="57"/>
      <c r="W591" s="57"/>
      <c r="X591" s="57"/>
      <c r="Y591" s="57"/>
      <c r="Z591" s="57"/>
      <c r="AA591" s="57"/>
      <c r="AB591" s="57"/>
    </row>
    <row r="592">
      <c r="A592" s="141"/>
      <c r="B592" s="141"/>
      <c r="C592" s="141"/>
      <c r="D592" s="141"/>
      <c r="E592" s="141"/>
      <c r="F592" s="141"/>
      <c r="G592" s="48"/>
      <c r="H592" s="141"/>
      <c r="I592" s="141"/>
      <c r="J592" s="220"/>
      <c r="K592" s="220"/>
      <c r="L592" s="220"/>
      <c r="M592" s="220"/>
      <c r="N592" s="220"/>
      <c r="O592" s="382"/>
      <c r="P592" s="141"/>
      <c r="Q592" s="141"/>
      <c r="R592" s="141"/>
      <c r="S592" s="141"/>
      <c r="T592" s="141"/>
      <c r="U592" s="57"/>
      <c r="V592" s="57"/>
      <c r="W592" s="57"/>
      <c r="X592" s="57"/>
      <c r="Y592" s="57"/>
      <c r="Z592" s="57"/>
      <c r="AA592" s="57"/>
      <c r="AB592" s="57"/>
    </row>
    <row r="593">
      <c r="A593" s="141"/>
      <c r="B593" s="141"/>
      <c r="C593" s="141"/>
      <c r="D593" s="141"/>
      <c r="E593" s="141"/>
      <c r="F593" s="141"/>
      <c r="G593" s="48"/>
      <c r="H593" s="141"/>
      <c r="I593" s="141"/>
      <c r="J593" s="220"/>
      <c r="K593" s="220"/>
      <c r="L593" s="220"/>
      <c r="M593" s="220"/>
      <c r="N593" s="220"/>
      <c r="O593" s="382"/>
      <c r="P593" s="141"/>
      <c r="Q593" s="141"/>
      <c r="R593" s="141"/>
      <c r="S593" s="141"/>
      <c r="T593" s="141"/>
      <c r="U593" s="57"/>
      <c r="V593" s="57"/>
      <c r="W593" s="57"/>
      <c r="X593" s="57"/>
      <c r="Y593" s="57"/>
      <c r="Z593" s="57"/>
      <c r="AA593" s="57"/>
      <c r="AB593" s="57"/>
    </row>
    <row r="594">
      <c r="A594" s="141"/>
      <c r="B594" s="141"/>
      <c r="C594" s="141"/>
      <c r="D594" s="141"/>
      <c r="E594" s="141"/>
      <c r="F594" s="141"/>
      <c r="G594" s="48"/>
      <c r="H594" s="141"/>
      <c r="I594" s="141"/>
      <c r="J594" s="220"/>
      <c r="K594" s="220"/>
      <c r="L594" s="220"/>
      <c r="M594" s="220"/>
      <c r="N594" s="220"/>
      <c r="O594" s="382"/>
      <c r="P594" s="141"/>
      <c r="Q594" s="141"/>
      <c r="R594" s="141"/>
      <c r="S594" s="141"/>
      <c r="T594" s="141"/>
      <c r="U594" s="57"/>
      <c r="V594" s="57"/>
      <c r="W594" s="57"/>
      <c r="X594" s="57"/>
      <c r="Y594" s="57"/>
      <c r="Z594" s="57"/>
      <c r="AA594" s="57"/>
      <c r="AB594" s="57"/>
    </row>
    <row r="595">
      <c r="A595" s="141"/>
      <c r="B595" s="141"/>
      <c r="C595" s="141"/>
      <c r="D595" s="141"/>
      <c r="E595" s="141"/>
      <c r="F595" s="141"/>
      <c r="G595" s="48"/>
      <c r="H595" s="141"/>
      <c r="I595" s="141"/>
      <c r="J595" s="220"/>
      <c r="K595" s="220"/>
      <c r="L595" s="220"/>
      <c r="M595" s="220"/>
      <c r="N595" s="220"/>
      <c r="O595" s="382"/>
      <c r="P595" s="141"/>
      <c r="Q595" s="141"/>
      <c r="R595" s="141"/>
      <c r="S595" s="141"/>
      <c r="T595" s="141"/>
      <c r="U595" s="57"/>
      <c r="V595" s="57"/>
      <c r="W595" s="57"/>
      <c r="X595" s="57"/>
      <c r="Y595" s="57"/>
      <c r="Z595" s="57"/>
      <c r="AA595" s="57"/>
      <c r="AB595" s="57"/>
    </row>
    <row r="596">
      <c r="A596" s="141"/>
      <c r="B596" s="141"/>
      <c r="C596" s="141"/>
      <c r="D596" s="141"/>
      <c r="E596" s="141"/>
      <c r="F596" s="141"/>
      <c r="G596" s="48"/>
      <c r="H596" s="141"/>
      <c r="I596" s="141"/>
      <c r="J596" s="220"/>
      <c r="K596" s="220"/>
      <c r="L596" s="220"/>
      <c r="M596" s="220"/>
      <c r="N596" s="220"/>
      <c r="O596" s="382"/>
      <c r="P596" s="141"/>
      <c r="Q596" s="141"/>
      <c r="R596" s="141"/>
      <c r="S596" s="141"/>
      <c r="T596" s="141"/>
      <c r="U596" s="57"/>
      <c r="V596" s="57"/>
      <c r="W596" s="57"/>
      <c r="X596" s="57"/>
      <c r="Y596" s="57"/>
      <c r="Z596" s="57"/>
      <c r="AA596" s="57"/>
      <c r="AB596" s="57"/>
    </row>
    <row r="597">
      <c r="A597" s="141"/>
      <c r="B597" s="141"/>
      <c r="C597" s="141"/>
      <c r="D597" s="141"/>
      <c r="E597" s="141"/>
      <c r="F597" s="141"/>
      <c r="G597" s="48"/>
      <c r="H597" s="141"/>
      <c r="I597" s="141"/>
      <c r="J597" s="220"/>
      <c r="K597" s="220"/>
      <c r="L597" s="220"/>
      <c r="M597" s="220"/>
      <c r="N597" s="220"/>
      <c r="O597" s="382"/>
      <c r="P597" s="141"/>
      <c r="Q597" s="141"/>
      <c r="R597" s="141"/>
      <c r="S597" s="141"/>
      <c r="T597" s="141"/>
      <c r="U597" s="57"/>
      <c r="V597" s="57"/>
      <c r="W597" s="57"/>
      <c r="X597" s="57"/>
      <c r="Y597" s="57"/>
      <c r="Z597" s="57"/>
      <c r="AA597" s="57"/>
      <c r="AB597" s="57"/>
    </row>
    <row r="598">
      <c r="A598" s="141"/>
      <c r="B598" s="141"/>
      <c r="C598" s="141"/>
      <c r="D598" s="141"/>
      <c r="E598" s="141"/>
      <c r="F598" s="141"/>
      <c r="G598" s="48"/>
      <c r="H598" s="141"/>
      <c r="I598" s="141"/>
      <c r="J598" s="220"/>
      <c r="K598" s="220"/>
      <c r="L598" s="220"/>
      <c r="M598" s="220"/>
      <c r="N598" s="220"/>
      <c r="O598" s="382"/>
      <c r="P598" s="141"/>
      <c r="Q598" s="141"/>
      <c r="R598" s="141"/>
      <c r="S598" s="141"/>
      <c r="T598" s="141"/>
      <c r="U598" s="57"/>
      <c r="V598" s="57"/>
      <c r="W598" s="57"/>
      <c r="X598" s="57"/>
      <c r="Y598" s="57"/>
      <c r="Z598" s="57"/>
      <c r="AA598" s="57"/>
      <c r="AB598" s="57"/>
    </row>
    <row r="599">
      <c r="A599" s="141"/>
      <c r="B599" s="141"/>
      <c r="C599" s="141"/>
      <c r="D599" s="141"/>
      <c r="E599" s="141"/>
      <c r="F599" s="141"/>
      <c r="G599" s="48"/>
      <c r="H599" s="141"/>
      <c r="I599" s="141"/>
      <c r="J599" s="220"/>
      <c r="K599" s="220"/>
      <c r="L599" s="220"/>
      <c r="M599" s="220"/>
      <c r="N599" s="220"/>
      <c r="O599" s="382"/>
      <c r="P599" s="141"/>
      <c r="Q599" s="141"/>
      <c r="R599" s="141"/>
      <c r="S599" s="141"/>
      <c r="T599" s="141"/>
      <c r="U599" s="57"/>
      <c r="V599" s="57"/>
      <c r="W599" s="57"/>
      <c r="X599" s="57"/>
      <c r="Y599" s="57"/>
      <c r="Z599" s="57"/>
      <c r="AA599" s="57"/>
      <c r="AB599" s="57"/>
    </row>
    <row r="600">
      <c r="A600" s="141"/>
      <c r="B600" s="141"/>
      <c r="C600" s="141"/>
      <c r="D600" s="141"/>
      <c r="E600" s="141"/>
      <c r="F600" s="141"/>
      <c r="G600" s="48"/>
      <c r="H600" s="141"/>
      <c r="I600" s="141"/>
      <c r="J600" s="220"/>
      <c r="K600" s="220"/>
      <c r="L600" s="220"/>
      <c r="M600" s="220"/>
      <c r="N600" s="220"/>
      <c r="O600" s="382"/>
      <c r="P600" s="141"/>
      <c r="Q600" s="141"/>
      <c r="R600" s="141"/>
      <c r="S600" s="141"/>
      <c r="T600" s="141"/>
      <c r="U600" s="57"/>
      <c r="V600" s="57"/>
      <c r="W600" s="57"/>
      <c r="X600" s="57"/>
      <c r="Y600" s="57"/>
      <c r="Z600" s="57"/>
      <c r="AA600" s="57"/>
      <c r="AB600" s="57"/>
    </row>
    <row r="601">
      <c r="A601" s="141"/>
      <c r="B601" s="141"/>
      <c r="C601" s="141"/>
      <c r="D601" s="141"/>
      <c r="E601" s="141"/>
      <c r="F601" s="141"/>
      <c r="G601" s="48"/>
      <c r="H601" s="141"/>
      <c r="I601" s="141"/>
      <c r="J601" s="220"/>
      <c r="K601" s="220"/>
      <c r="L601" s="220"/>
      <c r="M601" s="220"/>
      <c r="N601" s="220"/>
      <c r="O601" s="382"/>
      <c r="P601" s="141"/>
      <c r="Q601" s="141"/>
      <c r="R601" s="141"/>
      <c r="S601" s="141"/>
      <c r="T601" s="141"/>
      <c r="U601" s="57"/>
      <c r="V601" s="57"/>
      <c r="W601" s="57"/>
      <c r="X601" s="57"/>
      <c r="Y601" s="57"/>
      <c r="Z601" s="57"/>
      <c r="AA601" s="57"/>
      <c r="AB601" s="57"/>
    </row>
    <row r="602">
      <c r="A602" s="141"/>
      <c r="B602" s="141"/>
      <c r="C602" s="141"/>
      <c r="D602" s="141"/>
      <c r="E602" s="141"/>
      <c r="F602" s="141"/>
      <c r="G602" s="48"/>
      <c r="H602" s="141"/>
      <c r="I602" s="141"/>
      <c r="J602" s="220"/>
      <c r="K602" s="220"/>
      <c r="L602" s="220"/>
      <c r="M602" s="220"/>
      <c r="N602" s="220"/>
      <c r="O602" s="382"/>
      <c r="P602" s="141"/>
      <c r="Q602" s="141"/>
      <c r="R602" s="141"/>
      <c r="S602" s="141"/>
      <c r="T602" s="141"/>
      <c r="U602" s="57"/>
      <c r="V602" s="57"/>
      <c r="W602" s="57"/>
      <c r="X602" s="57"/>
      <c r="Y602" s="57"/>
      <c r="Z602" s="57"/>
      <c r="AA602" s="57"/>
      <c r="AB602" s="57"/>
    </row>
    <row r="603">
      <c r="A603" s="141"/>
      <c r="B603" s="141"/>
      <c r="C603" s="141"/>
      <c r="D603" s="141"/>
      <c r="E603" s="141"/>
      <c r="F603" s="141"/>
      <c r="G603" s="48"/>
      <c r="H603" s="141"/>
      <c r="I603" s="141"/>
      <c r="J603" s="220"/>
      <c r="K603" s="220"/>
      <c r="L603" s="220"/>
      <c r="M603" s="220"/>
      <c r="N603" s="220"/>
      <c r="O603" s="382"/>
      <c r="P603" s="141"/>
      <c r="Q603" s="141"/>
      <c r="R603" s="141"/>
      <c r="S603" s="141"/>
      <c r="T603" s="141"/>
      <c r="U603" s="57"/>
      <c r="V603" s="57"/>
      <c r="W603" s="57"/>
      <c r="X603" s="57"/>
      <c r="Y603" s="57"/>
      <c r="Z603" s="57"/>
      <c r="AA603" s="57"/>
      <c r="AB603" s="57"/>
    </row>
    <row r="604">
      <c r="A604" s="141"/>
      <c r="B604" s="141"/>
      <c r="C604" s="141"/>
      <c r="D604" s="141"/>
      <c r="E604" s="141"/>
      <c r="F604" s="141"/>
      <c r="G604" s="48"/>
      <c r="H604" s="141"/>
      <c r="I604" s="141"/>
      <c r="J604" s="220"/>
      <c r="K604" s="220"/>
      <c r="L604" s="220"/>
      <c r="M604" s="220"/>
      <c r="N604" s="220"/>
      <c r="O604" s="382"/>
      <c r="P604" s="141"/>
      <c r="Q604" s="141"/>
      <c r="R604" s="141"/>
      <c r="S604" s="141"/>
      <c r="T604" s="141"/>
      <c r="U604" s="57"/>
      <c r="V604" s="57"/>
      <c r="W604" s="57"/>
      <c r="X604" s="57"/>
      <c r="Y604" s="57"/>
      <c r="Z604" s="57"/>
      <c r="AA604" s="57"/>
      <c r="AB604" s="57"/>
    </row>
    <row r="605">
      <c r="A605" s="141"/>
      <c r="B605" s="141"/>
      <c r="C605" s="141"/>
      <c r="D605" s="141"/>
      <c r="E605" s="141"/>
      <c r="F605" s="141"/>
      <c r="G605" s="48"/>
      <c r="H605" s="141"/>
      <c r="I605" s="141"/>
      <c r="J605" s="220"/>
      <c r="K605" s="220"/>
      <c r="L605" s="220"/>
      <c r="M605" s="220"/>
      <c r="N605" s="220"/>
      <c r="O605" s="382"/>
      <c r="P605" s="141"/>
      <c r="Q605" s="141"/>
      <c r="R605" s="141"/>
      <c r="S605" s="141"/>
      <c r="T605" s="141"/>
      <c r="U605" s="57"/>
      <c r="V605" s="57"/>
      <c r="W605" s="57"/>
      <c r="X605" s="57"/>
      <c r="Y605" s="57"/>
      <c r="Z605" s="57"/>
      <c r="AA605" s="57"/>
      <c r="AB605" s="57"/>
    </row>
    <row r="606">
      <c r="A606" s="141"/>
      <c r="B606" s="141"/>
      <c r="C606" s="141"/>
      <c r="D606" s="141"/>
      <c r="E606" s="141"/>
      <c r="F606" s="141"/>
      <c r="G606" s="48"/>
      <c r="H606" s="141"/>
      <c r="I606" s="141"/>
      <c r="J606" s="220"/>
      <c r="K606" s="220"/>
      <c r="L606" s="220"/>
      <c r="M606" s="220"/>
      <c r="N606" s="220"/>
      <c r="O606" s="382"/>
      <c r="P606" s="141"/>
      <c r="Q606" s="141"/>
      <c r="R606" s="141"/>
      <c r="S606" s="141"/>
      <c r="T606" s="141"/>
      <c r="U606" s="57"/>
      <c r="V606" s="57"/>
      <c r="W606" s="57"/>
      <c r="X606" s="57"/>
      <c r="Y606" s="57"/>
      <c r="Z606" s="57"/>
      <c r="AA606" s="57"/>
      <c r="AB606" s="57"/>
    </row>
    <row r="607">
      <c r="A607" s="141"/>
      <c r="B607" s="141"/>
      <c r="C607" s="141"/>
      <c r="D607" s="141"/>
      <c r="E607" s="141"/>
      <c r="F607" s="141"/>
      <c r="G607" s="48"/>
      <c r="H607" s="141"/>
      <c r="I607" s="141"/>
      <c r="J607" s="220"/>
      <c r="K607" s="220"/>
      <c r="L607" s="220"/>
      <c r="M607" s="220"/>
      <c r="N607" s="220"/>
      <c r="O607" s="382"/>
      <c r="P607" s="141"/>
      <c r="Q607" s="141"/>
      <c r="R607" s="141"/>
      <c r="S607" s="141"/>
      <c r="T607" s="141"/>
      <c r="U607" s="57"/>
      <c r="V607" s="57"/>
      <c r="W607" s="57"/>
      <c r="X607" s="57"/>
      <c r="Y607" s="57"/>
      <c r="Z607" s="57"/>
      <c r="AA607" s="57"/>
      <c r="AB607" s="57"/>
    </row>
    <row r="608">
      <c r="A608" s="141"/>
      <c r="B608" s="141"/>
      <c r="C608" s="141"/>
      <c r="D608" s="141"/>
      <c r="E608" s="141"/>
      <c r="F608" s="141"/>
      <c r="G608" s="48"/>
      <c r="H608" s="141"/>
      <c r="I608" s="141"/>
      <c r="J608" s="220"/>
      <c r="K608" s="220"/>
      <c r="L608" s="220"/>
      <c r="M608" s="220"/>
      <c r="N608" s="220"/>
      <c r="O608" s="382"/>
      <c r="P608" s="141"/>
      <c r="Q608" s="141"/>
      <c r="R608" s="141"/>
      <c r="S608" s="141"/>
      <c r="T608" s="141"/>
      <c r="U608" s="57"/>
      <c r="V608" s="57"/>
      <c r="W608" s="57"/>
      <c r="X608" s="57"/>
      <c r="Y608" s="57"/>
      <c r="Z608" s="57"/>
      <c r="AA608" s="57"/>
      <c r="AB608" s="57"/>
    </row>
    <row r="609">
      <c r="A609" s="141"/>
      <c r="B609" s="141"/>
      <c r="C609" s="141"/>
      <c r="D609" s="141"/>
      <c r="E609" s="141"/>
      <c r="F609" s="141"/>
      <c r="G609" s="48"/>
      <c r="H609" s="141"/>
      <c r="I609" s="141"/>
      <c r="J609" s="220"/>
      <c r="K609" s="220"/>
      <c r="L609" s="220"/>
      <c r="M609" s="220"/>
      <c r="N609" s="220"/>
      <c r="O609" s="382"/>
      <c r="P609" s="141"/>
      <c r="Q609" s="141"/>
      <c r="R609" s="141"/>
      <c r="S609" s="141"/>
      <c r="T609" s="141"/>
      <c r="U609" s="57"/>
      <c r="V609" s="57"/>
      <c r="W609" s="57"/>
      <c r="X609" s="57"/>
      <c r="Y609" s="57"/>
      <c r="Z609" s="57"/>
      <c r="AA609" s="57"/>
      <c r="AB609" s="57"/>
    </row>
    <row r="610">
      <c r="A610" s="141"/>
      <c r="B610" s="141"/>
      <c r="C610" s="141"/>
      <c r="D610" s="141"/>
      <c r="E610" s="141"/>
      <c r="F610" s="141"/>
      <c r="G610" s="48"/>
      <c r="H610" s="141"/>
      <c r="I610" s="141"/>
      <c r="J610" s="220"/>
      <c r="K610" s="220"/>
      <c r="L610" s="220"/>
      <c r="M610" s="220"/>
      <c r="N610" s="220"/>
      <c r="O610" s="382"/>
      <c r="P610" s="141"/>
      <c r="Q610" s="141"/>
      <c r="R610" s="141"/>
      <c r="S610" s="141"/>
      <c r="T610" s="141"/>
      <c r="U610" s="57"/>
      <c r="V610" s="57"/>
      <c r="W610" s="57"/>
      <c r="X610" s="57"/>
      <c r="Y610" s="57"/>
      <c r="Z610" s="57"/>
      <c r="AA610" s="57"/>
      <c r="AB610" s="57"/>
    </row>
    <row r="611">
      <c r="A611" s="141"/>
      <c r="B611" s="141"/>
      <c r="C611" s="141"/>
      <c r="D611" s="141"/>
      <c r="E611" s="141"/>
      <c r="F611" s="141"/>
      <c r="G611" s="48"/>
      <c r="H611" s="141"/>
      <c r="I611" s="141"/>
      <c r="J611" s="220"/>
      <c r="K611" s="220"/>
      <c r="L611" s="220"/>
      <c r="M611" s="220"/>
      <c r="N611" s="220"/>
      <c r="O611" s="382"/>
      <c r="P611" s="141"/>
      <c r="Q611" s="141"/>
      <c r="R611" s="141"/>
      <c r="S611" s="141"/>
      <c r="T611" s="141"/>
      <c r="U611" s="57"/>
      <c r="V611" s="57"/>
      <c r="W611" s="57"/>
      <c r="X611" s="57"/>
      <c r="Y611" s="57"/>
      <c r="Z611" s="57"/>
      <c r="AA611" s="57"/>
      <c r="AB611" s="57"/>
    </row>
    <row r="612">
      <c r="A612" s="141"/>
      <c r="B612" s="141"/>
      <c r="C612" s="141"/>
      <c r="D612" s="141"/>
      <c r="E612" s="141"/>
      <c r="F612" s="141"/>
      <c r="G612" s="48"/>
      <c r="H612" s="141"/>
      <c r="I612" s="141"/>
      <c r="J612" s="220"/>
      <c r="K612" s="220"/>
      <c r="L612" s="220"/>
      <c r="M612" s="220"/>
      <c r="N612" s="220"/>
      <c r="O612" s="382"/>
      <c r="P612" s="141"/>
      <c r="Q612" s="141"/>
      <c r="R612" s="141"/>
      <c r="S612" s="141"/>
      <c r="T612" s="141"/>
      <c r="U612" s="57"/>
      <c r="V612" s="57"/>
      <c r="W612" s="57"/>
      <c r="X612" s="57"/>
      <c r="Y612" s="57"/>
      <c r="Z612" s="57"/>
      <c r="AA612" s="57"/>
      <c r="AB612" s="57"/>
    </row>
    <row r="613">
      <c r="A613" s="141"/>
      <c r="B613" s="141"/>
      <c r="C613" s="141"/>
      <c r="D613" s="141"/>
      <c r="E613" s="141"/>
      <c r="F613" s="141"/>
      <c r="G613" s="48"/>
      <c r="H613" s="141"/>
      <c r="I613" s="141"/>
      <c r="J613" s="220"/>
      <c r="K613" s="220"/>
      <c r="L613" s="220"/>
      <c r="M613" s="220"/>
      <c r="N613" s="220"/>
      <c r="O613" s="382"/>
      <c r="P613" s="141"/>
      <c r="Q613" s="141"/>
      <c r="R613" s="141"/>
      <c r="S613" s="141"/>
      <c r="T613" s="141"/>
      <c r="U613" s="57"/>
      <c r="V613" s="57"/>
      <c r="W613" s="57"/>
      <c r="X613" s="57"/>
      <c r="Y613" s="57"/>
      <c r="Z613" s="57"/>
      <c r="AA613" s="57"/>
      <c r="AB613" s="57"/>
    </row>
    <row r="614">
      <c r="A614" s="141"/>
      <c r="B614" s="141"/>
      <c r="C614" s="141"/>
      <c r="D614" s="141"/>
      <c r="E614" s="141"/>
      <c r="F614" s="141"/>
      <c r="G614" s="48"/>
      <c r="H614" s="141"/>
      <c r="I614" s="141"/>
      <c r="J614" s="220"/>
      <c r="K614" s="220"/>
      <c r="L614" s="220"/>
      <c r="M614" s="220"/>
      <c r="N614" s="220"/>
      <c r="O614" s="382"/>
      <c r="P614" s="141"/>
      <c r="Q614" s="141"/>
      <c r="R614" s="141"/>
      <c r="S614" s="141"/>
      <c r="T614" s="141"/>
      <c r="U614" s="57"/>
      <c r="V614" s="57"/>
      <c r="W614" s="57"/>
      <c r="X614" s="57"/>
      <c r="Y614" s="57"/>
      <c r="Z614" s="57"/>
      <c r="AA614" s="57"/>
      <c r="AB614" s="57"/>
    </row>
    <row r="615">
      <c r="A615" s="141"/>
      <c r="B615" s="141"/>
      <c r="C615" s="141"/>
      <c r="D615" s="141"/>
      <c r="E615" s="141"/>
      <c r="F615" s="141"/>
      <c r="G615" s="48"/>
      <c r="H615" s="141"/>
      <c r="I615" s="141"/>
      <c r="J615" s="220"/>
      <c r="K615" s="220"/>
      <c r="L615" s="220"/>
      <c r="M615" s="220"/>
      <c r="N615" s="220"/>
      <c r="O615" s="382"/>
      <c r="P615" s="141"/>
      <c r="Q615" s="141"/>
      <c r="R615" s="141"/>
      <c r="S615" s="141"/>
      <c r="T615" s="141"/>
      <c r="U615" s="57"/>
      <c r="V615" s="57"/>
      <c r="W615" s="57"/>
      <c r="X615" s="57"/>
      <c r="Y615" s="57"/>
      <c r="Z615" s="57"/>
      <c r="AA615" s="57"/>
      <c r="AB615" s="57"/>
    </row>
    <row r="616">
      <c r="A616" s="141"/>
      <c r="B616" s="141"/>
      <c r="C616" s="141"/>
      <c r="D616" s="141"/>
      <c r="E616" s="141"/>
      <c r="F616" s="141"/>
      <c r="G616" s="48"/>
      <c r="H616" s="141"/>
      <c r="I616" s="141"/>
      <c r="J616" s="220"/>
      <c r="K616" s="220"/>
      <c r="L616" s="220"/>
      <c r="M616" s="220"/>
      <c r="N616" s="220"/>
      <c r="O616" s="382"/>
      <c r="P616" s="141"/>
      <c r="Q616" s="141"/>
      <c r="R616" s="141"/>
      <c r="S616" s="141"/>
      <c r="T616" s="141"/>
      <c r="U616" s="57"/>
      <c r="V616" s="57"/>
      <c r="W616" s="57"/>
      <c r="X616" s="57"/>
      <c r="Y616" s="57"/>
      <c r="Z616" s="57"/>
      <c r="AA616" s="57"/>
      <c r="AB616" s="57"/>
    </row>
    <row r="617">
      <c r="A617" s="141"/>
      <c r="B617" s="141"/>
      <c r="C617" s="141"/>
      <c r="D617" s="141"/>
      <c r="E617" s="141"/>
      <c r="F617" s="141"/>
      <c r="G617" s="48"/>
      <c r="H617" s="141"/>
      <c r="I617" s="141"/>
      <c r="J617" s="220"/>
      <c r="K617" s="220"/>
      <c r="L617" s="220"/>
      <c r="M617" s="220"/>
      <c r="N617" s="220"/>
      <c r="O617" s="382"/>
      <c r="P617" s="141"/>
      <c r="Q617" s="141"/>
      <c r="R617" s="141"/>
      <c r="S617" s="141"/>
      <c r="T617" s="141"/>
      <c r="U617" s="57"/>
      <c r="V617" s="57"/>
      <c r="W617" s="57"/>
      <c r="X617" s="57"/>
      <c r="Y617" s="57"/>
      <c r="Z617" s="57"/>
      <c r="AA617" s="57"/>
      <c r="AB617" s="57"/>
    </row>
    <row r="618">
      <c r="A618" s="141"/>
      <c r="B618" s="141"/>
      <c r="C618" s="141"/>
      <c r="D618" s="141"/>
      <c r="E618" s="141"/>
      <c r="F618" s="141"/>
      <c r="G618" s="48"/>
      <c r="H618" s="141"/>
      <c r="I618" s="141"/>
      <c r="J618" s="220"/>
      <c r="K618" s="220"/>
      <c r="L618" s="220"/>
      <c r="M618" s="220"/>
      <c r="N618" s="220"/>
      <c r="O618" s="382"/>
      <c r="P618" s="141"/>
      <c r="Q618" s="141"/>
      <c r="R618" s="141"/>
      <c r="S618" s="141"/>
      <c r="T618" s="141"/>
      <c r="U618" s="57"/>
      <c r="V618" s="57"/>
      <c r="W618" s="57"/>
      <c r="X618" s="57"/>
      <c r="Y618" s="57"/>
      <c r="Z618" s="57"/>
      <c r="AA618" s="57"/>
      <c r="AB618" s="57"/>
    </row>
    <row r="619">
      <c r="A619" s="141"/>
      <c r="B619" s="141"/>
      <c r="C619" s="141"/>
      <c r="D619" s="141"/>
      <c r="E619" s="141"/>
      <c r="F619" s="141"/>
      <c r="G619" s="48"/>
      <c r="H619" s="141"/>
      <c r="I619" s="141"/>
      <c r="J619" s="220"/>
      <c r="K619" s="220"/>
      <c r="L619" s="220"/>
      <c r="M619" s="220"/>
      <c r="N619" s="220"/>
      <c r="O619" s="382"/>
      <c r="P619" s="141"/>
      <c r="Q619" s="141"/>
      <c r="R619" s="141"/>
      <c r="S619" s="141"/>
      <c r="T619" s="141"/>
      <c r="U619" s="57"/>
      <c r="V619" s="57"/>
      <c r="W619" s="57"/>
      <c r="X619" s="57"/>
      <c r="Y619" s="57"/>
      <c r="Z619" s="57"/>
      <c r="AA619" s="57"/>
      <c r="AB619" s="57"/>
    </row>
    <row r="620">
      <c r="A620" s="141"/>
      <c r="B620" s="141"/>
      <c r="C620" s="141"/>
      <c r="D620" s="141"/>
      <c r="E620" s="141"/>
      <c r="F620" s="141"/>
      <c r="G620" s="48"/>
      <c r="H620" s="141"/>
      <c r="I620" s="141"/>
      <c r="J620" s="220"/>
      <c r="K620" s="220"/>
      <c r="L620" s="220"/>
      <c r="M620" s="220"/>
      <c r="N620" s="220"/>
      <c r="O620" s="382"/>
      <c r="P620" s="141"/>
      <c r="Q620" s="141"/>
      <c r="R620" s="141"/>
      <c r="S620" s="141"/>
      <c r="T620" s="141"/>
      <c r="U620" s="57"/>
      <c r="V620" s="57"/>
      <c r="W620" s="57"/>
      <c r="X620" s="57"/>
      <c r="Y620" s="57"/>
      <c r="Z620" s="57"/>
      <c r="AA620" s="57"/>
      <c r="AB620" s="57"/>
    </row>
    <row r="621">
      <c r="A621" s="141"/>
      <c r="B621" s="141"/>
      <c r="C621" s="141"/>
      <c r="D621" s="141"/>
      <c r="E621" s="141"/>
      <c r="F621" s="141"/>
      <c r="G621" s="48"/>
      <c r="H621" s="141"/>
      <c r="I621" s="141"/>
      <c r="J621" s="220"/>
      <c r="K621" s="220"/>
      <c r="L621" s="220"/>
      <c r="M621" s="220"/>
      <c r="N621" s="220"/>
      <c r="O621" s="382"/>
      <c r="P621" s="141"/>
      <c r="Q621" s="141"/>
      <c r="R621" s="141"/>
      <c r="S621" s="141"/>
      <c r="T621" s="141"/>
      <c r="U621" s="57"/>
      <c r="V621" s="57"/>
      <c r="W621" s="57"/>
      <c r="X621" s="57"/>
      <c r="Y621" s="57"/>
      <c r="Z621" s="57"/>
      <c r="AA621" s="57"/>
      <c r="AB621" s="57"/>
    </row>
    <row r="622">
      <c r="A622" s="141"/>
      <c r="B622" s="141"/>
      <c r="C622" s="141"/>
      <c r="D622" s="141"/>
      <c r="E622" s="141"/>
      <c r="F622" s="141"/>
      <c r="G622" s="48"/>
      <c r="H622" s="141"/>
      <c r="I622" s="141"/>
      <c r="J622" s="220"/>
      <c r="K622" s="220"/>
      <c r="L622" s="220"/>
      <c r="M622" s="220"/>
      <c r="N622" s="220"/>
      <c r="O622" s="382"/>
      <c r="P622" s="141"/>
      <c r="Q622" s="141"/>
      <c r="R622" s="141"/>
      <c r="S622" s="141"/>
      <c r="T622" s="141"/>
      <c r="U622" s="57"/>
      <c r="V622" s="57"/>
      <c r="W622" s="57"/>
      <c r="X622" s="57"/>
      <c r="Y622" s="57"/>
      <c r="Z622" s="57"/>
      <c r="AA622" s="57"/>
      <c r="AB622" s="57"/>
    </row>
    <row r="623">
      <c r="A623" s="141"/>
      <c r="B623" s="141"/>
      <c r="C623" s="141"/>
      <c r="D623" s="141"/>
      <c r="E623" s="141"/>
      <c r="F623" s="141"/>
      <c r="G623" s="48"/>
      <c r="H623" s="141"/>
      <c r="I623" s="141"/>
      <c r="J623" s="220"/>
      <c r="K623" s="220"/>
      <c r="L623" s="220"/>
      <c r="M623" s="220"/>
      <c r="N623" s="220"/>
      <c r="O623" s="382"/>
      <c r="P623" s="141"/>
      <c r="Q623" s="141"/>
      <c r="R623" s="141"/>
      <c r="S623" s="141"/>
      <c r="T623" s="141"/>
      <c r="U623" s="57"/>
      <c r="V623" s="57"/>
      <c r="W623" s="57"/>
      <c r="X623" s="57"/>
      <c r="Y623" s="57"/>
      <c r="Z623" s="57"/>
      <c r="AA623" s="57"/>
      <c r="AB623" s="57"/>
    </row>
    <row r="624">
      <c r="A624" s="141"/>
      <c r="B624" s="141"/>
      <c r="C624" s="141"/>
      <c r="D624" s="141"/>
      <c r="E624" s="141"/>
      <c r="F624" s="141"/>
      <c r="G624" s="48"/>
      <c r="H624" s="141"/>
      <c r="I624" s="141"/>
      <c r="J624" s="220"/>
      <c r="K624" s="220"/>
      <c r="L624" s="220"/>
      <c r="M624" s="220"/>
      <c r="N624" s="220"/>
      <c r="O624" s="382"/>
      <c r="P624" s="141"/>
      <c r="Q624" s="141"/>
      <c r="R624" s="141"/>
      <c r="S624" s="141"/>
      <c r="T624" s="141"/>
      <c r="U624" s="57"/>
      <c r="V624" s="57"/>
      <c r="W624" s="57"/>
      <c r="X624" s="57"/>
      <c r="Y624" s="57"/>
      <c r="Z624" s="57"/>
      <c r="AA624" s="57"/>
      <c r="AB624" s="57"/>
    </row>
    <row r="625">
      <c r="A625" s="141"/>
      <c r="B625" s="141"/>
      <c r="C625" s="141"/>
      <c r="D625" s="141"/>
      <c r="E625" s="141"/>
      <c r="F625" s="141"/>
      <c r="G625" s="48"/>
      <c r="H625" s="141"/>
      <c r="I625" s="141"/>
      <c r="J625" s="220"/>
      <c r="K625" s="220"/>
      <c r="L625" s="220"/>
      <c r="M625" s="220"/>
      <c r="N625" s="220"/>
      <c r="O625" s="382"/>
      <c r="P625" s="141"/>
      <c r="Q625" s="141"/>
      <c r="R625" s="141"/>
      <c r="S625" s="141"/>
      <c r="T625" s="141"/>
      <c r="U625" s="57"/>
      <c r="V625" s="57"/>
      <c r="W625" s="57"/>
      <c r="X625" s="57"/>
      <c r="Y625" s="57"/>
      <c r="Z625" s="57"/>
      <c r="AA625" s="57"/>
      <c r="AB625" s="57"/>
    </row>
    <row r="626">
      <c r="A626" s="141"/>
      <c r="B626" s="141"/>
      <c r="C626" s="141"/>
      <c r="D626" s="141"/>
      <c r="E626" s="141"/>
      <c r="F626" s="141"/>
      <c r="G626" s="48"/>
      <c r="H626" s="141"/>
      <c r="I626" s="141"/>
      <c r="J626" s="220"/>
      <c r="K626" s="220"/>
      <c r="L626" s="220"/>
      <c r="M626" s="220"/>
      <c r="N626" s="220"/>
      <c r="O626" s="382"/>
      <c r="P626" s="141"/>
      <c r="Q626" s="141"/>
      <c r="R626" s="141"/>
      <c r="S626" s="141"/>
      <c r="T626" s="141"/>
      <c r="U626" s="57"/>
      <c r="V626" s="57"/>
      <c r="W626" s="57"/>
      <c r="X626" s="57"/>
      <c r="Y626" s="57"/>
      <c r="Z626" s="57"/>
      <c r="AA626" s="57"/>
      <c r="AB626" s="57"/>
    </row>
    <row r="627">
      <c r="A627" s="141"/>
      <c r="B627" s="141"/>
      <c r="C627" s="141"/>
      <c r="D627" s="141"/>
      <c r="E627" s="141"/>
      <c r="F627" s="141"/>
      <c r="G627" s="48"/>
      <c r="H627" s="141"/>
      <c r="I627" s="141"/>
      <c r="J627" s="220"/>
      <c r="K627" s="220"/>
      <c r="L627" s="220"/>
      <c r="M627" s="220"/>
      <c r="N627" s="220"/>
      <c r="O627" s="382"/>
      <c r="P627" s="141"/>
      <c r="Q627" s="141"/>
      <c r="R627" s="141"/>
      <c r="S627" s="141"/>
      <c r="T627" s="141"/>
      <c r="U627" s="57"/>
      <c r="V627" s="57"/>
      <c r="W627" s="57"/>
      <c r="X627" s="57"/>
      <c r="Y627" s="57"/>
      <c r="Z627" s="57"/>
      <c r="AA627" s="57"/>
      <c r="AB627" s="57"/>
    </row>
    <row r="628">
      <c r="A628" s="141"/>
      <c r="B628" s="141"/>
      <c r="C628" s="141"/>
      <c r="D628" s="141"/>
      <c r="E628" s="141"/>
      <c r="F628" s="141"/>
      <c r="G628" s="48"/>
      <c r="H628" s="141"/>
      <c r="I628" s="141"/>
      <c r="J628" s="220"/>
      <c r="K628" s="220"/>
      <c r="L628" s="220"/>
      <c r="M628" s="220"/>
      <c r="N628" s="220"/>
      <c r="O628" s="382"/>
      <c r="P628" s="141"/>
      <c r="Q628" s="141"/>
      <c r="R628" s="141"/>
      <c r="S628" s="141"/>
      <c r="T628" s="141"/>
      <c r="U628" s="57"/>
      <c r="V628" s="57"/>
      <c r="W628" s="57"/>
      <c r="X628" s="57"/>
      <c r="Y628" s="57"/>
      <c r="Z628" s="57"/>
      <c r="AA628" s="57"/>
      <c r="AB628" s="57"/>
    </row>
    <row r="629">
      <c r="A629" s="141"/>
      <c r="B629" s="141"/>
      <c r="C629" s="141"/>
      <c r="D629" s="141"/>
      <c r="E629" s="141"/>
      <c r="F629" s="141"/>
      <c r="G629" s="48"/>
      <c r="H629" s="141"/>
      <c r="I629" s="141"/>
      <c r="J629" s="220"/>
      <c r="K629" s="220"/>
      <c r="L629" s="220"/>
      <c r="M629" s="220"/>
      <c r="N629" s="220"/>
      <c r="O629" s="382"/>
      <c r="P629" s="141"/>
      <c r="Q629" s="141"/>
      <c r="R629" s="141"/>
      <c r="S629" s="141"/>
      <c r="T629" s="141"/>
      <c r="U629" s="57"/>
      <c r="V629" s="57"/>
      <c r="W629" s="57"/>
      <c r="X629" s="57"/>
      <c r="Y629" s="57"/>
      <c r="Z629" s="57"/>
      <c r="AA629" s="57"/>
      <c r="AB629" s="57"/>
    </row>
    <row r="630">
      <c r="A630" s="141"/>
      <c r="B630" s="141"/>
      <c r="C630" s="141"/>
      <c r="D630" s="141"/>
      <c r="E630" s="141"/>
      <c r="F630" s="141"/>
      <c r="G630" s="48"/>
      <c r="H630" s="141"/>
      <c r="I630" s="141"/>
      <c r="J630" s="220"/>
      <c r="K630" s="220"/>
      <c r="L630" s="220"/>
      <c r="M630" s="220"/>
      <c r="N630" s="220"/>
      <c r="O630" s="382"/>
      <c r="P630" s="141"/>
      <c r="Q630" s="141"/>
      <c r="R630" s="141"/>
      <c r="S630" s="141"/>
      <c r="T630" s="141"/>
      <c r="U630" s="57"/>
      <c r="V630" s="57"/>
      <c r="W630" s="57"/>
      <c r="X630" s="57"/>
      <c r="Y630" s="57"/>
      <c r="Z630" s="57"/>
      <c r="AA630" s="57"/>
      <c r="AB630" s="57"/>
    </row>
    <row r="631">
      <c r="A631" s="141"/>
      <c r="B631" s="141"/>
      <c r="C631" s="141"/>
      <c r="D631" s="141"/>
      <c r="E631" s="141"/>
      <c r="F631" s="141"/>
      <c r="G631" s="48"/>
      <c r="H631" s="141"/>
      <c r="I631" s="141"/>
      <c r="J631" s="220"/>
      <c r="K631" s="220"/>
      <c r="L631" s="220"/>
      <c r="M631" s="220"/>
      <c r="N631" s="220"/>
      <c r="O631" s="382"/>
      <c r="P631" s="141"/>
      <c r="Q631" s="141"/>
      <c r="R631" s="141"/>
      <c r="S631" s="141"/>
      <c r="T631" s="141"/>
      <c r="U631" s="57"/>
      <c r="V631" s="57"/>
      <c r="W631" s="57"/>
      <c r="X631" s="57"/>
      <c r="Y631" s="57"/>
      <c r="Z631" s="57"/>
      <c r="AA631" s="57"/>
      <c r="AB631" s="57"/>
    </row>
    <row r="632">
      <c r="A632" s="141"/>
      <c r="B632" s="141"/>
      <c r="C632" s="141"/>
      <c r="D632" s="141"/>
      <c r="E632" s="141"/>
      <c r="F632" s="141"/>
      <c r="G632" s="48"/>
      <c r="H632" s="141"/>
      <c r="I632" s="141"/>
      <c r="J632" s="220"/>
      <c r="K632" s="220"/>
      <c r="L632" s="220"/>
      <c r="M632" s="220"/>
      <c r="N632" s="220"/>
      <c r="O632" s="382"/>
      <c r="P632" s="141"/>
      <c r="Q632" s="141"/>
      <c r="R632" s="141"/>
      <c r="S632" s="141"/>
      <c r="T632" s="141"/>
      <c r="U632" s="57"/>
      <c r="V632" s="57"/>
      <c r="W632" s="57"/>
      <c r="X632" s="57"/>
      <c r="Y632" s="57"/>
      <c r="Z632" s="57"/>
      <c r="AA632" s="57"/>
      <c r="AB632" s="57"/>
    </row>
    <row r="633">
      <c r="A633" s="141"/>
      <c r="B633" s="141"/>
      <c r="C633" s="141"/>
      <c r="D633" s="141"/>
      <c r="E633" s="141"/>
      <c r="F633" s="141"/>
      <c r="G633" s="48"/>
      <c r="H633" s="141"/>
      <c r="I633" s="141"/>
      <c r="J633" s="220"/>
      <c r="K633" s="220"/>
      <c r="L633" s="220"/>
      <c r="M633" s="220"/>
      <c r="N633" s="220"/>
      <c r="O633" s="382"/>
      <c r="P633" s="141"/>
      <c r="Q633" s="141"/>
      <c r="R633" s="141"/>
      <c r="S633" s="141"/>
      <c r="T633" s="141"/>
      <c r="U633" s="57"/>
      <c r="V633" s="57"/>
      <c r="W633" s="57"/>
      <c r="X633" s="57"/>
      <c r="Y633" s="57"/>
      <c r="Z633" s="57"/>
      <c r="AA633" s="57"/>
      <c r="AB633" s="57"/>
    </row>
    <row r="634">
      <c r="A634" s="141"/>
      <c r="B634" s="141"/>
      <c r="C634" s="141"/>
      <c r="D634" s="141"/>
      <c r="E634" s="141"/>
      <c r="F634" s="141"/>
      <c r="G634" s="48"/>
      <c r="H634" s="141"/>
      <c r="I634" s="141"/>
      <c r="J634" s="220"/>
      <c r="K634" s="220"/>
      <c r="L634" s="220"/>
      <c r="M634" s="220"/>
      <c r="N634" s="220"/>
      <c r="O634" s="382"/>
      <c r="P634" s="141"/>
      <c r="Q634" s="141"/>
      <c r="R634" s="141"/>
      <c r="S634" s="141"/>
      <c r="T634" s="141"/>
      <c r="U634" s="57"/>
      <c r="V634" s="57"/>
      <c r="W634" s="57"/>
      <c r="X634" s="57"/>
      <c r="Y634" s="57"/>
      <c r="Z634" s="57"/>
      <c r="AA634" s="57"/>
      <c r="AB634" s="57"/>
    </row>
    <row r="635">
      <c r="A635" s="141"/>
      <c r="B635" s="141"/>
      <c r="C635" s="141"/>
      <c r="D635" s="141"/>
      <c r="E635" s="141"/>
      <c r="F635" s="141"/>
      <c r="G635" s="48"/>
      <c r="H635" s="141"/>
      <c r="I635" s="141"/>
      <c r="J635" s="220"/>
      <c r="K635" s="220"/>
      <c r="L635" s="220"/>
      <c r="M635" s="220"/>
      <c r="N635" s="220"/>
      <c r="O635" s="382"/>
      <c r="P635" s="141"/>
      <c r="Q635" s="141"/>
      <c r="R635" s="141"/>
      <c r="S635" s="141"/>
      <c r="T635" s="141"/>
      <c r="U635" s="57"/>
      <c r="V635" s="57"/>
      <c r="W635" s="57"/>
      <c r="X635" s="57"/>
      <c r="Y635" s="57"/>
      <c r="Z635" s="57"/>
      <c r="AA635" s="57"/>
      <c r="AB635" s="57"/>
    </row>
    <row r="636">
      <c r="A636" s="141"/>
      <c r="B636" s="141"/>
      <c r="C636" s="141"/>
      <c r="D636" s="141"/>
      <c r="E636" s="141"/>
      <c r="F636" s="141"/>
      <c r="G636" s="48"/>
      <c r="H636" s="141"/>
      <c r="I636" s="141"/>
      <c r="J636" s="220"/>
      <c r="K636" s="220"/>
      <c r="L636" s="220"/>
      <c r="M636" s="220"/>
      <c r="N636" s="220"/>
      <c r="O636" s="382"/>
      <c r="P636" s="141"/>
      <c r="Q636" s="141"/>
      <c r="R636" s="141"/>
      <c r="S636" s="141"/>
      <c r="T636" s="141"/>
      <c r="U636" s="57"/>
      <c r="V636" s="57"/>
      <c r="W636" s="57"/>
      <c r="X636" s="57"/>
      <c r="Y636" s="57"/>
      <c r="Z636" s="57"/>
      <c r="AA636" s="57"/>
      <c r="AB636" s="57"/>
    </row>
    <row r="637">
      <c r="A637" s="141"/>
      <c r="B637" s="141"/>
      <c r="C637" s="141"/>
      <c r="D637" s="141"/>
      <c r="E637" s="141"/>
      <c r="F637" s="141"/>
      <c r="G637" s="48"/>
      <c r="H637" s="141"/>
      <c r="I637" s="141"/>
      <c r="J637" s="220"/>
      <c r="K637" s="220"/>
      <c r="L637" s="220"/>
      <c r="M637" s="220"/>
      <c r="N637" s="220"/>
      <c r="O637" s="382"/>
      <c r="P637" s="141"/>
      <c r="Q637" s="141"/>
      <c r="R637" s="141"/>
      <c r="S637" s="141"/>
      <c r="T637" s="141"/>
      <c r="U637" s="57"/>
      <c r="V637" s="57"/>
      <c r="W637" s="57"/>
      <c r="X637" s="57"/>
      <c r="Y637" s="57"/>
      <c r="Z637" s="57"/>
      <c r="AA637" s="57"/>
      <c r="AB637" s="57"/>
    </row>
    <row r="638">
      <c r="A638" s="141"/>
      <c r="B638" s="141"/>
      <c r="C638" s="141"/>
      <c r="D638" s="141"/>
      <c r="E638" s="141"/>
      <c r="F638" s="141"/>
      <c r="G638" s="48"/>
      <c r="H638" s="141"/>
      <c r="I638" s="141"/>
      <c r="J638" s="220"/>
      <c r="K638" s="220"/>
      <c r="L638" s="220"/>
      <c r="M638" s="220"/>
      <c r="N638" s="220"/>
      <c r="O638" s="382"/>
      <c r="P638" s="141"/>
      <c r="Q638" s="141"/>
      <c r="R638" s="141"/>
      <c r="S638" s="141"/>
      <c r="T638" s="141"/>
      <c r="U638" s="57"/>
      <c r="V638" s="57"/>
      <c r="W638" s="57"/>
      <c r="X638" s="57"/>
      <c r="Y638" s="57"/>
      <c r="Z638" s="57"/>
      <c r="AA638" s="57"/>
      <c r="AB638" s="57"/>
    </row>
    <row r="639">
      <c r="A639" s="141"/>
      <c r="B639" s="141"/>
      <c r="C639" s="141"/>
      <c r="D639" s="141"/>
      <c r="E639" s="141"/>
      <c r="F639" s="141"/>
      <c r="G639" s="48"/>
      <c r="H639" s="141"/>
      <c r="I639" s="141"/>
      <c r="J639" s="220"/>
      <c r="K639" s="220"/>
      <c r="L639" s="220"/>
      <c r="M639" s="220"/>
      <c r="N639" s="220"/>
      <c r="O639" s="382"/>
      <c r="P639" s="141"/>
      <c r="Q639" s="141"/>
      <c r="R639" s="141"/>
      <c r="S639" s="141"/>
      <c r="T639" s="141"/>
      <c r="U639" s="57"/>
      <c r="V639" s="57"/>
      <c r="W639" s="57"/>
      <c r="X639" s="57"/>
      <c r="Y639" s="57"/>
      <c r="Z639" s="57"/>
      <c r="AA639" s="57"/>
      <c r="AB639" s="57"/>
    </row>
    <row r="640">
      <c r="A640" s="141"/>
      <c r="B640" s="141"/>
      <c r="C640" s="141"/>
      <c r="D640" s="141"/>
      <c r="E640" s="141"/>
      <c r="F640" s="141"/>
      <c r="G640" s="48"/>
      <c r="H640" s="141"/>
      <c r="I640" s="141"/>
      <c r="J640" s="220"/>
      <c r="K640" s="220"/>
      <c r="L640" s="220"/>
      <c r="M640" s="220"/>
      <c r="N640" s="220"/>
      <c r="O640" s="382"/>
      <c r="P640" s="141"/>
      <c r="Q640" s="141"/>
      <c r="R640" s="141"/>
      <c r="S640" s="141"/>
      <c r="T640" s="141"/>
      <c r="U640" s="57"/>
      <c r="V640" s="57"/>
      <c r="W640" s="57"/>
      <c r="X640" s="57"/>
      <c r="Y640" s="57"/>
      <c r="Z640" s="57"/>
      <c r="AA640" s="57"/>
      <c r="AB640" s="57"/>
    </row>
    <row r="641">
      <c r="A641" s="141"/>
      <c r="B641" s="141"/>
      <c r="C641" s="141"/>
      <c r="D641" s="141"/>
      <c r="E641" s="141"/>
      <c r="F641" s="141"/>
      <c r="G641" s="48"/>
      <c r="H641" s="141"/>
      <c r="I641" s="141"/>
      <c r="J641" s="220"/>
      <c r="K641" s="220"/>
      <c r="L641" s="220"/>
      <c r="M641" s="220"/>
      <c r="N641" s="220"/>
      <c r="O641" s="382"/>
      <c r="P641" s="141"/>
      <c r="Q641" s="141"/>
      <c r="R641" s="141"/>
      <c r="S641" s="141"/>
      <c r="T641" s="141"/>
      <c r="U641" s="57"/>
      <c r="V641" s="57"/>
      <c r="W641" s="57"/>
      <c r="X641" s="57"/>
      <c r="Y641" s="57"/>
      <c r="Z641" s="57"/>
      <c r="AA641" s="57"/>
      <c r="AB641" s="57"/>
    </row>
    <row r="642">
      <c r="A642" s="141"/>
      <c r="B642" s="141"/>
      <c r="C642" s="141"/>
      <c r="D642" s="141"/>
      <c r="E642" s="141"/>
      <c r="F642" s="141"/>
      <c r="G642" s="48"/>
      <c r="H642" s="141"/>
      <c r="I642" s="141"/>
      <c r="J642" s="220"/>
      <c r="K642" s="220"/>
      <c r="L642" s="220"/>
      <c r="M642" s="220"/>
      <c r="N642" s="220"/>
      <c r="O642" s="382"/>
      <c r="P642" s="141"/>
      <c r="Q642" s="141"/>
      <c r="R642" s="141"/>
      <c r="S642" s="141"/>
      <c r="T642" s="141"/>
      <c r="U642" s="57"/>
      <c r="V642" s="57"/>
      <c r="W642" s="57"/>
      <c r="X642" s="57"/>
      <c r="Y642" s="57"/>
      <c r="Z642" s="57"/>
      <c r="AA642" s="57"/>
      <c r="AB642" s="57"/>
    </row>
    <row r="643">
      <c r="A643" s="141"/>
      <c r="B643" s="141"/>
      <c r="C643" s="141"/>
      <c r="D643" s="141"/>
      <c r="E643" s="141"/>
      <c r="F643" s="141"/>
      <c r="G643" s="48"/>
      <c r="H643" s="141"/>
      <c r="I643" s="141"/>
      <c r="J643" s="220"/>
      <c r="K643" s="220"/>
      <c r="L643" s="220"/>
      <c r="M643" s="220"/>
      <c r="N643" s="220"/>
      <c r="O643" s="382"/>
      <c r="P643" s="141"/>
      <c r="Q643" s="141"/>
      <c r="R643" s="141"/>
      <c r="S643" s="141"/>
      <c r="T643" s="141"/>
      <c r="U643" s="57"/>
      <c r="V643" s="57"/>
      <c r="W643" s="57"/>
      <c r="X643" s="57"/>
      <c r="Y643" s="57"/>
      <c r="Z643" s="57"/>
      <c r="AA643" s="57"/>
      <c r="AB643" s="57"/>
    </row>
    <row r="644">
      <c r="A644" s="141"/>
      <c r="B644" s="141"/>
      <c r="C644" s="141"/>
      <c r="D644" s="141"/>
      <c r="E644" s="141"/>
      <c r="F644" s="141"/>
      <c r="G644" s="48"/>
      <c r="H644" s="141"/>
      <c r="I644" s="141"/>
      <c r="J644" s="220"/>
      <c r="K644" s="220"/>
      <c r="L644" s="220"/>
      <c r="M644" s="220"/>
      <c r="N644" s="220"/>
      <c r="O644" s="382"/>
      <c r="P644" s="141"/>
      <c r="Q644" s="141"/>
      <c r="R644" s="141"/>
      <c r="S644" s="141"/>
      <c r="T644" s="141"/>
      <c r="U644" s="57"/>
      <c r="V644" s="57"/>
      <c r="W644" s="57"/>
      <c r="X644" s="57"/>
      <c r="Y644" s="57"/>
      <c r="Z644" s="57"/>
      <c r="AA644" s="57"/>
      <c r="AB644" s="57"/>
    </row>
    <row r="645">
      <c r="A645" s="141"/>
      <c r="B645" s="141"/>
      <c r="C645" s="141"/>
      <c r="D645" s="141"/>
      <c r="E645" s="141"/>
      <c r="F645" s="141"/>
      <c r="G645" s="48"/>
      <c r="H645" s="141"/>
      <c r="I645" s="141"/>
      <c r="J645" s="220"/>
      <c r="K645" s="220"/>
      <c r="L645" s="220"/>
      <c r="M645" s="220"/>
      <c r="N645" s="220"/>
      <c r="O645" s="382"/>
      <c r="P645" s="141"/>
      <c r="Q645" s="141"/>
      <c r="R645" s="141"/>
      <c r="S645" s="141"/>
      <c r="T645" s="141"/>
      <c r="U645" s="57"/>
      <c r="V645" s="57"/>
      <c r="W645" s="57"/>
      <c r="X645" s="57"/>
      <c r="Y645" s="57"/>
      <c r="Z645" s="57"/>
      <c r="AA645" s="57"/>
      <c r="AB645" s="57"/>
    </row>
    <row r="646">
      <c r="A646" s="141"/>
      <c r="B646" s="141"/>
      <c r="C646" s="141"/>
      <c r="D646" s="141"/>
      <c r="E646" s="141"/>
      <c r="F646" s="141"/>
      <c r="G646" s="48"/>
      <c r="H646" s="141"/>
      <c r="I646" s="141"/>
      <c r="J646" s="220"/>
      <c r="K646" s="220"/>
      <c r="L646" s="220"/>
      <c r="M646" s="220"/>
      <c r="N646" s="220"/>
      <c r="O646" s="382"/>
      <c r="P646" s="141"/>
      <c r="Q646" s="141"/>
      <c r="R646" s="141"/>
      <c r="S646" s="141"/>
      <c r="T646" s="141"/>
      <c r="U646" s="57"/>
      <c r="V646" s="57"/>
      <c r="W646" s="57"/>
      <c r="X646" s="57"/>
      <c r="Y646" s="57"/>
      <c r="Z646" s="57"/>
      <c r="AA646" s="57"/>
      <c r="AB646" s="57"/>
    </row>
    <row r="647">
      <c r="A647" s="141"/>
      <c r="B647" s="141"/>
      <c r="C647" s="141"/>
      <c r="D647" s="141"/>
      <c r="E647" s="141"/>
      <c r="F647" s="141"/>
      <c r="G647" s="48"/>
      <c r="H647" s="141"/>
      <c r="I647" s="141"/>
      <c r="J647" s="220"/>
      <c r="K647" s="220"/>
      <c r="L647" s="220"/>
      <c r="M647" s="220"/>
      <c r="N647" s="220"/>
      <c r="O647" s="382"/>
      <c r="P647" s="141"/>
      <c r="Q647" s="141"/>
      <c r="R647" s="141"/>
      <c r="S647" s="141"/>
      <c r="T647" s="141"/>
      <c r="U647" s="57"/>
      <c r="V647" s="57"/>
      <c r="W647" s="57"/>
      <c r="X647" s="57"/>
      <c r="Y647" s="57"/>
      <c r="Z647" s="57"/>
      <c r="AA647" s="57"/>
      <c r="AB647" s="57"/>
    </row>
    <row r="648">
      <c r="A648" s="141"/>
      <c r="B648" s="141"/>
      <c r="C648" s="141"/>
      <c r="D648" s="141"/>
      <c r="E648" s="141"/>
      <c r="F648" s="141"/>
      <c r="G648" s="48"/>
      <c r="H648" s="141"/>
      <c r="I648" s="141"/>
      <c r="J648" s="220"/>
      <c r="K648" s="220"/>
      <c r="L648" s="220"/>
      <c r="M648" s="220"/>
      <c r="N648" s="220"/>
      <c r="O648" s="382"/>
      <c r="P648" s="141"/>
      <c r="Q648" s="141"/>
      <c r="R648" s="141"/>
      <c r="S648" s="141"/>
      <c r="T648" s="141"/>
      <c r="U648" s="57"/>
      <c r="V648" s="57"/>
      <c r="W648" s="57"/>
      <c r="X648" s="57"/>
      <c r="Y648" s="57"/>
      <c r="Z648" s="57"/>
      <c r="AA648" s="57"/>
      <c r="AB648" s="57"/>
    </row>
    <row r="649">
      <c r="A649" s="141"/>
      <c r="B649" s="141"/>
      <c r="C649" s="141"/>
      <c r="D649" s="141"/>
      <c r="E649" s="141"/>
      <c r="F649" s="141"/>
      <c r="G649" s="48"/>
      <c r="H649" s="141"/>
      <c r="I649" s="141"/>
      <c r="J649" s="220"/>
      <c r="K649" s="220"/>
      <c r="L649" s="220"/>
      <c r="M649" s="220"/>
      <c r="N649" s="220"/>
      <c r="O649" s="382"/>
      <c r="P649" s="141"/>
      <c r="Q649" s="141"/>
      <c r="R649" s="141"/>
      <c r="S649" s="141"/>
      <c r="T649" s="141"/>
      <c r="U649" s="57"/>
      <c r="V649" s="57"/>
      <c r="W649" s="57"/>
      <c r="X649" s="57"/>
      <c r="Y649" s="57"/>
      <c r="Z649" s="57"/>
      <c r="AA649" s="57"/>
      <c r="AB649" s="57"/>
    </row>
    <row r="650">
      <c r="A650" s="141"/>
      <c r="B650" s="141"/>
      <c r="C650" s="141"/>
      <c r="D650" s="141"/>
      <c r="E650" s="141"/>
      <c r="F650" s="141"/>
      <c r="G650" s="48"/>
      <c r="H650" s="141"/>
      <c r="I650" s="141"/>
      <c r="J650" s="220"/>
      <c r="K650" s="220"/>
      <c r="L650" s="220"/>
      <c r="M650" s="220"/>
      <c r="N650" s="220"/>
      <c r="O650" s="382"/>
      <c r="P650" s="141"/>
      <c r="Q650" s="141"/>
      <c r="R650" s="141"/>
      <c r="S650" s="141"/>
      <c r="T650" s="141"/>
      <c r="U650" s="57"/>
      <c r="V650" s="57"/>
      <c r="W650" s="57"/>
      <c r="X650" s="57"/>
      <c r="Y650" s="57"/>
      <c r="Z650" s="57"/>
      <c r="AA650" s="57"/>
      <c r="AB650" s="57"/>
    </row>
    <row r="651">
      <c r="A651" s="141"/>
      <c r="B651" s="141"/>
      <c r="C651" s="141"/>
      <c r="D651" s="141"/>
      <c r="E651" s="141"/>
      <c r="F651" s="141"/>
      <c r="G651" s="48"/>
      <c r="H651" s="141"/>
      <c r="I651" s="141"/>
      <c r="J651" s="220"/>
      <c r="K651" s="220"/>
      <c r="L651" s="220"/>
      <c r="M651" s="220"/>
      <c r="N651" s="220"/>
      <c r="O651" s="382"/>
      <c r="P651" s="141"/>
      <c r="Q651" s="141"/>
      <c r="R651" s="141"/>
      <c r="S651" s="141"/>
      <c r="T651" s="141"/>
      <c r="U651" s="57"/>
      <c r="V651" s="57"/>
      <c r="W651" s="57"/>
      <c r="X651" s="57"/>
      <c r="Y651" s="57"/>
      <c r="Z651" s="57"/>
      <c r="AA651" s="57"/>
      <c r="AB651" s="57"/>
    </row>
    <row r="652">
      <c r="A652" s="141"/>
      <c r="B652" s="141"/>
      <c r="C652" s="141"/>
      <c r="D652" s="141"/>
      <c r="E652" s="141"/>
      <c r="F652" s="141"/>
      <c r="G652" s="48"/>
      <c r="H652" s="141"/>
      <c r="I652" s="141"/>
      <c r="J652" s="220"/>
      <c r="K652" s="220"/>
      <c r="L652" s="220"/>
      <c r="M652" s="220"/>
      <c r="N652" s="220"/>
      <c r="O652" s="382"/>
      <c r="P652" s="141"/>
      <c r="Q652" s="141"/>
      <c r="R652" s="141"/>
      <c r="S652" s="141"/>
      <c r="T652" s="141"/>
      <c r="U652" s="57"/>
      <c r="V652" s="57"/>
      <c r="W652" s="57"/>
      <c r="X652" s="57"/>
      <c r="Y652" s="57"/>
      <c r="Z652" s="57"/>
      <c r="AA652" s="57"/>
      <c r="AB652" s="57"/>
    </row>
    <row r="653">
      <c r="A653" s="141"/>
      <c r="B653" s="141"/>
      <c r="C653" s="141"/>
      <c r="D653" s="141"/>
      <c r="E653" s="141"/>
      <c r="F653" s="141"/>
      <c r="G653" s="48"/>
      <c r="H653" s="141"/>
      <c r="I653" s="141"/>
      <c r="J653" s="220"/>
      <c r="K653" s="220"/>
      <c r="L653" s="220"/>
      <c r="M653" s="220"/>
      <c r="N653" s="220"/>
      <c r="O653" s="382"/>
      <c r="P653" s="141"/>
      <c r="Q653" s="141"/>
      <c r="R653" s="141"/>
      <c r="S653" s="141"/>
      <c r="T653" s="141"/>
      <c r="U653" s="57"/>
      <c r="V653" s="57"/>
      <c r="W653" s="57"/>
      <c r="X653" s="57"/>
      <c r="Y653" s="57"/>
      <c r="Z653" s="57"/>
      <c r="AA653" s="57"/>
      <c r="AB653" s="57"/>
    </row>
    <row r="654">
      <c r="A654" s="141"/>
      <c r="B654" s="141"/>
      <c r="C654" s="141"/>
      <c r="D654" s="141"/>
      <c r="E654" s="141"/>
      <c r="F654" s="141"/>
      <c r="G654" s="48"/>
      <c r="H654" s="141"/>
      <c r="I654" s="141"/>
      <c r="J654" s="220"/>
      <c r="K654" s="220"/>
      <c r="L654" s="220"/>
      <c r="M654" s="220"/>
      <c r="N654" s="220"/>
      <c r="O654" s="382"/>
      <c r="P654" s="141"/>
      <c r="Q654" s="141"/>
      <c r="R654" s="141"/>
      <c r="S654" s="141"/>
      <c r="T654" s="141"/>
      <c r="U654" s="57"/>
      <c r="V654" s="57"/>
      <c r="W654" s="57"/>
      <c r="X654" s="57"/>
      <c r="Y654" s="57"/>
      <c r="Z654" s="57"/>
      <c r="AA654" s="57"/>
      <c r="AB654" s="57"/>
    </row>
    <row r="655">
      <c r="A655" s="141"/>
      <c r="B655" s="141"/>
      <c r="C655" s="141"/>
      <c r="D655" s="141"/>
      <c r="E655" s="141"/>
      <c r="F655" s="141"/>
      <c r="G655" s="48"/>
      <c r="H655" s="141"/>
      <c r="I655" s="141"/>
      <c r="J655" s="220"/>
      <c r="K655" s="220"/>
      <c r="L655" s="220"/>
      <c r="M655" s="220"/>
      <c r="N655" s="220"/>
      <c r="O655" s="382"/>
      <c r="P655" s="141"/>
      <c r="Q655" s="141"/>
      <c r="R655" s="141"/>
      <c r="S655" s="141"/>
      <c r="T655" s="141"/>
      <c r="U655" s="57"/>
      <c r="V655" s="57"/>
      <c r="W655" s="57"/>
      <c r="X655" s="57"/>
      <c r="Y655" s="57"/>
      <c r="Z655" s="57"/>
      <c r="AA655" s="57"/>
      <c r="AB655" s="57"/>
    </row>
    <row r="656">
      <c r="A656" s="141"/>
      <c r="B656" s="141"/>
      <c r="C656" s="141"/>
      <c r="D656" s="141"/>
      <c r="E656" s="141"/>
      <c r="F656" s="141"/>
      <c r="G656" s="48"/>
      <c r="H656" s="141"/>
      <c r="I656" s="141"/>
      <c r="J656" s="220"/>
      <c r="K656" s="220"/>
      <c r="L656" s="220"/>
      <c r="M656" s="220"/>
      <c r="N656" s="220"/>
      <c r="O656" s="382"/>
      <c r="P656" s="141"/>
      <c r="Q656" s="141"/>
      <c r="R656" s="141"/>
      <c r="S656" s="141"/>
      <c r="T656" s="141"/>
      <c r="U656" s="57"/>
      <c r="V656" s="57"/>
      <c r="W656" s="57"/>
      <c r="X656" s="57"/>
      <c r="Y656" s="57"/>
      <c r="Z656" s="57"/>
      <c r="AA656" s="57"/>
      <c r="AB656" s="57"/>
    </row>
    <row r="657">
      <c r="A657" s="141"/>
      <c r="B657" s="141"/>
      <c r="C657" s="141"/>
      <c r="D657" s="141"/>
      <c r="E657" s="141"/>
      <c r="F657" s="141"/>
      <c r="G657" s="48"/>
      <c r="H657" s="141"/>
      <c r="I657" s="141"/>
      <c r="J657" s="220"/>
      <c r="K657" s="220"/>
      <c r="L657" s="220"/>
      <c r="M657" s="220"/>
      <c r="N657" s="220"/>
      <c r="O657" s="382"/>
      <c r="P657" s="141"/>
      <c r="Q657" s="141"/>
      <c r="R657" s="141"/>
      <c r="S657" s="141"/>
      <c r="T657" s="141"/>
      <c r="U657" s="57"/>
      <c r="V657" s="57"/>
      <c r="W657" s="57"/>
      <c r="X657" s="57"/>
      <c r="Y657" s="57"/>
      <c r="Z657" s="57"/>
      <c r="AA657" s="57"/>
      <c r="AB657" s="57"/>
    </row>
    <row r="658">
      <c r="A658" s="141"/>
      <c r="B658" s="141"/>
      <c r="C658" s="141"/>
      <c r="D658" s="141"/>
      <c r="E658" s="141"/>
      <c r="F658" s="141"/>
      <c r="G658" s="48"/>
      <c r="H658" s="141"/>
      <c r="I658" s="141"/>
      <c r="J658" s="220"/>
      <c r="K658" s="220"/>
      <c r="L658" s="220"/>
      <c r="M658" s="220"/>
      <c r="N658" s="220"/>
      <c r="O658" s="382"/>
      <c r="P658" s="141"/>
      <c r="Q658" s="141"/>
      <c r="R658" s="141"/>
      <c r="S658" s="141"/>
      <c r="T658" s="141"/>
      <c r="U658" s="57"/>
      <c r="V658" s="57"/>
      <c r="W658" s="57"/>
      <c r="X658" s="57"/>
      <c r="Y658" s="57"/>
      <c r="Z658" s="57"/>
      <c r="AA658" s="57"/>
      <c r="AB658" s="57"/>
    </row>
    <row r="659">
      <c r="A659" s="141"/>
      <c r="B659" s="141"/>
      <c r="C659" s="141"/>
      <c r="D659" s="141"/>
      <c r="E659" s="141"/>
      <c r="F659" s="141"/>
      <c r="G659" s="48"/>
      <c r="H659" s="141"/>
      <c r="I659" s="141"/>
      <c r="J659" s="220"/>
      <c r="K659" s="220"/>
      <c r="L659" s="220"/>
      <c r="M659" s="220"/>
      <c r="N659" s="220"/>
      <c r="O659" s="382"/>
      <c r="P659" s="141"/>
      <c r="Q659" s="141"/>
      <c r="R659" s="141"/>
      <c r="S659" s="141"/>
      <c r="T659" s="141"/>
      <c r="U659" s="57"/>
      <c r="V659" s="57"/>
      <c r="W659" s="57"/>
      <c r="X659" s="57"/>
      <c r="Y659" s="57"/>
      <c r="Z659" s="57"/>
      <c r="AA659" s="57"/>
      <c r="AB659" s="57"/>
    </row>
    <row r="660">
      <c r="A660" s="141"/>
      <c r="B660" s="141"/>
      <c r="C660" s="141"/>
      <c r="D660" s="141"/>
      <c r="E660" s="141"/>
      <c r="F660" s="141"/>
      <c r="G660" s="48"/>
      <c r="H660" s="141"/>
      <c r="I660" s="141"/>
      <c r="J660" s="220"/>
      <c r="K660" s="220"/>
      <c r="L660" s="220"/>
      <c r="M660" s="220"/>
      <c r="N660" s="220"/>
      <c r="O660" s="382"/>
      <c r="P660" s="141"/>
      <c r="Q660" s="141"/>
      <c r="R660" s="141"/>
      <c r="S660" s="141"/>
      <c r="T660" s="141"/>
      <c r="U660" s="57"/>
      <c r="V660" s="57"/>
      <c r="W660" s="57"/>
      <c r="X660" s="57"/>
      <c r="Y660" s="57"/>
      <c r="Z660" s="57"/>
      <c r="AA660" s="57"/>
      <c r="AB660" s="57"/>
    </row>
    <row r="661">
      <c r="A661" s="141"/>
      <c r="B661" s="141"/>
      <c r="C661" s="141"/>
      <c r="D661" s="141"/>
      <c r="E661" s="141"/>
      <c r="F661" s="141"/>
      <c r="G661" s="48"/>
      <c r="H661" s="141"/>
      <c r="I661" s="141"/>
      <c r="J661" s="220"/>
      <c r="K661" s="220"/>
      <c r="L661" s="220"/>
      <c r="M661" s="220"/>
      <c r="N661" s="220"/>
      <c r="O661" s="382"/>
      <c r="P661" s="141"/>
      <c r="Q661" s="141"/>
      <c r="R661" s="141"/>
      <c r="S661" s="141"/>
      <c r="T661" s="141"/>
      <c r="U661" s="57"/>
      <c r="V661" s="57"/>
      <c r="W661" s="57"/>
      <c r="X661" s="57"/>
      <c r="Y661" s="57"/>
      <c r="Z661" s="57"/>
      <c r="AA661" s="57"/>
      <c r="AB661" s="57"/>
    </row>
    <row r="662">
      <c r="A662" s="141"/>
      <c r="B662" s="141"/>
      <c r="C662" s="141"/>
      <c r="D662" s="141"/>
      <c r="E662" s="141"/>
      <c r="F662" s="141"/>
      <c r="G662" s="48"/>
      <c r="H662" s="141"/>
      <c r="I662" s="141"/>
      <c r="J662" s="220"/>
      <c r="K662" s="220"/>
      <c r="L662" s="220"/>
      <c r="M662" s="220"/>
      <c r="N662" s="220"/>
      <c r="O662" s="382"/>
      <c r="P662" s="141"/>
      <c r="Q662" s="141"/>
      <c r="R662" s="141"/>
      <c r="S662" s="141"/>
      <c r="T662" s="141"/>
      <c r="U662" s="57"/>
      <c r="V662" s="57"/>
      <c r="W662" s="57"/>
      <c r="X662" s="57"/>
      <c r="Y662" s="57"/>
      <c r="Z662" s="57"/>
      <c r="AA662" s="57"/>
      <c r="AB662" s="57"/>
    </row>
    <row r="663">
      <c r="A663" s="141"/>
      <c r="B663" s="141"/>
      <c r="C663" s="141"/>
      <c r="D663" s="141"/>
      <c r="E663" s="141"/>
      <c r="F663" s="141"/>
      <c r="G663" s="48"/>
      <c r="H663" s="141"/>
      <c r="I663" s="141"/>
      <c r="J663" s="220"/>
      <c r="K663" s="220"/>
      <c r="L663" s="220"/>
      <c r="M663" s="220"/>
      <c r="N663" s="220"/>
      <c r="O663" s="382"/>
      <c r="P663" s="141"/>
      <c r="Q663" s="141"/>
      <c r="R663" s="141"/>
      <c r="S663" s="141"/>
      <c r="T663" s="141"/>
      <c r="U663" s="57"/>
      <c r="V663" s="57"/>
      <c r="W663" s="57"/>
      <c r="X663" s="57"/>
      <c r="Y663" s="57"/>
      <c r="Z663" s="57"/>
      <c r="AA663" s="57"/>
      <c r="AB663" s="57"/>
    </row>
    <row r="664">
      <c r="A664" s="141"/>
      <c r="B664" s="141"/>
      <c r="C664" s="141"/>
      <c r="D664" s="141"/>
      <c r="E664" s="141"/>
      <c r="F664" s="141"/>
      <c r="G664" s="48"/>
      <c r="H664" s="141"/>
      <c r="I664" s="141"/>
      <c r="J664" s="220"/>
      <c r="K664" s="220"/>
      <c r="L664" s="220"/>
      <c r="M664" s="220"/>
      <c r="N664" s="220"/>
      <c r="O664" s="382"/>
      <c r="P664" s="141"/>
      <c r="Q664" s="141"/>
      <c r="R664" s="141"/>
      <c r="S664" s="141"/>
      <c r="T664" s="141"/>
      <c r="U664" s="57"/>
      <c r="V664" s="57"/>
      <c r="W664" s="57"/>
      <c r="X664" s="57"/>
      <c r="Y664" s="57"/>
      <c r="Z664" s="57"/>
      <c r="AA664" s="57"/>
      <c r="AB664" s="57"/>
    </row>
    <row r="665">
      <c r="A665" s="141"/>
      <c r="B665" s="141"/>
      <c r="C665" s="141"/>
      <c r="D665" s="141"/>
      <c r="E665" s="141"/>
      <c r="F665" s="141"/>
      <c r="G665" s="48"/>
      <c r="H665" s="141"/>
      <c r="I665" s="141"/>
      <c r="J665" s="220"/>
      <c r="K665" s="220"/>
      <c r="L665" s="220"/>
      <c r="M665" s="220"/>
      <c r="N665" s="220"/>
      <c r="O665" s="382"/>
      <c r="P665" s="141"/>
      <c r="Q665" s="141"/>
      <c r="R665" s="141"/>
      <c r="S665" s="141"/>
      <c r="T665" s="141"/>
      <c r="U665" s="57"/>
      <c r="V665" s="57"/>
      <c r="W665" s="57"/>
      <c r="X665" s="57"/>
      <c r="Y665" s="57"/>
      <c r="Z665" s="57"/>
      <c r="AA665" s="57"/>
      <c r="AB665" s="57"/>
    </row>
    <row r="666">
      <c r="A666" s="141"/>
      <c r="B666" s="141"/>
      <c r="C666" s="141"/>
      <c r="D666" s="141"/>
      <c r="E666" s="141"/>
      <c r="F666" s="141"/>
      <c r="G666" s="48"/>
      <c r="H666" s="141"/>
      <c r="I666" s="141"/>
      <c r="J666" s="220"/>
      <c r="K666" s="220"/>
      <c r="L666" s="220"/>
      <c r="M666" s="220"/>
      <c r="N666" s="220"/>
      <c r="O666" s="382"/>
      <c r="P666" s="141"/>
      <c r="Q666" s="141"/>
      <c r="R666" s="141"/>
      <c r="S666" s="141"/>
      <c r="T666" s="141"/>
      <c r="U666" s="57"/>
      <c r="V666" s="57"/>
      <c r="W666" s="57"/>
      <c r="X666" s="57"/>
      <c r="Y666" s="57"/>
      <c r="Z666" s="57"/>
      <c r="AA666" s="57"/>
      <c r="AB666" s="57"/>
    </row>
    <row r="667">
      <c r="A667" s="141"/>
      <c r="B667" s="141"/>
      <c r="C667" s="141"/>
      <c r="D667" s="141"/>
      <c r="E667" s="141"/>
      <c r="F667" s="141"/>
      <c r="G667" s="48"/>
      <c r="H667" s="141"/>
      <c r="I667" s="141"/>
      <c r="J667" s="220"/>
      <c r="K667" s="220"/>
      <c r="L667" s="220"/>
      <c r="M667" s="220"/>
      <c r="N667" s="220"/>
      <c r="O667" s="382"/>
      <c r="P667" s="141"/>
      <c r="Q667" s="141"/>
      <c r="R667" s="141"/>
      <c r="S667" s="141"/>
      <c r="T667" s="141"/>
      <c r="U667" s="57"/>
      <c r="V667" s="57"/>
      <c r="W667" s="57"/>
      <c r="X667" s="57"/>
      <c r="Y667" s="57"/>
      <c r="Z667" s="57"/>
      <c r="AA667" s="57"/>
      <c r="AB667" s="57"/>
    </row>
    <row r="668">
      <c r="A668" s="141"/>
      <c r="B668" s="141"/>
      <c r="C668" s="141"/>
      <c r="D668" s="141"/>
      <c r="E668" s="141"/>
      <c r="F668" s="141"/>
      <c r="G668" s="48"/>
      <c r="H668" s="141"/>
      <c r="I668" s="141"/>
      <c r="J668" s="220"/>
      <c r="K668" s="220"/>
      <c r="L668" s="220"/>
      <c r="M668" s="220"/>
      <c r="N668" s="220"/>
      <c r="O668" s="382"/>
      <c r="P668" s="141"/>
      <c r="Q668" s="141"/>
      <c r="R668" s="141"/>
      <c r="S668" s="141"/>
      <c r="T668" s="141"/>
      <c r="U668" s="57"/>
      <c r="V668" s="57"/>
      <c r="W668" s="57"/>
      <c r="X668" s="57"/>
      <c r="Y668" s="57"/>
      <c r="Z668" s="57"/>
      <c r="AA668" s="57"/>
      <c r="AB668" s="57"/>
    </row>
    <row r="669">
      <c r="A669" s="141"/>
      <c r="B669" s="141"/>
      <c r="C669" s="141"/>
      <c r="D669" s="141"/>
      <c r="E669" s="141"/>
      <c r="F669" s="141"/>
      <c r="G669" s="48"/>
      <c r="H669" s="141"/>
      <c r="I669" s="141"/>
      <c r="J669" s="220"/>
      <c r="K669" s="220"/>
      <c r="L669" s="220"/>
      <c r="M669" s="220"/>
      <c r="N669" s="220"/>
      <c r="O669" s="382"/>
      <c r="P669" s="141"/>
      <c r="Q669" s="141"/>
      <c r="R669" s="141"/>
      <c r="S669" s="141"/>
      <c r="T669" s="141"/>
      <c r="U669" s="57"/>
      <c r="V669" s="57"/>
      <c r="W669" s="57"/>
      <c r="X669" s="57"/>
      <c r="Y669" s="57"/>
      <c r="Z669" s="57"/>
      <c r="AA669" s="57"/>
      <c r="AB669" s="57"/>
    </row>
    <row r="670">
      <c r="A670" s="141"/>
      <c r="B670" s="141"/>
      <c r="C670" s="141"/>
      <c r="D670" s="141"/>
      <c r="E670" s="141"/>
      <c r="F670" s="141"/>
      <c r="G670" s="48"/>
      <c r="H670" s="141"/>
      <c r="I670" s="141"/>
      <c r="J670" s="220"/>
      <c r="K670" s="220"/>
      <c r="L670" s="220"/>
      <c r="M670" s="220"/>
      <c r="N670" s="220"/>
      <c r="O670" s="382"/>
      <c r="P670" s="141"/>
      <c r="Q670" s="141"/>
      <c r="R670" s="141"/>
      <c r="S670" s="141"/>
      <c r="T670" s="141"/>
      <c r="U670" s="57"/>
      <c r="V670" s="57"/>
      <c r="W670" s="57"/>
      <c r="X670" s="57"/>
      <c r="Y670" s="57"/>
      <c r="Z670" s="57"/>
      <c r="AA670" s="57"/>
      <c r="AB670" s="57"/>
    </row>
    <row r="671">
      <c r="A671" s="141"/>
      <c r="B671" s="141"/>
      <c r="C671" s="141"/>
      <c r="D671" s="141"/>
      <c r="E671" s="141"/>
      <c r="F671" s="141"/>
      <c r="G671" s="48"/>
      <c r="H671" s="141"/>
      <c r="I671" s="141"/>
      <c r="J671" s="220"/>
      <c r="K671" s="220"/>
      <c r="L671" s="220"/>
      <c r="M671" s="220"/>
      <c r="N671" s="220"/>
      <c r="O671" s="382"/>
      <c r="P671" s="141"/>
      <c r="Q671" s="141"/>
      <c r="R671" s="141"/>
      <c r="S671" s="141"/>
      <c r="T671" s="141"/>
      <c r="U671" s="57"/>
      <c r="V671" s="57"/>
      <c r="W671" s="57"/>
      <c r="X671" s="57"/>
      <c r="Y671" s="57"/>
      <c r="Z671" s="57"/>
      <c r="AA671" s="57"/>
      <c r="AB671" s="57"/>
    </row>
    <row r="672">
      <c r="A672" s="141"/>
      <c r="B672" s="141"/>
      <c r="C672" s="141"/>
      <c r="D672" s="141"/>
      <c r="E672" s="141"/>
      <c r="F672" s="141"/>
      <c r="G672" s="48"/>
      <c r="H672" s="141"/>
      <c r="I672" s="141"/>
      <c r="J672" s="220"/>
      <c r="K672" s="220"/>
      <c r="L672" s="220"/>
      <c r="M672" s="220"/>
      <c r="N672" s="220"/>
      <c r="O672" s="382"/>
      <c r="P672" s="141"/>
      <c r="Q672" s="141"/>
      <c r="R672" s="141"/>
      <c r="S672" s="141"/>
      <c r="T672" s="141"/>
      <c r="U672" s="57"/>
      <c r="V672" s="57"/>
      <c r="W672" s="57"/>
      <c r="X672" s="57"/>
      <c r="Y672" s="57"/>
      <c r="Z672" s="57"/>
      <c r="AA672" s="57"/>
      <c r="AB672" s="57"/>
    </row>
    <row r="673">
      <c r="A673" s="141"/>
      <c r="B673" s="141"/>
      <c r="C673" s="141"/>
      <c r="D673" s="141"/>
      <c r="E673" s="141"/>
      <c r="F673" s="141"/>
      <c r="G673" s="48"/>
      <c r="H673" s="141"/>
      <c r="I673" s="141"/>
      <c r="J673" s="220"/>
      <c r="K673" s="220"/>
      <c r="L673" s="220"/>
      <c r="M673" s="220"/>
      <c r="N673" s="220"/>
      <c r="O673" s="382"/>
      <c r="P673" s="141"/>
      <c r="Q673" s="141"/>
      <c r="R673" s="141"/>
      <c r="S673" s="141"/>
      <c r="T673" s="141"/>
      <c r="U673" s="57"/>
      <c r="V673" s="57"/>
      <c r="W673" s="57"/>
      <c r="X673" s="57"/>
      <c r="Y673" s="57"/>
      <c r="Z673" s="57"/>
      <c r="AA673" s="57"/>
      <c r="AB673" s="57"/>
    </row>
    <row r="674">
      <c r="A674" s="141"/>
      <c r="B674" s="141"/>
      <c r="C674" s="141"/>
      <c r="D674" s="141"/>
      <c r="E674" s="141"/>
      <c r="F674" s="141"/>
      <c r="G674" s="48"/>
      <c r="H674" s="141"/>
      <c r="I674" s="141"/>
      <c r="J674" s="220"/>
      <c r="K674" s="220"/>
      <c r="L674" s="220"/>
      <c r="M674" s="220"/>
      <c r="N674" s="220"/>
      <c r="O674" s="382"/>
      <c r="P674" s="141"/>
      <c r="Q674" s="141"/>
      <c r="R674" s="141"/>
      <c r="S674" s="141"/>
      <c r="T674" s="141"/>
      <c r="U674" s="57"/>
      <c r="V674" s="57"/>
      <c r="W674" s="57"/>
      <c r="X674" s="57"/>
      <c r="Y674" s="57"/>
      <c r="Z674" s="57"/>
      <c r="AA674" s="57"/>
      <c r="AB674" s="57"/>
    </row>
    <row r="675">
      <c r="A675" s="141"/>
      <c r="B675" s="141"/>
      <c r="C675" s="141"/>
      <c r="D675" s="141"/>
      <c r="E675" s="141"/>
      <c r="F675" s="141"/>
      <c r="G675" s="48"/>
      <c r="H675" s="141"/>
      <c r="I675" s="141"/>
      <c r="J675" s="220"/>
      <c r="K675" s="220"/>
      <c r="L675" s="220"/>
      <c r="M675" s="220"/>
      <c r="N675" s="220"/>
      <c r="O675" s="382"/>
      <c r="P675" s="141"/>
      <c r="Q675" s="141"/>
      <c r="R675" s="141"/>
      <c r="S675" s="141"/>
      <c r="T675" s="141"/>
      <c r="U675" s="57"/>
      <c r="V675" s="57"/>
      <c r="W675" s="57"/>
      <c r="X675" s="57"/>
      <c r="Y675" s="57"/>
      <c r="Z675" s="57"/>
      <c r="AA675" s="57"/>
      <c r="AB675" s="57"/>
    </row>
    <row r="676">
      <c r="A676" s="141"/>
      <c r="B676" s="141"/>
      <c r="C676" s="141"/>
      <c r="D676" s="141"/>
      <c r="E676" s="141"/>
      <c r="F676" s="141"/>
      <c r="G676" s="48"/>
      <c r="H676" s="141"/>
      <c r="I676" s="141"/>
      <c r="J676" s="220"/>
      <c r="K676" s="220"/>
      <c r="L676" s="220"/>
      <c r="M676" s="220"/>
      <c r="N676" s="220"/>
      <c r="O676" s="382"/>
      <c r="P676" s="141"/>
      <c r="Q676" s="141"/>
      <c r="R676" s="141"/>
      <c r="S676" s="141"/>
      <c r="T676" s="141"/>
      <c r="U676" s="57"/>
      <c r="V676" s="57"/>
      <c r="W676" s="57"/>
      <c r="X676" s="57"/>
      <c r="Y676" s="57"/>
      <c r="Z676" s="57"/>
      <c r="AA676" s="57"/>
      <c r="AB676" s="57"/>
    </row>
    <row r="677">
      <c r="A677" s="141"/>
      <c r="B677" s="141"/>
      <c r="C677" s="141"/>
      <c r="D677" s="141"/>
      <c r="E677" s="141"/>
      <c r="F677" s="141"/>
      <c r="G677" s="48"/>
      <c r="H677" s="141"/>
      <c r="I677" s="141"/>
      <c r="J677" s="220"/>
      <c r="K677" s="220"/>
      <c r="L677" s="220"/>
      <c r="M677" s="220"/>
      <c r="N677" s="220"/>
      <c r="O677" s="382"/>
      <c r="P677" s="141"/>
      <c r="Q677" s="141"/>
      <c r="R677" s="141"/>
      <c r="S677" s="141"/>
      <c r="T677" s="141"/>
      <c r="U677" s="57"/>
      <c r="V677" s="57"/>
      <c r="W677" s="57"/>
      <c r="X677" s="57"/>
      <c r="Y677" s="57"/>
      <c r="Z677" s="57"/>
      <c r="AA677" s="57"/>
      <c r="AB677" s="57"/>
    </row>
    <row r="678">
      <c r="A678" s="141"/>
      <c r="B678" s="141"/>
      <c r="C678" s="141"/>
      <c r="D678" s="141"/>
      <c r="E678" s="141"/>
      <c r="F678" s="141"/>
      <c r="G678" s="48"/>
      <c r="H678" s="141"/>
      <c r="I678" s="141"/>
      <c r="J678" s="220"/>
      <c r="K678" s="220"/>
      <c r="L678" s="220"/>
      <c r="M678" s="220"/>
      <c r="N678" s="220"/>
      <c r="O678" s="382"/>
      <c r="P678" s="141"/>
      <c r="Q678" s="141"/>
      <c r="R678" s="141"/>
      <c r="S678" s="141"/>
      <c r="T678" s="141"/>
      <c r="U678" s="57"/>
      <c r="V678" s="57"/>
      <c r="W678" s="57"/>
      <c r="X678" s="57"/>
      <c r="Y678" s="57"/>
      <c r="Z678" s="57"/>
      <c r="AA678" s="57"/>
      <c r="AB678" s="57"/>
    </row>
    <row r="679">
      <c r="A679" s="141"/>
      <c r="B679" s="141"/>
      <c r="C679" s="141"/>
      <c r="D679" s="141"/>
      <c r="E679" s="141"/>
      <c r="F679" s="141"/>
      <c r="G679" s="48"/>
      <c r="H679" s="141"/>
      <c r="I679" s="141"/>
      <c r="J679" s="220"/>
      <c r="K679" s="220"/>
      <c r="L679" s="220"/>
      <c r="M679" s="220"/>
      <c r="N679" s="220"/>
      <c r="O679" s="382"/>
      <c r="P679" s="141"/>
      <c r="Q679" s="141"/>
      <c r="R679" s="141"/>
      <c r="S679" s="141"/>
      <c r="T679" s="141"/>
      <c r="U679" s="57"/>
      <c r="V679" s="57"/>
      <c r="W679" s="57"/>
      <c r="X679" s="57"/>
      <c r="Y679" s="57"/>
      <c r="Z679" s="57"/>
      <c r="AA679" s="57"/>
      <c r="AB679" s="57"/>
    </row>
    <row r="680">
      <c r="A680" s="141"/>
      <c r="B680" s="141"/>
      <c r="C680" s="141"/>
      <c r="D680" s="141"/>
      <c r="E680" s="141"/>
      <c r="F680" s="141"/>
      <c r="G680" s="48"/>
      <c r="H680" s="141"/>
      <c r="I680" s="141"/>
      <c r="J680" s="220"/>
      <c r="K680" s="220"/>
      <c r="L680" s="220"/>
      <c r="M680" s="220"/>
      <c r="N680" s="220"/>
      <c r="O680" s="382"/>
      <c r="P680" s="141"/>
      <c r="Q680" s="141"/>
      <c r="R680" s="141"/>
      <c r="S680" s="141"/>
      <c r="T680" s="141"/>
      <c r="U680" s="57"/>
      <c r="V680" s="57"/>
      <c r="W680" s="57"/>
      <c r="X680" s="57"/>
      <c r="Y680" s="57"/>
      <c r="Z680" s="57"/>
      <c r="AA680" s="57"/>
      <c r="AB680" s="57"/>
    </row>
    <row r="681">
      <c r="A681" s="141"/>
      <c r="B681" s="141"/>
      <c r="C681" s="141"/>
      <c r="D681" s="141"/>
      <c r="E681" s="141"/>
      <c r="F681" s="141"/>
      <c r="G681" s="48"/>
      <c r="H681" s="141"/>
      <c r="I681" s="141"/>
      <c r="J681" s="220"/>
      <c r="K681" s="220"/>
      <c r="L681" s="220"/>
      <c r="M681" s="220"/>
      <c r="N681" s="220"/>
      <c r="O681" s="382"/>
      <c r="P681" s="141"/>
      <c r="Q681" s="141"/>
      <c r="R681" s="141"/>
      <c r="S681" s="141"/>
      <c r="T681" s="141"/>
      <c r="U681" s="57"/>
      <c r="V681" s="57"/>
      <c r="W681" s="57"/>
      <c r="X681" s="57"/>
      <c r="Y681" s="57"/>
      <c r="Z681" s="57"/>
      <c r="AA681" s="57"/>
      <c r="AB681" s="57"/>
    </row>
    <row r="682">
      <c r="A682" s="141"/>
      <c r="B682" s="141"/>
      <c r="C682" s="141"/>
      <c r="D682" s="141"/>
      <c r="E682" s="141"/>
      <c r="F682" s="141"/>
      <c r="G682" s="48"/>
      <c r="H682" s="141"/>
      <c r="I682" s="141"/>
      <c r="J682" s="220"/>
      <c r="K682" s="220"/>
      <c r="L682" s="220"/>
      <c r="M682" s="220"/>
      <c r="N682" s="220"/>
      <c r="O682" s="382"/>
      <c r="P682" s="141"/>
      <c r="Q682" s="141"/>
      <c r="R682" s="141"/>
      <c r="S682" s="141"/>
      <c r="T682" s="141"/>
      <c r="U682" s="57"/>
      <c r="V682" s="57"/>
      <c r="W682" s="57"/>
      <c r="X682" s="57"/>
      <c r="Y682" s="57"/>
      <c r="Z682" s="57"/>
      <c r="AA682" s="57"/>
      <c r="AB682" s="57"/>
    </row>
    <row r="683">
      <c r="A683" s="141"/>
      <c r="B683" s="141"/>
      <c r="C683" s="141"/>
      <c r="D683" s="141"/>
      <c r="E683" s="141"/>
      <c r="F683" s="141"/>
      <c r="G683" s="48"/>
      <c r="H683" s="141"/>
      <c r="I683" s="141"/>
      <c r="J683" s="220"/>
      <c r="K683" s="220"/>
      <c r="L683" s="220"/>
      <c r="M683" s="220"/>
      <c r="N683" s="220"/>
      <c r="O683" s="382"/>
      <c r="P683" s="141"/>
      <c r="Q683" s="141"/>
      <c r="R683" s="141"/>
      <c r="S683" s="141"/>
      <c r="T683" s="141"/>
      <c r="U683" s="57"/>
      <c r="V683" s="57"/>
      <c r="W683" s="57"/>
      <c r="X683" s="57"/>
      <c r="Y683" s="57"/>
      <c r="Z683" s="57"/>
      <c r="AA683" s="57"/>
      <c r="AB683" s="57"/>
    </row>
    <row r="684">
      <c r="A684" s="141"/>
      <c r="B684" s="141"/>
      <c r="C684" s="141"/>
      <c r="D684" s="141"/>
      <c r="E684" s="141"/>
      <c r="F684" s="141"/>
      <c r="G684" s="48"/>
      <c r="H684" s="141"/>
      <c r="I684" s="141"/>
      <c r="J684" s="220"/>
      <c r="K684" s="220"/>
      <c r="L684" s="220"/>
      <c r="M684" s="220"/>
      <c r="N684" s="220"/>
      <c r="O684" s="382"/>
      <c r="P684" s="141"/>
      <c r="Q684" s="141"/>
      <c r="R684" s="141"/>
      <c r="S684" s="141"/>
      <c r="T684" s="141"/>
      <c r="U684" s="57"/>
      <c r="V684" s="57"/>
      <c r="W684" s="57"/>
      <c r="X684" s="57"/>
      <c r="Y684" s="57"/>
      <c r="Z684" s="57"/>
      <c r="AA684" s="57"/>
      <c r="AB684" s="57"/>
    </row>
    <row r="685">
      <c r="A685" s="141"/>
      <c r="B685" s="141"/>
      <c r="C685" s="141"/>
      <c r="D685" s="141"/>
      <c r="E685" s="141"/>
      <c r="F685" s="141"/>
      <c r="G685" s="48"/>
      <c r="H685" s="141"/>
      <c r="I685" s="141"/>
      <c r="J685" s="220"/>
      <c r="K685" s="220"/>
      <c r="L685" s="220"/>
      <c r="M685" s="220"/>
      <c r="N685" s="220"/>
      <c r="O685" s="382"/>
      <c r="P685" s="141"/>
      <c r="Q685" s="141"/>
      <c r="R685" s="141"/>
      <c r="S685" s="141"/>
      <c r="T685" s="141"/>
      <c r="U685" s="57"/>
      <c r="V685" s="57"/>
      <c r="W685" s="57"/>
      <c r="X685" s="57"/>
      <c r="Y685" s="57"/>
      <c r="Z685" s="57"/>
      <c r="AA685" s="57"/>
      <c r="AB685" s="57"/>
    </row>
    <row r="686">
      <c r="A686" s="141"/>
      <c r="B686" s="141"/>
      <c r="C686" s="141"/>
      <c r="D686" s="141"/>
      <c r="E686" s="141"/>
      <c r="F686" s="141"/>
      <c r="G686" s="48"/>
      <c r="H686" s="141"/>
      <c r="I686" s="141"/>
      <c r="J686" s="220"/>
      <c r="K686" s="220"/>
      <c r="L686" s="220"/>
      <c r="M686" s="220"/>
      <c r="N686" s="220"/>
      <c r="O686" s="382"/>
      <c r="P686" s="141"/>
      <c r="Q686" s="141"/>
      <c r="R686" s="141"/>
      <c r="S686" s="141"/>
      <c r="T686" s="141"/>
      <c r="U686" s="57"/>
      <c r="V686" s="57"/>
      <c r="W686" s="57"/>
      <c r="X686" s="57"/>
      <c r="Y686" s="57"/>
      <c r="Z686" s="57"/>
      <c r="AA686" s="57"/>
      <c r="AB686" s="57"/>
    </row>
    <row r="687">
      <c r="A687" s="141"/>
      <c r="B687" s="141"/>
      <c r="C687" s="141"/>
      <c r="D687" s="141"/>
      <c r="E687" s="141"/>
      <c r="F687" s="141"/>
      <c r="G687" s="48"/>
      <c r="H687" s="141"/>
      <c r="I687" s="141"/>
      <c r="J687" s="220"/>
      <c r="K687" s="220"/>
      <c r="L687" s="220"/>
      <c r="M687" s="220"/>
      <c r="N687" s="220"/>
      <c r="O687" s="382"/>
      <c r="P687" s="141"/>
      <c r="Q687" s="141"/>
      <c r="R687" s="141"/>
      <c r="S687" s="141"/>
      <c r="T687" s="141"/>
      <c r="U687" s="57"/>
      <c r="V687" s="57"/>
      <c r="W687" s="57"/>
      <c r="X687" s="57"/>
      <c r="Y687" s="57"/>
      <c r="Z687" s="57"/>
      <c r="AA687" s="57"/>
      <c r="AB687" s="57"/>
    </row>
    <row r="688">
      <c r="A688" s="141"/>
      <c r="B688" s="141"/>
      <c r="C688" s="141"/>
      <c r="D688" s="141"/>
      <c r="E688" s="141"/>
      <c r="F688" s="141"/>
      <c r="G688" s="48"/>
      <c r="H688" s="141"/>
      <c r="I688" s="141"/>
      <c r="J688" s="220"/>
      <c r="K688" s="220"/>
      <c r="L688" s="220"/>
      <c r="M688" s="220"/>
      <c r="N688" s="220"/>
      <c r="O688" s="382"/>
      <c r="P688" s="141"/>
      <c r="Q688" s="141"/>
      <c r="R688" s="141"/>
      <c r="S688" s="141"/>
      <c r="T688" s="141"/>
      <c r="U688" s="57"/>
      <c r="V688" s="57"/>
      <c r="W688" s="57"/>
      <c r="X688" s="57"/>
      <c r="Y688" s="57"/>
      <c r="Z688" s="57"/>
      <c r="AA688" s="57"/>
      <c r="AB688" s="57"/>
    </row>
    <row r="689">
      <c r="A689" s="141"/>
      <c r="B689" s="141"/>
      <c r="C689" s="141"/>
      <c r="D689" s="141"/>
      <c r="E689" s="141"/>
      <c r="F689" s="141"/>
      <c r="G689" s="48"/>
      <c r="H689" s="141"/>
      <c r="I689" s="141"/>
      <c r="J689" s="220"/>
      <c r="K689" s="220"/>
      <c r="L689" s="220"/>
      <c r="M689" s="220"/>
      <c r="N689" s="220"/>
      <c r="O689" s="382"/>
      <c r="P689" s="141"/>
      <c r="Q689" s="141"/>
      <c r="R689" s="141"/>
      <c r="S689" s="141"/>
      <c r="T689" s="141"/>
      <c r="U689" s="57"/>
      <c r="V689" s="57"/>
      <c r="W689" s="57"/>
      <c r="X689" s="57"/>
      <c r="Y689" s="57"/>
      <c r="Z689" s="57"/>
      <c r="AA689" s="57"/>
      <c r="AB689" s="57"/>
    </row>
    <row r="690">
      <c r="A690" s="141"/>
      <c r="B690" s="141"/>
      <c r="C690" s="141"/>
      <c r="D690" s="141"/>
      <c r="E690" s="141"/>
      <c r="F690" s="141"/>
      <c r="G690" s="48"/>
      <c r="H690" s="141"/>
      <c r="I690" s="141"/>
      <c r="J690" s="220"/>
      <c r="K690" s="220"/>
      <c r="L690" s="220"/>
      <c r="M690" s="220"/>
      <c r="N690" s="220"/>
      <c r="O690" s="382"/>
      <c r="P690" s="141"/>
      <c r="Q690" s="141"/>
      <c r="R690" s="141"/>
      <c r="S690" s="141"/>
      <c r="T690" s="141"/>
      <c r="U690" s="57"/>
      <c r="V690" s="57"/>
      <c r="W690" s="57"/>
      <c r="X690" s="57"/>
      <c r="Y690" s="57"/>
      <c r="Z690" s="57"/>
      <c r="AA690" s="57"/>
      <c r="AB690" s="57"/>
    </row>
    <row r="691">
      <c r="A691" s="141"/>
      <c r="B691" s="141"/>
      <c r="C691" s="141"/>
      <c r="D691" s="141"/>
      <c r="E691" s="141"/>
      <c r="F691" s="141"/>
      <c r="G691" s="48"/>
      <c r="H691" s="141"/>
      <c r="I691" s="141"/>
      <c r="J691" s="220"/>
      <c r="K691" s="220"/>
      <c r="L691" s="220"/>
      <c r="M691" s="220"/>
      <c r="N691" s="220"/>
      <c r="O691" s="382"/>
      <c r="P691" s="141"/>
      <c r="Q691" s="141"/>
      <c r="R691" s="141"/>
      <c r="S691" s="141"/>
      <c r="T691" s="141"/>
      <c r="U691" s="57"/>
      <c r="V691" s="57"/>
      <c r="W691" s="57"/>
      <c r="X691" s="57"/>
      <c r="Y691" s="57"/>
      <c r="Z691" s="57"/>
      <c r="AA691" s="57"/>
      <c r="AB691" s="57"/>
    </row>
    <row r="692">
      <c r="A692" s="141"/>
      <c r="B692" s="141"/>
      <c r="C692" s="141"/>
      <c r="D692" s="141"/>
      <c r="E692" s="141"/>
      <c r="F692" s="141"/>
      <c r="G692" s="48"/>
      <c r="H692" s="141"/>
      <c r="I692" s="141"/>
      <c r="J692" s="220"/>
      <c r="K692" s="220"/>
      <c r="L692" s="220"/>
      <c r="M692" s="220"/>
      <c r="N692" s="220"/>
      <c r="O692" s="382"/>
      <c r="P692" s="141"/>
      <c r="Q692" s="141"/>
      <c r="R692" s="141"/>
      <c r="S692" s="141"/>
      <c r="T692" s="141"/>
      <c r="U692" s="57"/>
      <c r="V692" s="57"/>
      <c r="W692" s="57"/>
      <c r="X692" s="57"/>
      <c r="Y692" s="57"/>
      <c r="Z692" s="57"/>
      <c r="AA692" s="57"/>
      <c r="AB692" s="57"/>
    </row>
    <row r="693">
      <c r="A693" s="141"/>
      <c r="B693" s="141"/>
      <c r="C693" s="141"/>
      <c r="D693" s="141"/>
      <c r="E693" s="141"/>
      <c r="F693" s="141"/>
      <c r="G693" s="48"/>
      <c r="H693" s="141"/>
      <c r="I693" s="141"/>
      <c r="J693" s="220"/>
      <c r="K693" s="220"/>
      <c r="L693" s="220"/>
      <c r="M693" s="220"/>
      <c r="N693" s="220"/>
      <c r="O693" s="382"/>
      <c r="P693" s="141"/>
      <c r="Q693" s="141"/>
      <c r="R693" s="141"/>
      <c r="S693" s="141"/>
      <c r="T693" s="141"/>
      <c r="U693" s="57"/>
      <c r="V693" s="57"/>
      <c r="W693" s="57"/>
      <c r="X693" s="57"/>
      <c r="Y693" s="57"/>
      <c r="Z693" s="57"/>
      <c r="AA693" s="57"/>
      <c r="AB693" s="57"/>
    </row>
    <row r="694">
      <c r="A694" s="141"/>
      <c r="B694" s="141"/>
      <c r="C694" s="141"/>
      <c r="D694" s="141"/>
      <c r="E694" s="141"/>
      <c r="F694" s="141"/>
      <c r="G694" s="48"/>
      <c r="H694" s="141"/>
      <c r="I694" s="141"/>
      <c r="J694" s="220"/>
      <c r="K694" s="220"/>
      <c r="L694" s="220"/>
      <c r="M694" s="220"/>
      <c r="N694" s="220"/>
      <c r="O694" s="382"/>
      <c r="P694" s="141"/>
      <c r="Q694" s="141"/>
      <c r="R694" s="141"/>
      <c r="S694" s="141"/>
      <c r="T694" s="141"/>
      <c r="U694" s="57"/>
      <c r="V694" s="57"/>
      <c r="W694" s="57"/>
      <c r="X694" s="57"/>
      <c r="Y694" s="57"/>
      <c r="Z694" s="57"/>
      <c r="AA694" s="57"/>
      <c r="AB694" s="57"/>
    </row>
    <row r="695">
      <c r="A695" s="141"/>
      <c r="B695" s="141"/>
      <c r="C695" s="141"/>
      <c r="D695" s="141"/>
      <c r="E695" s="141"/>
      <c r="F695" s="141"/>
      <c r="G695" s="48"/>
      <c r="H695" s="141"/>
      <c r="I695" s="141"/>
      <c r="J695" s="220"/>
      <c r="K695" s="220"/>
      <c r="L695" s="220"/>
      <c r="M695" s="220"/>
      <c r="N695" s="220"/>
      <c r="O695" s="382"/>
      <c r="P695" s="141"/>
      <c r="Q695" s="141"/>
      <c r="R695" s="141"/>
      <c r="S695" s="141"/>
      <c r="T695" s="141"/>
      <c r="U695" s="57"/>
      <c r="V695" s="57"/>
      <c r="W695" s="57"/>
      <c r="X695" s="57"/>
      <c r="Y695" s="57"/>
      <c r="Z695" s="57"/>
      <c r="AA695" s="57"/>
      <c r="AB695" s="57"/>
    </row>
    <row r="696">
      <c r="A696" s="141"/>
      <c r="B696" s="141"/>
      <c r="C696" s="141"/>
      <c r="D696" s="141"/>
      <c r="E696" s="141"/>
      <c r="F696" s="141"/>
      <c r="G696" s="48"/>
      <c r="H696" s="141"/>
      <c r="I696" s="141"/>
      <c r="J696" s="220"/>
      <c r="K696" s="220"/>
      <c r="L696" s="220"/>
      <c r="M696" s="220"/>
      <c r="N696" s="220"/>
      <c r="O696" s="382"/>
      <c r="P696" s="141"/>
      <c r="Q696" s="141"/>
      <c r="R696" s="141"/>
      <c r="S696" s="141"/>
      <c r="T696" s="141"/>
      <c r="U696" s="57"/>
      <c r="V696" s="57"/>
      <c r="W696" s="57"/>
      <c r="X696" s="57"/>
      <c r="Y696" s="57"/>
      <c r="Z696" s="57"/>
      <c r="AA696" s="57"/>
      <c r="AB696" s="57"/>
    </row>
    <row r="697">
      <c r="A697" s="141"/>
      <c r="B697" s="141"/>
      <c r="C697" s="141"/>
      <c r="D697" s="141"/>
      <c r="E697" s="141"/>
      <c r="F697" s="141"/>
      <c r="G697" s="48"/>
      <c r="H697" s="141"/>
      <c r="I697" s="141"/>
      <c r="J697" s="220"/>
      <c r="K697" s="220"/>
      <c r="L697" s="220"/>
      <c r="M697" s="220"/>
      <c r="N697" s="220"/>
      <c r="O697" s="382"/>
      <c r="P697" s="141"/>
      <c r="Q697" s="141"/>
      <c r="R697" s="141"/>
      <c r="S697" s="141"/>
      <c r="T697" s="141"/>
      <c r="U697" s="57"/>
      <c r="V697" s="57"/>
      <c r="W697" s="57"/>
      <c r="X697" s="57"/>
      <c r="Y697" s="57"/>
      <c r="Z697" s="57"/>
      <c r="AA697" s="57"/>
      <c r="AB697" s="57"/>
    </row>
    <row r="698">
      <c r="A698" s="141"/>
      <c r="B698" s="141"/>
      <c r="C698" s="141"/>
      <c r="D698" s="141"/>
      <c r="E698" s="141"/>
      <c r="F698" s="141"/>
      <c r="G698" s="48"/>
      <c r="H698" s="141"/>
      <c r="I698" s="141"/>
      <c r="J698" s="220"/>
      <c r="K698" s="220"/>
      <c r="L698" s="220"/>
      <c r="M698" s="220"/>
      <c r="N698" s="220"/>
      <c r="O698" s="382"/>
      <c r="P698" s="141"/>
      <c r="Q698" s="141"/>
      <c r="R698" s="141"/>
      <c r="S698" s="141"/>
      <c r="T698" s="141"/>
      <c r="U698" s="57"/>
      <c r="V698" s="57"/>
      <c r="W698" s="57"/>
      <c r="X698" s="57"/>
      <c r="Y698" s="57"/>
      <c r="Z698" s="57"/>
      <c r="AA698" s="57"/>
      <c r="AB698" s="57"/>
    </row>
    <row r="699">
      <c r="A699" s="141"/>
      <c r="B699" s="141"/>
      <c r="C699" s="141"/>
      <c r="D699" s="141"/>
      <c r="E699" s="141"/>
      <c r="F699" s="141"/>
      <c r="G699" s="48"/>
      <c r="H699" s="141"/>
      <c r="I699" s="141"/>
      <c r="J699" s="220"/>
      <c r="K699" s="220"/>
      <c r="L699" s="220"/>
      <c r="M699" s="220"/>
      <c r="N699" s="220"/>
      <c r="O699" s="382"/>
      <c r="P699" s="141"/>
      <c r="Q699" s="141"/>
      <c r="R699" s="141"/>
      <c r="S699" s="141"/>
      <c r="T699" s="141"/>
      <c r="U699" s="57"/>
      <c r="V699" s="57"/>
      <c r="W699" s="57"/>
      <c r="X699" s="57"/>
      <c r="Y699" s="57"/>
      <c r="Z699" s="57"/>
      <c r="AA699" s="57"/>
      <c r="AB699" s="57"/>
    </row>
    <row r="700">
      <c r="A700" s="141"/>
      <c r="B700" s="141"/>
      <c r="C700" s="141"/>
      <c r="D700" s="141"/>
      <c r="E700" s="141"/>
      <c r="F700" s="141"/>
      <c r="G700" s="48"/>
      <c r="H700" s="141"/>
      <c r="I700" s="141"/>
      <c r="J700" s="220"/>
      <c r="K700" s="220"/>
      <c r="L700" s="220"/>
      <c r="M700" s="220"/>
      <c r="N700" s="220"/>
      <c r="O700" s="382"/>
      <c r="P700" s="141"/>
      <c r="Q700" s="141"/>
      <c r="R700" s="141"/>
      <c r="S700" s="141"/>
      <c r="T700" s="141"/>
      <c r="U700" s="57"/>
      <c r="V700" s="57"/>
      <c r="W700" s="57"/>
      <c r="X700" s="57"/>
      <c r="Y700" s="57"/>
      <c r="Z700" s="57"/>
      <c r="AA700" s="57"/>
      <c r="AB700" s="57"/>
    </row>
    <row r="701">
      <c r="A701" s="141"/>
      <c r="B701" s="141"/>
      <c r="C701" s="141"/>
      <c r="D701" s="141"/>
      <c r="E701" s="141"/>
      <c r="F701" s="141"/>
      <c r="G701" s="48"/>
      <c r="H701" s="141"/>
      <c r="I701" s="141"/>
      <c r="J701" s="220"/>
      <c r="K701" s="220"/>
      <c r="L701" s="220"/>
      <c r="M701" s="220"/>
      <c r="N701" s="220"/>
      <c r="O701" s="382"/>
      <c r="P701" s="141"/>
      <c r="Q701" s="141"/>
      <c r="R701" s="141"/>
      <c r="S701" s="141"/>
      <c r="T701" s="141"/>
      <c r="U701" s="57"/>
      <c r="V701" s="57"/>
      <c r="W701" s="57"/>
      <c r="X701" s="57"/>
      <c r="Y701" s="57"/>
      <c r="Z701" s="57"/>
      <c r="AA701" s="57"/>
      <c r="AB701" s="57"/>
    </row>
    <row r="702">
      <c r="A702" s="141"/>
      <c r="B702" s="141"/>
      <c r="C702" s="141"/>
      <c r="D702" s="141"/>
      <c r="E702" s="141"/>
      <c r="F702" s="141"/>
      <c r="G702" s="48"/>
      <c r="H702" s="141"/>
      <c r="I702" s="141"/>
      <c r="J702" s="220"/>
      <c r="K702" s="220"/>
      <c r="L702" s="220"/>
      <c r="M702" s="220"/>
      <c r="N702" s="220"/>
      <c r="O702" s="382"/>
      <c r="P702" s="141"/>
      <c r="Q702" s="141"/>
      <c r="R702" s="141"/>
      <c r="S702" s="141"/>
      <c r="T702" s="141"/>
      <c r="U702" s="57"/>
      <c r="V702" s="57"/>
      <c r="W702" s="57"/>
      <c r="X702" s="57"/>
      <c r="Y702" s="57"/>
      <c r="Z702" s="57"/>
      <c r="AA702" s="57"/>
      <c r="AB702" s="57"/>
    </row>
    <row r="703">
      <c r="A703" s="141"/>
      <c r="B703" s="141"/>
      <c r="C703" s="141"/>
      <c r="D703" s="141"/>
      <c r="E703" s="141"/>
      <c r="F703" s="141"/>
      <c r="G703" s="48"/>
      <c r="H703" s="141"/>
      <c r="I703" s="141"/>
      <c r="J703" s="220"/>
      <c r="K703" s="220"/>
      <c r="L703" s="220"/>
      <c r="M703" s="220"/>
      <c r="N703" s="220"/>
      <c r="O703" s="382"/>
      <c r="P703" s="141"/>
      <c r="Q703" s="141"/>
      <c r="R703" s="141"/>
      <c r="S703" s="141"/>
      <c r="T703" s="141"/>
      <c r="U703" s="57"/>
      <c r="V703" s="57"/>
      <c r="W703" s="57"/>
      <c r="X703" s="57"/>
      <c r="Y703" s="57"/>
      <c r="Z703" s="57"/>
      <c r="AA703" s="57"/>
      <c r="AB703" s="57"/>
    </row>
    <row r="704">
      <c r="A704" s="141"/>
      <c r="B704" s="141"/>
      <c r="C704" s="141"/>
      <c r="D704" s="141"/>
      <c r="E704" s="141"/>
      <c r="F704" s="141"/>
      <c r="G704" s="48"/>
      <c r="H704" s="141"/>
      <c r="I704" s="141"/>
      <c r="J704" s="220"/>
      <c r="K704" s="220"/>
      <c r="L704" s="220"/>
      <c r="M704" s="220"/>
      <c r="N704" s="220"/>
      <c r="O704" s="382"/>
      <c r="P704" s="141"/>
      <c r="Q704" s="141"/>
      <c r="R704" s="141"/>
      <c r="S704" s="141"/>
      <c r="T704" s="141"/>
      <c r="U704" s="57"/>
      <c r="V704" s="57"/>
      <c r="W704" s="57"/>
      <c r="X704" s="57"/>
      <c r="Y704" s="57"/>
      <c r="Z704" s="57"/>
      <c r="AA704" s="57"/>
      <c r="AB704" s="57"/>
    </row>
    <row r="705">
      <c r="A705" s="141"/>
      <c r="B705" s="141"/>
      <c r="C705" s="141"/>
      <c r="D705" s="141"/>
      <c r="E705" s="141"/>
      <c r="F705" s="141"/>
      <c r="G705" s="48"/>
      <c r="H705" s="141"/>
      <c r="I705" s="141"/>
      <c r="J705" s="220"/>
      <c r="K705" s="220"/>
      <c r="L705" s="220"/>
      <c r="M705" s="220"/>
      <c r="N705" s="220"/>
      <c r="O705" s="382"/>
      <c r="P705" s="141"/>
      <c r="Q705" s="141"/>
      <c r="R705" s="141"/>
      <c r="S705" s="141"/>
      <c r="T705" s="141"/>
      <c r="U705" s="57"/>
      <c r="V705" s="57"/>
      <c r="W705" s="57"/>
      <c r="X705" s="57"/>
      <c r="Y705" s="57"/>
      <c r="Z705" s="57"/>
      <c r="AA705" s="57"/>
      <c r="AB705" s="57"/>
    </row>
    <row r="706">
      <c r="A706" s="141"/>
      <c r="B706" s="141"/>
      <c r="C706" s="141"/>
      <c r="D706" s="141"/>
      <c r="E706" s="141"/>
      <c r="F706" s="141"/>
      <c r="G706" s="48"/>
      <c r="H706" s="141"/>
      <c r="I706" s="141"/>
      <c r="J706" s="220"/>
      <c r="K706" s="220"/>
      <c r="L706" s="220"/>
      <c r="M706" s="220"/>
      <c r="N706" s="220"/>
      <c r="O706" s="382"/>
      <c r="P706" s="141"/>
      <c r="Q706" s="141"/>
      <c r="R706" s="141"/>
      <c r="S706" s="141"/>
      <c r="T706" s="141"/>
      <c r="U706" s="57"/>
      <c r="V706" s="57"/>
      <c r="W706" s="57"/>
      <c r="X706" s="57"/>
      <c r="Y706" s="57"/>
      <c r="Z706" s="57"/>
      <c r="AA706" s="57"/>
      <c r="AB706" s="57"/>
    </row>
    <row r="707">
      <c r="A707" s="141"/>
      <c r="B707" s="141"/>
      <c r="C707" s="141"/>
      <c r="D707" s="141"/>
      <c r="E707" s="141"/>
      <c r="F707" s="141"/>
      <c r="G707" s="48"/>
      <c r="H707" s="141"/>
      <c r="I707" s="141"/>
      <c r="J707" s="220"/>
      <c r="K707" s="220"/>
      <c r="L707" s="220"/>
      <c r="M707" s="220"/>
      <c r="N707" s="220"/>
      <c r="O707" s="382"/>
      <c r="P707" s="141"/>
      <c r="Q707" s="141"/>
      <c r="R707" s="141"/>
      <c r="S707" s="141"/>
      <c r="T707" s="141"/>
      <c r="U707" s="57"/>
      <c r="V707" s="57"/>
      <c r="W707" s="57"/>
      <c r="X707" s="57"/>
      <c r="Y707" s="57"/>
      <c r="Z707" s="57"/>
      <c r="AA707" s="57"/>
      <c r="AB707" s="57"/>
    </row>
    <row r="708">
      <c r="A708" s="141"/>
      <c r="B708" s="141"/>
      <c r="C708" s="141"/>
      <c r="D708" s="141"/>
      <c r="E708" s="141"/>
      <c r="F708" s="141"/>
      <c r="G708" s="48"/>
      <c r="H708" s="141"/>
      <c r="I708" s="141"/>
      <c r="J708" s="220"/>
      <c r="K708" s="220"/>
      <c r="L708" s="220"/>
      <c r="M708" s="220"/>
      <c r="N708" s="220"/>
      <c r="O708" s="382"/>
      <c r="P708" s="141"/>
      <c r="Q708" s="141"/>
      <c r="R708" s="141"/>
      <c r="S708" s="141"/>
      <c r="T708" s="141"/>
      <c r="U708" s="57"/>
      <c r="V708" s="57"/>
      <c r="W708" s="57"/>
      <c r="X708" s="57"/>
      <c r="Y708" s="57"/>
      <c r="Z708" s="57"/>
      <c r="AA708" s="57"/>
      <c r="AB708" s="57"/>
    </row>
    <row r="709">
      <c r="A709" s="141"/>
      <c r="B709" s="141"/>
      <c r="C709" s="141"/>
      <c r="D709" s="141"/>
      <c r="E709" s="141"/>
      <c r="F709" s="141"/>
      <c r="G709" s="48"/>
      <c r="H709" s="141"/>
      <c r="I709" s="141"/>
      <c r="J709" s="220"/>
      <c r="K709" s="220"/>
      <c r="L709" s="220"/>
      <c r="M709" s="220"/>
      <c r="N709" s="220"/>
      <c r="O709" s="382"/>
      <c r="P709" s="141"/>
      <c r="Q709" s="141"/>
      <c r="R709" s="141"/>
      <c r="S709" s="141"/>
      <c r="T709" s="141"/>
      <c r="U709" s="57"/>
      <c r="V709" s="57"/>
      <c r="W709" s="57"/>
      <c r="X709" s="57"/>
      <c r="Y709" s="57"/>
      <c r="Z709" s="57"/>
      <c r="AA709" s="57"/>
      <c r="AB709" s="57"/>
    </row>
    <row r="710">
      <c r="A710" s="141"/>
      <c r="B710" s="141"/>
      <c r="C710" s="141"/>
      <c r="D710" s="141"/>
      <c r="E710" s="141"/>
      <c r="F710" s="141"/>
      <c r="G710" s="48"/>
      <c r="H710" s="141"/>
      <c r="I710" s="141"/>
      <c r="J710" s="220"/>
      <c r="K710" s="220"/>
      <c r="L710" s="220"/>
      <c r="M710" s="220"/>
      <c r="N710" s="220"/>
      <c r="O710" s="382"/>
      <c r="P710" s="141"/>
      <c r="Q710" s="141"/>
      <c r="R710" s="141"/>
      <c r="S710" s="141"/>
      <c r="T710" s="141"/>
      <c r="U710" s="57"/>
      <c r="V710" s="57"/>
      <c r="W710" s="57"/>
      <c r="X710" s="57"/>
      <c r="Y710" s="57"/>
      <c r="Z710" s="57"/>
      <c r="AA710" s="57"/>
      <c r="AB710" s="57"/>
    </row>
    <row r="711">
      <c r="A711" s="141"/>
      <c r="B711" s="141"/>
      <c r="C711" s="141"/>
      <c r="D711" s="141"/>
      <c r="E711" s="141"/>
      <c r="F711" s="141"/>
      <c r="G711" s="48"/>
      <c r="H711" s="141"/>
      <c r="I711" s="141"/>
      <c r="J711" s="220"/>
      <c r="K711" s="220"/>
      <c r="L711" s="220"/>
      <c r="M711" s="220"/>
      <c r="N711" s="220"/>
      <c r="O711" s="382"/>
      <c r="P711" s="141"/>
      <c r="Q711" s="141"/>
      <c r="R711" s="141"/>
      <c r="S711" s="141"/>
      <c r="T711" s="141"/>
      <c r="U711" s="57"/>
      <c r="V711" s="57"/>
      <c r="W711" s="57"/>
      <c r="X711" s="57"/>
      <c r="Y711" s="57"/>
      <c r="Z711" s="57"/>
      <c r="AA711" s="57"/>
      <c r="AB711" s="57"/>
    </row>
    <row r="712">
      <c r="A712" s="141"/>
      <c r="B712" s="141"/>
      <c r="C712" s="141"/>
      <c r="D712" s="141"/>
      <c r="E712" s="141"/>
      <c r="F712" s="141"/>
      <c r="G712" s="48"/>
      <c r="H712" s="141"/>
      <c r="I712" s="141"/>
      <c r="J712" s="220"/>
      <c r="K712" s="220"/>
      <c r="L712" s="220"/>
      <c r="M712" s="220"/>
      <c r="N712" s="220"/>
      <c r="O712" s="382"/>
      <c r="P712" s="141"/>
      <c r="Q712" s="141"/>
      <c r="R712" s="141"/>
      <c r="S712" s="141"/>
      <c r="T712" s="141"/>
      <c r="U712" s="57"/>
      <c r="V712" s="57"/>
      <c r="W712" s="57"/>
      <c r="X712" s="57"/>
      <c r="Y712" s="57"/>
      <c r="Z712" s="57"/>
      <c r="AA712" s="57"/>
      <c r="AB712" s="57"/>
    </row>
    <row r="713">
      <c r="A713" s="141"/>
      <c r="B713" s="141"/>
      <c r="C713" s="141"/>
      <c r="D713" s="141"/>
      <c r="E713" s="141"/>
      <c r="F713" s="141"/>
      <c r="G713" s="48"/>
      <c r="H713" s="141"/>
      <c r="I713" s="141"/>
      <c r="J713" s="220"/>
      <c r="K713" s="220"/>
      <c r="L713" s="220"/>
      <c r="M713" s="220"/>
      <c r="N713" s="220"/>
      <c r="O713" s="382"/>
      <c r="P713" s="141"/>
      <c r="Q713" s="141"/>
      <c r="R713" s="141"/>
      <c r="S713" s="141"/>
      <c r="T713" s="141"/>
      <c r="U713" s="57"/>
      <c r="V713" s="57"/>
      <c r="W713" s="57"/>
      <c r="X713" s="57"/>
      <c r="Y713" s="57"/>
      <c r="Z713" s="57"/>
      <c r="AA713" s="57"/>
      <c r="AB713" s="57"/>
    </row>
    <row r="714">
      <c r="A714" s="141"/>
      <c r="B714" s="141"/>
      <c r="C714" s="141"/>
      <c r="D714" s="141"/>
      <c r="E714" s="141"/>
      <c r="F714" s="141"/>
      <c r="G714" s="48"/>
      <c r="H714" s="141"/>
      <c r="I714" s="141"/>
      <c r="J714" s="220"/>
      <c r="K714" s="220"/>
      <c r="L714" s="220"/>
      <c r="M714" s="220"/>
      <c r="N714" s="220"/>
      <c r="O714" s="382"/>
      <c r="P714" s="141"/>
      <c r="Q714" s="141"/>
      <c r="R714" s="141"/>
      <c r="S714" s="141"/>
      <c r="T714" s="141"/>
      <c r="U714" s="57"/>
      <c r="V714" s="57"/>
      <c r="W714" s="57"/>
      <c r="X714" s="57"/>
      <c r="Y714" s="57"/>
      <c r="Z714" s="57"/>
      <c r="AA714" s="57"/>
      <c r="AB714" s="57"/>
    </row>
    <row r="715">
      <c r="A715" s="141"/>
      <c r="B715" s="141"/>
      <c r="C715" s="141"/>
      <c r="D715" s="141"/>
      <c r="E715" s="141"/>
      <c r="F715" s="141"/>
      <c r="G715" s="48"/>
      <c r="H715" s="141"/>
      <c r="I715" s="141"/>
      <c r="J715" s="220"/>
      <c r="K715" s="220"/>
      <c r="L715" s="220"/>
      <c r="M715" s="220"/>
      <c r="N715" s="220"/>
      <c r="O715" s="382"/>
      <c r="P715" s="141"/>
      <c r="Q715" s="141"/>
      <c r="R715" s="141"/>
      <c r="S715" s="141"/>
      <c r="T715" s="141"/>
      <c r="U715" s="57"/>
      <c r="V715" s="57"/>
      <c r="W715" s="57"/>
      <c r="X715" s="57"/>
      <c r="Y715" s="57"/>
      <c r="Z715" s="57"/>
      <c r="AA715" s="57"/>
      <c r="AB715" s="57"/>
    </row>
    <row r="716">
      <c r="A716" s="141"/>
      <c r="B716" s="141"/>
      <c r="C716" s="141"/>
      <c r="D716" s="141"/>
      <c r="E716" s="141"/>
      <c r="F716" s="141"/>
      <c r="G716" s="48"/>
      <c r="H716" s="141"/>
      <c r="I716" s="141"/>
      <c r="J716" s="220"/>
      <c r="K716" s="220"/>
      <c r="L716" s="220"/>
      <c r="M716" s="220"/>
      <c r="N716" s="220"/>
      <c r="O716" s="382"/>
      <c r="P716" s="141"/>
      <c r="Q716" s="141"/>
      <c r="R716" s="141"/>
      <c r="S716" s="141"/>
      <c r="T716" s="141"/>
      <c r="U716" s="57"/>
      <c r="V716" s="57"/>
      <c r="W716" s="57"/>
      <c r="X716" s="57"/>
      <c r="Y716" s="57"/>
      <c r="Z716" s="57"/>
      <c r="AA716" s="57"/>
      <c r="AB716" s="57"/>
    </row>
    <row r="717">
      <c r="A717" s="141"/>
      <c r="B717" s="141"/>
      <c r="C717" s="141"/>
      <c r="D717" s="141"/>
      <c r="E717" s="141"/>
      <c r="F717" s="141"/>
      <c r="G717" s="48"/>
      <c r="H717" s="141"/>
      <c r="I717" s="141"/>
      <c r="J717" s="220"/>
      <c r="K717" s="220"/>
      <c r="L717" s="220"/>
      <c r="M717" s="220"/>
      <c r="N717" s="220"/>
      <c r="O717" s="382"/>
      <c r="P717" s="141"/>
      <c r="Q717" s="141"/>
      <c r="R717" s="141"/>
      <c r="S717" s="141"/>
      <c r="T717" s="141"/>
      <c r="U717" s="57"/>
      <c r="V717" s="57"/>
      <c r="W717" s="57"/>
      <c r="X717" s="57"/>
      <c r="Y717" s="57"/>
      <c r="Z717" s="57"/>
      <c r="AA717" s="57"/>
      <c r="AB717" s="57"/>
    </row>
    <row r="718">
      <c r="A718" s="141"/>
      <c r="B718" s="141"/>
      <c r="C718" s="141"/>
      <c r="D718" s="141"/>
      <c r="E718" s="141"/>
      <c r="F718" s="141"/>
      <c r="G718" s="48"/>
      <c r="H718" s="141"/>
      <c r="I718" s="141"/>
      <c r="J718" s="220"/>
      <c r="K718" s="220"/>
      <c r="L718" s="220"/>
      <c r="M718" s="220"/>
      <c r="N718" s="220"/>
      <c r="O718" s="382"/>
      <c r="P718" s="141"/>
      <c r="Q718" s="141"/>
      <c r="R718" s="141"/>
      <c r="S718" s="141"/>
      <c r="T718" s="141"/>
      <c r="U718" s="57"/>
      <c r="V718" s="57"/>
      <c r="W718" s="57"/>
      <c r="X718" s="57"/>
      <c r="Y718" s="57"/>
      <c r="Z718" s="57"/>
      <c r="AA718" s="57"/>
      <c r="AB718" s="57"/>
    </row>
    <row r="719">
      <c r="A719" s="141"/>
      <c r="B719" s="141"/>
      <c r="C719" s="141"/>
      <c r="D719" s="141"/>
      <c r="E719" s="141"/>
      <c r="F719" s="141"/>
      <c r="G719" s="48"/>
      <c r="H719" s="141"/>
      <c r="I719" s="141"/>
      <c r="J719" s="220"/>
      <c r="K719" s="220"/>
      <c r="L719" s="220"/>
      <c r="M719" s="220"/>
      <c r="N719" s="220"/>
      <c r="O719" s="382"/>
      <c r="P719" s="141"/>
      <c r="Q719" s="141"/>
      <c r="R719" s="141"/>
      <c r="S719" s="141"/>
      <c r="T719" s="141"/>
      <c r="U719" s="57"/>
      <c r="V719" s="57"/>
      <c r="W719" s="57"/>
      <c r="X719" s="57"/>
      <c r="Y719" s="57"/>
      <c r="Z719" s="57"/>
      <c r="AA719" s="57"/>
      <c r="AB719" s="57"/>
    </row>
    <row r="720">
      <c r="A720" s="141"/>
      <c r="B720" s="141"/>
      <c r="C720" s="141"/>
      <c r="D720" s="141"/>
      <c r="E720" s="141"/>
      <c r="F720" s="141"/>
      <c r="G720" s="48"/>
      <c r="H720" s="141"/>
      <c r="I720" s="141"/>
      <c r="J720" s="220"/>
      <c r="K720" s="220"/>
      <c r="L720" s="220"/>
      <c r="M720" s="220"/>
      <c r="N720" s="220"/>
      <c r="O720" s="382"/>
      <c r="P720" s="141"/>
      <c r="Q720" s="141"/>
      <c r="R720" s="141"/>
      <c r="S720" s="141"/>
      <c r="T720" s="141"/>
      <c r="U720" s="57"/>
      <c r="V720" s="57"/>
      <c r="W720" s="57"/>
      <c r="X720" s="57"/>
      <c r="Y720" s="57"/>
      <c r="Z720" s="57"/>
      <c r="AA720" s="57"/>
      <c r="AB720" s="57"/>
    </row>
    <row r="721">
      <c r="A721" s="141"/>
      <c r="B721" s="141"/>
      <c r="C721" s="141"/>
      <c r="D721" s="141"/>
      <c r="E721" s="141"/>
      <c r="F721" s="141"/>
      <c r="G721" s="48"/>
      <c r="H721" s="141"/>
      <c r="I721" s="141"/>
      <c r="J721" s="220"/>
      <c r="K721" s="220"/>
      <c r="L721" s="220"/>
      <c r="M721" s="220"/>
      <c r="N721" s="220"/>
      <c r="O721" s="382"/>
      <c r="P721" s="141"/>
      <c r="Q721" s="141"/>
      <c r="R721" s="141"/>
      <c r="S721" s="141"/>
      <c r="T721" s="141"/>
      <c r="U721" s="57"/>
      <c r="V721" s="57"/>
      <c r="W721" s="57"/>
      <c r="X721" s="57"/>
      <c r="Y721" s="57"/>
      <c r="Z721" s="57"/>
      <c r="AA721" s="57"/>
      <c r="AB721" s="57"/>
    </row>
    <row r="722">
      <c r="A722" s="141"/>
      <c r="B722" s="141"/>
      <c r="C722" s="141"/>
      <c r="D722" s="141"/>
      <c r="E722" s="141"/>
      <c r="F722" s="141"/>
      <c r="G722" s="48"/>
      <c r="H722" s="141"/>
      <c r="I722" s="141"/>
      <c r="J722" s="220"/>
      <c r="K722" s="220"/>
      <c r="L722" s="220"/>
      <c r="M722" s="220"/>
      <c r="N722" s="220"/>
      <c r="O722" s="382"/>
      <c r="P722" s="141"/>
      <c r="Q722" s="141"/>
      <c r="R722" s="141"/>
      <c r="S722" s="141"/>
      <c r="T722" s="141"/>
      <c r="U722" s="57"/>
      <c r="V722" s="57"/>
      <c r="W722" s="57"/>
      <c r="X722" s="57"/>
      <c r="Y722" s="57"/>
      <c r="Z722" s="57"/>
      <c r="AA722" s="57"/>
      <c r="AB722" s="57"/>
    </row>
    <row r="723">
      <c r="A723" s="141"/>
      <c r="B723" s="141"/>
      <c r="C723" s="141"/>
      <c r="D723" s="141"/>
      <c r="E723" s="141"/>
      <c r="F723" s="141"/>
      <c r="G723" s="48"/>
      <c r="H723" s="141"/>
      <c r="I723" s="141"/>
      <c r="J723" s="220"/>
      <c r="K723" s="220"/>
      <c r="L723" s="220"/>
      <c r="M723" s="220"/>
      <c r="N723" s="220"/>
      <c r="O723" s="382"/>
      <c r="P723" s="141"/>
      <c r="Q723" s="141"/>
      <c r="R723" s="141"/>
      <c r="S723" s="141"/>
      <c r="T723" s="141"/>
      <c r="U723" s="57"/>
      <c r="V723" s="57"/>
      <c r="W723" s="57"/>
      <c r="X723" s="57"/>
      <c r="Y723" s="57"/>
      <c r="Z723" s="57"/>
      <c r="AA723" s="57"/>
      <c r="AB723" s="57"/>
    </row>
    <row r="724">
      <c r="A724" s="141"/>
      <c r="B724" s="141"/>
      <c r="C724" s="141"/>
      <c r="D724" s="141"/>
      <c r="E724" s="141"/>
      <c r="F724" s="141"/>
      <c r="G724" s="48"/>
      <c r="H724" s="141"/>
      <c r="I724" s="141"/>
      <c r="J724" s="220"/>
      <c r="K724" s="220"/>
      <c r="L724" s="220"/>
      <c r="M724" s="220"/>
      <c r="N724" s="220"/>
      <c r="O724" s="382"/>
      <c r="P724" s="141"/>
      <c r="Q724" s="141"/>
      <c r="R724" s="141"/>
      <c r="S724" s="141"/>
      <c r="T724" s="141"/>
      <c r="U724" s="57"/>
      <c r="V724" s="57"/>
      <c r="W724" s="57"/>
      <c r="X724" s="57"/>
      <c r="Y724" s="57"/>
      <c r="Z724" s="57"/>
      <c r="AA724" s="57"/>
      <c r="AB724" s="57"/>
    </row>
    <row r="725">
      <c r="A725" s="141"/>
      <c r="B725" s="141"/>
      <c r="C725" s="141"/>
      <c r="D725" s="141"/>
      <c r="E725" s="141"/>
      <c r="F725" s="141"/>
      <c r="G725" s="48"/>
      <c r="H725" s="141"/>
      <c r="I725" s="141"/>
      <c r="J725" s="220"/>
      <c r="K725" s="220"/>
      <c r="L725" s="220"/>
      <c r="M725" s="220"/>
      <c r="N725" s="220"/>
      <c r="O725" s="382"/>
      <c r="P725" s="141"/>
      <c r="Q725" s="141"/>
      <c r="R725" s="141"/>
      <c r="S725" s="141"/>
      <c r="T725" s="141"/>
      <c r="U725" s="57"/>
      <c r="V725" s="57"/>
      <c r="W725" s="57"/>
      <c r="X725" s="57"/>
      <c r="Y725" s="57"/>
      <c r="Z725" s="57"/>
      <c r="AA725" s="57"/>
      <c r="AB725" s="57"/>
    </row>
    <row r="726">
      <c r="A726" s="141"/>
      <c r="B726" s="141"/>
      <c r="C726" s="141"/>
      <c r="D726" s="141"/>
      <c r="E726" s="141"/>
      <c r="F726" s="141"/>
      <c r="G726" s="48"/>
      <c r="H726" s="141"/>
      <c r="I726" s="141"/>
      <c r="J726" s="220"/>
      <c r="K726" s="220"/>
      <c r="L726" s="220"/>
      <c r="M726" s="220"/>
      <c r="N726" s="220"/>
      <c r="O726" s="382"/>
      <c r="P726" s="141"/>
      <c r="Q726" s="141"/>
      <c r="R726" s="141"/>
      <c r="S726" s="141"/>
      <c r="T726" s="141"/>
      <c r="U726" s="57"/>
      <c r="V726" s="57"/>
      <c r="W726" s="57"/>
      <c r="X726" s="57"/>
      <c r="Y726" s="57"/>
      <c r="Z726" s="57"/>
      <c r="AA726" s="57"/>
      <c r="AB726" s="57"/>
    </row>
    <row r="727">
      <c r="A727" s="141"/>
      <c r="B727" s="141"/>
      <c r="C727" s="141"/>
      <c r="D727" s="141"/>
      <c r="E727" s="141"/>
      <c r="F727" s="141"/>
      <c r="G727" s="48"/>
      <c r="H727" s="141"/>
      <c r="I727" s="141"/>
      <c r="J727" s="220"/>
      <c r="K727" s="220"/>
      <c r="L727" s="220"/>
      <c r="M727" s="220"/>
      <c r="N727" s="220"/>
      <c r="O727" s="382"/>
      <c r="P727" s="141"/>
      <c r="Q727" s="141"/>
      <c r="R727" s="141"/>
      <c r="S727" s="141"/>
      <c r="T727" s="141"/>
      <c r="U727" s="57"/>
      <c r="V727" s="57"/>
      <c r="W727" s="57"/>
      <c r="X727" s="57"/>
      <c r="Y727" s="57"/>
      <c r="Z727" s="57"/>
      <c r="AA727" s="57"/>
      <c r="AB727" s="57"/>
    </row>
    <row r="728">
      <c r="A728" s="141"/>
      <c r="B728" s="141"/>
      <c r="C728" s="141"/>
      <c r="D728" s="141"/>
      <c r="E728" s="141"/>
      <c r="F728" s="141"/>
      <c r="G728" s="48"/>
      <c r="H728" s="141"/>
      <c r="I728" s="141"/>
      <c r="J728" s="220"/>
      <c r="K728" s="220"/>
      <c r="L728" s="220"/>
      <c r="M728" s="220"/>
      <c r="N728" s="220"/>
      <c r="O728" s="382"/>
      <c r="P728" s="141"/>
      <c r="Q728" s="141"/>
      <c r="R728" s="141"/>
      <c r="S728" s="141"/>
      <c r="T728" s="141"/>
      <c r="U728" s="57"/>
      <c r="V728" s="57"/>
      <c r="W728" s="57"/>
      <c r="X728" s="57"/>
      <c r="Y728" s="57"/>
      <c r="Z728" s="57"/>
      <c r="AA728" s="57"/>
      <c r="AB728" s="57"/>
    </row>
    <row r="729">
      <c r="A729" s="141"/>
      <c r="B729" s="141"/>
      <c r="C729" s="141"/>
      <c r="D729" s="141"/>
      <c r="E729" s="141"/>
      <c r="F729" s="141"/>
      <c r="G729" s="48"/>
      <c r="H729" s="141"/>
      <c r="I729" s="141"/>
      <c r="J729" s="220"/>
      <c r="K729" s="220"/>
      <c r="L729" s="220"/>
      <c r="M729" s="220"/>
      <c r="N729" s="220"/>
      <c r="O729" s="382"/>
      <c r="P729" s="141"/>
      <c r="Q729" s="141"/>
      <c r="R729" s="141"/>
      <c r="S729" s="141"/>
      <c r="T729" s="141"/>
      <c r="U729" s="57"/>
      <c r="V729" s="57"/>
      <c r="W729" s="57"/>
      <c r="X729" s="57"/>
      <c r="Y729" s="57"/>
      <c r="Z729" s="57"/>
      <c r="AA729" s="57"/>
      <c r="AB729" s="57"/>
    </row>
    <row r="730">
      <c r="A730" s="141"/>
      <c r="B730" s="141"/>
      <c r="C730" s="141"/>
      <c r="D730" s="141"/>
      <c r="E730" s="141"/>
      <c r="F730" s="141"/>
      <c r="G730" s="48"/>
      <c r="H730" s="141"/>
      <c r="I730" s="141"/>
      <c r="J730" s="220"/>
      <c r="K730" s="220"/>
      <c r="L730" s="220"/>
      <c r="M730" s="220"/>
      <c r="N730" s="220"/>
      <c r="O730" s="382"/>
      <c r="P730" s="141"/>
      <c r="Q730" s="141"/>
      <c r="R730" s="141"/>
      <c r="S730" s="141"/>
      <c r="T730" s="141"/>
      <c r="U730" s="57"/>
      <c r="V730" s="57"/>
      <c r="W730" s="57"/>
      <c r="X730" s="57"/>
      <c r="Y730" s="57"/>
      <c r="Z730" s="57"/>
      <c r="AA730" s="57"/>
      <c r="AB730" s="57"/>
    </row>
    <row r="731">
      <c r="A731" s="141"/>
      <c r="B731" s="141"/>
      <c r="C731" s="141"/>
      <c r="D731" s="141"/>
      <c r="E731" s="141"/>
      <c r="F731" s="141"/>
      <c r="G731" s="48"/>
      <c r="H731" s="141"/>
      <c r="I731" s="141"/>
      <c r="J731" s="220"/>
      <c r="K731" s="220"/>
      <c r="L731" s="220"/>
      <c r="M731" s="220"/>
      <c r="N731" s="220"/>
      <c r="O731" s="382"/>
      <c r="P731" s="141"/>
      <c r="Q731" s="141"/>
      <c r="R731" s="141"/>
      <c r="S731" s="141"/>
      <c r="T731" s="141"/>
      <c r="U731" s="57"/>
      <c r="V731" s="57"/>
      <c r="W731" s="57"/>
      <c r="X731" s="57"/>
      <c r="Y731" s="57"/>
      <c r="Z731" s="57"/>
      <c r="AA731" s="57"/>
      <c r="AB731" s="57"/>
    </row>
    <row r="732">
      <c r="A732" s="141"/>
      <c r="B732" s="141"/>
      <c r="C732" s="141"/>
      <c r="D732" s="141"/>
      <c r="E732" s="141"/>
      <c r="F732" s="141"/>
      <c r="G732" s="48"/>
      <c r="H732" s="141"/>
      <c r="I732" s="141"/>
      <c r="J732" s="220"/>
      <c r="K732" s="220"/>
      <c r="L732" s="220"/>
      <c r="M732" s="220"/>
      <c r="N732" s="220"/>
      <c r="O732" s="382"/>
      <c r="P732" s="141"/>
      <c r="Q732" s="141"/>
      <c r="R732" s="141"/>
      <c r="S732" s="141"/>
      <c r="T732" s="141"/>
      <c r="U732" s="57"/>
      <c r="V732" s="57"/>
      <c r="W732" s="57"/>
      <c r="X732" s="57"/>
      <c r="Y732" s="57"/>
      <c r="Z732" s="57"/>
      <c r="AA732" s="57"/>
      <c r="AB732" s="57"/>
    </row>
    <row r="733">
      <c r="A733" s="141"/>
      <c r="B733" s="141"/>
      <c r="C733" s="141"/>
      <c r="D733" s="141"/>
      <c r="E733" s="141"/>
      <c r="F733" s="141"/>
      <c r="G733" s="48"/>
      <c r="H733" s="141"/>
      <c r="I733" s="141"/>
      <c r="J733" s="220"/>
      <c r="K733" s="220"/>
      <c r="L733" s="220"/>
      <c r="M733" s="220"/>
      <c r="N733" s="220"/>
      <c r="O733" s="382"/>
      <c r="P733" s="141"/>
      <c r="Q733" s="141"/>
      <c r="R733" s="141"/>
      <c r="S733" s="141"/>
      <c r="T733" s="141"/>
      <c r="U733" s="57"/>
      <c r="V733" s="57"/>
      <c r="W733" s="57"/>
      <c r="X733" s="57"/>
      <c r="Y733" s="57"/>
      <c r="Z733" s="57"/>
      <c r="AA733" s="57"/>
      <c r="AB733" s="57"/>
    </row>
    <row r="734">
      <c r="A734" s="141"/>
      <c r="B734" s="141"/>
      <c r="C734" s="141"/>
      <c r="D734" s="141"/>
      <c r="E734" s="141"/>
      <c r="F734" s="141"/>
      <c r="G734" s="48"/>
      <c r="H734" s="141"/>
      <c r="I734" s="141"/>
      <c r="J734" s="220"/>
      <c r="K734" s="220"/>
      <c r="L734" s="220"/>
      <c r="M734" s="220"/>
      <c r="N734" s="220"/>
      <c r="O734" s="382"/>
      <c r="P734" s="141"/>
      <c r="Q734" s="141"/>
      <c r="R734" s="141"/>
      <c r="S734" s="141"/>
      <c r="T734" s="141"/>
      <c r="U734" s="57"/>
      <c r="V734" s="57"/>
      <c r="W734" s="57"/>
      <c r="X734" s="57"/>
      <c r="Y734" s="57"/>
      <c r="Z734" s="57"/>
      <c r="AA734" s="57"/>
      <c r="AB734" s="57"/>
    </row>
    <row r="735">
      <c r="A735" s="141"/>
      <c r="B735" s="141"/>
      <c r="C735" s="141"/>
      <c r="D735" s="141"/>
      <c r="E735" s="141"/>
      <c r="F735" s="141"/>
      <c r="G735" s="48"/>
      <c r="H735" s="141"/>
      <c r="I735" s="141"/>
      <c r="J735" s="220"/>
      <c r="K735" s="220"/>
      <c r="L735" s="220"/>
      <c r="M735" s="220"/>
      <c r="N735" s="220"/>
      <c r="O735" s="382"/>
      <c r="P735" s="141"/>
      <c r="Q735" s="141"/>
      <c r="R735" s="141"/>
      <c r="S735" s="141"/>
      <c r="T735" s="141"/>
      <c r="U735" s="57"/>
      <c r="V735" s="57"/>
      <c r="W735" s="57"/>
      <c r="X735" s="57"/>
      <c r="Y735" s="57"/>
      <c r="Z735" s="57"/>
      <c r="AA735" s="57"/>
      <c r="AB735" s="57"/>
    </row>
    <row r="736">
      <c r="A736" s="141"/>
      <c r="B736" s="141"/>
      <c r="C736" s="141"/>
      <c r="D736" s="141"/>
      <c r="E736" s="141"/>
      <c r="F736" s="141"/>
      <c r="G736" s="48"/>
      <c r="H736" s="141"/>
      <c r="I736" s="141"/>
      <c r="J736" s="220"/>
      <c r="K736" s="220"/>
      <c r="L736" s="220"/>
      <c r="M736" s="220"/>
      <c r="N736" s="220"/>
      <c r="O736" s="382"/>
      <c r="P736" s="141"/>
      <c r="Q736" s="141"/>
      <c r="R736" s="141"/>
      <c r="S736" s="141"/>
      <c r="T736" s="141"/>
      <c r="U736" s="57"/>
      <c r="V736" s="57"/>
      <c r="W736" s="57"/>
      <c r="X736" s="57"/>
      <c r="Y736" s="57"/>
      <c r="Z736" s="57"/>
      <c r="AA736" s="57"/>
      <c r="AB736" s="57"/>
    </row>
    <row r="737">
      <c r="A737" s="141"/>
      <c r="B737" s="141"/>
      <c r="C737" s="141"/>
      <c r="D737" s="141"/>
      <c r="E737" s="141"/>
      <c r="F737" s="141"/>
      <c r="G737" s="48"/>
      <c r="H737" s="141"/>
      <c r="I737" s="141"/>
      <c r="J737" s="220"/>
      <c r="K737" s="220"/>
      <c r="L737" s="220"/>
      <c r="M737" s="220"/>
      <c r="N737" s="220"/>
      <c r="O737" s="382"/>
      <c r="P737" s="141"/>
      <c r="Q737" s="141"/>
      <c r="R737" s="141"/>
      <c r="S737" s="141"/>
      <c r="T737" s="141"/>
      <c r="U737" s="57"/>
      <c r="V737" s="57"/>
      <c r="W737" s="57"/>
      <c r="X737" s="57"/>
      <c r="Y737" s="57"/>
      <c r="Z737" s="57"/>
      <c r="AA737" s="57"/>
      <c r="AB737" s="57"/>
    </row>
    <row r="738">
      <c r="A738" s="141"/>
      <c r="B738" s="141"/>
      <c r="C738" s="141"/>
      <c r="D738" s="141"/>
      <c r="E738" s="141"/>
      <c r="F738" s="141"/>
      <c r="G738" s="48"/>
      <c r="H738" s="141"/>
      <c r="I738" s="141"/>
      <c r="J738" s="220"/>
      <c r="K738" s="220"/>
      <c r="L738" s="220"/>
      <c r="M738" s="220"/>
      <c r="N738" s="220"/>
      <c r="O738" s="382"/>
      <c r="P738" s="141"/>
      <c r="Q738" s="141"/>
      <c r="R738" s="141"/>
      <c r="S738" s="141"/>
      <c r="T738" s="141"/>
      <c r="U738" s="57"/>
      <c r="V738" s="57"/>
      <c r="W738" s="57"/>
      <c r="X738" s="57"/>
      <c r="Y738" s="57"/>
      <c r="Z738" s="57"/>
      <c r="AA738" s="57"/>
      <c r="AB738" s="57"/>
    </row>
    <row r="739">
      <c r="A739" s="141"/>
      <c r="B739" s="141"/>
      <c r="C739" s="141"/>
      <c r="D739" s="141"/>
      <c r="E739" s="141"/>
      <c r="F739" s="141"/>
      <c r="G739" s="48"/>
      <c r="H739" s="141"/>
      <c r="I739" s="141"/>
      <c r="J739" s="220"/>
      <c r="K739" s="220"/>
      <c r="L739" s="220"/>
      <c r="M739" s="220"/>
      <c r="N739" s="220"/>
      <c r="O739" s="382"/>
      <c r="P739" s="141"/>
      <c r="Q739" s="141"/>
      <c r="R739" s="141"/>
      <c r="S739" s="141"/>
      <c r="T739" s="141"/>
      <c r="U739" s="57"/>
      <c r="V739" s="57"/>
      <c r="W739" s="57"/>
      <c r="X739" s="57"/>
      <c r="Y739" s="57"/>
      <c r="Z739" s="57"/>
      <c r="AA739" s="57"/>
      <c r="AB739" s="57"/>
    </row>
    <row r="740">
      <c r="A740" s="141"/>
      <c r="B740" s="141"/>
      <c r="C740" s="141"/>
      <c r="D740" s="141"/>
      <c r="E740" s="141"/>
      <c r="F740" s="141"/>
      <c r="G740" s="48"/>
      <c r="H740" s="141"/>
      <c r="I740" s="141"/>
      <c r="J740" s="220"/>
      <c r="K740" s="220"/>
      <c r="L740" s="220"/>
      <c r="M740" s="220"/>
      <c r="N740" s="220"/>
      <c r="O740" s="382"/>
      <c r="P740" s="141"/>
      <c r="Q740" s="141"/>
      <c r="R740" s="141"/>
      <c r="S740" s="141"/>
      <c r="T740" s="141"/>
      <c r="U740" s="57"/>
      <c r="V740" s="57"/>
      <c r="W740" s="57"/>
      <c r="X740" s="57"/>
      <c r="Y740" s="57"/>
      <c r="Z740" s="57"/>
      <c r="AA740" s="57"/>
      <c r="AB740" s="57"/>
    </row>
    <row r="741">
      <c r="A741" s="141"/>
      <c r="B741" s="141"/>
      <c r="C741" s="141"/>
      <c r="D741" s="141"/>
      <c r="E741" s="141"/>
      <c r="F741" s="141"/>
      <c r="G741" s="48"/>
      <c r="H741" s="141"/>
      <c r="I741" s="141"/>
      <c r="J741" s="220"/>
      <c r="K741" s="220"/>
      <c r="L741" s="220"/>
      <c r="M741" s="220"/>
      <c r="N741" s="220"/>
      <c r="O741" s="382"/>
      <c r="P741" s="141"/>
      <c r="Q741" s="141"/>
      <c r="R741" s="141"/>
      <c r="S741" s="141"/>
      <c r="T741" s="141"/>
      <c r="U741" s="57"/>
      <c r="V741" s="57"/>
      <c r="W741" s="57"/>
      <c r="X741" s="57"/>
      <c r="Y741" s="57"/>
      <c r="Z741" s="57"/>
      <c r="AA741" s="57"/>
      <c r="AB741" s="57"/>
    </row>
    <row r="742">
      <c r="A742" s="141"/>
      <c r="B742" s="141"/>
      <c r="C742" s="141"/>
      <c r="D742" s="141"/>
      <c r="E742" s="141"/>
      <c r="F742" s="141"/>
      <c r="G742" s="48"/>
      <c r="H742" s="141"/>
      <c r="I742" s="141"/>
      <c r="J742" s="220"/>
      <c r="K742" s="220"/>
      <c r="L742" s="220"/>
      <c r="M742" s="220"/>
      <c r="N742" s="220"/>
      <c r="O742" s="382"/>
      <c r="P742" s="141"/>
      <c r="Q742" s="141"/>
      <c r="R742" s="141"/>
      <c r="S742" s="141"/>
      <c r="T742" s="141"/>
      <c r="U742" s="57"/>
      <c r="V742" s="57"/>
      <c r="W742" s="57"/>
      <c r="X742" s="57"/>
      <c r="Y742" s="57"/>
      <c r="Z742" s="57"/>
      <c r="AA742" s="57"/>
      <c r="AB742" s="57"/>
    </row>
    <row r="743">
      <c r="A743" s="141"/>
      <c r="B743" s="141"/>
      <c r="C743" s="141"/>
      <c r="D743" s="141"/>
      <c r="E743" s="141"/>
      <c r="F743" s="141"/>
      <c r="G743" s="48"/>
      <c r="H743" s="141"/>
      <c r="I743" s="141"/>
      <c r="J743" s="220"/>
      <c r="K743" s="220"/>
      <c r="L743" s="220"/>
      <c r="M743" s="220"/>
      <c r="N743" s="220"/>
      <c r="O743" s="382"/>
      <c r="P743" s="141"/>
      <c r="Q743" s="141"/>
      <c r="R743" s="141"/>
      <c r="S743" s="141"/>
      <c r="T743" s="141"/>
      <c r="U743" s="57"/>
      <c r="V743" s="57"/>
      <c r="W743" s="57"/>
      <c r="X743" s="57"/>
      <c r="Y743" s="57"/>
      <c r="Z743" s="57"/>
      <c r="AA743" s="57"/>
      <c r="AB743" s="57"/>
    </row>
    <row r="744">
      <c r="A744" s="141"/>
      <c r="B744" s="141"/>
      <c r="C744" s="141"/>
      <c r="D744" s="141"/>
      <c r="E744" s="141"/>
      <c r="F744" s="141"/>
      <c r="G744" s="48"/>
      <c r="H744" s="141"/>
      <c r="I744" s="141"/>
      <c r="J744" s="220"/>
      <c r="K744" s="220"/>
      <c r="L744" s="220"/>
      <c r="M744" s="220"/>
      <c r="N744" s="220"/>
      <c r="O744" s="382"/>
      <c r="P744" s="141"/>
      <c r="Q744" s="141"/>
      <c r="R744" s="141"/>
      <c r="S744" s="141"/>
      <c r="T744" s="141"/>
      <c r="U744" s="57"/>
      <c r="V744" s="57"/>
      <c r="W744" s="57"/>
      <c r="X744" s="57"/>
      <c r="Y744" s="57"/>
      <c r="Z744" s="57"/>
      <c r="AA744" s="57"/>
      <c r="AB744" s="57"/>
    </row>
    <row r="745">
      <c r="A745" s="141"/>
      <c r="B745" s="141"/>
      <c r="C745" s="141"/>
      <c r="D745" s="141"/>
      <c r="E745" s="141"/>
      <c r="F745" s="141"/>
      <c r="G745" s="48"/>
      <c r="H745" s="141"/>
      <c r="I745" s="141"/>
      <c r="J745" s="220"/>
      <c r="K745" s="220"/>
      <c r="L745" s="220"/>
      <c r="M745" s="220"/>
      <c r="N745" s="220"/>
      <c r="O745" s="382"/>
      <c r="P745" s="141"/>
      <c r="Q745" s="141"/>
      <c r="R745" s="141"/>
      <c r="S745" s="141"/>
      <c r="T745" s="141"/>
      <c r="U745" s="57"/>
      <c r="V745" s="57"/>
      <c r="W745" s="57"/>
      <c r="X745" s="57"/>
      <c r="Y745" s="57"/>
      <c r="Z745" s="57"/>
      <c r="AA745" s="57"/>
      <c r="AB745" s="57"/>
    </row>
    <row r="746">
      <c r="A746" s="141"/>
      <c r="B746" s="141"/>
      <c r="C746" s="141"/>
      <c r="D746" s="141"/>
      <c r="E746" s="141"/>
      <c r="F746" s="141"/>
      <c r="G746" s="48"/>
      <c r="H746" s="141"/>
      <c r="I746" s="141"/>
      <c r="J746" s="220"/>
      <c r="K746" s="220"/>
      <c r="L746" s="220"/>
      <c r="M746" s="220"/>
      <c r="N746" s="220"/>
      <c r="O746" s="382"/>
      <c r="P746" s="141"/>
      <c r="Q746" s="141"/>
      <c r="R746" s="141"/>
      <c r="S746" s="141"/>
      <c r="T746" s="141"/>
      <c r="U746" s="57"/>
      <c r="V746" s="57"/>
      <c r="W746" s="57"/>
      <c r="X746" s="57"/>
      <c r="Y746" s="57"/>
      <c r="Z746" s="57"/>
      <c r="AA746" s="57"/>
      <c r="AB746" s="57"/>
    </row>
    <row r="747">
      <c r="A747" s="141"/>
      <c r="B747" s="141"/>
      <c r="C747" s="141"/>
      <c r="D747" s="141"/>
      <c r="E747" s="141"/>
      <c r="F747" s="141"/>
      <c r="G747" s="48"/>
      <c r="H747" s="141"/>
      <c r="I747" s="141"/>
      <c r="J747" s="220"/>
      <c r="K747" s="220"/>
      <c r="L747" s="220"/>
      <c r="M747" s="220"/>
      <c r="N747" s="220"/>
      <c r="O747" s="382"/>
      <c r="P747" s="141"/>
      <c r="Q747" s="141"/>
      <c r="R747" s="141"/>
      <c r="S747" s="141"/>
      <c r="T747" s="141"/>
      <c r="U747" s="57"/>
      <c r="V747" s="57"/>
      <c r="W747" s="57"/>
      <c r="X747" s="57"/>
      <c r="Y747" s="57"/>
      <c r="Z747" s="57"/>
      <c r="AA747" s="57"/>
      <c r="AB747" s="57"/>
    </row>
    <row r="748">
      <c r="A748" s="141"/>
      <c r="B748" s="141"/>
      <c r="C748" s="141"/>
      <c r="D748" s="141"/>
      <c r="E748" s="141"/>
      <c r="F748" s="141"/>
      <c r="G748" s="48"/>
      <c r="H748" s="141"/>
      <c r="I748" s="141"/>
      <c r="J748" s="220"/>
      <c r="K748" s="220"/>
      <c r="L748" s="220"/>
      <c r="M748" s="220"/>
      <c r="N748" s="220"/>
      <c r="O748" s="382"/>
      <c r="P748" s="141"/>
      <c r="Q748" s="141"/>
      <c r="R748" s="141"/>
      <c r="S748" s="141"/>
      <c r="T748" s="141"/>
      <c r="U748" s="57"/>
      <c r="V748" s="57"/>
      <c r="W748" s="57"/>
      <c r="X748" s="57"/>
      <c r="Y748" s="57"/>
      <c r="Z748" s="57"/>
      <c r="AA748" s="57"/>
      <c r="AB748" s="57"/>
    </row>
    <row r="749">
      <c r="A749" s="141"/>
      <c r="B749" s="141"/>
      <c r="C749" s="141"/>
      <c r="D749" s="141"/>
      <c r="E749" s="141"/>
      <c r="F749" s="141"/>
      <c r="G749" s="48"/>
      <c r="H749" s="141"/>
      <c r="I749" s="141"/>
      <c r="J749" s="220"/>
      <c r="K749" s="220"/>
      <c r="L749" s="220"/>
      <c r="M749" s="220"/>
      <c r="N749" s="220"/>
      <c r="O749" s="382"/>
      <c r="P749" s="141"/>
      <c r="Q749" s="141"/>
      <c r="R749" s="141"/>
      <c r="S749" s="141"/>
      <c r="T749" s="141"/>
      <c r="U749" s="57"/>
      <c r="V749" s="57"/>
      <c r="W749" s="57"/>
      <c r="X749" s="57"/>
      <c r="Y749" s="57"/>
      <c r="Z749" s="57"/>
      <c r="AA749" s="57"/>
      <c r="AB749" s="57"/>
    </row>
    <row r="750">
      <c r="A750" s="141"/>
      <c r="B750" s="141"/>
      <c r="C750" s="141"/>
      <c r="D750" s="141"/>
      <c r="E750" s="141"/>
      <c r="F750" s="141"/>
      <c r="G750" s="48"/>
      <c r="H750" s="141"/>
      <c r="I750" s="141"/>
      <c r="J750" s="220"/>
      <c r="K750" s="220"/>
      <c r="L750" s="220"/>
      <c r="M750" s="220"/>
      <c r="N750" s="220"/>
      <c r="O750" s="382"/>
      <c r="P750" s="141"/>
      <c r="Q750" s="141"/>
      <c r="R750" s="141"/>
      <c r="S750" s="141"/>
      <c r="T750" s="141"/>
      <c r="U750" s="57"/>
      <c r="V750" s="57"/>
      <c r="W750" s="57"/>
      <c r="X750" s="57"/>
      <c r="Y750" s="57"/>
      <c r="Z750" s="57"/>
      <c r="AA750" s="57"/>
      <c r="AB750" s="57"/>
    </row>
    <row r="751">
      <c r="A751" s="141"/>
      <c r="B751" s="141"/>
      <c r="C751" s="141"/>
      <c r="D751" s="141"/>
      <c r="E751" s="141"/>
      <c r="F751" s="141"/>
      <c r="G751" s="48"/>
      <c r="H751" s="141"/>
      <c r="I751" s="141"/>
      <c r="J751" s="220"/>
      <c r="K751" s="220"/>
      <c r="L751" s="220"/>
      <c r="M751" s="220"/>
      <c r="N751" s="220"/>
      <c r="O751" s="382"/>
      <c r="P751" s="141"/>
      <c r="Q751" s="141"/>
      <c r="R751" s="141"/>
      <c r="S751" s="141"/>
      <c r="T751" s="141"/>
      <c r="U751" s="57"/>
      <c r="V751" s="57"/>
      <c r="W751" s="57"/>
      <c r="X751" s="57"/>
      <c r="Y751" s="57"/>
      <c r="Z751" s="57"/>
      <c r="AA751" s="57"/>
      <c r="AB751" s="57"/>
    </row>
    <row r="752">
      <c r="A752" s="141"/>
      <c r="B752" s="141"/>
      <c r="C752" s="141"/>
      <c r="D752" s="141"/>
      <c r="E752" s="141"/>
      <c r="F752" s="141"/>
      <c r="G752" s="48"/>
      <c r="H752" s="141"/>
      <c r="I752" s="141"/>
      <c r="J752" s="220"/>
      <c r="K752" s="220"/>
      <c r="L752" s="220"/>
      <c r="M752" s="220"/>
      <c r="N752" s="220"/>
      <c r="O752" s="382"/>
      <c r="P752" s="141"/>
      <c r="Q752" s="141"/>
      <c r="R752" s="141"/>
      <c r="S752" s="141"/>
      <c r="T752" s="141"/>
      <c r="U752" s="57"/>
      <c r="V752" s="57"/>
      <c r="W752" s="57"/>
      <c r="X752" s="57"/>
      <c r="Y752" s="57"/>
      <c r="Z752" s="57"/>
      <c r="AA752" s="57"/>
      <c r="AB752" s="57"/>
    </row>
    <row r="753">
      <c r="A753" s="141"/>
      <c r="B753" s="141"/>
      <c r="C753" s="141"/>
      <c r="D753" s="141"/>
      <c r="E753" s="141"/>
      <c r="F753" s="141"/>
      <c r="G753" s="48"/>
      <c r="H753" s="141"/>
      <c r="I753" s="141"/>
      <c r="J753" s="220"/>
      <c r="K753" s="220"/>
      <c r="L753" s="220"/>
      <c r="M753" s="220"/>
      <c r="N753" s="220"/>
      <c r="O753" s="382"/>
      <c r="P753" s="141"/>
      <c r="Q753" s="141"/>
      <c r="R753" s="141"/>
      <c r="S753" s="141"/>
      <c r="T753" s="141"/>
      <c r="U753" s="57"/>
      <c r="V753" s="57"/>
      <c r="W753" s="57"/>
      <c r="X753" s="57"/>
      <c r="Y753" s="57"/>
      <c r="Z753" s="57"/>
      <c r="AA753" s="57"/>
      <c r="AB753" s="57"/>
    </row>
    <row r="754">
      <c r="A754" s="141"/>
      <c r="B754" s="141"/>
      <c r="C754" s="141"/>
      <c r="D754" s="141"/>
      <c r="E754" s="141"/>
      <c r="F754" s="141"/>
      <c r="G754" s="48"/>
      <c r="H754" s="141"/>
      <c r="I754" s="141"/>
      <c r="J754" s="220"/>
      <c r="K754" s="220"/>
      <c r="L754" s="220"/>
      <c r="M754" s="220"/>
      <c r="N754" s="220"/>
      <c r="O754" s="382"/>
      <c r="P754" s="141"/>
      <c r="Q754" s="141"/>
      <c r="R754" s="141"/>
      <c r="S754" s="141"/>
      <c r="T754" s="141"/>
      <c r="U754" s="57"/>
      <c r="V754" s="57"/>
      <c r="W754" s="57"/>
      <c r="X754" s="57"/>
      <c r="Y754" s="57"/>
      <c r="Z754" s="57"/>
      <c r="AA754" s="57"/>
      <c r="AB754" s="57"/>
    </row>
    <row r="755">
      <c r="A755" s="141"/>
      <c r="B755" s="141"/>
      <c r="C755" s="141"/>
      <c r="D755" s="141"/>
      <c r="E755" s="141"/>
      <c r="F755" s="141"/>
      <c r="G755" s="48"/>
      <c r="H755" s="141"/>
      <c r="I755" s="141"/>
      <c r="J755" s="220"/>
      <c r="K755" s="220"/>
      <c r="L755" s="220"/>
      <c r="M755" s="220"/>
      <c r="N755" s="220"/>
      <c r="O755" s="382"/>
      <c r="P755" s="141"/>
      <c r="Q755" s="141"/>
      <c r="R755" s="141"/>
      <c r="S755" s="141"/>
      <c r="T755" s="141"/>
      <c r="U755" s="57"/>
      <c r="V755" s="57"/>
      <c r="W755" s="57"/>
      <c r="X755" s="57"/>
      <c r="Y755" s="57"/>
      <c r="Z755" s="57"/>
      <c r="AA755" s="57"/>
      <c r="AB755" s="57"/>
    </row>
    <row r="756">
      <c r="A756" s="141"/>
      <c r="B756" s="141"/>
      <c r="C756" s="141"/>
      <c r="D756" s="141"/>
      <c r="E756" s="141"/>
      <c r="F756" s="141"/>
      <c r="G756" s="48"/>
      <c r="H756" s="141"/>
      <c r="I756" s="141"/>
      <c r="J756" s="220"/>
      <c r="K756" s="220"/>
      <c r="L756" s="220"/>
      <c r="M756" s="220"/>
      <c r="N756" s="220"/>
      <c r="O756" s="382"/>
      <c r="P756" s="141"/>
      <c r="Q756" s="141"/>
      <c r="R756" s="141"/>
      <c r="S756" s="141"/>
      <c r="T756" s="141"/>
      <c r="U756" s="57"/>
      <c r="V756" s="57"/>
      <c r="W756" s="57"/>
      <c r="X756" s="57"/>
      <c r="Y756" s="57"/>
      <c r="Z756" s="57"/>
      <c r="AA756" s="57"/>
      <c r="AB756" s="57"/>
    </row>
    <row r="757">
      <c r="A757" s="141"/>
      <c r="B757" s="141"/>
      <c r="C757" s="141"/>
      <c r="D757" s="141"/>
      <c r="E757" s="141"/>
      <c r="F757" s="141"/>
      <c r="G757" s="48"/>
      <c r="H757" s="141"/>
      <c r="I757" s="141"/>
      <c r="J757" s="220"/>
      <c r="K757" s="220"/>
      <c r="L757" s="220"/>
      <c r="M757" s="220"/>
      <c r="N757" s="220"/>
      <c r="O757" s="382"/>
      <c r="P757" s="141"/>
      <c r="Q757" s="141"/>
      <c r="R757" s="141"/>
      <c r="S757" s="141"/>
      <c r="T757" s="141"/>
      <c r="U757" s="57"/>
      <c r="V757" s="57"/>
      <c r="W757" s="57"/>
      <c r="X757" s="57"/>
      <c r="Y757" s="57"/>
      <c r="Z757" s="57"/>
      <c r="AA757" s="57"/>
      <c r="AB757" s="57"/>
    </row>
    <row r="758">
      <c r="A758" s="141"/>
      <c r="B758" s="141"/>
      <c r="C758" s="141"/>
      <c r="D758" s="141"/>
      <c r="E758" s="141"/>
      <c r="F758" s="141"/>
      <c r="G758" s="48"/>
      <c r="H758" s="141"/>
      <c r="I758" s="141"/>
      <c r="J758" s="220"/>
      <c r="K758" s="220"/>
      <c r="L758" s="220"/>
      <c r="M758" s="220"/>
      <c r="N758" s="220"/>
      <c r="O758" s="382"/>
      <c r="P758" s="141"/>
      <c r="Q758" s="141"/>
      <c r="R758" s="141"/>
      <c r="S758" s="141"/>
      <c r="T758" s="141"/>
      <c r="U758" s="57"/>
      <c r="V758" s="57"/>
      <c r="W758" s="57"/>
      <c r="X758" s="57"/>
      <c r="Y758" s="57"/>
      <c r="Z758" s="57"/>
      <c r="AA758" s="57"/>
      <c r="AB758" s="57"/>
    </row>
    <row r="759">
      <c r="A759" s="141"/>
      <c r="B759" s="141"/>
      <c r="C759" s="141"/>
      <c r="D759" s="141"/>
      <c r="E759" s="141"/>
      <c r="F759" s="141"/>
      <c r="G759" s="48"/>
      <c r="H759" s="141"/>
      <c r="I759" s="141"/>
      <c r="J759" s="220"/>
      <c r="K759" s="220"/>
      <c r="L759" s="220"/>
      <c r="M759" s="220"/>
      <c r="N759" s="220"/>
      <c r="O759" s="382"/>
      <c r="P759" s="141"/>
      <c r="Q759" s="141"/>
      <c r="R759" s="141"/>
      <c r="S759" s="141"/>
      <c r="T759" s="141"/>
      <c r="U759" s="57"/>
      <c r="V759" s="57"/>
      <c r="W759" s="57"/>
      <c r="X759" s="57"/>
      <c r="Y759" s="57"/>
      <c r="Z759" s="57"/>
      <c r="AA759" s="57"/>
      <c r="AB759" s="57"/>
    </row>
    <row r="760">
      <c r="A760" s="141"/>
      <c r="B760" s="141"/>
      <c r="C760" s="141"/>
      <c r="D760" s="141"/>
      <c r="E760" s="141"/>
      <c r="F760" s="141"/>
      <c r="G760" s="48"/>
      <c r="H760" s="141"/>
      <c r="I760" s="141"/>
      <c r="J760" s="220"/>
      <c r="K760" s="220"/>
      <c r="L760" s="220"/>
      <c r="M760" s="220"/>
      <c r="N760" s="220"/>
      <c r="O760" s="382"/>
      <c r="P760" s="141"/>
      <c r="Q760" s="141"/>
      <c r="R760" s="141"/>
      <c r="S760" s="141"/>
      <c r="T760" s="141"/>
      <c r="U760" s="57"/>
      <c r="V760" s="57"/>
      <c r="W760" s="57"/>
      <c r="X760" s="57"/>
      <c r="Y760" s="57"/>
      <c r="Z760" s="57"/>
      <c r="AA760" s="57"/>
      <c r="AB760" s="57"/>
    </row>
    <row r="761">
      <c r="A761" s="141"/>
      <c r="B761" s="141"/>
      <c r="C761" s="141"/>
      <c r="D761" s="141"/>
      <c r="E761" s="141"/>
      <c r="F761" s="141"/>
      <c r="G761" s="48"/>
      <c r="H761" s="141"/>
      <c r="I761" s="141"/>
      <c r="J761" s="220"/>
      <c r="K761" s="220"/>
      <c r="L761" s="220"/>
      <c r="M761" s="220"/>
      <c r="N761" s="220"/>
      <c r="O761" s="382"/>
      <c r="P761" s="141"/>
      <c r="Q761" s="141"/>
      <c r="R761" s="141"/>
      <c r="S761" s="141"/>
      <c r="T761" s="141"/>
      <c r="U761" s="57"/>
      <c r="V761" s="57"/>
      <c r="W761" s="57"/>
      <c r="X761" s="57"/>
      <c r="Y761" s="57"/>
      <c r="Z761" s="57"/>
      <c r="AA761" s="57"/>
      <c r="AB761" s="57"/>
    </row>
    <row r="762">
      <c r="A762" s="141"/>
      <c r="B762" s="141"/>
      <c r="C762" s="141"/>
      <c r="D762" s="141"/>
      <c r="E762" s="141"/>
      <c r="F762" s="141"/>
      <c r="G762" s="48"/>
      <c r="H762" s="141"/>
      <c r="I762" s="141"/>
      <c r="J762" s="220"/>
      <c r="K762" s="220"/>
      <c r="L762" s="220"/>
      <c r="M762" s="220"/>
      <c r="N762" s="220"/>
      <c r="O762" s="382"/>
      <c r="P762" s="141"/>
      <c r="Q762" s="141"/>
      <c r="R762" s="141"/>
      <c r="S762" s="141"/>
      <c r="T762" s="141"/>
      <c r="U762" s="57"/>
      <c r="V762" s="57"/>
      <c r="W762" s="57"/>
      <c r="X762" s="57"/>
      <c r="Y762" s="57"/>
      <c r="Z762" s="57"/>
      <c r="AA762" s="57"/>
      <c r="AB762" s="57"/>
    </row>
    <row r="763">
      <c r="A763" s="141"/>
      <c r="B763" s="141"/>
      <c r="C763" s="141"/>
      <c r="D763" s="141"/>
      <c r="E763" s="141"/>
      <c r="F763" s="141"/>
      <c r="G763" s="48"/>
      <c r="H763" s="141"/>
      <c r="I763" s="141"/>
      <c r="J763" s="220"/>
      <c r="K763" s="220"/>
      <c r="L763" s="220"/>
      <c r="M763" s="220"/>
      <c r="N763" s="220"/>
      <c r="O763" s="382"/>
      <c r="P763" s="141"/>
      <c r="Q763" s="141"/>
      <c r="R763" s="141"/>
      <c r="S763" s="141"/>
      <c r="T763" s="141"/>
      <c r="U763" s="57"/>
      <c r="V763" s="57"/>
      <c r="W763" s="57"/>
      <c r="X763" s="57"/>
      <c r="Y763" s="57"/>
      <c r="Z763" s="57"/>
      <c r="AA763" s="57"/>
      <c r="AB763" s="57"/>
    </row>
    <row r="764">
      <c r="A764" s="141"/>
      <c r="B764" s="141"/>
      <c r="C764" s="141"/>
      <c r="D764" s="141"/>
      <c r="E764" s="141"/>
      <c r="F764" s="141"/>
      <c r="G764" s="48"/>
      <c r="H764" s="141"/>
      <c r="I764" s="141"/>
      <c r="J764" s="220"/>
      <c r="K764" s="220"/>
      <c r="L764" s="220"/>
      <c r="M764" s="220"/>
      <c r="N764" s="220"/>
      <c r="O764" s="382"/>
      <c r="P764" s="141"/>
      <c r="Q764" s="141"/>
      <c r="R764" s="141"/>
      <c r="S764" s="141"/>
      <c r="T764" s="141"/>
      <c r="U764" s="57"/>
      <c r="V764" s="57"/>
      <c r="W764" s="57"/>
      <c r="X764" s="57"/>
      <c r="Y764" s="57"/>
      <c r="Z764" s="57"/>
      <c r="AA764" s="57"/>
      <c r="AB764" s="57"/>
    </row>
    <row r="765">
      <c r="A765" s="141"/>
      <c r="B765" s="141"/>
      <c r="C765" s="141"/>
      <c r="D765" s="141"/>
      <c r="E765" s="141"/>
      <c r="F765" s="141"/>
      <c r="G765" s="48"/>
      <c r="H765" s="141"/>
      <c r="I765" s="141"/>
      <c r="J765" s="220"/>
      <c r="K765" s="220"/>
      <c r="L765" s="220"/>
      <c r="M765" s="220"/>
      <c r="N765" s="220"/>
      <c r="O765" s="382"/>
      <c r="P765" s="141"/>
      <c r="Q765" s="141"/>
      <c r="R765" s="141"/>
      <c r="S765" s="141"/>
      <c r="T765" s="141"/>
      <c r="U765" s="57"/>
      <c r="V765" s="57"/>
      <c r="W765" s="57"/>
      <c r="X765" s="57"/>
      <c r="Y765" s="57"/>
      <c r="Z765" s="57"/>
      <c r="AA765" s="57"/>
      <c r="AB765" s="57"/>
    </row>
    <row r="766">
      <c r="A766" s="141"/>
      <c r="B766" s="141"/>
      <c r="C766" s="141"/>
      <c r="D766" s="141"/>
      <c r="E766" s="141"/>
      <c r="F766" s="141"/>
      <c r="G766" s="48"/>
      <c r="H766" s="141"/>
      <c r="I766" s="141"/>
      <c r="J766" s="220"/>
      <c r="K766" s="220"/>
      <c r="L766" s="220"/>
      <c r="M766" s="220"/>
      <c r="N766" s="220"/>
      <c r="O766" s="382"/>
      <c r="P766" s="141"/>
      <c r="Q766" s="141"/>
      <c r="R766" s="141"/>
      <c r="S766" s="141"/>
      <c r="T766" s="141"/>
      <c r="U766" s="57"/>
      <c r="V766" s="57"/>
      <c r="W766" s="57"/>
      <c r="X766" s="57"/>
      <c r="Y766" s="57"/>
      <c r="Z766" s="57"/>
      <c r="AA766" s="57"/>
      <c r="AB766" s="57"/>
    </row>
    <row r="767">
      <c r="A767" s="141"/>
      <c r="B767" s="141"/>
      <c r="C767" s="141"/>
      <c r="D767" s="141"/>
      <c r="E767" s="141"/>
      <c r="F767" s="141"/>
      <c r="G767" s="48"/>
      <c r="H767" s="141"/>
      <c r="I767" s="141"/>
      <c r="J767" s="220"/>
      <c r="K767" s="220"/>
      <c r="L767" s="220"/>
      <c r="M767" s="220"/>
      <c r="N767" s="220"/>
      <c r="O767" s="382"/>
      <c r="P767" s="141"/>
      <c r="Q767" s="141"/>
      <c r="R767" s="141"/>
      <c r="S767" s="141"/>
      <c r="T767" s="141"/>
      <c r="U767" s="57"/>
      <c r="V767" s="57"/>
      <c r="W767" s="57"/>
      <c r="X767" s="57"/>
      <c r="Y767" s="57"/>
      <c r="Z767" s="57"/>
      <c r="AA767" s="57"/>
      <c r="AB767" s="57"/>
    </row>
    <row r="768">
      <c r="A768" s="141"/>
      <c r="B768" s="141"/>
      <c r="C768" s="141"/>
      <c r="D768" s="141"/>
      <c r="E768" s="141"/>
      <c r="F768" s="141"/>
      <c r="G768" s="48"/>
      <c r="H768" s="141"/>
      <c r="I768" s="141"/>
      <c r="J768" s="220"/>
      <c r="K768" s="220"/>
      <c r="L768" s="220"/>
      <c r="M768" s="220"/>
      <c r="N768" s="220"/>
      <c r="O768" s="382"/>
      <c r="P768" s="141"/>
      <c r="Q768" s="141"/>
      <c r="R768" s="141"/>
      <c r="S768" s="141"/>
      <c r="T768" s="141"/>
      <c r="U768" s="57"/>
      <c r="V768" s="57"/>
      <c r="W768" s="57"/>
      <c r="X768" s="57"/>
      <c r="Y768" s="57"/>
      <c r="Z768" s="57"/>
      <c r="AA768" s="57"/>
      <c r="AB768" s="57"/>
    </row>
    <row r="769">
      <c r="A769" s="141"/>
      <c r="B769" s="141"/>
      <c r="C769" s="141"/>
      <c r="D769" s="141"/>
      <c r="E769" s="141"/>
      <c r="F769" s="141"/>
      <c r="G769" s="48"/>
      <c r="H769" s="141"/>
      <c r="I769" s="141"/>
      <c r="J769" s="220"/>
      <c r="K769" s="220"/>
      <c r="L769" s="220"/>
      <c r="M769" s="220"/>
      <c r="N769" s="220"/>
      <c r="O769" s="382"/>
      <c r="P769" s="141"/>
      <c r="Q769" s="141"/>
      <c r="R769" s="141"/>
      <c r="S769" s="141"/>
      <c r="T769" s="141"/>
      <c r="U769" s="57"/>
      <c r="V769" s="57"/>
      <c r="W769" s="57"/>
      <c r="X769" s="57"/>
      <c r="Y769" s="57"/>
      <c r="Z769" s="57"/>
      <c r="AA769" s="57"/>
      <c r="AB769" s="57"/>
    </row>
    <row r="770">
      <c r="A770" s="141"/>
      <c r="B770" s="141"/>
      <c r="C770" s="141"/>
      <c r="D770" s="141"/>
      <c r="E770" s="141"/>
      <c r="F770" s="141"/>
      <c r="G770" s="48"/>
      <c r="H770" s="141"/>
      <c r="I770" s="141"/>
      <c r="J770" s="220"/>
      <c r="K770" s="220"/>
      <c r="L770" s="220"/>
      <c r="M770" s="220"/>
      <c r="N770" s="220"/>
      <c r="O770" s="382"/>
      <c r="P770" s="141"/>
      <c r="Q770" s="141"/>
      <c r="R770" s="141"/>
      <c r="S770" s="141"/>
      <c r="T770" s="141"/>
      <c r="U770" s="57"/>
      <c r="V770" s="57"/>
      <c r="W770" s="57"/>
      <c r="X770" s="57"/>
      <c r="Y770" s="57"/>
      <c r="Z770" s="57"/>
      <c r="AA770" s="57"/>
      <c r="AB770" s="57"/>
    </row>
    <row r="771">
      <c r="A771" s="141"/>
      <c r="B771" s="141"/>
      <c r="C771" s="141"/>
      <c r="D771" s="141"/>
      <c r="E771" s="141"/>
      <c r="F771" s="141"/>
      <c r="G771" s="48"/>
      <c r="H771" s="141"/>
      <c r="I771" s="141"/>
      <c r="J771" s="220"/>
      <c r="K771" s="220"/>
      <c r="L771" s="220"/>
      <c r="M771" s="220"/>
      <c r="N771" s="220"/>
      <c r="O771" s="382"/>
      <c r="P771" s="141"/>
      <c r="Q771" s="141"/>
      <c r="R771" s="141"/>
      <c r="S771" s="141"/>
      <c r="T771" s="141"/>
      <c r="U771" s="57"/>
      <c r="V771" s="57"/>
      <c r="W771" s="57"/>
      <c r="X771" s="57"/>
      <c r="Y771" s="57"/>
      <c r="Z771" s="57"/>
      <c r="AA771" s="57"/>
      <c r="AB771" s="57"/>
    </row>
    <row r="772">
      <c r="A772" s="141"/>
      <c r="B772" s="141"/>
      <c r="C772" s="141"/>
      <c r="D772" s="141"/>
      <c r="E772" s="141"/>
      <c r="F772" s="141"/>
      <c r="G772" s="48"/>
      <c r="H772" s="141"/>
      <c r="I772" s="141"/>
      <c r="J772" s="220"/>
      <c r="K772" s="220"/>
      <c r="L772" s="220"/>
      <c r="M772" s="220"/>
      <c r="N772" s="220"/>
      <c r="O772" s="382"/>
      <c r="P772" s="141"/>
      <c r="Q772" s="141"/>
      <c r="R772" s="141"/>
      <c r="S772" s="141"/>
      <c r="T772" s="141"/>
      <c r="U772" s="57"/>
      <c r="V772" s="57"/>
      <c r="W772" s="57"/>
      <c r="X772" s="57"/>
      <c r="Y772" s="57"/>
      <c r="Z772" s="57"/>
      <c r="AA772" s="57"/>
      <c r="AB772" s="57"/>
    </row>
    <row r="773">
      <c r="A773" s="141"/>
      <c r="B773" s="141"/>
      <c r="C773" s="141"/>
      <c r="D773" s="141"/>
      <c r="E773" s="141"/>
      <c r="F773" s="141"/>
      <c r="G773" s="48"/>
      <c r="H773" s="141"/>
      <c r="I773" s="141"/>
      <c r="J773" s="220"/>
      <c r="K773" s="220"/>
      <c r="L773" s="220"/>
      <c r="M773" s="220"/>
      <c r="N773" s="220"/>
      <c r="O773" s="382"/>
      <c r="P773" s="141"/>
      <c r="Q773" s="141"/>
      <c r="R773" s="141"/>
      <c r="S773" s="141"/>
      <c r="T773" s="141"/>
      <c r="U773" s="57"/>
      <c r="V773" s="57"/>
      <c r="W773" s="57"/>
      <c r="X773" s="57"/>
      <c r="Y773" s="57"/>
      <c r="Z773" s="57"/>
      <c r="AA773" s="57"/>
      <c r="AB773" s="57"/>
    </row>
    <row r="774">
      <c r="A774" s="141"/>
      <c r="B774" s="141"/>
      <c r="C774" s="141"/>
      <c r="D774" s="141"/>
      <c r="E774" s="141"/>
      <c r="F774" s="141"/>
      <c r="G774" s="48"/>
      <c r="H774" s="141"/>
      <c r="I774" s="141"/>
      <c r="J774" s="220"/>
      <c r="K774" s="220"/>
      <c r="L774" s="220"/>
      <c r="M774" s="220"/>
      <c r="N774" s="220"/>
      <c r="O774" s="382"/>
      <c r="P774" s="141"/>
      <c r="Q774" s="141"/>
      <c r="R774" s="141"/>
      <c r="S774" s="141"/>
      <c r="T774" s="141"/>
      <c r="U774" s="57"/>
      <c r="V774" s="57"/>
      <c r="W774" s="57"/>
      <c r="X774" s="57"/>
      <c r="Y774" s="57"/>
      <c r="Z774" s="57"/>
      <c r="AA774" s="57"/>
      <c r="AB774" s="57"/>
    </row>
    <row r="775">
      <c r="A775" s="141"/>
      <c r="B775" s="141"/>
      <c r="C775" s="141"/>
      <c r="D775" s="141"/>
      <c r="E775" s="141"/>
      <c r="F775" s="141"/>
      <c r="G775" s="48"/>
      <c r="H775" s="141"/>
      <c r="I775" s="141"/>
      <c r="J775" s="220"/>
      <c r="K775" s="220"/>
      <c r="L775" s="220"/>
      <c r="M775" s="220"/>
      <c r="N775" s="220"/>
      <c r="O775" s="382"/>
      <c r="P775" s="141"/>
      <c r="Q775" s="141"/>
      <c r="R775" s="141"/>
      <c r="S775" s="141"/>
      <c r="T775" s="141"/>
      <c r="U775" s="57"/>
      <c r="V775" s="57"/>
      <c r="W775" s="57"/>
      <c r="X775" s="57"/>
      <c r="Y775" s="57"/>
      <c r="Z775" s="57"/>
      <c r="AA775" s="57"/>
      <c r="AB775" s="57"/>
    </row>
    <row r="776">
      <c r="A776" s="141"/>
      <c r="B776" s="141"/>
      <c r="C776" s="141"/>
      <c r="D776" s="141"/>
      <c r="E776" s="141"/>
      <c r="F776" s="141"/>
      <c r="G776" s="48"/>
      <c r="H776" s="141"/>
      <c r="I776" s="141"/>
      <c r="J776" s="220"/>
      <c r="K776" s="220"/>
      <c r="L776" s="220"/>
      <c r="M776" s="220"/>
      <c r="N776" s="220"/>
      <c r="O776" s="382"/>
      <c r="P776" s="141"/>
      <c r="Q776" s="141"/>
      <c r="R776" s="141"/>
      <c r="S776" s="141"/>
      <c r="T776" s="141"/>
      <c r="U776" s="57"/>
      <c r="V776" s="57"/>
      <c r="W776" s="57"/>
      <c r="X776" s="57"/>
      <c r="Y776" s="57"/>
      <c r="Z776" s="57"/>
      <c r="AA776" s="57"/>
      <c r="AB776" s="57"/>
    </row>
    <row r="777">
      <c r="A777" s="141"/>
      <c r="B777" s="141"/>
      <c r="C777" s="141"/>
      <c r="D777" s="141"/>
      <c r="E777" s="141"/>
      <c r="F777" s="141"/>
      <c r="G777" s="48"/>
      <c r="H777" s="141"/>
      <c r="I777" s="141"/>
      <c r="J777" s="220"/>
      <c r="K777" s="220"/>
      <c r="L777" s="220"/>
      <c r="M777" s="220"/>
      <c r="N777" s="220"/>
      <c r="O777" s="382"/>
      <c r="P777" s="141"/>
      <c r="Q777" s="141"/>
      <c r="R777" s="141"/>
      <c r="S777" s="141"/>
      <c r="T777" s="141"/>
      <c r="U777" s="57"/>
      <c r="V777" s="57"/>
      <c r="W777" s="57"/>
      <c r="X777" s="57"/>
      <c r="Y777" s="57"/>
      <c r="Z777" s="57"/>
      <c r="AA777" s="57"/>
      <c r="AB777" s="57"/>
    </row>
    <row r="778">
      <c r="A778" s="141"/>
      <c r="B778" s="141"/>
      <c r="C778" s="141"/>
      <c r="D778" s="141"/>
      <c r="E778" s="141"/>
      <c r="F778" s="141"/>
      <c r="G778" s="48"/>
      <c r="H778" s="141"/>
      <c r="I778" s="141"/>
      <c r="J778" s="220"/>
      <c r="K778" s="220"/>
      <c r="L778" s="220"/>
      <c r="M778" s="220"/>
      <c r="N778" s="220"/>
      <c r="O778" s="382"/>
      <c r="P778" s="141"/>
      <c r="Q778" s="141"/>
      <c r="R778" s="141"/>
      <c r="S778" s="141"/>
      <c r="T778" s="141"/>
      <c r="U778" s="57"/>
      <c r="V778" s="57"/>
      <c r="W778" s="57"/>
      <c r="X778" s="57"/>
      <c r="Y778" s="57"/>
      <c r="Z778" s="57"/>
      <c r="AA778" s="57"/>
      <c r="AB778" s="57"/>
    </row>
    <row r="779">
      <c r="A779" s="141"/>
      <c r="B779" s="141"/>
      <c r="C779" s="141"/>
      <c r="D779" s="141"/>
      <c r="E779" s="141"/>
      <c r="F779" s="141"/>
      <c r="G779" s="48"/>
      <c r="H779" s="141"/>
      <c r="I779" s="141"/>
      <c r="J779" s="220"/>
      <c r="K779" s="220"/>
      <c r="L779" s="220"/>
      <c r="M779" s="220"/>
      <c r="N779" s="220"/>
      <c r="O779" s="382"/>
      <c r="P779" s="141"/>
      <c r="Q779" s="141"/>
      <c r="R779" s="141"/>
      <c r="S779" s="141"/>
      <c r="T779" s="141"/>
      <c r="U779" s="57"/>
      <c r="V779" s="57"/>
      <c r="W779" s="57"/>
      <c r="X779" s="57"/>
      <c r="Y779" s="57"/>
      <c r="Z779" s="57"/>
      <c r="AA779" s="57"/>
      <c r="AB779" s="57"/>
    </row>
    <row r="780">
      <c r="A780" s="141"/>
      <c r="B780" s="141"/>
      <c r="C780" s="141"/>
      <c r="D780" s="141"/>
      <c r="E780" s="141"/>
      <c r="F780" s="141"/>
      <c r="G780" s="48"/>
      <c r="H780" s="141"/>
      <c r="I780" s="141"/>
      <c r="J780" s="220"/>
      <c r="K780" s="220"/>
      <c r="L780" s="220"/>
      <c r="M780" s="220"/>
      <c r="N780" s="220"/>
      <c r="O780" s="382"/>
      <c r="P780" s="141"/>
      <c r="Q780" s="141"/>
      <c r="R780" s="141"/>
      <c r="S780" s="141"/>
      <c r="T780" s="141"/>
      <c r="U780" s="57"/>
      <c r="V780" s="57"/>
      <c r="W780" s="57"/>
      <c r="X780" s="57"/>
      <c r="Y780" s="57"/>
      <c r="Z780" s="57"/>
      <c r="AA780" s="57"/>
      <c r="AB780" s="57"/>
    </row>
    <row r="781">
      <c r="A781" s="141"/>
      <c r="B781" s="141"/>
      <c r="C781" s="141"/>
      <c r="D781" s="141"/>
      <c r="E781" s="141"/>
      <c r="F781" s="141"/>
      <c r="G781" s="48"/>
      <c r="H781" s="141"/>
      <c r="I781" s="141"/>
      <c r="J781" s="220"/>
      <c r="K781" s="220"/>
      <c r="L781" s="220"/>
      <c r="M781" s="220"/>
      <c r="N781" s="220"/>
      <c r="O781" s="382"/>
      <c r="P781" s="141"/>
      <c r="Q781" s="141"/>
      <c r="R781" s="141"/>
      <c r="S781" s="141"/>
      <c r="T781" s="141"/>
      <c r="U781" s="57"/>
      <c r="V781" s="57"/>
      <c r="W781" s="57"/>
      <c r="X781" s="57"/>
      <c r="Y781" s="57"/>
      <c r="Z781" s="57"/>
      <c r="AA781" s="57"/>
      <c r="AB781" s="57"/>
    </row>
    <row r="782">
      <c r="A782" s="141"/>
      <c r="B782" s="141"/>
      <c r="C782" s="141"/>
      <c r="D782" s="141"/>
      <c r="E782" s="141"/>
      <c r="F782" s="141"/>
      <c r="G782" s="48"/>
      <c r="H782" s="141"/>
      <c r="I782" s="141"/>
      <c r="J782" s="220"/>
      <c r="K782" s="220"/>
      <c r="L782" s="220"/>
      <c r="M782" s="220"/>
      <c r="N782" s="220"/>
      <c r="O782" s="382"/>
      <c r="P782" s="141"/>
      <c r="Q782" s="141"/>
      <c r="R782" s="141"/>
      <c r="S782" s="141"/>
      <c r="T782" s="141"/>
      <c r="U782" s="57"/>
      <c r="V782" s="57"/>
      <c r="W782" s="57"/>
      <c r="X782" s="57"/>
      <c r="Y782" s="57"/>
      <c r="Z782" s="57"/>
      <c r="AA782" s="57"/>
      <c r="AB782" s="57"/>
    </row>
    <row r="783">
      <c r="A783" s="141"/>
      <c r="B783" s="141"/>
      <c r="C783" s="141"/>
      <c r="D783" s="141"/>
      <c r="E783" s="141"/>
      <c r="F783" s="141"/>
      <c r="G783" s="48"/>
      <c r="H783" s="141"/>
      <c r="I783" s="141"/>
      <c r="J783" s="220"/>
      <c r="K783" s="220"/>
      <c r="L783" s="220"/>
      <c r="M783" s="220"/>
      <c r="N783" s="220"/>
      <c r="O783" s="382"/>
      <c r="P783" s="141"/>
      <c r="Q783" s="141"/>
      <c r="R783" s="141"/>
      <c r="S783" s="141"/>
      <c r="T783" s="141"/>
      <c r="U783" s="57"/>
      <c r="V783" s="57"/>
      <c r="W783" s="57"/>
      <c r="X783" s="57"/>
      <c r="Y783" s="57"/>
      <c r="Z783" s="57"/>
      <c r="AA783" s="57"/>
      <c r="AB783" s="57"/>
    </row>
    <row r="784">
      <c r="A784" s="141"/>
      <c r="B784" s="141"/>
      <c r="C784" s="141"/>
      <c r="D784" s="141"/>
      <c r="E784" s="141"/>
      <c r="F784" s="141"/>
      <c r="G784" s="48"/>
      <c r="H784" s="141"/>
      <c r="I784" s="141"/>
      <c r="J784" s="220"/>
      <c r="K784" s="220"/>
      <c r="L784" s="220"/>
      <c r="M784" s="220"/>
      <c r="N784" s="220"/>
      <c r="O784" s="382"/>
      <c r="P784" s="141"/>
      <c r="Q784" s="141"/>
      <c r="R784" s="141"/>
      <c r="S784" s="141"/>
      <c r="T784" s="141"/>
      <c r="U784" s="57"/>
      <c r="V784" s="57"/>
      <c r="W784" s="57"/>
      <c r="X784" s="57"/>
      <c r="Y784" s="57"/>
      <c r="Z784" s="57"/>
      <c r="AA784" s="57"/>
      <c r="AB784" s="57"/>
    </row>
    <row r="785">
      <c r="A785" s="141"/>
      <c r="B785" s="141"/>
      <c r="C785" s="141"/>
      <c r="D785" s="141"/>
      <c r="E785" s="141"/>
      <c r="F785" s="141"/>
      <c r="G785" s="48"/>
      <c r="H785" s="141"/>
      <c r="I785" s="141"/>
      <c r="J785" s="220"/>
      <c r="K785" s="220"/>
      <c r="L785" s="220"/>
      <c r="M785" s="220"/>
      <c r="N785" s="220"/>
      <c r="O785" s="382"/>
      <c r="P785" s="141"/>
      <c r="Q785" s="141"/>
      <c r="R785" s="141"/>
      <c r="S785" s="141"/>
      <c r="T785" s="141"/>
      <c r="U785" s="57"/>
      <c r="V785" s="57"/>
      <c r="W785" s="57"/>
      <c r="X785" s="57"/>
      <c r="Y785" s="57"/>
      <c r="Z785" s="57"/>
      <c r="AA785" s="57"/>
      <c r="AB785" s="57"/>
    </row>
    <row r="786">
      <c r="A786" s="141"/>
      <c r="B786" s="141"/>
      <c r="C786" s="141"/>
      <c r="D786" s="141"/>
      <c r="E786" s="141"/>
      <c r="F786" s="141"/>
      <c r="G786" s="48"/>
      <c r="H786" s="141"/>
      <c r="I786" s="141"/>
      <c r="J786" s="220"/>
      <c r="K786" s="220"/>
      <c r="L786" s="220"/>
      <c r="M786" s="220"/>
      <c r="N786" s="220"/>
      <c r="O786" s="382"/>
      <c r="P786" s="141"/>
      <c r="Q786" s="141"/>
      <c r="R786" s="141"/>
      <c r="S786" s="141"/>
      <c r="T786" s="141"/>
      <c r="U786" s="57"/>
      <c r="V786" s="57"/>
      <c r="W786" s="57"/>
      <c r="X786" s="57"/>
      <c r="Y786" s="57"/>
      <c r="Z786" s="57"/>
      <c r="AA786" s="57"/>
      <c r="AB786" s="57"/>
    </row>
    <row r="787">
      <c r="A787" s="141"/>
      <c r="B787" s="141"/>
      <c r="C787" s="141"/>
      <c r="D787" s="141"/>
      <c r="E787" s="141"/>
      <c r="F787" s="141"/>
      <c r="G787" s="48"/>
      <c r="H787" s="141"/>
      <c r="I787" s="141"/>
      <c r="J787" s="220"/>
      <c r="K787" s="220"/>
      <c r="L787" s="220"/>
      <c r="M787" s="220"/>
      <c r="N787" s="220"/>
      <c r="O787" s="382"/>
      <c r="P787" s="141"/>
      <c r="Q787" s="141"/>
      <c r="R787" s="141"/>
      <c r="S787" s="141"/>
      <c r="T787" s="141"/>
      <c r="U787" s="57"/>
      <c r="V787" s="57"/>
      <c r="W787" s="57"/>
      <c r="X787" s="57"/>
      <c r="Y787" s="57"/>
      <c r="Z787" s="57"/>
      <c r="AA787" s="57"/>
      <c r="AB787" s="57"/>
    </row>
    <row r="788">
      <c r="A788" s="141"/>
      <c r="B788" s="141"/>
      <c r="C788" s="141"/>
      <c r="D788" s="141"/>
      <c r="E788" s="141"/>
      <c r="F788" s="141"/>
      <c r="G788" s="48"/>
      <c r="H788" s="141"/>
      <c r="I788" s="141"/>
      <c r="J788" s="220"/>
      <c r="K788" s="220"/>
      <c r="L788" s="220"/>
      <c r="M788" s="220"/>
      <c r="N788" s="220"/>
      <c r="O788" s="382"/>
      <c r="P788" s="141"/>
      <c r="Q788" s="141"/>
      <c r="R788" s="141"/>
      <c r="S788" s="141"/>
      <c r="T788" s="141"/>
      <c r="U788" s="57"/>
      <c r="V788" s="57"/>
      <c r="W788" s="57"/>
      <c r="X788" s="57"/>
      <c r="Y788" s="57"/>
      <c r="Z788" s="57"/>
      <c r="AA788" s="57"/>
      <c r="AB788" s="57"/>
    </row>
    <row r="789">
      <c r="A789" s="141"/>
      <c r="B789" s="141"/>
      <c r="C789" s="141"/>
      <c r="D789" s="141"/>
      <c r="E789" s="141"/>
      <c r="F789" s="141"/>
      <c r="G789" s="48"/>
      <c r="H789" s="141"/>
      <c r="I789" s="141"/>
      <c r="J789" s="220"/>
      <c r="K789" s="220"/>
      <c r="L789" s="220"/>
      <c r="M789" s="220"/>
      <c r="N789" s="220"/>
      <c r="O789" s="382"/>
      <c r="P789" s="141"/>
      <c r="Q789" s="141"/>
      <c r="R789" s="141"/>
      <c r="S789" s="141"/>
      <c r="T789" s="141"/>
      <c r="U789" s="57"/>
      <c r="V789" s="57"/>
      <c r="W789" s="57"/>
      <c r="X789" s="57"/>
      <c r="Y789" s="57"/>
      <c r="Z789" s="57"/>
      <c r="AA789" s="57"/>
      <c r="AB789" s="57"/>
    </row>
    <row r="790">
      <c r="A790" s="141"/>
      <c r="B790" s="141"/>
      <c r="C790" s="141"/>
      <c r="D790" s="141"/>
      <c r="E790" s="141"/>
      <c r="F790" s="141"/>
      <c r="G790" s="48"/>
      <c r="H790" s="141"/>
      <c r="I790" s="141"/>
      <c r="J790" s="220"/>
      <c r="K790" s="220"/>
      <c r="L790" s="220"/>
      <c r="M790" s="220"/>
      <c r="N790" s="220"/>
      <c r="O790" s="382"/>
      <c r="P790" s="141"/>
      <c r="Q790" s="141"/>
      <c r="R790" s="141"/>
      <c r="S790" s="141"/>
      <c r="T790" s="141"/>
      <c r="U790" s="57"/>
      <c r="V790" s="57"/>
      <c r="W790" s="57"/>
      <c r="X790" s="57"/>
      <c r="Y790" s="57"/>
      <c r="Z790" s="57"/>
      <c r="AA790" s="57"/>
      <c r="AB790" s="57"/>
    </row>
    <row r="791">
      <c r="A791" s="141"/>
      <c r="B791" s="141"/>
      <c r="C791" s="141"/>
      <c r="D791" s="141"/>
      <c r="E791" s="141"/>
      <c r="F791" s="141"/>
      <c r="G791" s="48"/>
      <c r="H791" s="141"/>
      <c r="I791" s="141"/>
      <c r="J791" s="220"/>
      <c r="K791" s="220"/>
      <c r="L791" s="220"/>
      <c r="M791" s="220"/>
      <c r="N791" s="220"/>
      <c r="O791" s="382"/>
      <c r="P791" s="141"/>
      <c r="Q791" s="141"/>
      <c r="R791" s="141"/>
      <c r="S791" s="141"/>
      <c r="T791" s="141"/>
      <c r="U791" s="57"/>
      <c r="V791" s="57"/>
      <c r="W791" s="57"/>
      <c r="X791" s="57"/>
      <c r="Y791" s="57"/>
      <c r="Z791" s="57"/>
      <c r="AA791" s="57"/>
      <c r="AB791" s="57"/>
    </row>
    <row r="792">
      <c r="A792" s="141"/>
      <c r="B792" s="141"/>
      <c r="C792" s="141"/>
      <c r="D792" s="141"/>
      <c r="E792" s="141"/>
      <c r="F792" s="141"/>
      <c r="G792" s="48"/>
      <c r="H792" s="141"/>
      <c r="I792" s="141"/>
      <c r="J792" s="220"/>
      <c r="K792" s="220"/>
      <c r="L792" s="220"/>
      <c r="M792" s="220"/>
      <c r="N792" s="220"/>
      <c r="O792" s="382"/>
      <c r="P792" s="141"/>
      <c r="Q792" s="141"/>
      <c r="R792" s="141"/>
      <c r="S792" s="141"/>
      <c r="T792" s="141"/>
      <c r="U792" s="57"/>
      <c r="V792" s="57"/>
      <c r="W792" s="57"/>
      <c r="X792" s="57"/>
      <c r="Y792" s="57"/>
      <c r="Z792" s="57"/>
      <c r="AA792" s="57"/>
      <c r="AB792" s="57"/>
    </row>
    <row r="793">
      <c r="A793" s="141"/>
      <c r="B793" s="141"/>
      <c r="C793" s="141"/>
      <c r="D793" s="141"/>
      <c r="E793" s="141"/>
      <c r="F793" s="141"/>
      <c r="G793" s="48"/>
      <c r="H793" s="141"/>
      <c r="I793" s="141"/>
      <c r="J793" s="220"/>
      <c r="K793" s="220"/>
      <c r="L793" s="220"/>
      <c r="M793" s="220"/>
      <c r="N793" s="220"/>
      <c r="O793" s="382"/>
      <c r="P793" s="141"/>
      <c r="Q793" s="141"/>
      <c r="R793" s="141"/>
      <c r="S793" s="141"/>
      <c r="T793" s="141"/>
      <c r="U793" s="57"/>
      <c r="V793" s="57"/>
      <c r="W793" s="57"/>
      <c r="X793" s="57"/>
      <c r="Y793" s="57"/>
      <c r="Z793" s="57"/>
      <c r="AA793" s="57"/>
      <c r="AB793" s="57"/>
    </row>
    <row r="794">
      <c r="A794" s="141"/>
      <c r="B794" s="141"/>
      <c r="C794" s="141"/>
      <c r="D794" s="141"/>
      <c r="E794" s="141"/>
      <c r="F794" s="141"/>
      <c r="G794" s="48"/>
      <c r="H794" s="141"/>
      <c r="I794" s="141"/>
      <c r="J794" s="220"/>
      <c r="K794" s="220"/>
      <c r="L794" s="220"/>
      <c r="M794" s="220"/>
      <c r="N794" s="220"/>
      <c r="O794" s="382"/>
      <c r="P794" s="141"/>
      <c r="Q794" s="141"/>
      <c r="R794" s="141"/>
      <c r="S794" s="141"/>
      <c r="T794" s="141"/>
      <c r="U794" s="57"/>
      <c r="V794" s="57"/>
      <c r="W794" s="57"/>
      <c r="X794" s="57"/>
      <c r="Y794" s="57"/>
      <c r="Z794" s="57"/>
      <c r="AA794" s="57"/>
      <c r="AB794" s="57"/>
    </row>
    <row r="795">
      <c r="A795" s="141"/>
      <c r="B795" s="141"/>
      <c r="C795" s="141"/>
      <c r="D795" s="141"/>
      <c r="E795" s="141"/>
      <c r="F795" s="141"/>
      <c r="G795" s="48"/>
      <c r="H795" s="141"/>
      <c r="I795" s="141"/>
      <c r="J795" s="220"/>
      <c r="K795" s="220"/>
      <c r="L795" s="220"/>
      <c r="M795" s="220"/>
      <c r="N795" s="220"/>
      <c r="O795" s="382"/>
      <c r="P795" s="141"/>
      <c r="Q795" s="141"/>
      <c r="R795" s="141"/>
      <c r="S795" s="141"/>
      <c r="T795" s="141"/>
      <c r="U795" s="57"/>
      <c r="V795" s="57"/>
      <c r="W795" s="57"/>
      <c r="X795" s="57"/>
      <c r="Y795" s="57"/>
      <c r="Z795" s="57"/>
      <c r="AA795" s="57"/>
      <c r="AB795" s="57"/>
    </row>
    <row r="796">
      <c r="A796" s="141"/>
      <c r="B796" s="141"/>
      <c r="C796" s="141"/>
      <c r="D796" s="141"/>
      <c r="E796" s="141"/>
      <c r="F796" s="141"/>
      <c r="G796" s="48"/>
      <c r="H796" s="141"/>
      <c r="I796" s="141"/>
      <c r="J796" s="220"/>
      <c r="K796" s="220"/>
      <c r="L796" s="220"/>
      <c r="M796" s="220"/>
      <c r="N796" s="220"/>
      <c r="O796" s="382"/>
      <c r="P796" s="141"/>
      <c r="Q796" s="141"/>
      <c r="R796" s="141"/>
      <c r="S796" s="141"/>
      <c r="T796" s="141"/>
      <c r="U796" s="57"/>
      <c r="V796" s="57"/>
      <c r="W796" s="57"/>
      <c r="X796" s="57"/>
      <c r="Y796" s="57"/>
      <c r="Z796" s="57"/>
      <c r="AA796" s="57"/>
      <c r="AB796" s="57"/>
    </row>
    <row r="797">
      <c r="A797" s="141"/>
      <c r="B797" s="141"/>
      <c r="C797" s="141"/>
      <c r="D797" s="141"/>
      <c r="E797" s="141"/>
      <c r="F797" s="141"/>
      <c r="G797" s="48"/>
      <c r="H797" s="141"/>
      <c r="I797" s="141"/>
      <c r="J797" s="220"/>
      <c r="K797" s="220"/>
      <c r="L797" s="220"/>
      <c r="M797" s="220"/>
      <c r="N797" s="220"/>
      <c r="O797" s="382"/>
      <c r="P797" s="141"/>
      <c r="Q797" s="141"/>
      <c r="R797" s="141"/>
      <c r="S797" s="141"/>
      <c r="T797" s="141"/>
      <c r="U797" s="57"/>
      <c r="V797" s="57"/>
      <c r="W797" s="57"/>
      <c r="X797" s="57"/>
      <c r="Y797" s="57"/>
      <c r="Z797" s="57"/>
      <c r="AA797" s="57"/>
      <c r="AB797" s="57"/>
    </row>
    <row r="798">
      <c r="A798" s="141"/>
      <c r="B798" s="141"/>
      <c r="C798" s="141"/>
      <c r="D798" s="141"/>
      <c r="E798" s="141"/>
      <c r="F798" s="141"/>
      <c r="G798" s="48"/>
      <c r="H798" s="141"/>
      <c r="I798" s="141"/>
      <c r="J798" s="220"/>
      <c r="K798" s="220"/>
      <c r="L798" s="220"/>
      <c r="M798" s="220"/>
      <c r="N798" s="220"/>
      <c r="O798" s="382"/>
      <c r="P798" s="141"/>
      <c r="Q798" s="141"/>
      <c r="R798" s="141"/>
      <c r="S798" s="141"/>
      <c r="T798" s="141"/>
      <c r="U798" s="57"/>
      <c r="V798" s="57"/>
      <c r="W798" s="57"/>
      <c r="X798" s="57"/>
      <c r="Y798" s="57"/>
      <c r="Z798" s="57"/>
      <c r="AA798" s="57"/>
      <c r="AB798" s="57"/>
    </row>
    <row r="799">
      <c r="A799" s="141"/>
      <c r="B799" s="141"/>
      <c r="C799" s="141"/>
      <c r="D799" s="141"/>
      <c r="E799" s="141"/>
      <c r="F799" s="141"/>
      <c r="G799" s="48"/>
      <c r="H799" s="141"/>
      <c r="I799" s="141"/>
      <c r="J799" s="220"/>
      <c r="K799" s="220"/>
      <c r="L799" s="220"/>
      <c r="M799" s="220"/>
      <c r="N799" s="220"/>
      <c r="O799" s="382"/>
      <c r="P799" s="141"/>
      <c r="Q799" s="141"/>
      <c r="R799" s="141"/>
      <c r="S799" s="141"/>
      <c r="T799" s="141"/>
      <c r="U799" s="57"/>
      <c r="V799" s="57"/>
      <c r="W799" s="57"/>
      <c r="X799" s="57"/>
      <c r="Y799" s="57"/>
      <c r="Z799" s="57"/>
      <c r="AA799" s="57"/>
      <c r="AB799" s="57"/>
    </row>
    <row r="800">
      <c r="A800" s="141"/>
      <c r="B800" s="141"/>
      <c r="C800" s="141"/>
      <c r="D800" s="141"/>
      <c r="E800" s="141"/>
      <c r="F800" s="141"/>
      <c r="G800" s="48"/>
      <c r="H800" s="141"/>
      <c r="I800" s="141"/>
      <c r="J800" s="220"/>
      <c r="K800" s="220"/>
      <c r="L800" s="220"/>
      <c r="M800" s="220"/>
      <c r="N800" s="220"/>
      <c r="O800" s="382"/>
      <c r="P800" s="141"/>
      <c r="Q800" s="141"/>
      <c r="R800" s="141"/>
      <c r="S800" s="141"/>
      <c r="T800" s="141"/>
      <c r="U800" s="57"/>
      <c r="V800" s="57"/>
      <c r="W800" s="57"/>
      <c r="X800" s="57"/>
      <c r="Y800" s="57"/>
      <c r="Z800" s="57"/>
      <c r="AA800" s="57"/>
      <c r="AB800" s="57"/>
    </row>
    <row r="801">
      <c r="A801" s="141"/>
      <c r="B801" s="141"/>
      <c r="C801" s="141"/>
      <c r="D801" s="141"/>
      <c r="E801" s="141"/>
      <c r="F801" s="141"/>
      <c r="G801" s="48"/>
      <c r="H801" s="141"/>
      <c r="I801" s="141"/>
      <c r="J801" s="220"/>
      <c r="K801" s="220"/>
      <c r="L801" s="220"/>
      <c r="M801" s="220"/>
      <c r="N801" s="220"/>
      <c r="O801" s="382"/>
      <c r="P801" s="141"/>
      <c r="Q801" s="141"/>
      <c r="R801" s="141"/>
      <c r="S801" s="141"/>
      <c r="T801" s="141"/>
      <c r="U801" s="57"/>
      <c r="V801" s="57"/>
      <c r="W801" s="57"/>
      <c r="X801" s="57"/>
      <c r="Y801" s="57"/>
      <c r="Z801" s="57"/>
      <c r="AA801" s="57"/>
      <c r="AB801" s="57"/>
    </row>
    <row r="802">
      <c r="A802" s="141"/>
      <c r="B802" s="141"/>
      <c r="C802" s="141"/>
      <c r="D802" s="141"/>
      <c r="E802" s="141"/>
      <c r="F802" s="141"/>
      <c r="G802" s="48"/>
      <c r="H802" s="141"/>
      <c r="I802" s="141"/>
      <c r="J802" s="220"/>
      <c r="K802" s="220"/>
      <c r="L802" s="220"/>
      <c r="M802" s="220"/>
      <c r="N802" s="220"/>
      <c r="O802" s="382"/>
      <c r="P802" s="141"/>
      <c r="Q802" s="141"/>
      <c r="R802" s="141"/>
      <c r="S802" s="141"/>
      <c r="T802" s="141"/>
      <c r="U802" s="57"/>
      <c r="V802" s="57"/>
      <c r="W802" s="57"/>
      <c r="X802" s="57"/>
      <c r="Y802" s="57"/>
      <c r="Z802" s="57"/>
      <c r="AA802" s="57"/>
      <c r="AB802" s="57"/>
    </row>
    <row r="803">
      <c r="A803" s="141"/>
      <c r="B803" s="141"/>
      <c r="C803" s="141"/>
      <c r="D803" s="141"/>
      <c r="E803" s="141"/>
      <c r="F803" s="141"/>
      <c r="G803" s="48"/>
      <c r="H803" s="141"/>
      <c r="I803" s="141"/>
      <c r="J803" s="220"/>
      <c r="K803" s="220"/>
      <c r="L803" s="220"/>
      <c r="M803" s="220"/>
      <c r="N803" s="220"/>
      <c r="O803" s="382"/>
      <c r="P803" s="141"/>
      <c r="Q803" s="141"/>
      <c r="R803" s="141"/>
      <c r="S803" s="141"/>
      <c r="T803" s="141"/>
      <c r="U803" s="57"/>
      <c r="V803" s="57"/>
      <c r="W803" s="57"/>
      <c r="X803" s="57"/>
      <c r="Y803" s="57"/>
      <c r="Z803" s="57"/>
      <c r="AA803" s="57"/>
      <c r="AB803" s="57"/>
    </row>
    <row r="804">
      <c r="A804" s="141"/>
      <c r="B804" s="141"/>
      <c r="C804" s="141"/>
      <c r="D804" s="141"/>
      <c r="E804" s="141"/>
      <c r="F804" s="141"/>
      <c r="G804" s="48"/>
      <c r="H804" s="141"/>
      <c r="I804" s="141"/>
      <c r="J804" s="220"/>
      <c r="K804" s="220"/>
      <c r="L804" s="220"/>
      <c r="M804" s="220"/>
      <c r="N804" s="220"/>
      <c r="O804" s="382"/>
      <c r="P804" s="141"/>
      <c r="Q804" s="141"/>
      <c r="R804" s="141"/>
      <c r="S804" s="141"/>
      <c r="T804" s="141"/>
      <c r="U804" s="57"/>
      <c r="V804" s="57"/>
      <c r="W804" s="57"/>
      <c r="X804" s="57"/>
      <c r="Y804" s="57"/>
      <c r="Z804" s="57"/>
      <c r="AA804" s="57"/>
      <c r="AB804" s="57"/>
    </row>
    <row r="805">
      <c r="A805" s="141"/>
      <c r="B805" s="141"/>
      <c r="C805" s="141"/>
      <c r="D805" s="141"/>
      <c r="E805" s="141"/>
      <c r="F805" s="141"/>
      <c r="G805" s="48"/>
      <c r="H805" s="141"/>
      <c r="I805" s="141"/>
      <c r="J805" s="220"/>
      <c r="K805" s="220"/>
      <c r="L805" s="220"/>
      <c r="M805" s="220"/>
      <c r="N805" s="220"/>
      <c r="O805" s="382"/>
      <c r="P805" s="141"/>
      <c r="Q805" s="141"/>
      <c r="R805" s="141"/>
      <c r="S805" s="141"/>
      <c r="T805" s="141"/>
      <c r="U805" s="57"/>
      <c r="V805" s="57"/>
      <c r="W805" s="57"/>
      <c r="X805" s="57"/>
      <c r="Y805" s="57"/>
      <c r="Z805" s="57"/>
      <c r="AA805" s="57"/>
      <c r="AB805" s="57"/>
    </row>
    <row r="806">
      <c r="A806" s="141"/>
      <c r="B806" s="141"/>
      <c r="C806" s="141"/>
      <c r="D806" s="141"/>
      <c r="E806" s="141"/>
      <c r="F806" s="141"/>
      <c r="G806" s="48"/>
      <c r="H806" s="141"/>
      <c r="I806" s="141"/>
      <c r="J806" s="220"/>
      <c r="K806" s="220"/>
      <c r="L806" s="220"/>
      <c r="M806" s="220"/>
      <c r="N806" s="220"/>
      <c r="O806" s="382"/>
      <c r="P806" s="141"/>
      <c r="Q806" s="141"/>
      <c r="R806" s="141"/>
      <c r="S806" s="141"/>
      <c r="T806" s="141"/>
      <c r="U806" s="57"/>
      <c r="V806" s="57"/>
      <c r="W806" s="57"/>
      <c r="X806" s="57"/>
      <c r="Y806" s="57"/>
      <c r="Z806" s="57"/>
      <c r="AA806" s="57"/>
      <c r="AB806" s="57"/>
    </row>
    <row r="807">
      <c r="A807" s="141"/>
      <c r="B807" s="141"/>
      <c r="C807" s="141"/>
      <c r="D807" s="141"/>
      <c r="E807" s="141"/>
      <c r="F807" s="141"/>
      <c r="G807" s="48"/>
      <c r="H807" s="141"/>
      <c r="I807" s="141"/>
      <c r="J807" s="220"/>
      <c r="K807" s="220"/>
      <c r="L807" s="220"/>
      <c r="M807" s="220"/>
      <c r="N807" s="220"/>
      <c r="O807" s="382"/>
      <c r="P807" s="141"/>
      <c r="Q807" s="141"/>
      <c r="R807" s="141"/>
      <c r="S807" s="141"/>
      <c r="T807" s="141"/>
      <c r="U807" s="57"/>
      <c r="V807" s="57"/>
      <c r="W807" s="57"/>
      <c r="X807" s="57"/>
      <c r="Y807" s="57"/>
      <c r="Z807" s="57"/>
      <c r="AA807" s="57"/>
      <c r="AB807" s="57"/>
    </row>
    <row r="808">
      <c r="A808" s="141"/>
      <c r="B808" s="141"/>
      <c r="C808" s="141"/>
      <c r="D808" s="141"/>
      <c r="E808" s="141"/>
      <c r="F808" s="141"/>
      <c r="G808" s="48"/>
      <c r="H808" s="141"/>
      <c r="I808" s="141"/>
      <c r="J808" s="220"/>
      <c r="K808" s="220"/>
      <c r="L808" s="220"/>
      <c r="M808" s="220"/>
      <c r="N808" s="220"/>
      <c r="O808" s="382"/>
      <c r="P808" s="141"/>
      <c r="Q808" s="141"/>
      <c r="R808" s="141"/>
      <c r="S808" s="141"/>
      <c r="T808" s="141"/>
      <c r="U808" s="57"/>
      <c r="V808" s="57"/>
      <c r="W808" s="57"/>
      <c r="X808" s="57"/>
      <c r="Y808" s="57"/>
      <c r="Z808" s="57"/>
      <c r="AA808" s="57"/>
      <c r="AB808" s="57"/>
    </row>
    <row r="809">
      <c r="A809" s="141"/>
      <c r="B809" s="141"/>
      <c r="C809" s="141"/>
      <c r="D809" s="141"/>
      <c r="E809" s="141"/>
      <c r="F809" s="141"/>
      <c r="G809" s="48"/>
      <c r="H809" s="141"/>
      <c r="I809" s="141"/>
      <c r="J809" s="220"/>
      <c r="K809" s="220"/>
      <c r="L809" s="220"/>
      <c r="M809" s="220"/>
      <c r="N809" s="220"/>
      <c r="O809" s="382"/>
      <c r="P809" s="141"/>
      <c r="Q809" s="141"/>
      <c r="R809" s="141"/>
      <c r="S809" s="141"/>
      <c r="T809" s="141"/>
      <c r="U809" s="57"/>
      <c r="V809" s="57"/>
      <c r="W809" s="57"/>
      <c r="X809" s="57"/>
      <c r="Y809" s="57"/>
      <c r="Z809" s="57"/>
      <c r="AA809" s="57"/>
      <c r="AB809" s="57"/>
    </row>
    <row r="810">
      <c r="A810" s="141"/>
      <c r="B810" s="141"/>
      <c r="C810" s="141"/>
      <c r="D810" s="141"/>
      <c r="E810" s="141"/>
      <c r="F810" s="141"/>
      <c r="G810" s="48"/>
      <c r="H810" s="141"/>
      <c r="I810" s="141"/>
      <c r="J810" s="220"/>
      <c r="K810" s="220"/>
      <c r="L810" s="220"/>
      <c r="M810" s="220"/>
      <c r="N810" s="220"/>
      <c r="O810" s="382"/>
      <c r="P810" s="141"/>
      <c r="Q810" s="141"/>
      <c r="R810" s="141"/>
      <c r="S810" s="141"/>
      <c r="T810" s="141"/>
      <c r="U810" s="57"/>
      <c r="V810" s="57"/>
      <c r="W810" s="57"/>
      <c r="X810" s="57"/>
      <c r="Y810" s="57"/>
      <c r="Z810" s="57"/>
      <c r="AA810" s="57"/>
      <c r="AB810" s="57"/>
    </row>
    <row r="811">
      <c r="A811" s="141"/>
      <c r="B811" s="141"/>
      <c r="C811" s="141"/>
      <c r="D811" s="141"/>
      <c r="E811" s="141"/>
      <c r="F811" s="141"/>
      <c r="G811" s="48"/>
      <c r="H811" s="141"/>
      <c r="I811" s="141"/>
      <c r="J811" s="220"/>
      <c r="K811" s="220"/>
      <c r="L811" s="220"/>
      <c r="M811" s="220"/>
      <c r="N811" s="220"/>
      <c r="O811" s="382"/>
      <c r="P811" s="141"/>
      <c r="Q811" s="141"/>
      <c r="R811" s="141"/>
      <c r="S811" s="141"/>
      <c r="T811" s="141"/>
      <c r="U811" s="57"/>
      <c r="V811" s="57"/>
      <c r="W811" s="57"/>
      <c r="X811" s="57"/>
      <c r="Y811" s="57"/>
      <c r="Z811" s="57"/>
      <c r="AA811" s="57"/>
      <c r="AB811" s="57"/>
    </row>
    <row r="812">
      <c r="A812" s="141"/>
      <c r="B812" s="141"/>
      <c r="C812" s="141"/>
      <c r="D812" s="141"/>
      <c r="E812" s="141"/>
      <c r="F812" s="141"/>
      <c r="G812" s="48"/>
      <c r="H812" s="141"/>
      <c r="I812" s="141"/>
      <c r="J812" s="220"/>
      <c r="K812" s="220"/>
      <c r="L812" s="220"/>
      <c r="M812" s="220"/>
      <c r="N812" s="220"/>
      <c r="O812" s="382"/>
      <c r="P812" s="141"/>
      <c r="Q812" s="141"/>
      <c r="R812" s="141"/>
      <c r="S812" s="141"/>
      <c r="T812" s="141"/>
      <c r="U812" s="57"/>
      <c r="V812" s="57"/>
      <c r="W812" s="57"/>
      <c r="X812" s="57"/>
      <c r="Y812" s="57"/>
      <c r="Z812" s="57"/>
      <c r="AA812" s="57"/>
      <c r="AB812" s="57"/>
    </row>
    <row r="813">
      <c r="A813" s="141"/>
      <c r="B813" s="141"/>
      <c r="C813" s="141"/>
      <c r="D813" s="141"/>
      <c r="E813" s="141"/>
      <c r="F813" s="141"/>
      <c r="G813" s="48"/>
      <c r="H813" s="141"/>
      <c r="I813" s="141"/>
      <c r="J813" s="220"/>
      <c r="K813" s="220"/>
      <c r="L813" s="220"/>
      <c r="M813" s="220"/>
      <c r="N813" s="220"/>
      <c r="O813" s="382"/>
      <c r="P813" s="141"/>
      <c r="Q813" s="141"/>
      <c r="R813" s="141"/>
      <c r="S813" s="141"/>
      <c r="T813" s="141"/>
      <c r="U813" s="57"/>
      <c r="V813" s="57"/>
      <c r="W813" s="57"/>
      <c r="X813" s="57"/>
      <c r="Y813" s="57"/>
      <c r="Z813" s="57"/>
      <c r="AA813" s="57"/>
      <c r="AB813" s="57"/>
    </row>
    <row r="814">
      <c r="A814" s="141"/>
      <c r="B814" s="141"/>
      <c r="C814" s="141"/>
      <c r="D814" s="141"/>
      <c r="E814" s="141"/>
      <c r="F814" s="141"/>
      <c r="G814" s="48"/>
      <c r="H814" s="141"/>
      <c r="I814" s="141"/>
      <c r="J814" s="220"/>
      <c r="K814" s="220"/>
      <c r="L814" s="220"/>
      <c r="M814" s="220"/>
      <c r="N814" s="220"/>
      <c r="O814" s="382"/>
      <c r="P814" s="141"/>
      <c r="Q814" s="141"/>
      <c r="R814" s="141"/>
      <c r="S814" s="141"/>
      <c r="T814" s="141"/>
      <c r="U814" s="57"/>
      <c r="V814" s="57"/>
      <c r="W814" s="57"/>
      <c r="X814" s="57"/>
      <c r="Y814" s="57"/>
      <c r="Z814" s="57"/>
      <c r="AA814" s="57"/>
      <c r="AB814" s="57"/>
    </row>
    <row r="815">
      <c r="A815" s="141"/>
      <c r="B815" s="141"/>
      <c r="C815" s="141"/>
      <c r="D815" s="141"/>
      <c r="E815" s="141"/>
      <c r="F815" s="141"/>
      <c r="G815" s="48"/>
      <c r="H815" s="141"/>
      <c r="I815" s="141"/>
      <c r="J815" s="220"/>
      <c r="K815" s="220"/>
      <c r="L815" s="220"/>
      <c r="M815" s="220"/>
      <c r="N815" s="220"/>
      <c r="O815" s="382"/>
      <c r="P815" s="141"/>
      <c r="Q815" s="141"/>
      <c r="R815" s="141"/>
      <c r="S815" s="141"/>
      <c r="T815" s="141"/>
      <c r="U815" s="57"/>
      <c r="V815" s="57"/>
      <c r="W815" s="57"/>
      <c r="X815" s="57"/>
      <c r="Y815" s="57"/>
      <c r="Z815" s="57"/>
      <c r="AA815" s="57"/>
      <c r="AB815" s="57"/>
    </row>
    <row r="816">
      <c r="A816" s="141"/>
      <c r="B816" s="141"/>
      <c r="C816" s="141"/>
      <c r="D816" s="141"/>
      <c r="E816" s="141"/>
      <c r="F816" s="141"/>
      <c r="G816" s="48"/>
      <c r="H816" s="141"/>
      <c r="I816" s="141"/>
      <c r="J816" s="220"/>
      <c r="K816" s="220"/>
      <c r="L816" s="220"/>
      <c r="M816" s="220"/>
      <c r="N816" s="220"/>
      <c r="O816" s="382"/>
      <c r="P816" s="141"/>
      <c r="Q816" s="141"/>
      <c r="R816" s="141"/>
      <c r="S816" s="141"/>
      <c r="T816" s="141"/>
      <c r="U816" s="57"/>
      <c r="V816" s="57"/>
      <c r="W816" s="57"/>
      <c r="X816" s="57"/>
      <c r="Y816" s="57"/>
      <c r="Z816" s="57"/>
      <c r="AA816" s="57"/>
      <c r="AB816" s="57"/>
    </row>
    <row r="817">
      <c r="A817" s="141"/>
      <c r="B817" s="141"/>
      <c r="C817" s="141"/>
      <c r="D817" s="141"/>
      <c r="E817" s="141"/>
      <c r="F817" s="141"/>
      <c r="G817" s="48"/>
      <c r="H817" s="141"/>
      <c r="I817" s="141"/>
      <c r="J817" s="220"/>
      <c r="K817" s="220"/>
      <c r="L817" s="220"/>
      <c r="M817" s="220"/>
      <c r="N817" s="220"/>
      <c r="O817" s="382"/>
      <c r="P817" s="141"/>
      <c r="Q817" s="141"/>
      <c r="R817" s="141"/>
      <c r="S817" s="141"/>
      <c r="T817" s="141"/>
      <c r="U817" s="57"/>
      <c r="V817" s="57"/>
      <c r="W817" s="57"/>
      <c r="X817" s="57"/>
      <c r="Y817" s="57"/>
      <c r="Z817" s="57"/>
      <c r="AA817" s="57"/>
      <c r="AB817" s="57"/>
    </row>
    <row r="818">
      <c r="A818" s="141"/>
      <c r="B818" s="141"/>
      <c r="C818" s="141"/>
      <c r="D818" s="141"/>
      <c r="E818" s="141"/>
      <c r="F818" s="141"/>
      <c r="G818" s="48"/>
      <c r="H818" s="141"/>
      <c r="I818" s="141"/>
      <c r="J818" s="220"/>
      <c r="K818" s="220"/>
      <c r="L818" s="220"/>
      <c r="M818" s="220"/>
      <c r="N818" s="220"/>
      <c r="O818" s="382"/>
      <c r="P818" s="141"/>
      <c r="Q818" s="141"/>
      <c r="R818" s="141"/>
      <c r="S818" s="141"/>
      <c r="T818" s="141"/>
      <c r="U818" s="57"/>
      <c r="V818" s="57"/>
      <c r="W818" s="57"/>
      <c r="X818" s="57"/>
      <c r="Y818" s="57"/>
      <c r="Z818" s="57"/>
      <c r="AA818" s="57"/>
      <c r="AB818" s="57"/>
    </row>
    <row r="819">
      <c r="A819" s="141"/>
      <c r="B819" s="141"/>
      <c r="C819" s="141"/>
      <c r="D819" s="141"/>
      <c r="E819" s="141"/>
      <c r="F819" s="141"/>
      <c r="G819" s="48"/>
      <c r="H819" s="141"/>
      <c r="I819" s="141"/>
      <c r="J819" s="220"/>
      <c r="K819" s="220"/>
      <c r="L819" s="220"/>
      <c r="M819" s="220"/>
      <c r="N819" s="220"/>
      <c r="O819" s="382"/>
      <c r="P819" s="141"/>
      <c r="Q819" s="141"/>
      <c r="R819" s="141"/>
      <c r="S819" s="141"/>
      <c r="T819" s="141"/>
      <c r="U819" s="57"/>
      <c r="V819" s="57"/>
      <c r="W819" s="57"/>
      <c r="X819" s="57"/>
      <c r="Y819" s="57"/>
      <c r="Z819" s="57"/>
      <c r="AA819" s="57"/>
      <c r="AB819" s="57"/>
    </row>
    <row r="820">
      <c r="A820" s="141"/>
      <c r="B820" s="141"/>
      <c r="C820" s="141"/>
      <c r="D820" s="141"/>
      <c r="E820" s="141"/>
      <c r="F820" s="141"/>
      <c r="G820" s="48"/>
      <c r="H820" s="141"/>
      <c r="I820" s="141"/>
      <c r="J820" s="220"/>
      <c r="K820" s="220"/>
      <c r="L820" s="220"/>
      <c r="M820" s="220"/>
      <c r="N820" s="220"/>
      <c r="O820" s="382"/>
      <c r="P820" s="141"/>
      <c r="Q820" s="141"/>
      <c r="R820" s="141"/>
      <c r="S820" s="141"/>
      <c r="T820" s="141"/>
      <c r="U820" s="57"/>
      <c r="V820" s="57"/>
      <c r="W820" s="57"/>
      <c r="X820" s="57"/>
      <c r="Y820" s="57"/>
      <c r="Z820" s="57"/>
      <c r="AA820" s="57"/>
      <c r="AB820" s="57"/>
    </row>
    <row r="821">
      <c r="A821" s="141"/>
      <c r="B821" s="141"/>
      <c r="C821" s="141"/>
      <c r="D821" s="141"/>
      <c r="E821" s="141"/>
      <c r="F821" s="141"/>
      <c r="G821" s="48"/>
      <c r="H821" s="141"/>
      <c r="I821" s="141"/>
      <c r="J821" s="220"/>
      <c r="K821" s="220"/>
      <c r="L821" s="220"/>
      <c r="M821" s="220"/>
      <c r="N821" s="220"/>
      <c r="O821" s="382"/>
      <c r="P821" s="141"/>
      <c r="Q821" s="141"/>
      <c r="R821" s="141"/>
      <c r="S821" s="141"/>
      <c r="T821" s="141"/>
      <c r="U821" s="57"/>
      <c r="V821" s="57"/>
      <c r="W821" s="57"/>
      <c r="X821" s="57"/>
      <c r="Y821" s="57"/>
      <c r="Z821" s="57"/>
      <c r="AA821" s="57"/>
      <c r="AB821" s="57"/>
    </row>
    <row r="822">
      <c r="A822" s="141"/>
      <c r="B822" s="141"/>
      <c r="C822" s="141"/>
      <c r="D822" s="141"/>
      <c r="E822" s="141"/>
      <c r="F822" s="141"/>
      <c r="G822" s="48"/>
      <c r="H822" s="141"/>
      <c r="I822" s="141"/>
      <c r="J822" s="220"/>
      <c r="K822" s="220"/>
      <c r="L822" s="220"/>
      <c r="M822" s="220"/>
      <c r="N822" s="220"/>
      <c r="O822" s="382"/>
      <c r="P822" s="141"/>
      <c r="Q822" s="141"/>
      <c r="R822" s="141"/>
      <c r="S822" s="141"/>
      <c r="T822" s="141"/>
      <c r="U822" s="57"/>
      <c r="V822" s="57"/>
      <c r="W822" s="57"/>
      <c r="X822" s="57"/>
      <c r="Y822" s="57"/>
      <c r="Z822" s="57"/>
      <c r="AA822" s="57"/>
      <c r="AB822" s="57"/>
    </row>
    <row r="823">
      <c r="A823" s="141"/>
      <c r="B823" s="141"/>
      <c r="C823" s="141"/>
      <c r="D823" s="141"/>
      <c r="E823" s="141"/>
      <c r="F823" s="141"/>
      <c r="G823" s="48"/>
      <c r="H823" s="141"/>
      <c r="I823" s="141"/>
      <c r="J823" s="220"/>
      <c r="K823" s="220"/>
      <c r="L823" s="220"/>
      <c r="M823" s="220"/>
      <c r="N823" s="220"/>
      <c r="O823" s="382"/>
      <c r="P823" s="141"/>
      <c r="Q823" s="141"/>
      <c r="R823" s="141"/>
      <c r="S823" s="141"/>
      <c r="T823" s="141"/>
      <c r="U823" s="57"/>
      <c r="V823" s="57"/>
      <c r="W823" s="57"/>
      <c r="X823" s="57"/>
      <c r="Y823" s="57"/>
      <c r="Z823" s="57"/>
      <c r="AA823" s="57"/>
      <c r="AB823" s="57"/>
    </row>
    <row r="824">
      <c r="A824" s="141"/>
      <c r="B824" s="141"/>
      <c r="C824" s="141"/>
      <c r="D824" s="141"/>
      <c r="E824" s="141"/>
      <c r="F824" s="141"/>
      <c r="G824" s="48"/>
      <c r="H824" s="141"/>
      <c r="I824" s="141"/>
      <c r="J824" s="220"/>
      <c r="K824" s="220"/>
      <c r="L824" s="220"/>
      <c r="M824" s="220"/>
      <c r="N824" s="220"/>
      <c r="O824" s="382"/>
      <c r="P824" s="141"/>
      <c r="Q824" s="141"/>
      <c r="R824" s="141"/>
      <c r="S824" s="141"/>
      <c r="T824" s="141"/>
      <c r="U824" s="57"/>
      <c r="V824" s="57"/>
      <c r="W824" s="57"/>
      <c r="X824" s="57"/>
      <c r="Y824" s="57"/>
      <c r="Z824" s="57"/>
      <c r="AA824" s="57"/>
      <c r="AB824" s="57"/>
    </row>
    <row r="825">
      <c r="A825" s="141"/>
      <c r="B825" s="141"/>
      <c r="C825" s="141"/>
      <c r="D825" s="141"/>
      <c r="E825" s="141"/>
      <c r="F825" s="141"/>
      <c r="G825" s="48"/>
      <c r="H825" s="141"/>
      <c r="I825" s="141"/>
      <c r="J825" s="220"/>
      <c r="K825" s="220"/>
      <c r="L825" s="220"/>
      <c r="M825" s="220"/>
      <c r="N825" s="220"/>
      <c r="O825" s="382"/>
      <c r="P825" s="141"/>
      <c r="Q825" s="141"/>
      <c r="R825" s="141"/>
      <c r="S825" s="141"/>
      <c r="T825" s="141"/>
      <c r="U825" s="57"/>
      <c r="V825" s="57"/>
      <c r="W825" s="57"/>
      <c r="X825" s="57"/>
      <c r="Y825" s="57"/>
      <c r="Z825" s="57"/>
      <c r="AA825" s="57"/>
      <c r="AB825" s="57"/>
    </row>
    <row r="826">
      <c r="A826" s="141"/>
      <c r="B826" s="141"/>
      <c r="C826" s="141"/>
      <c r="D826" s="141"/>
      <c r="E826" s="141"/>
      <c r="F826" s="141"/>
      <c r="G826" s="48"/>
      <c r="H826" s="141"/>
      <c r="I826" s="141"/>
      <c r="J826" s="220"/>
      <c r="K826" s="220"/>
      <c r="L826" s="220"/>
      <c r="M826" s="220"/>
      <c r="N826" s="220"/>
      <c r="O826" s="382"/>
      <c r="P826" s="141"/>
      <c r="Q826" s="141"/>
      <c r="R826" s="141"/>
      <c r="S826" s="141"/>
      <c r="T826" s="141"/>
      <c r="U826" s="57"/>
      <c r="V826" s="57"/>
      <c r="W826" s="57"/>
      <c r="X826" s="57"/>
      <c r="Y826" s="57"/>
      <c r="Z826" s="57"/>
      <c r="AA826" s="57"/>
      <c r="AB826" s="57"/>
    </row>
    <row r="827">
      <c r="A827" s="141"/>
      <c r="B827" s="141"/>
      <c r="C827" s="141"/>
      <c r="D827" s="141"/>
      <c r="E827" s="141"/>
      <c r="F827" s="141"/>
      <c r="G827" s="48"/>
      <c r="H827" s="141"/>
      <c r="I827" s="141"/>
      <c r="J827" s="220"/>
      <c r="K827" s="220"/>
      <c r="L827" s="220"/>
      <c r="M827" s="220"/>
      <c r="N827" s="220"/>
      <c r="O827" s="382"/>
      <c r="P827" s="141"/>
      <c r="Q827" s="141"/>
      <c r="R827" s="141"/>
      <c r="S827" s="141"/>
      <c r="T827" s="141"/>
      <c r="U827" s="57"/>
      <c r="V827" s="57"/>
      <c r="W827" s="57"/>
      <c r="X827" s="57"/>
      <c r="Y827" s="57"/>
      <c r="Z827" s="57"/>
      <c r="AA827" s="57"/>
      <c r="AB827" s="57"/>
    </row>
    <row r="828">
      <c r="A828" s="141"/>
      <c r="B828" s="141"/>
      <c r="C828" s="141"/>
      <c r="D828" s="141"/>
      <c r="E828" s="141"/>
      <c r="F828" s="141"/>
      <c r="G828" s="48"/>
      <c r="H828" s="141"/>
      <c r="I828" s="141"/>
      <c r="J828" s="220"/>
      <c r="K828" s="220"/>
      <c r="L828" s="220"/>
      <c r="M828" s="220"/>
      <c r="N828" s="220"/>
      <c r="O828" s="382"/>
      <c r="P828" s="141"/>
      <c r="Q828" s="141"/>
      <c r="R828" s="141"/>
      <c r="S828" s="141"/>
      <c r="T828" s="141"/>
      <c r="U828" s="57"/>
      <c r="V828" s="57"/>
      <c r="W828" s="57"/>
      <c r="X828" s="57"/>
      <c r="Y828" s="57"/>
      <c r="Z828" s="57"/>
      <c r="AA828" s="57"/>
      <c r="AB828" s="57"/>
    </row>
    <row r="829">
      <c r="A829" s="141"/>
      <c r="B829" s="141"/>
      <c r="C829" s="141"/>
      <c r="D829" s="141"/>
      <c r="E829" s="141"/>
      <c r="F829" s="141"/>
      <c r="G829" s="48"/>
      <c r="H829" s="141"/>
      <c r="I829" s="141"/>
      <c r="J829" s="220"/>
      <c r="K829" s="220"/>
      <c r="L829" s="220"/>
      <c r="M829" s="220"/>
      <c r="N829" s="220"/>
      <c r="O829" s="382"/>
      <c r="P829" s="141"/>
      <c r="Q829" s="141"/>
      <c r="R829" s="141"/>
      <c r="S829" s="141"/>
      <c r="T829" s="141"/>
      <c r="U829" s="57"/>
      <c r="V829" s="57"/>
      <c r="W829" s="57"/>
      <c r="X829" s="57"/>
      <c r="Y829" s="57"/>
      <c r="Z829" s="57"/>
      <c r="AA829" s="57"/>
      <c r="AB829" s="57"/>
    </row>
    <row r="830">
      <c r="A830" s="141"/>
      <c r="B830" s="141"/>
      <c r="C830" s="141"/>
      <c r="D830" s="141"/>
      <c r="E830" s="141"/>
      <c r="F830" s="141"/>
      <c r="G830" s="48"/>
      <c r="H830" s="141"/>
      <c r="I830" s="141"/>
      <c r="J830" s="220"/>
      <c r="K830" s="220"/>
      <c r="L830" s="220"/>
      <c r="M830" s="220"/>
      <c r="N830" s="220"/>
      <c r="O830" s="382"/>
      <c r="P830" s="141"/>
      <c r="Q830" s="141"/>
      <c r="R830" s="141"/>
      <c r="S830" s="141"/>
      <c r="T830" s="141"/>
      <c r="U830" s="57"/>
      <c r="V830" s="57"/>
      <c r="W830" s="57"/>
      <c r="X830" s="57"/>
      <c r="Y830" s="57"/>
      <c r="Z830" s="57"/>
      <c r="AA830" s="57"/>
      <c r="AB830" s="57"/>
    </row>
    <row r="831">
      <c r="A831" s="141"/>
      <c r="B831" s="141"/>
      <c r="C831" s="141"/>
      <c r="D831" s="141"/>
      <c r="E831" s="141"/>
      <c r="F831" s="141"/>
      <c r="G831" s="48"/>
      <c r="H831" s="141"/>
      <c r="I831" s="141"/>
      <c r="J831" s="220"/>
      <c r="K831" s="220"/>
      <c r="L831" s="220"/>
      <c r="M831" s="220"/>
      <c r="N831" s="220"/>
      <c r="O831" s="382"/>
      <c r="P831" s="141"/>
      <c r="Q831" s="141"/>
      <c r="R831" s="141"/>
      <c r="S831" s="141"/>
      <c r="T831" s="141"/>
      <c r="U831" s="57"/>
      <c r="V831" s="57"/>
      <c r="W831" s="57"/>
      <c r="X831" s="57"/>
      <c r="Y831" s="57"/>
      <c r="Z831" s="57"/>
      <c r="AA831" s="57"/>
      <c r="AB831" s="57"/>
    </row>
    <row r="832">
      <c r="A832" s="141"/>
      <c r="B832" s="141"/>
      <c r="C832" s="141"/>
      <c r="D832" s="141"/>
      <c r="E832" s="141"/>
      <c r="F832" s="141"/>
      <c r="G832" s="48"/>
      <c r="H832" s="141"/>
      <c r="I832" s="141"/>
      <c r="J832" s="220"/>
      <c r="K832" s="220"/>
      <c r="L832" s="220"/>
      <c r="M832" s="220"/>
      <c r="N832" s="220"/>
      <c r="O832" s="382"/>
      <c r="P832" s="141"/>
      <c r="Q832" s="141"/>
      <c r="R832" s="141"/>
      <c r="S832" s="141"/>
      <c r="T832" s="141"/>
      <c r="U832" s="57"/>
      <c r="V832" s="57"/>
      <c r="W832" s="57"/>
      <c r="X832" s="57"/>
      <c r="Y832" s="57"/>
      <c r="Z832" s="57"/>
      <c r="AA832" s="57"/>
      <c r="AB832" s="57"/>
    </row>
    <row r="833">
      <c r="A833" s="141"/>
      <c r="B833" s="141"/>
      <c r="C833" s="141"/>
      <c r="D833" s="141"/>
      <c r="E833" s="141"/>
      <c r="F833" s="141"/>
      <c r="G833" s="48"/>
      <c r="H833" s="141"/>
      <c r="I833" s="141"/>
      <c r="J833" s="220"/>
      <c r="K833" s="220"/>
      <c r="L833" s="220"/>
      <c r="M833" s="220"/>
      <c r="N833" s="220"/>
      <c r="O833" s="382"/>
      <c r="P833" s="141"/>
      <c r="Q833" s="141"/>
      <c r="R833" s="141"/>
      <c r="S833" s="141"/>
      <c r="T833" s="141"/>
      <c r="U833" s="57"/>
      <c r="V833" s="57"/>
      <c r="W833" s="57"/>
      <c r="X833" s="57"/>
      <c r="Y833" s="57"/>
      <c r="Z833" s="57"/>
      <c r="AA833" s="57"/>
      <c r="AB833" s="57"/>
    </row>
    <row r="834">
      <c r="A834" s="141"/>
      <c r="B834" s="141"/>
      <c r="C834" s="141"/>
      <c r="D834" s="141"/>
      <c r="E834" s="141"/>
      <c r="F834" s="141"/>
      <c r="G834" s="48"/>
      <c r="H834" s="141"/>
      <c r="I834" s="141"/>
      <c r="J834" s="220"/>
      <c r="K834" s="220"/>
      <c r="L834" s="220"/>
      <c r="M834" s="220"/>
      <c r="N834" s="220"/>
      <c r="O834" s="382"/>
      <c r="P834" s="141"/>
      <c r="Q834" s="141"/>
      <c r="R834" s="141"/>
      <c r="S834" s="141"/>
      <c r="T834" s="141"/>
      <c r="U834" s="57"/>
      <c r="V834" s="57"/>
      <c r="W834" s="57"/>
      <c r="X834" s="57"/>
      <c r="Y834" s="57"/>
      <c r="Z834" s="57"/>
      <c r="AA834" s="57"/>
      <c r="AB834" s="57"/>
    </row>
    <row r="835">
      <c r="A835" s="141"/>
      <c r="B835" s="141"/>
      <c r="C835" s="141"/>
      <c r="D835" s="141"/>
      <c r="E835" s="141"/>
      <c r="F835" s="141"/>
      <c r="G835" s="48"/>
      <c r="H835" s="141"/>
      <c r="I835" s="141"/>
      <c r="J835" s="220"/>
      <c r="K835" s="220"/>
      <c r="L835" s="220"/>
      <c r="M835" s="220"/>
      <c r="N835" s="220"/>
      <c r="O835" s="382"/>
      <c r="P835" s="141"/>
      <c r="Q835" s="141"/>
      <c r="R835" s="141"/>
      <c r="S835" s="141"/>
      <c r="T835" s="141"/>
      <c r="U835" s="57"/>
      <c r="V835" s="57"/>
      <c r="W835" s="57"/>
      <c r="X835" s="57"/>
      <c r="Y835" s="57"/>
      <c r="Z835" s="57"/>
      <c r="AA835" s="57"/>
      <c r="AB835" s="57"/>
    </row>
    <row r="836">
      <c r="A836" s="141"/>
      <c r="B836" s="141"/>
      <c r="C836" s="141"/>
      <c r="D836" s="141"/>
      <c r="E836" s="141"/>
      <c r="F836" s="141"/>
      <c r="G836" s="48"/>
      <c r="H836" s="141"/>
      <c r="I836" s="141"/>
      <c r="J836" s="220"/>
      <c r="K836" s="220"/>
      <c r="L836" s="220"/>
      <c r="M836" s="220"/>
      <c r="N836" s="220"/>
      <c r="O836" s="382"/>
      <c r="P836" s="141"/>
      <c r="Q836" s="141"/>
      <c r="R836" s="141"/>
      <c r="S836" s="141"/>
      <c r="T836" s="141"/>
      <c r="U836" s="57"/>
      <c r="V836" s="57"/>
      <c r="W836" s="57"/>
      <c r="X836" s="57"/>
      <c r="Y836" s="57"/>
      <c r="Z836" s="57"/>
      <c r="AA836" s="57"/>
      <c r="AB836" s="57"/>
    </row>
    <row r="837">
      <c r="A837" s="141"/>
      <c r="B837" s="141"/>
      <c r="C837" s="141"/>
      <c r="D837" s="141"/>
      <c r="E837" s="141"/>
      <c r="F837" s="141"/>
      <c r="G837" s="48"/>
      <c r="H837" s="141"/>
      <c r="I837" s="141"/>
      <c r="J837" s="220"/>
      <c r="K837" s="220"/>
      <c r="L837" s="220"/>
      <c r="M837" s="220"/>
      <c r="N837" s="220"/>
      <c r="O837" s="382"/>
      <c r="P837" s="141"/>
      <c r="Q837" s="141"/>
      <c r="R837" s="141"/>
      <c r="S837" s="141"/>
      <c r="T837" s="141"/>
      <c r="U837" s="57"/>
      <c r="V837" s="57"/>
      <c r="W837" s="57"/>
      <c r="X837" s="57"/>
      <c r="Y837" s="57"/>
      <c r="Z837" s="57"/>
      <c r="AA837" s="57"/>
      <c r="AB837" s="57"/>
    </row>
    <row r="838">
      <c r="A838" s="141"/>
      <c r="B838" s="141"/>
      <c r="C838" s="141"/>
      <c r="D838" s="141"/>
      <c r="E838" s="141"/>
      <c r="F838" s="141"/>
      <c r="G838" s="48"/>
      <c r="H838" s="141"/>
      <c r="I838" s="141"/>
      <c r="J838" s="220"/>
      <c r="K838" s="220"/>
      <c r="L838" s="220"/>
      <c r="M838" s="220"/>
      <c r="N838" s="220"/>
      <c r="O838" s="382"/>
      <c r="P838" s="141"/>
      <c r="Q838" s="141"/>
      <c r="R838" s="141"/>
      <c r="S838" s="141"/>
      <c r="T838" s="141"/>
      <c r="U838" s="57"/>
      <c r="V838" s="57"/>
      <c r="W838" s="57"/>
      <c r="X838" s="57"/>
      <c r="Y838" s="57"/>
      <c r="Z838" s="57"/>
      <c r="AA838" s="57"/>
      <c r="AB838" s="57"/>
    </row>
    <row r="839">
      <c r="A839" s="141"/>
      <c r="B839" s="141"/>
      <c r="C839" s="141"/>
      <c r="D839" s="141"/>
      <c r="E839" s="141"/>
      <c r="F839" s="141"/>
      <c r="G839" s="48"/>
      <c r="H839" s="141"/>
      <c r="I839" s="141"/>
      <c r="J839" s="220"/>
      <c r="K839" s="220"/>
      <c r="L839" s="220"/>
      <c r="M839" s="220"/>
      <c r="N839" s="220"/>
      <c r="O839" s="382"/>
      <c r="P839" s="141"/>
      <c r="Q839" s="141"/>
      <c r="R839" s="141"/>
      <c r="S839" s="141"/>
      <c r="T839" s="141"/>
      <c r="U839" s="57"/>
      <c r="V839" s="57"/>
      <c r="W839" s="57"/>
      <c r="X839" s="57"/>
      <c r="Y839" s="57"/>
      <c r="Z839" s="57"/>
      <c r="AA839" s="57"/>
      <c r="AB839" s="57"/>
    </row>
    <row r="840">
      <c r="A840" s="141"/>
      <c r="B840" s="141"/>
      <c r="C840" s="141"/>
      <c r="D840" s="141"/>
      <c r="E840" s="141"/>
      <c r="F840" s="141"/>
      <c r="G840" s="48"/>
      <c r="H840" s="141"/>
      <c r="I840" s="141"/>
      <c r="J840" s="220"/>
      <c r="K840" s="220"/>
      <c r="L840" s="220"/>
      <c r="M840" s="220"/>
      <c r="N840" s="220"/>
      <c r="O840" s="382"/>
      <c r="P840" s="141"/>
      <c r="Q840" s="141"/>
      <c r="R840" s="141"/>
      <c r="S840" s="141"/>
      <c r="T840" s="141"/>
      <c r="U840" s="57"/>
      <c r="V840" s="57"/>
      <c r="W840" s="57"/>
      <c r="X840" s="57"/>
      <c r="Y840" s="57"/>
      <c r="Z840" s="57"/>
      <c r="AA840" s="57"/>
      <c r="AB840" s="57"/>
    </row>
    <row r="841">
      <c r="A841" s="141"/>
      <c r="B841" s="141"/>
      <c r="C841" s="141"/>
      <c r="D841" s="141"/>
      <c r="E841" s="141"/>
      <c r="F841" s="141"/>
      <c r="G841" s="48"/>
      <c r="H841" s="141"/>
      <c r="I841" s="141"/>
      <c r="J841" s="220"/>
      <c r="K841" s="220"/>
      <c r="L841" s="220"/>
      <c r="M841" s="220"/>
      <c r="N841" s="220"/>
      <c r="O841" s="382"/>
      <c r="P841" s="141"/>
      <c r="Q841" s="141"/>
      <c r="R841" s="141"/>
      <c r="S841" s="141"/>
      <c r="T841" s="141"/>
      <c r="U841" s="57"/>
      <c r="V841" s="57"/>
      <c r="W841" s="57"/>
      <c r="X841" s="57"/>
      <c r="Y841" s="57"/>
      <c r="Z841" s="57"/>
      <c r="AA841" s="57"/>
      <c r="AB841" s="57"/>
    </row>
    <row r="842">
      <c r="A842" s="141"/>
      <c r="B842" s="141"/>
      <c r="C842" s="141"/>
      <c r="D842" s="141"/>
      <c r="E842" s="141"/>
      <c r="F842" s="141"/>
      <c r="G842" s="48"/>
      <c r="H842" s="141"/>
      <c r="I842" s="141"/>
      <c r="J842" s="220"/>
      <c r="K842" s="220"/>
      <c r="L842" s="220"/>
      <c r="M842" s="220"/>
      <c r="N842" s="220"/>
      <c r="O842" s="382"/>
      <c r="P842" s="141"/>
      <c r="Q842" s="141"/>
      <c r="R842" s="141"/>
      <c r="S842" s="141"/>
      <c r="T842" s="141"/>
      <c r="U842" s="57"/>
      <c r="V842" s="57"/>
      <c r="W842" s="57"/>
      <c r="X842" s="57"/>
      <c r="Y842" s="57"/>
      <c r="Z842" s="57"/>
      <c r="AA842" s="57"/>
      <c r="AB842" s="57"/>
    </row>
    <row r="843">
      <c r="A843" s="141"/>
      <c r="B843" s="141"/>
      <c r="C843" s="141"/>
      <c r="D843" s="141"/>
      <c r="E843" s="141"/>
      <c r="F843" s="141"/>
      <c r="G843" s="48"/>
      <c r="H843" s="141"/>
      <c r="I843" s="141"/>
      <c r="J843" s="220"/>
      <c r="K843" s="220"/>
      <c r="L843" s="220"/>
      <c r="M843" s="220"/>
      <c r="N843" s="220"/>
      <c r="O843" s="382"/>
      <c r="P843" s="141"/>
      <c r="Q843" s="141"/>
      <c r="R843" s="141"/>
      <c r="S843" s="141"/>
      <c r="T843" s="141"/>
      <c r="U843" s="57"/>
      <c r="V843" s="57"/>
      <c r="W843" s="57"/>
      <c r="X843" s="57"/>
      <c r="Y843" s="57"/>
      <c r="Z843" s="57"/>
      <c r="AA843" s="57"/>
      <c r="AB843" s="57"/>
    </row>
    <row r="844">
      <c r="A844" s="141"/>
      <c r="B844" s="141"/>
      <c r="C844" s="141"/>
      <c r="D844" s="141"/>
      <c r="E844" s="141"/>
      <c r="F844" s="141"/>
      <c r="G844" s="48"/>
      <c r="H844" s="141"/>
      <c r="I844" s="141"/>
      <c r="J844" s="220"/>
      <c r="K844" s="220"/>
      <c r="L844" s="220"/>
      <c r="M844" s="220"/>
      <c r="N844" s="220"/>
      <c r="O844" s="382"/>
      <c r="P844" s="141"/>
      <c r="Q844" s="141"/>
      <c r="R844" s="141"/>
      <c r="S844" s="141"/>
      <c r="T844" s="141"/>
      <c r="U844" s="57"/>
      <c r="V844" s="57"/>
      <c r="W844" s="57"/>
      <c r="X844" s="57"/>
      <c r="Y844" s="57"/>
      <c r="Z844" s="57"/>
      <c r="AA844" s="57"/>
      <c r="AB844" s="57"/>
    </row>
    <row r="845">
      <c r="A845" s="141"/>
      <c r="B845" s="141"/>
      <c r="C845" s="141"/>
      <c r="D845" s="141"/>
      <c r="E845" s="141"/>
      <c r="F845" s="141"/>
      <c r="G845" s="48"/>
      <c r="H845" s="141"/>
      <c r="I845" s="141"/>
      <c r="J845" s="220"/>
      <c r="K845" s="220"/>
      <c r="L845" s="220"/>
      <c r="M845" s="220"/>
      <c r="N845" s="220"/>
      <c r="O845" s="382"/>
      <c r="P845" s="141"/>
      <c r="Q845" s="141"/>
      <c r="R845" s="141"/>
      <c r="S845" s="141"/>
      <c r="T845" s="141"/>
      <c r="U845" s="57"/>
      <c r="V845" s="57"/>
      <c r="W845" s="57"/>
      <c r="X845" s="57"/>
      <c r="Y845" s="57"/>
      <c r="Z845" s="57"/>
      <c r="AA845" s="57"/>
      <c r="AB845" s="57"/>
    </row>
    <row r="846">
      <c r="A846" s="141"/>
      <c r="B846" s="141"/>
      <c r="C846" s="141"/>
      <c r="D846" s="141"/>
      <c r="E846" s="141"/>
      <c r="F846" s="141"/>
      <c r="G846" s="48"/>
      <c r="H846" s="141"/>
      <c r="I846" s="141"/>
      <c r="J846" s="220"/>
      <c r="K846" s="220"/>
      <c r="L846" s="220"/>
      <c r="M846" s="220"/>
      <c r="N846" s="220"/>
      <c r="O846" s="382"/>
      <c r="P846" s="141"/>
      <c r="Q846" s="141"/>
      <c r="R846" s="141"/>
      <c r="S846" s="141"/>
      <c r="T846" s="141"/>
      <c r="U846" s="57"/>
      <c r="V846" s="57"/>
      <c r="W846" s="57"/>
      <c r="X846" s="57"/>
      <c r="Y846" s="57"/>
      <c r="Z846" s="57"/>
      <c r="AA846" s="57"/>
      <c r="AB846" s="57"/>
    </row>
    <row r="847">
      <c r="A847" s="141"/>
      <c r="B847" s="141"/>
      <c r="C847" s="141"/>
      <c r="D847" s="141"/>
      <c r="E847" s="141"/>
      <c r="F847" s="141"/>
      <c r="G847" s="48"/>
      <c r="H847" s="141"/>
      <c r="I847" s="141"/>
      <c r="J847" s="220"/>
      <c r="K847" s="220"/>
      <c r="L847" s="220"/>
      <c r="M847" s="220"/>
      <c r="N847" s="220"/>
      <c r="O847" s="382"/>
      <c r="P847" s="141"/>
      <c r="Q847" s="141"/>
      <c r="R847" s="141"/>
      <c r="S847" s="141"/>
      <c r="T847" s="141"/>
      <c r="U847" s="57"/>
      <c r="V847" s="57"/>
      <c r="W847" s="57"/>
      <c r="X847" s="57"/>
      <c r="Y847" s="57"/>
      <c r="Z847" s="57"/>
      <c r="AA847" s="57"/>
      <c r="AB847" s="57"/>
    </row>
    <row r="848">
      <c r="A848" s="141"/>
      <c r="B848" s="141"/>
      <c r="C848" s="141"/>
      <c r="D848" s="141"/>
      <c r="E848" s="141"/>
      <c r="F848" s="141"/>
      <c r="G848" s="48"/>
      <c r="H848" s="141"/>
      <c r="I848" s="141"/>
      <c r="J848" s="220"/>
      <c r="K848" s="220"/>
      <c r="L848" s="220"/>
      <c r="M848" s="220"/>
      <c r="N848" s="220"/>
      <c r="O848" s="382"/>
      <c r="P848" s="141"/>
      <c r="Q848" s="141"/>
      <c r="R848" s="141"/>
      <c r="S848" s="141"/>
      <c r="T848" s="141"/>
      <c r="U848" s="57"/>
      <c r="V848" s="57"/>
      <c r="W848" s="57"/>
      <c r="X848" s="57"/>
      <c r="Y848" s="57"/>
      <c r="Z848" s="57"/>
      <c r="AA848" s="57"/>
      <c r="AB848" s="57"/>
    </row>
    <row r="849">
      <c r="A849" s="141"/>
      <c r="B849" s="141"/>
      <c r="C849" s="141"/>
      <c r="D849" s="141"/>
      <c r="E849" s="141"/>
      <c r="F849" s="141"/>
      <c r="G849" s="48"/>
      <c r="H849" s="141"/>
      <c r="I849" s="141"/>
      <c r="J849" s="220"/>
      <c r="K849" s="220"/>
      <c r="L849" s="220"/>
      <c r="M849" s="220"/>
      <c r="N849" s="220"/>
      <c r="O849" s="382"/>
      <c r="P849" s="141"/>
      <c r="Q849" s="141"/>
      <c r="R849" s="141"/>
      <c r="S849" s="141"/>
      <c r="T849" s="141"/>
      <c r="U849" s="57"/>
      <c r="V849" s="57"/>
      <c r="W849" s="57"/>
      <c r="X849" s="57"/>
      <c r="Y849" s="57"/>
      <c r="Z849" s="57"/>
      <c r="AA849" s="57"/>
      <c r="AB849" s="57"/>
    </row>
    <row r="850">
      <c r="A850" s="141"/>
      <c r="B850" s="141"/>
      <c r="C850" s="141"/>
      <c r="D850" s="141"/>
      <c r="E850" s="141"/>
      <c r="F850" s="141"/>
      <c r="G850" s="48"/>
      <c r="H850" s="141"/>
      <c r="I850" s="141"/>
      <c r="J850" s="220"/>
      <c r="K850" s="220"/>
      <c r="L850" s="220"/>
      <c r="M850" s="220"/>
      <c r="N850" s="220"/>
      <c r="O850" s="382"/>
      <c r="P850" s="141"/>
      <c r="Q850" s="141"/>
      <c r="R850" s="141"/>
      <c r="S850" s="141"/>
      <c r="T850" s="141"/>
      <c r="U850" s="57"/>
      <c r="V850" s="57"/>
      <c r="W850" s="57"/>
      <c r="X850" s="57"/>
      <c r="Y850" s="57"/>
      <c r="Z850" s="57"/>
      <c r="AA850" s="57"/>
      <c r="AB850" s="57"/>
    </row>
    <row r="851">
      <c r="A851" s="141"/>
      <c r="B851" s="141"/>
      <c r="C851" s="141"/>
      <c r="D851" s="141"/>
      <c r="E851" s="141"/>
      <c r="F851" s="141"/>
      <c r="G851" s="48"/>
      <c r="H851" s="141"/>
      <c r="I851" s="141"/>
      <c r="J851" s="220"/>
      <c r="K851" s="220"/>
      <c r="L851" s="220"/>
      <c r="M851" s="220"/>
      <c r="N851" s="220"/>
      <c r="O851" s="382"/>
      <c r="P851" s="141"/>
      <c r="Q851" s="141"/>
      <c r="R851" s="141"/>
      <c r="S851" s="141"/>
      <c r="T851" s="141"/>
      <c r="U851" s="57"/>
      <c r="V851" s="57"/>
      <c r="W851" s="57"/>
      <c r="X851" s="57"/>
      <c r="Y851" s="57"/>
      <c r="Z851" s="57"/>
      <c r="AA851" s="57"/>
      <c r="AB851" s="57"/>
    </row>
    <row r="852">
      <c r="A852" s="141"/>
      <c r="B852" s="141"/>
      <c r="C852" s="141"/>
      <c r="D852" s="141"/>
      <c r="E852" s="141"/>
      <c r="F852" s="141"/>
      <c r="G852" s="48"/>
      <c r="H852" s="141"/>
      <c r="I852" s="141"/>
      <c r="J852" s="220"/>
      <c r="K852" s="220"/>
      <c r="L852" s="220"/>
      <c r="M852" s="220"/>
      <c r="N852" s="220"/>
      <c r="O852" s="382"/>
      <c r="P852" s="141"/>
      <c r="Q852" s="141"/>
      <c r="R852" s="141"/>
      <c r="S852" s="141"/>
      <c r="T852" s="141"/>
      <c r="U852" s="57"/>
      <c r="V852" s="57"/>
      <c r="W852" s="57"/>
      <c r="X852" s="57"/>
      <c r="Y852" s="57"/>
      <c r="Z852" s="57"/>
      <c r="AA852" s="57"/>
      <c r="AB852" s="57"/>
    </row>
    <row r="853">
      <c r="A853" s="141"/>
      <c r="B853" s="141"/>
      <c r="C853" s="141"/>
      <c r="D853" s="141"/>
      <c r="E853" s="141"/>
      <c r="F853" s="141"/>
      <c r="G853" s="48"/>
      <c r="H853" s="141"/>
      <c r="I853" s="141"/>
      <c r="J853" s="220"/>
      <c r="K853" s="220"/>
      <c r="L853" s="220"/>
      <c r="M853" s="220"/>
      <c r="N853" s="220"/>
      <c r="O853" s="382"/>
      <c r="P853" s="141"/>
      <c r="Q853" s="141"/>
      <c r="R853" s="141"/>
      <c r="S853" s="141"/>
      <c r="T853" s="141"/>
      <c r="U853" s="57"/>
      <c r="V853" s="57"/>
      <c r="W853" s="57"/>
      <c r="X853" s="57"/>
      <c r="Y853" s="57"/>
      <c r="Z853" s="57"/>
      <c r="AA853" s="57"/>
      <c r="AB853" s="57"/>
    </row>
    <row r="854">
      <c r="A854" s="141"/>
      <c r="B854" s="141"/>
      <c r="C854" s="141"/>
      <c r="D854" s="141"/>
      <c r="E854" s="141"/>
      <c r="F854" s="141"/>
      <c r="G854" s="48"/>
      <c r="H854" s="141"/>
      <c r="I854" s="141"/>
      <c r="J854" s="220"/>
      <c r="K854" s="220"/>
      <c r="L854" s="220"/>
      <c r="M854" s="220"/>
      <c r="N854" s="220"/>
      <c r="O854" s="382"/>
      <c r="P854" s="141"/>
      <c r="Q854" s="141"/>
      <c r="R854" s="141"/>
      <c r="S854" s="141"/>
      <c r="T854" s="141"/>
      <c r="U854" s="57"/>
      <c r="V854" s="57"/>
      <c r="W854" s="57"/>
      <c r="X854" s="57"/>
      <c r="Y854" s="57"/>
      <c r="Z854" s="57"/>
      <c r="AA854" s="57"/>
      <c r="AB854" s="57"/>
    </row>
    <row r="855">
      <c r="A855" s="141"/>
      <c r="B855" s="141"/>
      <c r="C855" s="141"/>
      <c r="D855" s="141"/>
      <c r="E855" s="141"/>
      <c r="F855" s="141"/>
      <c r="G855" s="48"/>
      <c r="H855" s="141"/>
      <c r="I855" s="141"/>
      <c r="J855" s="220"/>
      <c r="K855" s="220"/>
      <c r="L855" s="220"/>
      <c r="M855" s="220"/>
      <c r="N855" s="220"/>
      <c r="O855" s="382"/>
      <c r="P855" s="141"/>
      <c r="Q855" s="141"/>
      <c r="R855" s="141"/>
      <c r="S855" s="141"/>
      <c r="T855" s="141"/>
      <c r="U855" s="57"/>
      <c r="V855" s="57"/>
      <c r="W855" s="57"/>
      <c r="X855" s="57"/>
      <c r="Y855" s="57"/>
      <c r="Z855" s="57"/>
      <c r="AA855" s="57"/>
      <c r="AB855" s="57"/>
    </row>
    <row r="856">
      <c r="A856" s="141"/>
      <c r="B856" s="141"/>
      <c r="C856" s="141"/>
      <c r="D856" s="141"/>
      <c r="E856" s="141"/>
      <c r="F856" s="141"/>
      <c r="G856" s="48"/>
      <c r="H856" s="141"/>
      <c r="I856" s="141"/>
      <c r="J856" s="220"/>
      <c r="K856" s="220"/>
      <c r="L856" s="220"/>
      <c r="M856" s="220"/>
      <c r="N856" s="220"/>
      <c r="O856" s="382"/>
      <c r="P856" s="141"/>
      <c r="Q856" s="141"/>
      <c r="R856" s="141"/>
      <c r="S856" s="141"/>
      <c r="T856" s="141"/>
      <c r="U856" s="57"/>
      <c r="V856" s="57"/>
      <c r="W856" s="57"/>
      <c r="X856" s="57"/>
      <c r="Y856" s="57"/>
      <c r="Z856" s="57"/>
      <c r="AA856" s="57"/>
      <c r="AB856" s="57"/>
    </row>
    <row r="857">
      <c r="A857" s="141"/>
      <c r="B857" s="141"/>
      <c r="C857" s="141"/>
      <c r="D857" s="141"/>
      <c r="E857" s="141"/>
      <c r="F857" s="141"/>
      <c r="G857" s="48"/>
      <c r="H857" s="141"/>
      <c r="I857" s="141"/>
      <c r="J857" s="220"/>
      <c r="K857" s="220"/>
      <c r="L857" s="220"/>
      <c r="M857" s="220"/>
      <c r="N857" s="220"/>
      <c r="O857" s="382"/>
      <c r="P857" s="141"/>
      <c r="Q857" s="141"/>
      <c r="R857" s="141"/>
      <c r="S857" s="141"/>
      <c r="T857" s="141"/>
      <c r="U857" s="57"/>
      <c r="V857" s="57"/>
      <c r="W857" s="57"/>
      <c r="X857" s="57"/>
      <c r="Y857" s="57"/>
      <c r="Z857" s="57"/>
      <c r="AA857" s="57"/>
      <c r="AB857" s="57"/>
    </row>
    <row r="858">
      <c r="A858" s="141"/>
      <c r="B858" s="141"/>
      <c r="C858" s="141"/>
      <c r="D858" s="141"/>
      <c r="E858" s="141"/>
      <c r="F858" s="141"/>
      <c r="G858" s="48"/>
      <c r="H858" s="141"/>
      <c r="I858" s="141"/>
      <c r="J858" s="220"/>
      <c r="K858" s="220"/>
      <c r="L858" s="220"/>
      <c r="M858" s="220"/>
      <c r="N858" s="220"/>
      <c r="O858" s="382"/>
      <c r="P858" s="141"/>
      <c r="Q858" s="141"/>
      <c r="R858" s="141"/>
      <c r="S858" s="141"/>
      <c r="T858" s="141"/>
      <c r="U858" s="57"/>
      <c r="V858" s="57"/>
      <c r="W858" s="57"/>
      <c r="X858" s="57"/>
      <c r="Y858" s="57"/>
      <c r="Z858" s="57"/>
      <c r="AA858" s="57"/>
      <c r="AB858" s="57"/>
    </row>
    <row r="859">
      <c r="A859" s="141"/>
      <c r="B859" s="141"/>
      <c r="C859" s="141"/>
      <c r="D859" s="141"/>
      <c r="E859" s="141"/>
      <c r="F859" s="141"/>
      <c r="G859" s="48"/>
      <c r="H859" s="141"/>
      <c r="I859" s="141"/>
      <c r="J859" s="220"/>
      <c r="K859" s="220"/>
      <c r="L859" s="220"/>
      <c r="M859" s="220"/>
      <c r="N859" s="220"/>
      <c r="O859" s="382"/>
      <c r="P859" s="141"/>
      <c r="Q859" s="141"/>
      <c r="R859" s="141"/>
      <c r="S859" s="141"/>
      <c r="T859" s="141"/>
      <c r="U859" s="57"/>
      <c r="V859" s="57"/>
      <c r="W859" s="57"/>
      <c r="X859" s="57"/>
      <c r="Y859" s="57"/>
      <c r="Z859" s="57"/>
      <c r="AA859" s="57"/>
      <c r="AB859" s="57"/>
    </row>
    <row r="860">
      <c r="A860" s="141"/>
      <c r="B860" s="141"/>
      <c r="C860" s="141"/>
      <c r="D860" s="141"/>
      <c r="E860" s="141"/>
      <c r="F860" s="141"/>
      <c r="G860" s="48"/>
      <c r="H860" s="141"/>
      <c r="I860" s="141"/>
      <c r="J860" s="220"/>
      <c r="K860" s="220"/>
      <c r="L860" s="220"/>
      <c r="M860" s="220"/>
      <c r="N860" s="220"/>
      <c r="O860" s="382"/>
      <c r="P860" s="141"/>
      <c r="Q860" s="141"/>
      <c r="R860" s="141"/>
      <c r="S860" s="141"/>
      <c r="T860" s="141"/>
      <c r="U860" s="57"/>
      <c r="V860" s="57"/>
      <c r="W860" s="57"/>
      <c r="X860" s="57"/>
      <c r="Y860" s="57"/>
      <c r="Z860" s="57"/>
      <c r="AA860" s="57"/>
      <c r="AB860" s="57"/>
    </row>
    <row r="861">
      <c r="A861" s="141"/>
      <c r="B861" s="141"/>
      <c r="C861" s="141"/>
      <c r="D861" s="141"/>
      <c r="E861" s="141"/>
      <c r="F861" s="141"/>
      <c r="G861" s="48"/>
      <c r="H861" s="141"/>
      <c r="I861" s="141"/>
      <c r="J861" s="220"/>
      <c r="K861" s="220"/>
      <c r="L861" s="220"/>
      <c r="M861" s="220"/>
      <c r="N861" s="220"/>
      <c r="O861" s="382"/>
      <c r="P861" s="141"/>
      <c r="Q861" s="141"/>
      <c r="R861" s="141"/>
      <c r="S861" s="141"/>
      <c r="T861" s="141"/>
      <c r="U861" s="57"/>
      <c r="V861" s="57"/>
      <c r="W861" s="57"/>
      <c r="X861" s="57"/>
      <c r="Y861" s="57"/>
      <c r="Z861" s="57"/>
      <c r="AA861" s="57"/>
      <c r="AB861" s="57"/>
    </row>
    <row r="862">
      <c r="A862" s="141"/>
      <c r="B862" s="141"/>
      <c r="C862" s="141"/>
      <c r="D862" s="141"/>
      <c r="E862" s="141"/>
      <c r="F862" s="141"/>
      <c r="G862" s="48"/>
      <c r="H862" s="141"/>
      <c r="I862" s="141"/>
      <c r="J862" s="220"/>
      <c r="K862" s="220"/>
      <c r="L862" s="220"/>
      <c r="M862" s="220"/>
      <c r="N862" s="220"/>
      <c r="O862" s="382"/>
      <c r="P862" s="141"/>
      <c r="Q862" s="141"/>
      <c r="R862" s="141"/>
      <c r="S862" s="141"/>
      <c r="T862" s="141"/>
      <c r="U862" s="57"/>
      <c r="V862" s="57"/>
      <c r="W862" s="57"/>
      <c r="X862" s="57"/>
      <c r="Y862" s="57"/>
      <c r="Z862" s="57"/>
      <c r="AA862" s="57"/>
      <c r="AB862" s="57"/>
    </row>
    <row r="863">
      <c r="A863" s="141"/>
      <c r="B863" s="141"/>
      <c r="C863" s="141"/>
      <c r="D863" s="141"/>
      <c r="E863" s="141"/>
      <c r="F863" s="141"/>
      <c r="G863" s="48"/>
      <c r="H863" s="141"/>
      <c r="I863" s="141"/>
      <c r="J863" s="220"/>
      <c r="K863" s="220"/>
      <c r="L863" s="220"/>
      <c r="M863" s="220"/>
      <c r="N863" s="220"/>
      <c r="O863" s="382"/>
      <c r="P863" s="141"/>
      <c r="Q863" s="141"/>
      <c r="R863" s="141"/>
      <c r="S863" s="141"/>
      <c r="T863" s="141"/>
      <c r="U863" s="57"/>
      <c r="V863" s="57"/>
      <c r="W863" s="57"/>
      <c r="X863" s="57"/>
      <c r="Y863" s="57"/>
      <c r="Z863" s="57"/>
      <c r="AA863" s="57"/>
      <c r="AB863" s="57"/>
    </row>
    <row r="864">
      <c r="A864" s="141"/>
      <c r="B864" s="141"/>
      <c r="C864" s="141"/>
      <c r="D864" s="141"/>
      <c r="E864" s="141"/>
      <c r="F864" s="141"/>
      <c r="G864" s="48"/>
      <c r="H864" s="141"/>
      <c r="I864" s="141"/>
      <c r="J864" s="220"/>
      <c r="K864" s="220"/>
      <c r="L864" s="220"/>
      <c r="M864" s="220"/>
      <c r="N864" s="220"/>
      <c r="O864" s="382"/>
      <c r="P864" s="141"/>
      <c r="Q864" s="141"/>
      <c r="R864" s="141"/>
      <c r="S864" s="141"/>
      <c r="T864" s="141"/>
      <c r="U864" s="57"/>
      <c r="V864" s="57"/>
      <c r="W864" s="57"/>
      <c r="X864" s="57"/>
      <c r="Y864" s="57"/>
      <c r="Z864" s="57"/>
      <c r="AA864" s="57"/>
      <c r="AB864" s="57"/>
    </row>
    <row r="865">
      <c r="A865" s="141"/>
      <c r="B865" s="141"/>
      <c r="C865" s="141"/>
      <c r="D865" s="141"/>
      <c r="E865" s="141"/>
      <c r="F865" s="141"/>
      <c r="G865" s="48"/>
      <c r="H865" s="141"/>
      <c r="I865" s="141"/>
      <c r="J865" s="220"/>
      <c r="K865" s="220"/>
      <c r="L865" s="220"/>
      <c r="M865" s="220"/>
      <c r="N865" s="220"/>
      <c r="O865" s="382"/>
      <c r="P865" s="141"/>
      <c r="Q865" s="141"/>
      <c r="R865" s="141"/>
      <c r="S865" s="141"/>
      <c r="T865" s="141"/>
      <c r="U865" s="57"/>
      <c r="V865" s="57"/>
      <c r="W865" s="57"/>
      <c r="X865" s="57"/>
      <c r="Y865" s="57"/>
      <c r="Z865" s="57"/>
      <c r="AA865" s="57"/>
      <c r="AB865" s="57"/>
    </row>
    <row r="866">
      <c r="A866" s="141"/>
      <c r="B866" s="141"/>
      <c r="C866" s="141"/>
      <c r="D866" s="141"/>
      <c r="E866" s="141"/>
      <c r="F866" s="141"/>
      <c r="G866" s="48"/>
      <c r="H866" s="141"/>
      <c r="I866" s="141"/>
      <c r="J866" s="220"/>
      <c r="K866" s="220"/>
      <c r="L866" s="220"/>
      <c r="M866" s="220"/>
      <c r="N866" s="220"/>
      <c r="O866" s="382"/>
      <c r="P866" s="141"/>
      <c r="Q866" s="141"/>
      <c r="R866" s="141"/>
      <c r="S866" s="141"/>
      <c r="T866" s="141"/>
      <c r="U866" s="57"/>
      <c r="V866" s="57"/>
      <c r="W866" s="57"/>
      <c r="X866" s="57"/>
      <c r="Y866" s="57"/>
      <c r="Z866" s="57"/>
      <c r="AA866" s="57"/>
      <c r="AB866" s="57"/>
    </row>
    <row r="867">
      <c r="A867" s="141"/>
      <c r="B867" s="141"/>
      <c r="C867" s="141"/>
      <c r="D867" s="141"/>
      <c r="E867" s="141"/>
      <c r="F867" s="141"/>
      <c r="G867" s="48"/>
      <c r="H867" s="141"/>
      <c r="I867" s="141"/>
      <c r="J867" s="220"/>
      <c r="K867" s="220"/>
      <c r="L867" s="220"/>
      <c r="M867" s="220"/>
      <c r="N867" s="220"/>
      <c r="O867" s="382"/>
      <c r="P867" s="141"/>
      <c r="Q867" s="141"/>
      <c r="R867" s="141"/>
      <c r="S867" s="141"/>
      <c r="T867" s="141"/>
      <c r="U867" s="57"/>
      <c r="V867" s="57"/>
      <c r="W867" s="57"/>
      <c r="X867" s="57"/>
      <c r="Y867" s="57"/>
      <c r="Z867" s="57"/>
      <c r="AA867" s="57"/>
      <c r="AB867" s="57"/>
    </row>
    <row r="868">
      <c r="A868" s="141"/>
      <c r="B868" s="141"/>
      <c r="C868" s="141"/>
      <c r="D868" s="141"/>
      <c r="E868" s="141"/>
      <c r="F868" s="141"/>
      <c r="G868" s="48"/>
      <c r="H868" s="141"/>
      <c r="I868" s="141"/>
      <c r="J868" s="220"/>
      <c r="K868" s="220"/>
      <c r="L868" s="220"/>
      <c r="M868" s="220"/>
      <c r="N868" s="220"/>
      <c r="O868" s="382"/>
      <c r="P868" s="141"/>
      <c r="Q868" s="141"/>
      <c r="R868" s="141"/>
      <c r="S868" s="141"/>
      <c r="T868" s="141"/>
      <c r="U868" s="57"/>
      <c r="V868" s="57"/>
      <c r="W868" s="57"/>
      <c r="X868" s="57"/>
      <c r="Y868" s="57"/>
      <c r="Z868" s="57"/>
      <c r="AA868" s="57"/>
      <c r="AB868" s="57"/>
    </row>
    <row r="869">
      <c r="A869" s="141"/>
      <c r="B869" s="141"/>
      <c r="C869" s="141"/>
      <c r="D869" s="141"/>
      <c r="E869" s="141"/>
      <c r="F869" s="141"/>
      <c r="G869" s="48"/>
      <c r="H869" s="141"/>
      <c r="I869" s="141"/>
      <c r="J869" s="220"/>
      <c r="K869" s="220"/>
      <c r="L869" s="220"/>
      <c r="M869" s="220"/>
      <c r="N869" s="220"/>
      <c r="O869" s="382"/>
      <c r="P869" s="141"/>
      <c r="Q869" s="141"/>
      <c r="R869" s="141"/>
      <c r="S869" s="141"/>
      <c r="T869" s="141"/>
      <c r="U869" s="57"/>
      <c r="V869" s="57"/>
      <c r="W869" s="57"/>
      <c r="X869" s="57"/>
      <c r="Y869" s="57"/>
      <c r="Z869" s="57"/>
      <c r="AA869" s="57"/>
      <c r="AB869" s="57"/>
    </row>
    <row r="870">
      <c r="A870" s="141"/>
      <c r="B870" s="141"/>
      <c r="C870" s="141"/>
      <c r="D870" s="141"/>
      <c r="E870" s="141"/>
      <c r="F870" s="141"/>
      <c r="G870" s="48"/>
      <c r="H870" s="141"/>
      <c r="I870" s="141"/>
      <c r="J870" s="220"/>
      <c r="K870" s="220"/>
      <c r="L870" s="220"/>
      <c r="M870" s="220"/>
      <c r="N870" s="220"/>
      <c r="O870" s="382"/>
      <c r="P870" s="141"/>
      <c r="Q870" s="141"/>
      <c r="R870" s="141"/>
      <c r="S870" s="141"/>
      <c r="T870" s="141"/>
      <c r="U870" s="57"/>
      <c r="V870" s="57"/>
      <c r="W870" s="57"/>
      <c r="X870" s="57"/>
      <c r="Y870" s="57"/>
      <c r="Z870" s="57"/>
      <c r="AA870" s="57"/>
      <c r="AB870" s="57"/>
    </row>
    <row r="871">
      <c r="A871" s="141"/>
      <c r="B871" s="141"/>
      <c r="C871" s="141"/>
      <c r="D871" s="141"/>
      <c r="E871" s="141"/>
      <c r="F871" s="141"/>
      <c r="G871" s="48"/>
      <c r="H871" s="141"/>
      <c r="I871" s="141"/>
      <c r="J871" s="220"/>
      <c r="K871" s="220"/>
      <c r="L871" s="220"/>
      <c r="M871" s="220"/>
      <c r="N871" s="220"/>
      <c r="O871" s="382"/>
      <c r="P871" s="141"/>
      <c r="Q871" s="141"/>
      <c r="R871" s="141"/>
      <c r="S871" s="141"/>
      <c r="T871" s="141"/>
      <c r="U871" s="57"/>
      <c r="V871" s="57"/>
      <c r="W871" s="57"/>
      <c r="X871" s="57"/>
      <c r="Y871" s="57"/>
      <c r="Z871" s="57"/>
      <c r="AA871" s="57"/>
      <c r="AB871" s="57"/>
    </row>
    <row r="872">
      <c r="A872" s="141"/>
      <c r="B872" s="141"/>
      <c r="C872" s="141"/>
      <c r="D872" s="141"/>
      <c r="E872" s="141"/>
      <c r="F872" s="141"/>
      <c r="G872" s="48"/>
      <c r="H872" s="141"/>
      <c r="I872" s="141"/>
      <c r="J872" s="220"/>
      <c r="K872" s="220"/>
      <c r="L872" s="220"/>
      <c r="M872" s="220"/>
      <c r="N872" s="220"/>
      <c r="O872" s="382"/>
      <c r="P872" s="141"/>
      <c r="Q872" s="141"/>
      <c r="R872" s="141"/>
      <c r="S872" s="141"/>
      <c r="T872" s="141"/>
      <c r="U872" s="57"/>
      <c r="V872" s="57"/>
      <c r="W872" s="57"/>
      <c r="X872" s="57"/>
      <c r="Y872" s="57"/>
      <c r="Z872" s="57"/>
      <c r="AA872" s="57"/>
      <c r="AB872" s="57"/>
    </row>
    <row r="873">
      <c r="A873" s="141"/>
      <c r="B873" s="141"/>
      <c r="C873" s="141"/>
      <c r="D873" s="141"/>
      <c r="E873" s="141"/>
      <c r="F873" s="141"/>
      <c r="G873" s="48"/>
      <c r="H873" s="141"/>
      <c r="I873" s="141"/>
      <c r="J873" s="220"/>
      <c r="K873" s="220"/>
      <c r="L873" s="220"/>
      <c r="M873" s="220"/>
      <c r="N873" s="220"/>
      <c r="O873" s="382"/>
      <c r="P873" s="141"/>
      <c r="Q873" s="141"/>
      <c r="R873" s="141"/>
      <c r="S873" s="141"/>
      <c r="T873" s="141"/>
      <c r="U873" s="57"/>
      <c r="V873" s="57"/>
      <c r="W873" s="57"/>
      <c r="X873" s="57"/>
      <c r="Y873" s="57"/>
      <c r="Z873" s="57"/>
      <c r="AA873" s="57"/>
      <c r="AB873" s="57"/>
    </row>
    <row r="874">
      <c r="A874" s="141"/>
      <c r="B874" s="141"/>
      <c r="C874" s="141"/>
      <c r="D874" s="141"/>
      <c r="E874" s="141"/>
      <c r="F874" s="141"/>
      <c r="G874" s="48"/>
      <c r="H874" s="141"/>
      <c r="I874" s="141"/>
      <c r="J874" s="220"/>
      <c r="K874" s="220"/>
      <c r="L874" s="220"/>
      <c r="M874" s="220"/>
      <c r="N874" s="220"/>
      <c r="O874" s="382"/>
      <c r="P874" s="141"/>
      <c r="Q874" s="141"/>
      <c r="R874" s="141"/>
      <c r="S874" s="141"/>
      <c r="T874" s="141"/>
      <c r="U874" s="57"/>
      <c r="V874" s="57"/>
      <c r="W874" s="57"/>
      <c r="X874" s="57"/>
      <c r="Y874" s="57"/>
      <c r="Z874" s="57"/>
      <c r="AA874" s="57"/>
      <c r="AB874" s="57"/>
    </row>
    <row r="875">
      <c r="A875" s="141"/>
      <c r="B875" s="141"/>
      <c r="C875" s="141"/>
      <c r="D875" s="141"/>
      <c r="E875" s="141"/>
      <c r="F875" s="141"/>
      <c r="G875" s="48"/>
      <c r="H875" s="141"/>
      <c r="I875" s="141"/>
      <c r="J875" s="220"/>
      <c r="K875" s="220"/>
      <c r="L875" s="220"/>
      <c r="M875" s="220"/>
      <c r="N875" s="220"/>
      <c r="O875" s="382"/>
      <c r="P875" s="141"/>
      <c r="Q875" s="141"/>
      <c r="R875" s="141"/>
      <c r="S875" s="141"/>
      <c r="T875" s="141"/>
      <c r="U875" s="57"/>
      <c r="V875" s="57"/>
      <c r="W875" s="57"/>
      <c r="X875" s="57"/>
      <c r="Y875" s="57"/>
      <c r="Z875" s="57"/>
      <c r="AA875" s="57"/>
      <c r="AB875" s="57"/>
    </row>
    <row r="876">
      <c r="A876" s="141"/>
      <c r="B876" s="141"/>
      <c r="C876" s="141"/>
      <c r="D876" s="141"/>
      <c r="E876" s="141"/>
      <c r="F876" s="141"/>
      <c r="G876" s="48"/>
      <c r="H876" s="141"/>
      <c r="I876" s="141"/>
      <c r="J876" s="220"/>
      <c r="K876" s="220"/>
      <c r="L876" s="220"/>
      <c r="M876" s="220"/>
      <c r="N876" s="220"/>
      <c r="O876" s="382"/>
      <c r="P876" s="141"/>
      <c r="Q876" s="141"/>
      <c r="R876" s="141"/>
      <c r="S876" s="141"/>
      <c r="T876" s="141"/>
      <c r="U876" s="57"/>
      <c r="V876" s="57"/>
      <c r="W876" s="57"/>
      <c r="X876" s="57"/>
      <c r="Y876" s="57"/>
      <c r="Z876" s="57"/>
      <c r="AA876" s="57"/>
      <c r="AB876" s="57"/>
    </row>
    <row r="877">
      <c r="A877" s="141"/>
      <c r="B877" s="141"/>
      <c r="C877" s="141"/>
      <c r="D877" s="141"/>
      <c r="E877" s="141"/>
      <c r="F877" s="141"/>
      <c r="G877" s="48"/>
      <c r="H877" s="141"/>
      <c r="I877" s="141"/>
      <c r="J877" s="220"/>
      <c r="K877" s="220"/>
      <c r="L877" s="220"/>
      <c r="M877" s="220"/>
      <c r="N877" s="220"/>
      <c r="O877" s="382"/>
      <c r="P877" s="141"/>
      <c r="Q877" s="141"/>
      <c r="R877" s="141"/>
      <c r="S877" s="141"/>
      <c r="T877" s="141"/>
      <c r="U877" s="57"/>
      <c r="V877" s="57"/>
      <c r="W877" s="57"/>
      <c r="X877" s="57"/>
      <c r="Y877" s="57"/>
      <c r="Z877" s="57"/>
      <c r="AA877" s="57"/>
      <c r="AB877" s="57"/>
    </row>
    <row r="878">
      <c r="A878" s="141"/>
      <c r="B878" s="141"/>
      <c r="C878" s="141"/>
      <c r="D878" s="141"/>
      <c r="E878" s="141"/>
      <c r="F878" s="141"/>
      <c r="G878" s="48"/>
      <c r="H878" s="141"/>
      <c r="I878" s="141"/>
      <c r="J878" s="220"/>
      <c r="K878" s="220"/>
      <c r="L878" s="220"/>
      <c r="M878" s="220"/>
      <c r="N878" s="220"/>
      <c r="O878" s="382"/>
      <c r="P878" s="141"/>
      <c r="Q878" s="141"/>
      <c r="R878" s="141"/>
      <c r="S878" s="141"/>
      <c r="T878" s="141"/>
      <c r="U878" s="57"/>
      <c r="V878" s="57"/>
      <c r="W878" s="57"/>
      <c r="X878" s="57"/>
      <c r="Y878" s="57"/>
      <c r="Z878" s="57"/>
      <c r="AA878" s="57"/>
      <c r="AB878" s="57"/>
    </row>
    <row r="879">
      <c r="A879" s="141"/>
      <c r="B879" s="141"/>
      <c r="C879" s="141"/>
      <c r="D879" s="141"/>
      <c r="E879" s="141"/>
      <c r="F879" s="141"/>
      <c r="G879" s="48"/>
      <c r="H879" s="141"/>
      <c r="I879" s="141"/>
      <c r="J879" s="220"/>
      <c r="K879" s="220"/>
      <c r="L879" s="220"/>
      <c r="M879" s="220"/>
      <c r="N879" s="220"/>
      <c r="O879" s="382"/>
      <c r="P879" s="141"/>
      <c r="Q879" s="141"/>
      <c r="R879" s="141"/>
      <c r="S879" s="141"/>
      <c r="T879" s="141"/>
      <c r="U879" s="57"/>
      <c r="V879" s="57"/>
      <c r="W879" s="57"/>
      <c r="X879" s="57"/>
      <c r="Y879" s="57"/>
      <c r="Z879" s="57"/>
      <c r="AA879" s="57"/>
      <c r="AB879" s="57"/>
    </row>
    <row r="880">
      <c r="A880" s="141"/>
      <c r="B880" s="141"/>
      <c r="C880" s="141"/>
      <c r="D880" s="141"/>
      <c r="E880" s="141"/>
      <c r="F880" s="141"/>
      <c r="G880" s="48"/>
      <c r="H880" s="141"/>
      <c r="I880" s="141"/>
      <c r="J880" s="220"/>
      <c r="K880" s="220"/>
      <c r="L880" s="220"/>
      <c r="M880" s="220"/>
      <c r="N880" s="220"/>
      <c r="O880" s="382"/>
      <c r="P880" s="141"/>
      <c r="Q880" s="141"/>
      <c r="R880" s="141"/>
      <c r="S880" s="141"/>
      <c r="T880" s="141"/>
      <c r="U880" s="57"/>
      <c r="V880" s="57"/>
      <c r="W880" s="57"/>
      <c r="X880" s="57"/>
      <c r="Y880" s="57"/>
      <c r="Z880" s="57"/>
      <c r="AA880" s="57"/>
      <c r="AB880" s="57"/>
    </row>
    <row r="881">
      <c r="A881" s="141"/>
      <c r="B881" s="141"/>
      <c r="C881" s="141"/>
      <c r="D881" s="141"/>
      <c r="E881" s="141"/>
      <c r="F881" s="141"/>
      <c r="G881" s="48"/>
      <c r="H881" s="141"/>
      <c r="I881" s="141"/>
      <c r="J881" s="220"/>
      <c r="K881" s="220"/>
      <c r="L881" s="220"/>
      <c r="M881" s="220"/>
      <c r="N881" s="220"/>
      <c r="O881" s="382"/>
      <c r="P881" s="141"/>
      <c r="Q881" s="141"/>
      <c r="R881" s="141"/>
      <c r="S881" s="141"/>
      <c r="T881" s="141"/>
      <c r="U881" s="57"/>
      <c r="V881" s="57"/>
      <c r="W881" s="57"/>
      <c r="X881" s="57"/>
      <c r="Y881" s="57"/>
      <c r="Z881" s="57"/>
      <c r="AA881" s="57"/>
      <c r="AB881" s="57"/>
    </row>
    <row r="882">
      <c r="A882" s="141"/>
      <c r="B882" s="141"/>
      <c r="C882" s="141"/>
      <c r="D882" s="141"/>
      <c r="E882" s="141"/>
      <c r="F882" s="141"/>
      <c r="G882" s="48"/>
      <c r="H882" s="141"/>
      <c r="I882" s="141"/>
      <c r="J882" s="220"/>
      <c r="K882" s="220"/>
      <c r="L882" s="220"/>
      <c r="M882" s="220"/>
      <c r="N882" s="220"/>
      <c r="O882" s="382"/>
      <c r="P882" s="141"/>
      <c r="Q882" s="141"/>
      <c r="R882" s="141"/>
      <c r="S882" s="141"/>
      <c r="T882" s="141"/>
      <c r="U882" s="57"/>
      <c r="V882" s="57"/>
      <c r="W882" s="57"/>
      <c r="X882" s="57"/>
      <c r="Y882" s="57"/>
      <c r="Z882" s="57"/>
      <c r="AA882" s="57"/>
      <c r="AB882" s="57"/>
    </row>
    <row r="883">
      <c r="A883" s="141"/>
      <c r="B883" s="141"/>
      <c r="C883" s="141"/>
      <c r="D883" s="141"/>
      <c r="E883" s="141"/>
      <c r="F883" s="141"/>
      <c r="G883" s="48"/>
      <c r="H883" s="141"/>
      <c r="I883" s="141"/>
      <c r="J883" s="220"/>
      <c r="K883" s="220"/>
      <c r="L883" s="220"/>
      <c r="M883" s="220"/>
      <c r="N883" s="220"/>
      <c r="O883" s="382"/>
      <c r="P883" s="141"/>
      <c r="Q883" s="141"/>
      <c r="R883" s="141"/>
      <c r="S883" s="141"/>
      <c r="T883" s="141"/>
      <c r="U883" s="57"/>
      <c r="V883" s="57"/>
      <c r="W883" s="57"/>
      <c r="X883" s="57"/>
      <c r="Y883" s="57"/>
      <c r="Z883" s="57"/>
      <c r="AA883" s="57"/>
      <c r="AB883" s="57"/>
    </row>
    <row r="884">
      <c r="A884" s="141"/>
      <c r="B884" s="141"/>
      <c r="C884" s="141"/>
      <c r="D884" s="141"/>
      <c r="E884" s="141"/>
      <c r="F884" s="141"/>
      <c r="G884" s="48"/>
      <c r="H884" s="141"/>
      <c r="I884" s="141"/>
      <c r="J884" s="220"/>
      <c r="K884" s="220"/>
      <c r="L884" s="220"/>
      <c r="M884" s="220"/>
      <c r="N884" s="220"/>
      <c r="O884" s="382"/>
      <c r="P884" s="141"/>
      <c r="Q884" s="141"/>
      <c r="R884" s="141"/>
      <c r="S884" s="141"/>
      <c r="T884" s="141"/>
      <c r="U884" s="57"/>
      <c r="V884" s="57"/>
      <c r="W884" s="57"/>
      <c r="X884" s="57"/>
      <c r="Y884" s="57"/>
      <c r="Z884" s="57"/>
      <c r="AA884" s="57"/>
      <c r="AB884" s="57"/>
    </row>
    <row r="885">
      <c r="A885" s="141"/>
      <c r="B885" s="141"/>
      <c r="C885" s="141"/>
      <c r="D885" s="141"/>
      <c r="E885" s="141"/>
      <c r="F885" s="141"/>
      <c r="G885" s="48"/>
      <c r="H885" s="141"/>
      <c r="I885" s="141"/>
      <c r="J885" s="220"/>
      <c r="K885" s="220"/>
      <c r="L885" s="220"/>
      <c r="M885" s="220"/>
      <c r="N885" s="220"/>
      <c r="O885" s="382"/>
      <c r="P885" s="141"/>
      <c r="Q885" s="141"/>
      <c r="R885" s="141"/>
      <c r="S885" s="141"/>
      <c r="T885" s="141"/>
      <c r="U885" s="57"/>
      <c r="V885" s="57"/>
      <c r="W885" s="57"/>
      <c r="X885" s="57"/>
      <c r="Y885" s="57"/>
      <c r="Z885" s="57"/>
      <c r="AA885" s="57"/>
      <c r="AB885" s="57"/>
    </row>
    <row r="886">
      <c r="A886" s="141"/>
      <c r="B886" s="141"/>
      <c r="C886" s="141"/>
      <c r="D886" s="141"/>
      <c r="E886" s="141"/>
      <c r="F886" s="141"/>
      <c r="G886" s="48"/>
      <c r="H886" s="141"/>
      <c r="I886" s="141"/>
      <c r="J886" s="220"/>
      <c r="K886" s="220"/>
      <c r="L886" s="220"/>
      <c r="M886" s="220"/>
      <c r="N886" s="220"/>
      <c r="O886" s="382"/>
      <c r="P886" s="141"/>
      <c r="Q886" s="141"/>
      <c r="R886" s="141"/>
      <c r="S886" s="141"/>
      <c r="T886" s="141"/>
      <c r="U886" s="57"/>
      <c r="V886" s="57"/>
      <c r="W886" s="57"/>
      <c r="X886" s="57"/>
      <c r="Y886" s="57"/>
      <c r="Z886" s="57"/>
      <c r="AA886" s="57"/>
      <c r="AB886" s="57"/>
    </row>
    <row r="887">
      <c r="A887" s="141"/>
      <c r="B887" s="141"/>
      <c r="C887" s="141"/>
      <c r="D887" s="141"/>
      <c r="E887" s="141"/>
      <c r="F887" s="141"/>
      <c r="G887" s="48"/>
      <c r="H887" s="141"/>
      <c r="I887" s="141"/>
      <c r="J887" s="220"/>
      <c r="K887" s="220"/>
      <c r="L887" s="220"/>
      <c r="M887" s="220"/>
      <c r="N887" s="220"/>
      <c r="O887" s="382"/>
      <c r="P887" s="141"/>
      <c r="Q887" s="141"/>
      <c r="R887" s="141"/>
      <c r="S887" s="141"/>
      <c r="T887" s="141"/>
      <c r="U887" s="57"/>
      <c r="V887" s="57"/>
      <c r="W887" s="57"/>
      <c r="X887" s="57"/>
      <c r="Y887" s="57"/>
      <c r="Z887" s="57"/>
      <c r="AA887" s="57"/>
      <c r="AB887" s="57"/>
    </row>
    <row r="888">
      <c r="A888" s="141"/>
      <c r="B888" s="141"/>
      <c r="C888" s="141"/>
      <c r="D888" s="141"/>
      <c r="E888" s="141"/>
      <c r="F888" s="141"/>
      <c r="G888" s="48"/>
      <c r="H888" s="141"/>
      <c r="I888" s="141"/>
      <c r="J888" s="220"/>
      <c r="K888" s="220"/>
      <c r="L888" s="220"/>
      <c r="M888" s="220"/>
      <c r="N888" s="220"/>
      <c r="O888" s="382"/>
      <c r="P888" s="141"/>
      <c r="Q888" s="141"/>
      <c r="R888" s="141"/>
      <c r="S888" s="141"/>
      <c r="T888" s="141"/>
      <c r="U888" s="57"/>
      <c r="V888" s="57"/>
      <c r="W888" s="57"/>
      <c r="X888" s="57"/>
      <c r="Y888" s="57"/>
      <c r="Z888" s="57"/>
      <c r="AA888" s="57"/>
      <c r="AB888" s="57"/>
    </row>
    <row r="889">
      <c r="A889" s="141"/>
      <c r="B889" s="141"/>
      <c r="C889" s="141"/>
      <c r="D889" s="141"/>
      <c r="E889" s="141"/>
      <c r="F889" s="141"/>
      <c r="G889" s="48"/>
      <c r="H889" s="141"/>
      <c r="I889" s="141"/>
      <c r="J889" s="220"/>
      <c r="K889" s="220"/>
      <c r="L889" s="220"/>
      <c r="M889" s="220"/>
      <c r="N889" s="220"/>
      <c r="O889" s="382"/>
      <c r="P889" s="141"/>
      <c r="Q889" s="141"/>
      <c r="R889" s="141"/>
      <c r="S889" s="141"/>
      <c r="T889" s="141"/>
      <c r="U889" s="57"/>
      <c r="V889" s="57"/>
      <c r="W889" s="57"/>
      <c r="X889" s="57"/>
      <c r="Y889" s="57"/>
      <c r="Z889" s="57"/>
      <c r="AA889" s="57"/>
      <c r="AB889" s="57"/>
    </row>
    <row r="890">
      <c r="A890" s="141"/>
      <c r="B890" s="141"/>
      <c r="C890" s="141"/>
      <c r="D890" s="141"/>
      <c r="E890" s="141"/>
      <c r="F890" s="141"/>
      <c r="G890" s="48"/>
      <c r="H890" s="141"/>
      <c r="I890" s="141"/>
      <c r="J890" s="220"/>
      <c r="K890" s="220"/>
      <c r="L890" s="220"/>
      <c r="M890" s="220"/>
      <c r="N890" s="220"/>
      <c r="O890" s="382"/>
      <c r="P890" s="141"/>
      <c r="Q890" s="141"/>
      <c r="R890" s="141"/>
      <c r="S890" s="141"/>
      <c r="T890" s="141"/>
      <c r="U890" s="57"/>
      <c r="V890" s="57"/>
      <c r="W890" s="57"/>
      <c r="X890" s="57"/>
      <c r="Y890" s="57"/>
      <c r="Z890" s="57"/>
      <c r="AA890" s="57"/>
      <c r="AB890" s="57"/>
    </row>
    <row r="891">
      <c r="A891" s="141"/>
      <c r="B891" s="141"/>
      <c r="C891" s="141"/>
      <c r="D891" s="141"/>
      <c r="E891" s="141"/>
      <c r="F891" s="141"/>
      <c r="G891" s="48"/>
      <c r="H891" s="141"/>
      <c r="I891" s="141"/>
      <c r="J891" s="220"/>
      <c r="K891" s="220"/>
      <c r="L891" s="220"/>
      <c r="M891" s="220"/>
      <c r="N891" s="220"/>
      <c r="O891" s="382"/>
      <c r="P891" s="141"/>
      <c r="Q891" s="141"/>
      <c r="R891" s="141"/>
      <c r="S891" s="141"/>
      <c r="T891" s="141"/>
      <c r="U891" s="57"/>
      <c r="V891" s="57"/>
      <c r="W891" s="57"/>
      <c r="X891" s="57"/>
      <c r="Y891" s="57"/>
      <c r="Z891" s="57"/>
      <c r="AA891" s="57"/>
      <c r="AB891" s="57"/>
    </row>
    <row r="892">
      <c r="A892" s="141"/>
      <c r="B892" s="141"/>
      <c r="C892" s="141"/>
      <c r="D892" s="141"/>
      <c r="E892" s="141"/>
      <c r="F892" s="141"/>
      <c r="G892" s="48"/>
      <c r="H892" s="141"/>
      <c r="I892" s="141"/>
      <c r="J892" s="220"/>
      <c r="K892" s="220"/>
      <c r="L892" s="220"/>
      <c r="M892" s="220"/>
      <c r="N892" s="220"/>
      <c r="O892" s="382"/>
      <c r="P892" s="141"/>
      <c r="Q892" s="141"/>
      <c r="R892" s="141"/>
      <c r="S892" s="141"/>
      <c r="T892" s="141"/>
      <c r="U892" s="57"/>
      <c r="V892" s="57"/>
      <c r="W892" s="57"/>
      <c r="X892" s="57"/>
      <c r="Y892" s="57"/>
      <c r="Z892" s="57"/>
      <c r="AA892" s="57"/>
      <c r="AB892" s="57"/>
    </row>
    <row r="893">
      <c r="A893" s="141"/>
      <c r="B893" s="141"/>
      <c r="C893" s="141"/>
      <c r="D893" s="141"/>
      <c r="E893" s="141"/>
      <c r="F893" s="141"/>
      <c r="G893" s="48"/>
      <c r="H893" s="141"/>
      <c r="I893" s="141"/>
      <c r="J893" s="220"/>
      <c r="K893" s="220"/>
      <c r="L893" s="220"/>
      <c r="M893" s="220"/>
      <c r="N893" s="220"/>
      <c r="O893" s="382"/>
      <c r="P893" s="141"/>
      <c r="Q893" s="141"/>
      <c r="R893" s="141"/>
      <c r="S893" s="141"/>
      <c r="T893" s="141"/>
      <c r="U893" s="57"/>
      <c r="V893" s="57"/>
      <c r="W893" s="57"/>
      <c r="X893" s="57"/>
      <c r="Y893" s="57"/>
      <c r="Z893" s="57"/>
      <c r="AA893" s="57"/>
      <c r="AB893" s="57"/>
    </row>
    <row r="894">
      <c r="A894" s="141"/>
      <c r="B894" s="141"/>
      <c r="C894" s="141"/>
      <c r="D894" s="141"/>
      <c r="E894" s="141"/>
      <c r="F894" s="141"/>
      <c r="G894" s="48"/>
      <c r="H894" s="141"/>
      <c r="I894" s="141"/>
      <c r="J894" s="220"/>
      <c r="K894" s="220"/>
      <c r="L894" s="220"/>
      <c r="M894" s="220"/>
      <c r="N894" s="220"/>
      <c r="O894" s="382"/>
      <c r="P894" s="141"/>
      <c r="Q894" s="141"/>
      <c r="R894" s="141"/>
      <c r="S894" s="141"/>
      <c r="T894" s="141"/>
      <c r="U894" s="57"/>
      <c r="V894" s="57"/>
      <c r="W894" s="57"/>
      <c r="X894" s="57"/>
      <c r="Y894" s="57"/>
      <c r="Z894" s="57"/>
      <c r="AA894" s="57"/>
      <c r="AB894" s="57"/>
    </row>
    <row r="895">
      <c r="A895" s="141"/>
      <c r="B895" s="141"/>
      <c r="C895" s="141"/>
      <c r="D895" s="141"/>
      <c r="E895" s="141"/>
      <c r="F895" s="141"/>
      <c r="G895" s="48"/>
      <c r="H895" s="141"/>
      <c r="I895" s="141"/>
      <c r="J895" s="220"/>
      <c r="K895" s="220"/>
      <c r="L895" s="220"/>
      <c r="M895" s="220"/>
      <c r="N895" s="220"/>
      <c r="O895" s="382"/>
      <c r="P895" s="141"/>
      <c r="Q895" s="141"/>
      <c r="R895" s="141"/>
      <c r="S895" s="141"/>
      <c r="T895" s="141"/>
      <c r="U895" s="57"/>
      <c r="V895" s="57"/>
      <c r="W895" s="57"/>
      <c r="X895" s="57"/>
      <c r="Y895" s="57"/>
      <c r="Z895" s="57"/>
      <c r="AA895" s="57"/>
      <c r="AB895" s="57"/>
    </row>
    <row r="896">
      <c r="A896" s="141"/>
      <c r="B896" s="141"/>
      <c r="C896" s="141"/>
      <c r="D896" s="141"/>
      <c r="E896" s="141"/>
      <c r="F896" s="141"/>
      <c r="G896" s="48"/>
      <c r="H896" s="141"/>
      <c r="I896" s="141"/>
      <c r="J896" s="220"/>
      <c r="K896" s="220"/>
      <c r="L896" s="220"/>
      <c r="M896" s="220"/>
      <c r="N896" s="220"/>
      <c r="O896" s="382"/>
      <c r="P896" s="141"/>
      <c r="Q896" s="141"/>
      <c r="R896" s="141"/>
      <c r="S896" s="141"/>
      <c r="T896" s="141"/>
      <c r="U896" s="57"/>
      <c r="V896" s="57"/>
      <c r="W896" s="57"/>
      <c r="X896" s="57"/>
      <c r="Y896" s="57"/>
      <c r="Z896" s="57"/>
      <c r="AA896" s="57"/>
      <c r="AB896" s="57"/>
    </row>
    <row r="897">
      <c r="A897" s="141"/>
      <c r="B897" s="141"/>
      <c r="C897" s="141"/>
      <c r="D897" s="141"/>
      <c r="E897" s="141"/>
      <c r="F897" s="141"/>
      <c r="G897" s="48"/>
      <c r="H897" s="141"/>
      <c r="I897" s="141"/>
      <c r="J897" s="220"/>
      <c r="K897" s="220"/>
      <c r="L897" s="220"/>
      <c r="M897" s="220"/>
      <c r="N897" s="220"/>
      <c r="O897" s="382"/>
      <c r="P897" s="141"/>
      <c r="Q897" s="141"/>
      <c r="R897" s="141"/>
      <c r="S897" s="141"/>
      <c r="T897" s="141"/>
      <c r="U897" s="57"/>
      <c r="V897" s="57"/>
      <c r="W897" s="57"/>
      <c r="X897" s="57"/>
      <c r="Y897" s="57"/>
      <c r="Z897" s="57"/>
      <c r="AA897" s="57"/>
      <c r="AB897" s="57"/>
    </row>
    <row r="898">
      <c r="A898" s="141"/>
      <c r="B898" s="141"/>
      <c r="C898" s="141"/>
      <c r="D898" s="141"/>
      <c r="E898" s="141"/>
      <c r="F898" s="141"/>
      <c r="G898" s="48"/>
      <c r="H898" s="141"/>
      <c r="I898" s="141"/>
      <c r="J898" s="220"/>
      <c r="K898" s="220"/>
      <c r="L898" s="220"/>
      <c r="M898" s="220"/>
      <c r="N898" s="220"/>
      <c r="O898" s="382"/>
      <c r="P898" s="141"/>
      <c r="Q898" s="141"/>
      <c r="R898" s="141"/>
      <c r="S898" s="141"/>
      <c r="T898" s="141"/>
      <c r="U898" s="57"/>
      <c r="V898" s="57"/>
      <c r="W898" s="57"/>
      <c r="X898" s="57"/>
      <c r="Y898" s="57"/>
      <c r="Z898" s="57"/>
      <c r="AA898" s="57"/>
      <c r="AB898" s="57"/>
    </row>
    <row r="899">
      <c r="A899" s="141"/>
      <c r="B899" s="141"/>
      <c r="C899" s="141"/>
      <c r="D899" s="141"/>
      <c r="E899" s="141"/>
      <c r="F899" s="141"/>
      <c r="G899" s="48"/>
      <c r="H899" s="141"/>
      <c r="I899" s="141"/>
      <c r="J899" s="220"/>
      <c r="K899" s="220"/>
      <c r="L899" s="220"/>
      <c r="M899" s="220"/>
      <c r="N899" s="220"/>
      <c r="O899" s="382"/>
      <c r="P899" s="141"/>
      <c r="Q899" s="141"/>
      <c r="R899" s="141"/>
      <c r="S899" s="141"/>
      <c r="T899" s="141"/>
      <c r="U899" s="57"/>
      <c r="V899" s="57"/>
      <c r="W899" s="57"/>
      <c r="X899" s="57"/>
      <c r="Y899" s="57"/>
      <c r="Z899" s="57"/>
      <c r="AA899" s="57"/>
      <c r="AB899" s="57"/>
    </row>
    <row r="900">
      <c r="A900" s="141"/>
      <c r="B900" s="141"/>
      <c r="C900" s="141"/>
      <c r="D900" s="141"/>
      <c r="E900" s="141"/>
      <c r="F900" s="141"/>
      <c r="G900" s="48"/>
      <c r="H900" s="141"/>
      <c r="I900" s="141"/>
      <c r="J900" s="220"/>
      <c r="K900" s="220"/>
      <c r="L900" s="220"/>
      <c r="M900" s="220"/>
      <c r="N900" s="220"/>
      <c r="O900" s="382"/>
      <c r="P900" s="141"/>
      <c r="Q900" s="141"/>
      <c r="R900" s="141"/>
      <c r="S900" s="141"/>
      <c r="T900" s="141"/>
      <c r="U900" s="57"/>
      <c r="V900" s="57"/>
      <c r="W900" s="57"/>
      <c r="X900" s="57"/>
      <c r="Y900" s="57"/>
      <c r="Z900" s="57"/>
      <c r="AA900" s="57"/>
      <c r="AB900" s="57"/>
    </row>
    <row r="901">
      <c r="A901" s="141"/>
      <c r="B901" s="141"/>
      <c r="C901" s="141"/>
      <c r="D901" s="141"/>
      <c r="E901" s="141"/>
      <c r="F901" s="141"/>
      <c r="G901" s="48"/>
      <c r="H901" s="141"/>
      <c r="I901" s="141"/>
      <c r="J901" s="220"/>
      <c r="K901" s="220"/>
      <c r="L901" s="220"/>
      <c r="M901" s="220"/>
      <c r="N901" s="220"/>
      <c r="O901" s="382"/>
      <c r="P901" s="141"/>
      <c r="Q901" s="141"/>
      <c r="R901" s="141"/>
      <c r="S901" s="141"/>
      <c r="T901" s="141"/>
      <c r="U901" s="57"/>
      <c r="V901" s="57"/>
      <c r="W901" s="57"/>
      <c r="X901" s="57"/>
      <c r="Y901" s="57"/>
      <c r="Z901" s="57"/>
      <c r="AA901" s="57"/>
      <c r="AB901" s="57"/>
    </row>
    <row r="902">
      <c r="A902" s="141"/>
      <c r="B902" s="141"/>
      <c r="C902" s="141"/>
      <c r="D902" s="141"/>
      <c r="E902" s="141"/>
      <c r="F902" s="141"/>
      <c r="G902" s="48"/>
      <c r="H902" s="141"/>
      <c r="I902" s="141"/>
      <c r="J902" s="220"/>
      <c r="K902" s="220"/>
      <c r="L902" s="220"/>
      <c r="M902" s="220"/>
      <c r="N902" s="220"/>
      <c r="O902" s="382"/>
      <c r="P902" s="141"/>
      <c r="Q902" s="141"/>
      <c r="R902" s="141"/>
      <c r="S902" s="141"/>
      <c r="T902" s="141"/>
      <c r="U902" s="57"/>
      <c r="V902" s="57"/>
      <c r="W902" s="57"/>
      <c r="X902" s="57"/>
      <c r="Y902" s="57"/>
      <c r="Z902" s="57"/>
      <c r="AA902" s="57"/>
      <c r="AB902" s="57"/>
    </row>
    <row r="903">
      <c r="A903" s="141"/>
      <c r="B903" s="141"/>
      <c r="C903" s="141"/>
      <c r="D903" s="141"/>
      <c r="E903" s="141"/>
      <c r="F903" s="141"/>
      <c r="G903" s="48"/>
      <c r="H903" s="141"/>
      <c r="I903" s="141"/>
      <c r="J903" s="220"/>
      <c r="K903" s="220"/>
      <c r="L903" s="220"/>
      <c r="M903" s="220"/>
      <c r="N903" s="220"/>
      <c r="O903" s="382"/>
      <c r="P903" s="141"/>
      <c r="Q903" s="141"/>
      <c r="R903" s="141"/>
      <c r="S903" s="141"/>
      <c r="T903" s="141"/>
      <c r="U903" s="57"/>
      <c r="V903" s="57"/>
      <c r="W903" s="57"/>
      <c r="X903" s="57"/>
      <c r="Y903" s="57"/>
      <c r="Z903" s="57"/>
      <c r="AA903" s="57"/>
      <c r="AB903" s="57"/>
    </row>
    <row r="904">
      <c r="A904" s="141"/>
      <c r="B904" s="141"/>
      <c r="C904" s="141"/>
      <c r="D904" s="141"/>
      <c r="E904" s="141"/>
      <c r="F904" s="141"/>
      <c r="G904" s="48"/>
      <c r="H904" s="141"/>
      <c r="I904" s="141"/>
      <c r="J904" s="220"/>
      <c r="K904" s="220"/>
      <c r="L904" s="220"/>
      <c r="M904" s="220"/>
      <c r="N904" s="220"/>
      <c r="O904" s="382"/>
      <c r="P904" s="141"/>
      <c r="Q904" s="141"/>
      <c r="R904" s="141"/>
      <c r="S904" s="141"/>
      <c r="T904" s="141"/>
      <c r="U904" s="57"/>
      <c r="V904" s="57"/>
      <c r="W904" s="57"/>
      <c r="X904" s="57"/>
      <c r="Y904" s="57"/>
      <c r="Z904" s="57"/>
      <c r="AA904" s="57"/>
      <c r="AB904" s="57"/>
    </row>
    <row r="905">
      <c r="A905" s="141"/>
      <c r="B905" s="141"/>
      <c r="C905" s="141"/>
      <c r="D905" s="141"/>
      <c r="E905" s="141"/>
      <c r="F905" s="141"/>
      <c r="G905" s="48"/>
      <c r="H905" s="141"/>
      <c r="I905" s="141"/>
      <c r="J905" s="220"/>
      <c r="K905" s="220"/>
      <c r="L905" s="220"/>
      <c r="M905" s="220"/>
      <c r="N905" s="220"/>
      <c r="O905" s="382"/>
      <c r="P905" s="141"/>
      <c r="Q905" s="141"/>
      <c r="R905" s="141"/>
      <c r="S905" s="141"/>
      <c r="T905" s="141"/>
      <c r="U905" s="57"/>
      <c r="V905" s="57"/>
      <c r="W905" s="57"/>
      <c r="X905" s="57"/>
      <c r="Y905" s="57"/>
      <c r="Z905" s="57"/>
      <c r="AA905" s="57"/>
      <c r="AB905" s="57"/>
    </row>
    <row r="906">
      <c r="A906" s="141"/>
      <c r="B906" s="141"/>
      <c r="C906" s="141"/>
      <c r="D906" s="141"/>
      <c r="E906" s="141"/>
      <c r="F906" s="141"/>
      <c r="G906" s="48"/>
      <c r="H906" s="141"/>
      <c r="I906" s="141"/>
      <c r="J906" s="220"/>
      <c r="K906" s="220"/>
      <c r="L906" s="220"/>
      <c r="M906" s="220"/>
      <c r="N906" s="220"/>
      <c r="O906" s="382"/>
      <c r="P906" s="141"/>
      <c r="Q906" s="141"/>
      <c r="R906" s="141"/>
      <c r="S906" s="141"/>
      <c r="T906" s="141"/>
      <c r="U906" s="57"/>
      <c r="V906" s="57"/>
      <c r="W906" s="57"/>
      <c r="X906" s="57"/>
      <c r="Y906" s="57"/>
      <c r="Z906" s="57"/>
      <c r="AA906" s="57"/>
      <c r="AB906" s="57"/>
    </row>
    <row r="907">
      <c r="A907" s="141"/>
      <c r="B907" s="141"/>
      <c r="C907" s="141"/>
      <c r="D907" s="141"/>
      <c r="E907" s="141"/>
      <c r="F907" s="141"/>
      <c r="G907" s="48"/>
      <c r="H907" s="141"/>
      <c r="I907" s="141"/>
      <c r="J907" s="220"/>
      <c r="K907" s="220"/>
      <c r="L907" s="220"/>
      <c r="M907" s="220"/>
      <c r="N907" s="220"/>
      <c r="O907" s="382"/>
      <c r="P907" s="141"/>
      <c r="Q907" s="141"/>
      <c r="R907" s="141"/>
      <c r="S907" s="141"/>
      <c r="T907" s="141"/>
      <c r="U907" s="57"/>
      <c r="V907" s="57"/>
      <c r="W907" s="57"/>
      <c r="X907" s="57"/>
      <c r="Y907" s="57"/>
      <c r="Z907" s="57"/>
      <c r="AA907" s="57"/>
      <c r="AB907" s="57"/>
    </row>
    <row r="908">
      <c r="A908" s="141"/>
      <c r="B908" s="141"/>
      <c r="C908" s="141"/>
      <c r="D908" s="141"/>
      <c r="E908" s="141"/>
      <c r="F908" s="141"/>
      <c r="G908" s="48"/>
      <c r="H908" s="141"/>
      <c r="I908" s="141"/>
      <c r="J908" s="220"/>
      <c r="K908" s="220"/>
      <c r="L908" s="220"/>
      <c r="M908" s="220"/>
      <c r="N908" s="220"/>
      <c r="O908" s="382"/>
      <c r="P908" s="141"/>
      <c r="Q908" s="141"/>
      <c r="R908" s="141"/>
      <c r="S908" s="141"/>
      <c r="T908" s="141"/>
      <c r="U908" s="57"/>
      <c r="V908" s="57"/>
      <c r="W908" s="57"/>
      <c r="X908" s="57"/>
      <c r="Y908" s="57"/>
      <c r="Z908" s="57"/>
      <c r="AA908" s="57"/>
      <c r="AB908" s="57"/>
    </row>
    <row r="909">
      <c r="A909" s="141"/>
      <c r="B909" s="141"/>
      <c r="C909" s="141"/>
      <c r="D909" s="141"/>
      <c r="E909" s="141"/>
      <c r="F909" s="141"/>
      <c r="G909" s="48"/>
      <c r="H909" s="141"/>
      <c r="I909" s="141"/>
      <c r="J909" s="220"/>
      <c r="K909" s="220"/>
      <c r="L909" s="220"/>
      <c r="M909" s="220"/>
      <c r="N909" s="220"/>
      <c r="O909" s="382"/>
      <c r="P909" s="141"/>
      <c r="Q909" s="141"/>
      <c r="R909" s="141"/>
      <c r="S909" s="141"/>
      <c r="T909" s="141"/>
      <c r="U909" s="57"/>
      <c r="V909" s="57"/>
      <c r="W909" s="57"/>
      <c r="X909" s="57"/>
      <c r="Y909" s="57"/>
      <c r="Z909" s="57"/>
      <c r="AA909" s="57"/>
      <c r="AB909" s="57"/>
    </row>
    <row r="910">
      <c r="A910" s="141"/>
      <c r="B910" s="141"/>
      <c r="C910" s="141"/>
      <c r="D910" s="141"/>
      <c r="E910" s="141"/>
      <c r="F910" s="141"/>
      <c r="G910" s="48"/>
      <c r="H910" s="141"/>
      <c r="I910" s="141"/>
      <c r="J910" s="220"/>
      <c r="K910" s="220"/>
      <c r="L910" s="220"/>
      <c r="M910" s="220"/>
      <c r="N910" s="220"/>
      <c r="O910" s="382"/>
      <c r="P910" s="141"/>
      <c r="Q910" s="141"/>
      <c r="R910" s="141"/>
      <c r="S910" s="141"/>
      <c r="T910" s="141"/>
      <c r="U910" s="57"/>
      <c r="V910" s="57"/>
      <c r="W910" s="57"/>
      <c r="X910" s="57"/>
      <c r="Y910" s="57"/>
      <c r="Z910" s="57"/>
      <c r="AA910" s="57"/>
      <c r="AB910" s="57"/>
    </row>
    <row r="911">
      <c r="A911" s="141"/>
      <c r="B911" s="141"/>
      <c r="C911" s="141"/>
      <c r="D911" s="141"/>
      <c r="E911" s="141"/>
      <c r="F911" s="141"/>
      <c r="G911" s="48"/>
      <c r="H911" s="141"/>
      <c r="I911" s="141"/>
      <c r="J911" s="220"/>
      <c r="K911" s="220"/>
      <c r="L911" s="220"/>
      <c r="M911" s="220"/>
      <c r="N911" s="220"/>
      <c r="O911" s="382"/>
      <c r="P911" s="141"/>
      <c r="Q911" s="141"/>
      <c r="R911" s="141"/>
      <c r="S911" s="141"/>
      <c r="T911" s="141"/>
      <c r="U911" s="57"/>
      <c r="V911" s="57"/>
      <c r="W911" s="57"/>
      <c r="X911" s="57"/>
      <c r="Y911" s="57"/>
      <c r="Z911" s="57"/>
      <c r="AA911" s="57"/>
      <c r="AB911" s="57"/>
    </row>
    <row r="912">
      <c r="A912" s="141"/>
      <c r="B912" s="141"/>
      <c r="C912" s="141"/>
      <c r="D912" s="141"/>
      <c r="E912" s="141"/>
      <c r="F912" s="141"/>
      <c r="G912" s="48"/>
      <c r="H912" s="141"/>
      <c r="I912" s="141"/>
      <c r="J912" s="220"/>
      <c r="K912" s="220"/>
      <c r="L912" s="220"/>
      <c r="M912" s="220"/>
      <c r="N912" s="220"/>
      <c r="O912" s="382"/>
      <c r="P912" s="141"/>
      <c r="Q912" s="141"/>
      <c r="R912" s="141"/>
      <c r="S912" s="141"/>
      <c r="T912" s="141"/>
      <c r="U912" s="57"/>
      <c r="V912" s="57"/>
      <c r="W912" s="57"/>
      <c r="X912" s="57"/>
      <c r="Y912" s="57"/>
      <c r="Z912" s="57"/>
      <c r="AA912" s="57"/>
      <c r="AB912" s="57"/>
    </row>
    <row r="913">
      <c r="A913" s="141"/>
      <c r="B913" s="141"/>
      <c r="C913" s="141"/>
      <c r="D913" s="141"/>
      <c r="E913" s="141"/>
      <c r="F913" s="141"/>
      <c r="G913" s="48"/>
      <c r="H913" s="141"/>
      <c r="I913" s="141"/>
      <c r="J913" s="220"/>
      <c r="K913" s="220"/>
      <c r="L913" s="220"/>
      <c r="M913" s="220"/>
      <c r="N913" s="220"/>
      <c r="O913" s="382"/>
      <c r="P913" s="141"/>
      <c r="Q913" s="141"/>
      <c r="R913" s="141"/>
      <c r="S913" s="141"/>
      <c r="T913" s="141"/>
      <c r="U913" s="57"/>
      <c r="V913" s="57"/>
      <c r="W913" s="57"/>
      <c r="X913" s="57"/>
      <c r="Y913" s="57"/>
      <c r="Z913" s="57"/>
      <c r="AA913" s="57"/>
      <c r="AB913" s="57"/>
    </row>
    <row r="914">
      <c r="A914" s="141"/>
      <c r="B914" s="141"/>
      <c r="C914" s="141"/>
      <c r="D914" s="141"/>
      <c r="E914" s="141"/>
      <c r="F914" s="141"/>
      <c r="G914" s="48"/>
      <c r="H914" s="141"/>
      <c r="I914" s="141"/>
      <c r="J914" s="220"/>
      <c r="K914" s="220"/>
      <c r="L914" s="220"/>
      <c r="M914" s="220"/>
      <c r="N914" s="220"/>
      <c r="O914" s="382"/>
      <c r="P914" s="141"/>
      <c r="Q914" s="141"/>
      <c r="R914" s="141"/>
      <c r="S914" s="141"/>
      <c r="T914" s="141"/>
      <c r="U914" s="57"/>
      <c r="V914" s="57"/>
      <c r="W914" s="57"/>
      <c r="X914" s="57"/>
      <c r="Y914" s="57"/>
      <c r="Z914" s="57"/>
      <c r="AA914" s="57"/>
      <c r="AB914" s="57"/>
    </row>
    <row r="915">
      <c r="A915" s="141"/>
      <c r="B915" s="141"/>
      <c r="C915" s="141"/>
      <c r="D915" s="141"/>
      <c r="E915" s="141"/>
      <c r="F915" s="141"/>
      <c r="G915" s="48"/>
      <c r="H915" s="141"/>
      <c r="I915" s="141"/>
      <c r="J915" s="220"/>
      <c r="K915" s="220"/>
      <c r="L915" s="220"/>
      <c r="M915" s="220"/>
      <c r="N915" s="220"/>
      <c r="O915" s="382"/>
      <c r="P915" s="141"/>
      <c r="Q915" s="141"/>
      <c r="R915" s="141"/>
      <c r="S915" s="141"/>
      <c r="T915" s="141"/>
      <c r="U915" s="57"/>
      <c r="V915" s="57"/>
      <c r="W915" s="57"/>
      <c r="X915" s="57"/>
      <c r="Y915" s="57"/>
      <c r="Z915" s="57"/>
      <c r="AA915" s="57"/>
      <c r="AB915" s="57"/>
    </row>
    <row r="916">
      <c r="A916" s="141"/>
      <c r="B916" s="141"/>
      <c r="C916" s="141"/>
      <c r="D916" s="141"/>
      <c r="E916" s="141"/>
      <c r="F916" s="141"/>
      <c r="G916" s="48"/>
      <c r="H916" s="141"/>
      <c r="I916" s="141"/>
      <c r="J916" s="220"/>
      <c r="K916" s="220"/>
      <c r="L916" s="220"/>
      <c r="M916" s="220"/>
      <c r="N916" s="220"/>
      <c r="O916" s="382"/>
      <c r="P916" s="141"/>
      <c r="Q916" s="141"/>
      <c r="R916" s="141"/>
      <c r="S916" s="141"/>
      <c r="T916" s="141"/>
      <c r="U916" s="57"/>
      <c r="V916" s="57"/>
      <c r="W916" s="57"/>
      <c r="X916" s="57"/>
      <c r="Y916" s="57"/>
      <c r="Z916" s="57"/>
      <c r="AA916" s="57"/>
      <c r="AB916" s="57"/>
    </row>
    <row r="917">
      <c r="A917" s="141"/>
      <c r="B917" s="141"/>
      <c r="C917" s="141"/>
      <c r="D917" s="141"/>
      <c r="E917" s="141"/>
      <c r="F917" s="141"/>
      <c r="G917" s="48"/>
      <c r="H917" s="141"/>
      <c r="I917" s="141"/>
      <c r="J917" s="220"/>
      <c r="K917" s="220"/>
      <c r="L917" s="220"/>
      <c r="M917" s="220"/>
      <c r="N917" s="220"/>
      <c r="O917" s="382"/>
      <c r="P917" s="141"/>
      <c r="Q917" s="141"/>
      <c r="R917" s="141"/>
      <c r="S917" s="141"/>
      <c r="T917" s="141"/>
      <c r="U917" s="57"/>
      <c r="V917" s="57"/>
      <c r="W917" s="57"/>
      <c r="X917" s="57"/>
      <c r="Y917" s="57"/>
      <c r="Z917" s="57"/>
      <c r="AA917" s="57"/>
      <c r="AB917" s="57"/>
    </row>
    <row r="918">
      <c r="A918" s="141"/>
      <c r="B918" s="141"/>
      <c r="C918" s="141"/>
      <c r="D918" s="141"/>
      <c r="E918" s="141"/>
      <c r="F918" s="141"/>
      <c r="G918" s="48"/>
      <c r="H918" s="141"/>
      <c r="I918" s="141"/>
      <c r="J918" s="220"/>
      <c r="K918" s="220"/>
      <c r="L918" s="220"/>
      <c r="M918" s="220"/>
      <c r="N918" s="220"/>
      <c r="O918" s="382"/>
      <c r="P918" s="141"/>
      <c r="Q918" s="141"/>
      <c r="R918" s="141"/>
      <c r="S918" s="141"/>
      <c r="T918" s="141"/>
      <c r="U918" s="57"/>
      <c r="V918" s="57"/>
      <c r="W918" s="57"/>
      <c r="X918" s="57"/>
      <c r="Y918" s="57"/>
      <c r="Z918" s="57"/>
      <c r="AA918" s="57"/>
      <c r="AB918" s="57"/>
    </row>
    <row r="919">
      <c r="A919" s="141"/>
      <c r="B919" s="141"/>
      <c r="C919" s="141"/>
      <c r="D919" s="141"/>
      <c r="E919" s="141"/>
      <c r="F919" s="141"/>
      <c r="G919" s="48"/>
      <c r="H919" s="141"/>
      <c r="I919" s="141"/>
      <c r="J919" s="220"/>
      <c r="K919" s="220"/>
      <c r="L919" s="220"/>
      <c r="M919" s="220"/>
      <c r="N919" s="220"/>
      <c r="O919" s="382"/>
      <c r="P919" s="141"/>
      <c r="Q919" s="141"/>
      <c r="R919" s="141"/>
      <c r="S919" s="141"/>
      <c r="T919" s="141"/>
      <c r="U919" s="57"/>
      <c r="V919" s="57"/>
      <c r="W919" s="57"/>
      <c r="X919" s="57"/>
      <c r="Y919" s="57"/>
      <c r="Z919" s="57"/>
      <c r="AA919" s="57"/>
      <c r="AB919" s="57"/>
    </row>
    <row r="920">
      <c r="A920" s="141"/>
      <c r="B920" s="141"/>
      <c r="C920" s="141"/>
      <c r="D920" s="141"/>
      <c r="E920" s="141"/>
      <c r="F920" s="141"/>
      <c r="G920" s="48"/>
      <c r="H920" s="141"/>
      <c r="I920" s="141"/>
      <c r="J920" s="220"/>
      <c r="K920" s="220"/>
      <c r="L920" s="220"/>
      <c r="M920" s="220"/>
      <c r="N920" s="220"/>
      <c r="O920" s="382"/>
      <c r="P920" s="141"/>
      <c r="Q920" s="141"/>
      <c r="R920" s="141"/>
      <c r="S920" s="141"/>
      <c r="T920" s="141"/>
      <c r="U920" s="57"/>
      <c r="V920" s="57"/>
      <c r="W920" s="57"/>
      <c r="X920" s="57"/>
      <c r="Y920" s="57"/>
      <c r="Z920" s="57"/>
      <c r="AA920" s="57"/>
      <c r="AB920" s="57"/>
    </row>
    <row r="921">
      <c r="A921" s="141"/>
      <c r="B921" s="141"/>
      <c r="C921" s="141"/>
      <c r="D921" s="141"/>
      <c r="E921" s="141"/>
      <c r="F921" s="141"/>
      <c r="G921" s="48"/>
      <c r="H921" s="141"/>
      <c r="I921" s="141"/>
      <c r="J921" s="220"/>
      <c r="K921" s="220"/>
      <c r="L921" s="220"/>
      <c r="M921" s="220"/>
      <c r="N921" s="220"/>
      <c r="O921" s="382"/>
      <c r="P921" s="141"/>
      <c r="Q921" s="141"/>
      <c r="R921" s="141"/>
      <c r="S921" s="141"/>
      <c r="T921" s="141"/>
      <c r="U921" s="57"/>
      <c r="V921" s="57"/>
      <c r="W921" s="57"/>
      <c r="X921" s="57"/>
      <c r="Y921" s="57"/>
      <c r="Z921" s="57"/>
      <c r="AA921" s="57"/>
      <c r="AB921" s="57"/>
    </row>
    <row r="922">
      <c r="A922" s="141"/>
      <c r="B922" s="141"/>
      <c r="C922" s="141"/>
      <c r="D922" s="141"/>
      <c r="E922" s="141"/>
      <c r="F922" s="141"/>
      <c r="G922" s="48"/>
      <c r="H922" s="141"/>
      <c r="I922" s="141"/>
      <c r="J922" s="220"/>
      <c r="K922" s="220"/>
      <c r="L922" s="220"/>
      <c r="M922" s="220"/>
      <c r="N922" s="220"/>
      <c r="O922" s="382"/>
      <c r="P922" s="141"/>
      <c r="Q922" s="141"/>
      <c r="R922" s="141"/>
      <c r="S922" s="141"/>
      <c r="T922" s="141"/>
      <c r="U922" s="57"/>
      <c r="V922" s="57"/>
      <c r="W922" s="57"/>
      <c r="X922" s="57"/>
      <c r="Y922" s="57"/>
      <c r="Z922" s="57"/>
      <c r="AA922" s="57"/>
      <c r="AB922" s="57"/>
    </row>
    <row r="923">
      <c r="A923" s="141"/>
      <c r="B923" s="141"/>
      <c r="C923" s="141"/>
      <c r="D923" s="141"/>
      <c r="E923" s="141"/>
      <c r="F923" s="141"/>
      <c r="G923" s="48"/>
      <c r="H923" s="141"/>
      <c r="I923" s="141"/>
      <c r="J923" s="220"/>
      <c r="K923" s="220"/>
      <c r="L923" s="220"/>
      <c r="M923" s="220"/>
      <c r="N923" s="220"/>
      <c r="O923" s="382"/>
      <c r="P923" s="141"/>
      <c r="Q923" s="141"/>
      <c r="R923" s="141"/>
      <c r="S923" s="141"/>
      <c r="T923" s="141"/>
      <c r="U923" s="57"/>
      <c r="V923" s="57"/>
      <c r="W923" s="57"/>
      <c r="X923" s="57"/>
      <c r="Y923" s="57"/>
      <c r="Z923" s="57"/>
      <c r="AA923" s="57"/>
      <c r="AB923" s="57"/>
    </row>
    <row r="924">
      <c r="A924" s="141"/>
      <c r="B924" s="141"/>
      <c r="C924" s="141"/>
      <c r="D924" s="141"/>
      <c r="E924" s="141"/>
      <c r="F924" s="141"/>
      <c r="G924" s="48"/>
      <c r="H924" s="141"/>
      <c r="I924" s="141"/>
      <c r="J924" s="220"/>
      <c r="K924" s="220"/>
      <c r="L924" s="220"/>
      <c r="M924" s="220"/>
      <c r="N924" s="220"/>
      <c r="O924" s="382"/>
      <c r="P924" s="141"/>
      <c r="Q924" s="141"/>
      <c r="R924" s="141"/>
      <c r="S924" s="141"/>
      <c r="T924" s="141"/>
      <c r="U924" s="57"/>
      <c r="V924" s="57"/>
      <c r="W924" s="57"/>
      <c r="X924" s="57"/>
      <c r="Y924" s="57"/>
      <c r="Z924" s="57"/>
      <c r="AA924" s="57"/>
      <c r="AB924" s="57"/>
    </row>
    <row r="925">
      <c r="A925" s="141"/>
      <c r="B925" s="141"/>
      <c r="C925" s="141"/>
      <c r="D925" s="141"/>
      <c r="E925" s="141"/>
      <c r="F925" s="141"/>
      <c r="G925" s="48"/>
      <c r="H925" s="141"/>
      <c r="I925" s="141"/>
      <c r="J925" s="220"/>
      <c r="K925" s="220"/>
      <c r="L925" s="220"/>
      <c r="M925" s="220"/>
      <c r="N925" s="220"/>
      <c r="O925" s="382"/>
      <c r="P925" s="141"/>
      <c r="Q925" s="141"/>
      <c r="R925" s="141"/>
      <c r="S925" s="141"/>
      <c r="T925" s="141"/>
      <c r="U925" s="57"/>
      <c r="V925" s="57"/>
      <c r="W925" s="57"/>
      <c r="X925" s="57"/>
      <c r="Y925" s="57"/>
      <c r="Z925" s="57"/>
      <c r="AA925" s="57"/>
      <c r="AB925" s="57"/>
    </row>
    <row r="926">
      <c r="A926" s="141"/>
      <c r="B926" s="141"/>
      <c r="C926" s="141"/>
      <c r="D926" s="141"/>
      <c r="E926" s="141"/>
      <c r="F926" s="141"/>
      <c r="G926" s="48"/>
      <c r="H926" s="141"/>
      <c r="I926" s="141"/>
      <c r="J926" s="220"/>
      <c r="K926" s="220"/>
      <c r="L926" s="220"/>
      <c r="M926" s="220"/>
      <c r="N926" s="220"/>
      <c r="O926" s="382"/>
      <c r="P926" s="141"/>
      <c r="Q926" s="141"/>
      <c r="R926" s="141"/>
      <c r="S926" s="141"/>
      <c r="T926" s="141"/>
      <c r="U926" s="57"/>
      <c r="V926" s="57"/>
      <c r="W926" s="57"/>
      <c r="X926" s="57"/>
      <c r="Y926" s="57"/>
      <c r="Z926" s="57"/>
      <c r="AA926" s="57"/>
      <c r="AB926" s="57"/>
    </row>
    <row r="927">
      <c r="A927" s="141"/>
      <c r="B927" s="141"/>
      <c r="C927" s="141"/>
      <c r="D927" s="141"/>
      <c r="E927" s="141"/>
      <c r="F927" s="141"/>
      <c r="G927" s="48"/>
      <c r="H927" s="141"/>
      <c r="I927" s="141"/>
      <c r="J927" s="220"/>
      <c r="K927" s="220"/>
      <c r="L927" s="220"/>
      <c r="M927" s="220"/>
      <c r="N927" s="220"/>
      <c r="O927" s="382"/>
      <c r="P927" s="141"/>
      <c r="Q927" s="141"/>
      <c r="R927" s="141"/>
      <c r="S927" s="141"/>
      <c r="T927" s="141"/>
      <c r="U927" s="57"/>
      <c r="V927" s="57"/>
      <c r="W927" s="57"/>
      <c r="X927" s="57"/>
      <c r="Y927" s="57"/>
      <c r="Z927" s="57"/>
      <c r="AA927" s="57"/>
      <c r="AB927" s="57"/>
    </row>
    <row r="928">
      <c r="A928" s="141"/>
      <c r="B928" s="141"/>
      <c r="C928" s="141"/>
      <c r="D928" s="141"/>
      <c r="E928" s="141"/>
      <c r="F928" s="141"/>
      <c r="G928" s="48"/>
      <c r="H928" s="141"/>
      <c r="I928" s="141"/>
      <c r="J928" s="220"/>
      <c r="K928" s="220"/>
      <c r="L928" s="220"/>
      <c r="M928" s="220"/>
      <c r="N928" s="220"/>
      <c r="O928" s="382"/>
      <c r="P928" s="141"/>
      <c r="Q928" s="141"/>
      <c r="R928" s="141"/>
      <c r="S928" s="141"/>
      <c r="T928" s="141"/>
      <c r="U928" s="57"/>
      <c r="V928" s="57"/>
      <c r="W928" s="57"/>
      <c r="X928" s="57"/>
      <c r="Y928" s="57"/>
      <c r="Z928" s="57"/>
      <c r="AA928" s="57"/>
      <c r="AB928" s="57"/>
    </row>
    <row r="929">
      <c r="A929" s="141"/>
      <c r="B929" s="141"/>
      <c r="C929" s="141"/>
      <c r="D929" s="141"/>
      <c r="E929" s="141"/>
      <c r="F929" s="141"/>
      <c r="G929" s="48"/>
      <c r="H929" s="141"/>
      <c r="I929" s="141"/>
      <c r="J929" s="220"/>
      <c r="K929" s="220"/>
      <c r="L929" s="220"/>
      <c r="M929" s="220"/>
      <c r="N929" s="220"/>
      <c r="O929" s="382"/>
      <c r="P929" s="141"/>
      <c r="Q929" s="141"/>
      <c r="R929" s="141"/>
      <c r="S929" s="141"/>
      <c r="T929" s="141"/>
      <c r="U929" s="57"/>
      <c r="V929" s="57"/>
      <c r="W929" s="57"/>
      <c r="X929" s="57"/>
      <c r="Y929" s="57"/>
      <c r="Z929" s="57"/>
      <c r="AA929" s="57"/>
      <c r="AB929" s="57"/>
    </row>
    <row r="930">
      <c r="A930" s="141"/>
      <c r="B930" s="141"/>
      <c r="C930" s="141"/>
      <c r="D930" s="141"/>
      <c r="E930" s="141"/>
      <c r="F930" s="141"/>
      <c r="G930" s="48"/>
      <c r="H930" s="141"/>
      <c r="I930" s="141"/>
      <c r="J930" s="220"/>
      <c r="K930" s="220"/>
      <c r="L930" s="220"/>
      <c r="M930" s="220"/>
      <c r="N930" s="220"/>
      <c r="O930" s="382"/>
      <c r="P930" s="141"/>
      <c r="Q930" s="141"/>
      <c r="R930" s="141"/>
      <c r="S930" s="141"/>
      <c r="T930" s="141"/>
      <c r="U930" s="57"/>
      <c r="V930" s="57"/>
      <c r="W930" s="57"/>
      <c r="X930" s="57"/>
      <c r="Y930" s="57"/>
      <c r="Z930" s="57"/>
      <c r="AA930" s="57"/>
      <c r="AB930" s="57"/>
    </row>
    <row r="931">
      <c r="A931" s="141"/>
      <c r="B931" s="141"/>
      <c r="C931" s="141"/>
      <c r="D931" s="141"/>
      <c r="E931" s="141"/>
      <c r="F931" s="141"/>
      <c r="G931" s="48"/>
      <c r="H931" s="141"/>
      <c r="I931" s="141"/>
      <c r="J931" s="220"/>
      <c r="K931" s="220"/>
      <c r="L931" s="220"/>
      <c r="M931" s="220"/>
      <c r="N931" s="220"/>
      <c r="O931" s="382"/>
      <c r="P931" s="141"/>
      <c r="Q931" s="141"/>
      <c r="R931" s="141"/>
      <c r="S931" s="141"/>
      <c r="T931" s="141"/>
      <c r="U931" s="57"/>
      <c r="V931" s="57"/>
      <c r="W931" s="57"/>
      <c r="X931" s="57"/>
      <c r="Y931" s="57"/>
      <c r="Z931" s="57"/>
      <c r="AA931" s="57"/>
      <c r="AB931" s="57"/>
    </row>
    <row r="932">
      <c r="A932" s="141"/>
      <c r="B932" s="141"/>
      <c r="C932" s="141"/>
      <c r="D932" s="141"/>
      <c r="E932" s="141"/>
      <c r="F932" s="141"/>
      <c r="G932" s="48"/>
      <c r="H932" s="141"/>
      <c r="I932" s="141"/>
      <c r="J932" s="220"/>
      <c r="K932" s="220"/>
      <c r="L932" s="220"/>
      <c r="M932" s="220"/>
      <c r="N932" s="220"/>
      <c r="O932" s="382"/>
      <c r="P932" s="141"/>
      <c r="Q932" s="141"/>
      <c r="R932" s="141"/>
      <c r="S932" s="141"/>
      <c r="T932" s="141"/>
      <c r="U932" s="57"/>
      <c r="V932" s="57"/>
      <c r="W932" s="57"/>
      <c r="X932" s="57"/>
      <c r="Y932" s="57"/>
      <c r="Z932" s="57"/>
      <c r="AA932" s="57"/>
      <c r="AB932" s="57"/>
    </row>
    <row r="933">
      <c r="A933" s="141"/>
      <c r="B933" s="141"/>
      <c r="C933" s="141"/>
      <c r="D933" s="141"/>
      <c r="E933" s="141"/>
      <c r="F933" s="141"/>
      <c r="G933" s="48"/>
      <c r="H933" s="141"/>
      <c r="I933" s="141"/>
      <c r="J933" s="220"/>
      <c r="K933" s="220"/>
      <c r="L933" s="220"/>
      <c r="M933" s="220"/>
      <c r="N933" s="220"/>
      <c r="O933" s="382"/>
      <c r="P933" s="141"/>
      <c r="Q933" s="141"/>
      <c r="R933" s="141"/>
      <c r="S933" s="141"/>
      <c r="T933" s="141"/>
      <c r="U933" s="57"/>
      <c r="V933" s="57"/>
      <c r="W933" s="57"/>
      <c r="X933" s="57"/>
      <c r="Y933" s="57"/>
      <c r="Z933" s="57"/>
      <c r="AA933" s="57"/>
      <c r="AB933" s="57"/>
    </row>
    <row r="934">
      <c r="A934" s="141"/>
      <c r="B934" s="141"/>
      <c r="C934" s="141"/>
      <c r="D934" s="141"/>
      <c r="E934" s="141"/>
      <c r="F934" s="141"/>
      <c r="G934" s="48"/>
      <c r="H934" s="141"/>
      <c r="I934" s="141"/>
      <c r="J934" s="220"/>
      <c r="K934" s="220"/>
      <c r="L934" s="220"/>
      <c r="M934" s="220"/>
      <c r="N934" s="220"/>
      <c r="O934" s="382"/>
      <c r="P934" s="141"/>
      <c r="Q934" s="141"/>
      <c r="R934" s="141"/>
      <c r="S934" s="141"/>
      <c r="T934" s="141"/>
      <c r="U934" s="57"/>
      <c r="V934" s="57"/>
      <c r="W934" s="57"/>
      <c r="X934" s="57"/>
      <c r="Y934" s="57"/>
      <c r="Z934" s="57"/>
      <c r="AA934" s="57"/>
      <c r="AB934" s="57"/>
    </row>
    <row r="935">
      <c r="A935" s="141"/>
      <c r="B935" s="141"/>
      <c r="C935" s="141"/>
      <c r="D935" s="141"/>
      <c r="E935" s="141"/>
      <c r="F935" s="141"/>
      <c r="G935" s="48"/>
      <c r="H935" s="141"/>
      <c r="I935" s="141"/>
      <c r="J935" s="220"/>
      <c r="K935" s="220"/>
      <c r="L935" s="220"/>
      <c r="M935" s="220"/>
      <c r="N935" s="220"/>
      <c r="O935" s="382"/>
      <c r="P935" s="141"/>
      <c r="Q935" s="141"/>
      <c r="R935" s="141"/>
      <c r="S935" s="141"/>
      <c r="T935" s="141"/>
      <c r="U935" s="57"/>
      <c r="V935" s="57"/>
      <c r="W935" s="57"/>
      <c r="X935" s="57"/>
      <c r="Y935" s="57"/>
      <c r="Z935" s="57"/>
      <c r="AA935" s="57"/>
      <c r="AB935" s="57"/>
    </row>
    <row r="936">
      <c r="A936" s="141"/>
      <c r="B936" s="141"/>
      <c r="C936" s="141"/>
      <c r="D936" s="141"/>
      <c r="E936" s="141"/>
      <c r="F936" s="141"/>
      <c r="G936" s="48"/>
      <c r="H936" s="141"/>
      <c r="I936" s="141"/>
      <c r="J936" s="220"/>
      <c r="K936" s="220"/>
      <c r="L936" s="220"/>
      <c r="M936" s="220"/>
      <c r="N936" s="220"/>
      <c r="O936" s="382"/>
      <c r="P936" s="141"/>
      <c r="Q936" s="141"/>
      <c r="R936" s="141"/>
      <c r="S936" s="141"/>
      <c r="T936" s="141"/>
      <c r="U936" s="57"/>
      <c r="V936" s="57"/>
      <c r="W936" s="57"/>
      <c r="X936" s="57"/>
      <c r="Y936" s="57"/>
      <c r="Z936" s="57"/>
      <c r="AA936" s="57"/>
      <c r="AB936" s="57"/>
    </row>
    <row r="937">
      <c r="A937" s="141"/>
      <c r="B937" s="141"/>
      <c r="C937" s="141"/>
      <c r="D937" s="141"/>
      <c r="E937" s="141"/>
      <c r="F937" s="141"/>
      <c r="G937" s="48"/>
      <c r="H937" s="141"/>
      <c r="I937" s="141"/>
      <c r="J937" s="220"/>
      <c r="K937" s="220"/>
      <c r="L937" s="220"/>
      <c r="M937" s="220"/>
      <c r="N937" s="220"/>
      <c r="O937" s="382"/>
      <c r="P937" s="141"/>
      <c r="Q937" s="141"/>
      <c r="R937" s="141"/>
      <c r="S937" s="141"/>
      <c r="T937" s="141"/>
      <c r="U937" s="57"/>
      <c r="V937" s="57"/>
      <c r="W937" s="57"/>
      <c r="X937" s="57"/>
      <c r="Y937" s="57"/>
      <c r="Z937" s="57"/>
      <c r="AA937" s="57"/>
      <c r="AB937" s="57"/>
    </row>
    <row r="938">
      <c r="A938" s="141"/>
      <c r="B938" s="141"/>
      <c r="C938" s="141"/>
      <c r="D938" s="141"/>
      <c r="E938" s="141"/>
      <c r="F938" s="141"/>
      <c r="G938" s="48"/>
      <c r="H938" s="141"/>
      <c r="I938" s="141"/>
      <c r="J938" s="220"/>
      <c r="K938" s="220"/>
      <c r="L938" s="220"/>
      <c r="M938" s="220"/>
      <c r="N938" s="220"/>
      <c r="O938" s="382"/>
      <c r="P938" s="141"/>
      <c r="Q938" s="141"/>
      <c r="R938" s="141"/>
      <c r="S938" s="141"/>
      <c r="T938" s="141"/>
      <c r="U938" s="57"/>
      <c r="V938" s="57"/>
      <c r="W938" s="57"/>
      <c r="X938" s="57"/>
      <c r="Y938" s="57"/>
      <c r="Z938" s="57"/>
      <c r="AA938" s="57"/>
      <c r="AB938" s="57"/>
    </row>
    <row r="939">
      <c r="A939" s="141"/>
      <c r="B939" s="141"/>
      <c r="C939" s="141"/>
      <c r="D939" s="141"/>
      <c r="E939" s="141"/>
      <c r="F939" s="141"/>
      <c r="G939" s="48"/>
      <c r="H939" s="141"/>
      <c r="I939" s="141"/>
      <c r="J939" s="220"/>
      <c r="K939" s="220"/>
      <c r="L939" s="220"/>
      <c r="M939" s="220"/>
      <c r="N939" s="220"/>
      <c r="O939" s="382"/>
      <c r="P939" s="141"/>
      <c r="Q939" s="141"/>
      <c r="R939" s="141"/>
      <c r="S939" s="141"/>
      <c r="T939" s="141"/>
      <c r="U939" s="57"/>
      <c r="V939" s="57"/>
      <c r="W939" s="57"/>
      <c r="X939" s="57"/>
      <c r="Y939" s="57"/>
      <c r="Z939" s="57"/>
      <c r="AA939" s="57"/>
      <c r="AB939" s="57"/>
    </row>
    <row r="940">
      <c r="A940" s="141"/>
      <c r="B940" s="141"/>
      <c r="C940" s="141"/>
      <c r="D940" s="141"/>
      <c r="E940" s="141"/>
      <c r="F940" s="141"/>
      <c r="G940" s="48"/>
      <c r="H940" s="141"/>
      <c r="I940" s="141"/>
      <c r="J940" s="220"/>
      <c r="K940" s="220"/>
      <c r="L940" s="220"/>
      <c r="M940" s="220"/>
      <c r="N940" s="220"/>
      <c r="O940" s="382"/>
      <c r="P940" s="141"/>
      <c r="Q940" s="141"/>
      <c r="R940" s="141"/>
      <c r="S940" s="141"/>
      <c r="T940" s="141"/>
      <c r="U940" s="57"/>
      <c r="V940" s="57"/>
      <c r="W940" s="57"/>
      <c r="X940" s="57"/>
      <c r="Y940" s="57"/>
      <c r="Z940" s="57"/>
      <c r="AA940" s="57"/>
      <c r="AB940" s="57"/>
    </row>
    <row r="941">
      <c r="A941" s="141"/>
      <c r="B941" s="141"/>
      <c r="C941" s="141"/>
      <c r="D941" s="141"/>
      <c r="E941" s="141"/>
      <c r="F941" s="141"/>
      <c r="G941" s="48"/>
      <c r="H941" s="141"/>
      <c r="I941" s="141"/>
      <c r="J941" s="220"/>
      <c r="K941" s="220"/>
      <c r="L941" s="220"/>
      <c r="M941" s="220"/>
      <c r="N941" s="220"/>
      <c r="O941" s="382"/>
      <c r="P941" s="141"/>
      <c r="Q941" s="141"/>
      <c r="R941" s="141"/>
      <c r="S941" s="141"/>
      <c r="T941" s="141"/>
      <c r="U941" s="57"/>
      <c r="V941" s="57"/>
      <c r="W941" s="57"/>
      <c r="X941" s="57"/>
      <c r="Y941" s="57"/>
      <c r="Z941" s="57"/>
      <c r="AA941" s="57"/>
      <c r="AB941" s="57"/>
    </row>
    <row r="942">
      <c r="A942" s="141"/>
      <c r="B942" s="141"/>
      <c r="C942" s="141"/>
      <c r="D942" s="141"/>
      <c r="E942" s="141"/>
      <c r="F942" s="141"/>
      <c r="G942" s="48"/>
      <c r="H942" s="141"/>
      <c r="I942" s="141"/>
      <c r="J942" s="220"/>
      <c r="K942" s="220"/>
      <c r="L942" s="220"/>
      <c r="M942" s="220"/>
      <c r="N942" s="220"/>
      <c r="O942" s="382"/>
      <c r="P942" s="141"/>
      <c r="Q942" s="141"/>
      <c r="R942" s="141"/>
      <c r="S942" s="141"/>
      <c r="T942" s="141"/>
      <c r="U942" s="57"/>
      <c r="V942" s="57"/>
      <c r="W942" s="57"/>
      <c r="X942" s="57"/>
      <c r="Y942" s="57"/>
      <c r="Z942" s="57"/>
      <c r="AA942" s="57"/>
      <c r="AB942" s="57"/>
    </row>
    <row r="943">
      <c r="A943" s="141"/>
      <c r="B943" s="141"/>
      <c r="C943" s="141"/>
      <c r="D943" s="141"/>
      <c r="E943" s="141"/>
      <c r="F943" s="141"/>
      <c r="G943" s="48"/>
      <c r="H943" s="141"/>
      <c r="I943" s="141"/>
      <c r="J943" s="220"/>
      <c r="K943" s="220"/>
      <c r="L943" s="220"/>
      <c r="M943" s="220"/>
      <c r="N943" s="220"/>
      <c r="O943" s="382"/>
      <c r="P943" s="141"/>
      <c r="Q943" s="141"/>
      <c r="R943" s="141"/>
      <c r="S943" s="141"/>
      <c r="T943" s="141"/>
      <c r="U943" s="57"/>
      <c r="V943" s="57"/>
      <c r="W943" s="57"/>
      <c r="X943" s="57"/>
      <c r="Y943" s="57"/>
      <c r="Z943" s="57"/>
      <c r="AA943" s="57"/>
      <c r="AB943" s="57"/>
    </row>
    <row r="944">
      <c r="A944" s="141"/>
      <c r="B944" s="141"/>
      <c r="C944" s="141"/>
      <c r="D944" s="141"/>
      <c r="E944" s="141"/>
      <c r="F944" s="141"/>
      <c r="G944" s="48"/>
      <c r="H944" s="141"/>
      <c r="I944" s="141"/>
      <c r="J944" s="220"/>
      <c r="K944" s="220"/>
      <c r="L944" s="220"/>
      <c r="M944" s="220"/>
      <c r="N944" s="220"/>
      <c r="O944" s="382"/>
      <c r="P944" s="141"/>
      <c r="Q944" s="141"/>
      <c r="R944" s="141"/>
      <c r="S944" s="141"/>
      <c r="T944" s="141"/>
      <c r="U944" s="57"/>
      <c r="V944" s="57"/>
      <c r="W944" s="57"/>
      <c r="X944" s="57"/>
      <c r="Y944" s="57"/>
      <c r="Z944" s="57"/>
      <c r="AA944" s="57"/>
      <c r="AB944" s="57"/>
    </row>
    <row r="945">
      <c r="A945" s="141"/>
      <c r="B945" s="141"/>
      <c r="C945" s="141"/>
      <c r="D945" s="141"/>
      <c r="E945" s="141"/>
      <c r="F945" s="141"/>
      <c r="G945" s="48"/>
      <c r="H945" s="141"/>
      <c r="I945" s="141"/>
      <c r="J945" s="220"/>
      <c r="K945" s="220"/>
      <c r="L945" s="220"/>
      <c r="M945" s="220"/>
      <c r="N945" s="220"/>
      <c r="O945" s="382"/>
      <c r="P945" s="141"/>
      <c r="Q945" s="141"/>
      <c r="R945" s="141"/>
      <c r="S945" s="141"/>
      <c r="T945" s="141"/>
      <c r="U945" s="57"/>
      <c r="V945" s="57"/>
      <c r="W945" s="57"/>
      <c r="X945" s="57"/>
      <c r="Y945" s="57"/>
      <c r="Z945" s="57"/>
      <c r="AA945" s="57"/>
      <c r="AB945" s="57"/>
    </row>
    <row r="946">
      <c r="A946" s="141"/>
      <c r="B946" s="141"/>
      <c r="C946" s="141"/>
      <c r="D946" s="141"/>
      <c r="E946" s="141"/>
      <c r="F946" s="141"/>
      <c r="G946" s="48"/>
      <c r="H946" s="141"/>
      <c r="I946" s="141"/>
      <c r="J946" s="220"/>
      <c r="K946" s="220"/>
      <c r="L946" s="220"/>
      <c r="M946" s="220"/>
      <c r="N946" s="220"/>
      <c r="O946" s="382"/>
      <c r="P946" s="141"/>
      <c r="Q946" s="141"/>
      <c r="R946" s="141"/>
      <c r="S946" s="141"/>
      <c r="T946" s="141"/>
      <c r="U946" s="57"/>
      <c r="V946" s="57"/>
      <c r="W946" s="57"/>
      <c r="X946" s="57"/>
      <c r="Y946" s="57"/>
      <c r="Z946" s="57"/>
      <c r="AA946" s="57"/>
      <c r="AB946" s="57"/>
    </row>
    <row r="947">
      <c r="A947" s="141"/>
      <c r="B947" s="141"/>
      <c r="C947" s="141"/>
      <c r="D947" s="141"/>
      <c r="E947" s="141"/>
      <c r="F947" s="141"/>
      <c r="G947" s="48"/>
      <c r="H947" s="141"/>
      <c r="I947" s="141"/>
      <c r="J947" s="220"/>
      <c r="K947" s="220"/>
      <c r="L947" s="220"/>
      <c r="M947" s="220"/>
      <c r="N947" s="220"/>
      <c r="O947" s="382"/>
      <c r="P947" s="141"/>
      <c r="Q947" s="141"/>
      <c r="R947" s="141"/>
      <c r="S947" s="141"/>
      <c r="T947" s="141"/>
      <c r="U947" s="57"/>
      <c r="V947" s="57"/>
      <c r="W947" s="57"/>
      <c r="X947" s="57"/>
      <c r="Y947" s="57"/>
      <c r="Z947" s="57"/>
      <c r="AA947" s="57"/>
      <c r="AB947" s="57"/>
    </row>
    <row r="948">
      <c r="A948" s="141"/>
      <c r="B948" s="141"/>
      <c r="C948" s="141"/>
      <c r="D948" s="141"/>
      <c r="E948" s="141"/>
      <c r="F948" s="141"/>
      <c r="G948" s="48"/>
      <c r="H948" s="141"/>
      <c r="I948" s="141"/>
      <c r="J948" s="220"/>
      <c r="K948" s="220"/>
      <c r="L948" s="220"/>
      <c r="M948" s="220"/>
      <c r="N948" s="220"/>
      <c r="O948" s="382"/>
      <c r="P948" s="141"/>
      <c r="Q948" s="141"/>
      <c r="R948" s="141"/>
      <c r="S948" s="141"/>
      <c r="T948" s="141"/>
      <c r="U948" s="57"/>
      <c r="V948" s="57"/>
      <c r="W948" s="57"/>
      <c r="X948" s="57"/>
      <c r="Y948" s="57"/>
      <c r="Z948" s="57"/>
      <c r="AA948" s="57"/>
      <c r="AB948" s="57"/>
    </row>
    <row r="949">
      <c r="A949" s="141"/>
      <c r="B949" s="141"/>
      <c r="C949" s="141"/>
      <c r="D949" s="141"/>
      <c r="E949" s="141"/>
      <c r="F949" s="141"/>
      <c r="G949" s="48"/>
      <c r="H949" s="141"/>
      <c r="I949" s="141"/>
      <c r="J949" s="220"/>
      <c r="K949" s="220"/>
      <c r="L949" s="220"/>
      <c r="M949" s="220"/>
      <c r="N949" s="220"/>
      <c r="O949" s="382"/>
      <c r="P949" s="141"/>
      <c r="Q949" s="141"/>
      <c r="R949" s="141"/>
      <c r="S949" s="141"/>
      <c r="T949" s="141"/>
      <c r="U949" s="57"/>
      <c r="V949" s="57"/>
      <c r="W949" s="57"/>
      <c r="X949" s="57"/>
      <c r="Y949" s="57"/>
      <c r="Z949" s="57"/>
      <c r="AA949" s="57"/>
      <c r="AB949" s="57"/>
    </row>
    <row r="950">
      <c r="A950" s="141"/>
      <c r="B950" s="141"/>
      <c r="C950" s="141"/>
      <c r="D950" s="141"/>
      <c r="E950" s="141"/>
      <c r="F950" s="141"/>
      <c r="G950" s="48"/>
      <c r="H950" s="141"/>
      <c r="I950" s="141"/>
      <c r="J950" s="220"/>
      <c r="K950" s="220"/>
      <c r="L950" s="220"/>
      <c r="M950" s="220"/>
      <c r="N950" s="220"/>
      <c r="O950" s="382"/>
      <c r="P950" s="141"/>
      <c r="Q950" s="141"/>
      <c r="R950" s="141"/>
      <c r="S950" s="141"/>
      <c r="T950" s="141"/>
      <c r="U950" s="57"/>
      <c r="V950" s="57"/>
      <c r="W950" s="57"/>
      <c r="X950" s="57"/>
      <c r="Y950" s="57"/>
      <c r="Z950" s="57"/>
      <c r="AA950" s="57"/>
      <c r="AB950" s="57"/>
    </row>
    <row r="951">
      <c r="A951" s="141"/>
      <c r="B951" s="141"/>
      <c r="C951" s="141"/>
      <c r="D951" s="141"/>
      <c r="E951" s="141"/>
      <c r="F951" s="141"/>
      <c r="G951" s="48"/>
      <c r="H951" s="141"/>
      <c r="I951" s="141"/>
      <c r="J951" s="220"/>
      <c r="K951" s="220"/>
      <c r="L951" s="220"/>
      <c r="M951" s="220"/>
      <c r="N951" s="220"/>
      <c r="O951" s="382"/>
      <c r="P951" s="141"/>
      <c r="Q951" s="141"/>
      <c r="R951" s="141"/>
      <c r="S951" s="141"/>
      <c r="T951" s="141"/>
      <c r="U951" s="57"/>
      <c r="V951" s="57"/>
      <c r="W951" s="57"/>
      <c r="X951" s="57"/>
      <c r="Y951" s="57"/>
      <c r="Z951" s="57"/>
      <c r="AA951" s="57"/>
      <c r="AB951" s="57"/>
    </row>
    <row r="952">
      <c r="A952" s="141"/>
      <c r="B952" s="141"/>
      <c r="C952" s="141"/>
      <c r="D952" s="141"/>
      <c r="E952" s="141"/>
      <c r="F952" s="141"/>
      <c r="G952" s="48"/>
      <c r="H952" s="141"/>
      <c r="I952" s="141"/>
      <c r="J952" s="220"/>
      <c r="K952" s="220"/>
      <c r="L952" s="220"/>
      <c r="M952" s="220"/>
      <c r="N952" s="220"/>
      <c r="O952" s="382"/>
      <c r="P952" s="141"/>
      <c r="Q952" s="141"/>
      <c r="R952" s="141"/>
      <c r="S952" s="141"/>
      <c r="T952" s="141"/>
      <c r="U952" s="57"/>
      <c r="V952" s="57"/>
      <c r="W952" s="57"/>
      <c r="X952" s="57"/>
      <c r="Y952" s="57"/>
      <c r="Z952" s="57"/>
      <c r="AA952" s="57"/>
      <c r="AB952" s="57"/>
    </row>
    <row r="953">
      <c r="A953" s="141"/>
      <c r="B953" s="141"/>
      <c r="C953" s="141"/>
      <c r="D953" s="141"/>
      <c r="E953" s="141"/>
      <c r="F953" s="141"/>
      <c r="G953" s="48"/>
      <c r="H953" s="141"/>
      <c r="I953" s="141"/>
      <c r="J953" s="220"/>
      <c r="K953" s="220"/>
      <c r="L953" s="220"/>
      <c r="M953" s="220"/>
      <c r="N953" s="220"/>
      <c r="O953" s="382"/>
      <c r="P953" s="141"/>
      <c r="Q953" s="141"/>
      <c r="R953" s="141"/>
      <c r="S953" s="141"/>
      <c r="T953" s="141"/>
      <c r="U953" s="57"/>
      <c r="V953" s="57"/>
      <c r="W953" s="57"/>
      <c r="X953" s="57"/>
      <c r="Y953" s="57"/>
      <c r="Z953" s="57"/>
      <c r="AA953" s="57"/>
      <c r="AB953" s="57"/>
    </row>
    <row r="954">
      <c r="A954" s="141"/>
      <c r="B954" s="141"/>
      <c r="C954" s="141"/>
      <c r="D954" s="141"/>
      <c r="E954" s="141"/>
      <c r="F954" s="141"/>
      <c r="G954" s="48"/>
      <c r="H954" s="141"/>
      <c r="I954" s="141"/>
      <c r="J954" s="220"/>
      <c r="K954" s="220"/>
      <c r="L954" s="220"/>
      <c r="M954" s="220"/>
      <c r="N954" s="220"/>
      <c r="O954" s="382"/>
      <c r="P954" s="141"/>
      <c r="Q954" s="141"/>
      <c r="R954" s="141"/>
      <c r="S954" s="141"/>
      <c r="T954" s="141"/>
      <c r="U954" s="57"/>
      <c r="V954" s="57"/>
      <c r="W954" s="57"/>
      <c r="X954" s="57"/>
      <c r="Y954" s="57"/>
      <c r="Z954" s="57"/>
      <c r="AA954" s="57"/>
      <c r="AB954" s="57"/>
    </row>
    <row r="955">
      <c r="A955" s="141"/>
      <c r="B955" s="141"/>
      <c r="C955" s="141"/>
      <c r="D955" s="141"/>
      <c r="E955" s="141"/>
      <c r="F955" s="141"/>
      <c r="G955" s="48"/>
      <c r="H955" s="141"/>
      <c r="I955" s="141"/>
      <c r="J955" s="220"/>
      <c r="K955" s="220"/>
      <c r="L955" s="220"/>
      <c r="M955" s="220"/>
      <c r="N955" s="220"/>
      <c r="O955" s="382"/>
      <c r="P955" s="141"/>
      <c r="Q955" s="141"/>
      <c r="R955" s="141"/>
      <c r="S955" s="141"/>
      <c r="T955" s="141"/>
      <c r="U955" s="57"/>
      <c r="V955" s="57"/>
      <c r="W955" s="57"/>
      <c r="X955" s="57"/>
      <c r="Y955" s="57"/>
      <c r="Z955" s="57"/>
      <c r="AA955" s="57"/>
      <c r="AB955" s="57"/>
    </row>
    <row r="956">
      <c r="A956" s="141"/>
      <c r="B956" s="141"/>
      <c r="C956" s="141"/>
      <c r="D956" s="141"/>
      <c r="E956" s="141"/>
      <c r="F956" s="141"/>
      <c r="G956" s="48"/>
      <c r="H956" s="141"/>
      <c r="I956" s="141"/>
      <c r="J956" s="220"/>
      <c r="K956" s="220"/>
      <c r="L956" s="220"/>
      <c r="M956" s="220"/>
      <c r="N956" s="220"/>
      <c r="O956" s="382"/>
      <c r="P956" s="141"/>
      <c r="Q956" s="141"/>
      <c r="R956" s="141"/>
      <c r="S956" s="141"/>
      <c r="T956" s="141"/>
      <c r="U956" s="57"/>
      <c r="V956" s="57"/>
      <c r="W956" s="57"/>
      <c r="X956" s="57"/>
      <c r="Y956" s="57"/>
      <c r="Z956" s="57"/>
      <c r="AA956" s="57"/>
      <c r="AB956" s="57"/>
    </row>
    <row r="957">
      <c r="A957" s="141"/>
      <c r="B957" s="141"/>
      <c r="C957" s="141"/>
      <c r="D957" s="141"/>
      <c r="E957" s="141"/>
      <c r="F957" s="141"/>
      <c r="G957" s="48"/>
      <c r="H957" s="141"/>
      <c r="I957" s="141"/>
      <c r="J957" s="220"/>
      <c r="K957" s="220"/>
      <c r="L957" s="220"/>
      <c r="M957" s="220"/>
      <c r="N957" s="220"/>
      <c r="O957" s="382"/>
      <c r="P957" s="141"/>
      <c r="Q957" s="141"/>
      <c r="R957" s="141"/>
      <c r="S957" s="141"/>
      <c r="T957" s="141"/>
      <c r="U957" s="57"/>
      <c r="V957" s="57"/>
      <c r="W957" s="57"/>
      <c r="X957" s="57"/>
      <c r="Y957" s="57"/>
      <c r="Z957" s="57"/>
      <c r="AA957" s="57"/>
      <c r="AB957" s="57"/>
    </row>
    <row r="958">
      <c r="A958" s="141"/>
      <c r="B958" s="141"/>
      <c r="C958" s="141"/>
      <c r="D958" s="141"/>
      <c r="E958" s="141"/>
      <c r="F958" s="141"/>
      <c r="G958" s="48"/>
      <c r="H958" s="141"/>
      <c r="I958" s="141"/>
      <c r="J958" s="220"/>
      <c r="K958" s="220"/>
      <c r="L958" s="220"/>
      <c r="M958" s="220"/>
      <c r="N958" s="220"/>
      <c r="O958" s="382"/>
      <c r="P958" s="141"/>
      <c r="Q958" s="141"/>
      <c r="R958" s="141"/>
      <c r="S958" s="141"/>
      <c r="T958" s="141"/>
      <c r="U958" s="57"/>
      <c r="V958" s="57"/>
      <c r="W958" s="57"/>
      <c r="X958" s="57"/>
      <c r="Y958" s="57"/>
      <c r="Z958" s="57"/>
      <c r="AA958" s="57"/>
      <c r="AB958" s="57"/>
    </row>
    <row r="959">
      <c r="A959" s="141"/>
      <c r="B959" s="141"/>
      <c r="C959" s="141"/>
      <c r="D959" s="141"/>
      <c r="E959" s="141"/>
      <c r="F959" s="141"/>
      <c r="G959" s="48"/>
      <c r="H959" s="141"/>
      <c r="I959" s="141"/>
      <c r="J959" s="220"/>
      <c r="K959" s="220"/>
      <c r="L959" s="220"/>
      <c r="M959" s="220"/>
      <c r="N959" s="220"/>
      <c r="O959" s="382"/>
      <c r="P959" s="141"/>
      <c r="Q959" s="141"/>
      <c r="R959" s="141"/>
      <c r="S959" s="141"/>
      <c r="T959" s="141"/>
      <c r="U959" s="57"/>
      <c r="V959" s="57"/>
      <c r="W959" s="57"/>
      <c r="X959" s="57"/>
      <c r="Y959" s="57"/>
      <c r="Z959" s="57"/>
      <c r="AA959" s="57"/>
      <c r="AB959" s="57"/>
    </row>
    <row r="960">
      <c r="A960" s="141"/>
      <c r="B960" s="141"/>
      <c r="C960" s="141"/>
      <c r="D960" s="141"/>
      <c r="E960" s="141"/>
      <c r="F960" s="141"/>
      <c r="G960" s="48"/>
      <c r="H960" s="141"/>
      <c r="I960" s="141"/>
      <c r="J960" s="220"/>
      <c r="K960" s="220"/>
      <c r="L960" s="220"/>
      <c r="M960" s="220"/>
      <c r="N960" s="220"/>
      <c r="O960" s="382"/>
      <c r="P960" s="141"/>
      <c r="Q960" s="141"/>
      <c r="R960" s="141"/>
      <c r="S960" s="141"/>
      <c r="T960" s="141"/>
      <c r="U960" s="57"/>
      <c r="V960" s="57"/>
      <c r="W960" s="57"/>
      <c r="X960" s="57"/>
      <c r="Y960" s="57"/>
      <c r="Z960" s="57"/>
      <c r="AA960" s="57"/>
      <c r="AB960" s="57"/>
    </row>
    <row r="961">
      <c r="A961" s="141"/>
      <c r="B961" s="141"/>
      <c r="C961" s="141"/>
      <c r="D961" s="141"/>
      <c r="E961" s="141"/>
      <c r="F961" s="141"/>
      <c r="G961" s="48"/>
      <c r="H961" s="141"/>
      <c r="I961" s="141"/>
      <c r="J961" s="220"/>
      <c r="K961" s="220"/>
      <c r="L961" s="220"/>
      <c r="M961" s="220"/>
      <c r="N961" s="220"/>
      <c r="O961" s="382"/>
      <c r="P961" s="141"/>
      <c r="Q961" s="141"/>
      <c r="R961" s="141"/>
      <c r="S961" s="141"/>
      <c r="T961" s="141"/>
      <c r="U961" s="57"/>
      <c r="V961" s="57"/>
      <c r="W961" s="57"/>
      <c r="X961" s="57"/>
      <c r="Y961" s="57"/>
      <c r="Z961" s="57"/>
      <c r="AA961" s="57"/>
      <c r="AB961" s="57"/>
    </row>
    <row r="962">
      <c r="A962" s="141"/>
      <c r="B962" s="141"/>
      <c r="C962" s="141"/>
      <c r="D962" s="141"/>
      <c r="E962" s="141"/>
      <c r="F962" s="141"/>
      <c r="G962" s="48"/>
      <c r="H962" s="141"/>
      <c r="I962" s="141"/>
      <c r="J962" s="220"/>
      <c r="K962" s="220"/>
      <c r="L962" s="220"/>
      <c r="M962" s="220"/>
      <c r="N962" s="220"/>
      <c r="O962" s="382"/>
      <c r="P962" s="141"/>
      <c r="Q962" s="141"/>
      <c r="R962" s="141"/>
      <c r="S962" s="141"/>
      <c r="T962" s="141"/>
      <c r="U962" s="57"/>
      <c r="V962" s="57"/>
      <c r="W962" s="57"/>
      <c r="X962" s="57"/>
      <c r="Y962" s="57"/>
      <c r="Z962" s="57"/>
      <c r="AA962" s="57"/>
      <c r="AB962" s="57"/>
    </row>
    <row r="963">
      <c r="A963" s="141"/>
      <c r="B963" s="141"/>
      <c r="C963" s="141"/>
      <c r="D963" s="141"/>
      <c r="E963" s="141"/>
      <c r="F963" s="141"/>
      <c r="G963" s="48"/>
      <c r="H963" s="141"/>
      <c r="I963" s="141"/>
      <c r="J963" s="220"/>
      <c r="K963" s="220"/>
      <c r="L963" s="220"/>
      <c r="M963" s="220"/>
      <c r="N963" s="220"/>
      <c r="O963" s="382"/>
      <c r="P963" s="141"/>
      <c r="Q963" s="141"/>
      <c r="R963" s="141"/>
      <c r="S963" s="141"/>
      <c r="T963" s="141"/>
      <c r="U963" s="57"/>
      <c r="V963" s="57"/>
      <c r="W963" s="57"/>
      <c r="X963" s="57"/>
      <c r="Y963" s="57"/>
      <c r="Z963" s="57"/>
      <c r="AA963" s="57"/>
      <c r="AB963" s="57"/>
    </row>
    <row r="964">
      <c r="A964" s="141"/>
      <c r="B964" s="141"/>
      <c r="C964" s="141"/>
      <c r="D964" s="141"/>
      <c r="E964" s="141"/>
      <c r="F964" s="141"/>
      <c r="G964" s="48"/>
      <c r="H964" s="141"/>
      <c r="I964" s="141"/>
      <c r="J964" s="220"/>
      <c r="K964" s="220"/>
      <c r="L964" s="220"/>
      <c r="M964" s="220"/>
      <c r="N964" s="220"/>
      <c r="O964" s="382"/>
      <c r="P964" s="141"/>
      <c r="Q964" s="141"/>
      <c r="R964" s="141"/>
      <c r="S964" s="141"/>
      <c r="T964" s="141"/>
      <c r="U964" s="57"/>
      <c r="V964" s="57"/>
      <c r="W964" s="57"/>
      <c r="X964" s="57"/>
      <c r="Y964" s="57"/>
      <c r="Z964" s="57"/>
      <c r="AA964" s="57"/>
      <c r="AB964" s="57"/>
    </row>
    <row r="965">
      <c r="A965" s="141"/>
      <c r="B965" s="141"/>
      <c r="C965" s="141"/>
      <c r="D965" s="141"/>
      <c r="E965" s="141"/>
      <c r="F965" s="141"/>
      <c r="G965" s="48"/>
      <c r="H965" s="141"/>
      <c r="I965" s="141"/>
      <c r="J965" s="220"/>
      <c r="K965" s="220"/>
      <c r="L965" s="220"/>
      <c r="M965" s="220"/>
      <c r="N965" s="220"/>
      <c r="O965" s="382"/>
      <c r="P965" s="141"/>
      <c r="Q965" s="141"/>
      <c r="R965" s="141"/>
      <c r="S965" s="141"/>
      <c r="T965" s="141"/>
      <c r="U965" s="57"/>
      <c r="V965" s="57"/>
      <c r="W965" s="57"/>
      <c r="X965" s="57"/>
      <c r="Y965" s="57"/>
      <c r="Z965" s="57"/>
      <c r="AA965" s="57"/>
      <c r="AB965" s="57"/>
    </row>
    <row r="966">
      <c r="A966" s="141"/>
      <c r="B966" s="141"/>
      <c r="C966" s="141"/>
      <c r="D966" s="141"/>
      <c r="E966" s="141"/>
      <c r="F966" s="141"/>
      <c r="G966" s="48"/>
      <c r="H966" s="141"/>
      <c r="I966" s="141"/>
      <c r="J966" s="220"/>
      <c r="K966" s="220"/>
      <c r="L966" s="220"/>
      <c r="M966" s="220"/>
      <c r="N966" s="220"/>
      <c r="O966" s="382"/>
      <c r="P966" s="141"/>
      <c r="Q966" s="141"/>
      <c r="R966" s="141"/>
      <c r="S966" s="141"/>
      <c r="T966" s="141"/>
      <c r="U966" s="57"/>
      <c r="V966" s="57"/>
      <c r="W966" s="57"/>
      <c r="X966" s="57"/>
      <c r="Y966" s="57"/>
      <c r="Z966" s="57"/>
      <c r="AA966" s="57"/>
      <c r="AB966" s="57"/>
    </row>
    <row r="967">
      <c r="A967" s="141"/>
      <c r="B967" s="141"/>
      <c r="C967" s="141"/>
      <c r="D967" s="141"/>
      <c r="E967" s="141"/>
      <c r="F967" s="141"/>
      <c r="G967" s="48"/>
      <c r="H967" s="141"/>
      <c r="I967" s="141"/>
      <c r="J967" s="220"/>
      <c r="K967" s="220"/>
      <c r="L967" s="220"/>
      <c r="M967" s="220"/>
      <c r="N967" s="220"/>
      <c r="O967" s="382"/>
      <c r="P967" s="141"/>
      <c r="Q967" s="141"/>
      <c r="R967" s="141"/>
      <c r="S967" s="141"/>
      <c r="T967" s="141"/>
      <c r="U967" s="57"/>
      <c r="V967" s="57"/>
      <c r="W967" s="57"/>
      <c r="X967" s="57"/>
      <c r="Y967" s="57"/>
      <c r="Z967" s="57"/>
      <c r="AA967" s="57"/>
      <c r="AB967" s="57"/>
    </row>
    <row r="968">
      <c r="A968" s="141"/>
      <c r="B968" s="141"/>
      <c r="C968" s="141"/>
      <c r="D968" s="141"/>
      <c r="E968" s="141"/>
      <c r="F968" s="141"/>
      <c r="G968" s="48"/>
      <c r="H968" s="141"/>
      <c r="I968" s="141"/>
      <c r="J968" s="220"/>
      <c r="K968" s="220"/>
      <c r="L968" s="220"/>
      <c r="M968" s="220"/>
      <c r="N968" s="220"/>
      <c r="O968" s="382"/>
      <c r="P968" s="141"/>
      <c r="Q968" s="141"/>
      <c r="R968" s="141"/>
      <c r="S968" s="141"/>
      <c r="T968" s="141"/>
      <c r="U968" s="57"/>
      <c r="V968" s="57"/>
      <c r="W968" s="57"/>
      <c r="X968" s="57"/>
      <c r="Y968" s="57"/>
      <c r="Z968" s="57"/>
      <c r="AA968" s="57"/>
      <c r="AB968" s="57"/>
    </row>
    <row r="969">
      <c r="A969" s="141"/>
      <c r="B969" s="141"/>
      <c r="C969" s="141"/>
      <c r="D969" s="141"/>
      <c r="E969" s="141"/>
      <c r="F969" s="141"/>
      <c r="G969" s="48"/>
      <c r="H969" s="141"/>
      <c r="I969" s="141"/>
      <c r="J969" s="220"/>
      <c r="K969" s="220"/>
      <c r="L969" s="220"/>
      <c r="M969" s="220"/>
      <c r="N969" s="220"/>
      <c r="O969" s="382"/>
      <c r="P969" s="141"/>
      <c r="Q969" s="141"/>
      <c r="R969" s="141"/>
      <c r="S969" s="141"/>
      <c r="T969" s="141"/>
      <c r="U969" s="57"/>
      <c r="V969" s="57"/>
      <c r="W969" s="57"/>
      <c r="X969" s="57"/>
      <c r="Y969" s="57"/>
      <c r="Z969" s="57"/>
      <c r="AA969" s="57"/>
      <c r="AB969" s="57"/>
    </row>
    <row r="970">
      <c r="A970" s="141"/>
      <c r="B970" s="141"/>
      <c r="C970" s="141"/>
      <c r="D970" s="141"/>
      <c r="E970" s="141"/>
      <c r="F970" s="141"/>
      <c r="G970" s="48"/>
      <c r="H970" s="141"/>
      <c r="I970" s="141"/>
      <c r="J970" s="220"/>
      <c r="K970" s="220"/>
      <c r="L970" s="220"/>
      <c r="M970" s="220"/>
      <c r="N970" s="220"/>
      <c r="O970" s="382"/>
      <c r="P970" s="141"/>
      <c r="Q970" s="141"/>
      <c r="R970" s="141"/>
      <c r="S970" s="141"/>
      <c r="T970" s="141"/>
      <c r="U970" s="57"/>
      <c r="V970" s="57"/>
      <c r="W970" s="57"/>
      <c r="X970" s="57"/>
      <c r="Y970" s="57"/>
      <c r="Z970" s="57"/>
      <c r="AA970" s="57"/>
      <c r="AB970" s="57"/>
    </row>
    <row r="971">
      <c r="A971" s="141"/>
      <c r="B971" s="141"/>
      <c r="C971" s="141"/>
      <c r="D971" s="141"/>
      <c r="E971" s="141"/>
      <c r="F971" s="141"/>
      <c r="G971" s="48"/>
      <c r="H971" s="141"/>
      <c r="I971" s="141"/>
      <c r="J971" s="220"/>
      <c r="K971" s="220"/>
      <c r="L971" s="220"/>
      <c r="M971" s="220"/>
      <c r="N971" s="220"/>
      <c r="O971" s="382"/>
      <c r="P971" s="141"/>
      <c r="Q971" s="141"/>
      <c r="R971" s="141"/>
      <c r="S971" s="141"/>
      <c r="T971" s="141"/>
      <c r="U971" s="57"/>
      <c r="V971" s="57"/>
      <c r="W971" s="57"/>
      <c r="X971" s="57"/>
      <c r="Y971" s="57"/>
      <c r="Z971" s="57"/>
      <c r="AA971" s="57"/>
      <c r="AB971" s="57"/>
    </row>
    <row r="972">
      <c r="A972" s="141"/>
      <c r="B972" s="141"/>
      <c r="C972" s="141"/>
      <c r="D972" s="141"/>
      <c r="E972" s="141"/>
      <c r="F972" s="141"/>
      <c r="G972" s="48"/>
      <c r="H972" s="141"/>
      <c r="I972" s="141"/>
      <c r="J972" s="220"/>
      <c r="K972" s="220"/>
      <c r="L972" s="220"/>
      <c r="M972" s="220"/>
      <c r="N972" s="220"/>
      <c r="O972" s="382"/>
      <c r="P972" s="141"/>
      <c r="Q972" s="141"/>
      <c r="R972" s="141"/>
      <c r="S972" s="141"/>
      <c r="T972" s="141"/>
      <c r="U972" s="57"/>
      <c r="V972" s="57"/>
      <c r="W972" s="57"/>
      <c r="X972" s="57"/>
      <c r="Y972" s="57"/>
      <c r="Z972" s="57"/>
      <c r="AA972" s="57"/>
      <c r="AB972" s="57"/>
    </row>
    <row r="973">
      <c r="A973" s="141"/>
      <c r="B973" s="141"/>
      <c r="C973" s="141"/>
      <c r="D973" s="141"/>
      <c r="E973" s="141"/>
      <c r="F973" s="141"/>
      <c r="G973" s="48"/>
      <c r="H973" s="141"/>
      <c r="I973" s="141"/>
      <c r="J973" s="220"/>
      <c r="K973" s="220"/>
      <c r="L973" s="220"/>
      <c r="M973" s="220"/>
      <c r="N973" s="220"/>
      <c r="O973" s="382"/>
      <c r="P973" s="141"/>
      <c r="Q973" s="141"/>
      <c r="R973" s="141"/>
      <c r="S973" s="141"/>
      <c r="T973" s="141"/>
      <c r="U973" s="57"/>
      <c r="V973" s="57"/>
      <c r="W973" s="57"/>
      <c r="X973" s="57"/>
      <c r="Y973" s="57"/>
      <c r="Z973" s="57"/>
      <c r="AA973" s="57"/>
      <c r="AB973" s="57"/>
    </row>
    <row r="974">
      <c r="A974" s="141"/>
      <c r="B974" s="141"/>
      <c r="C974" s="141"/>
      <c r="D974" s="141"/>
      <c r="E974" s="141"/>
      <c r="F974" s="141"/>
      <c r="G974" s="48"/>
      <c r="H974" s="141"/>
      <c r="I974" s="141"/>
      <c r="J974" s="220"/>
      <c r="K974" s="220"/>
      <c r="L974" s="220"/>
      <c r="M974" s="220"/>
      <c r="N974" s="220"/>
      <c r="O974" s="382"/>
      <c r="P974" s="141"/>
      <c r="Q974" s="141"/>
      <c r="R974" s="141"/>
      <c r="S974" s="141"/>
      <c r="T974" s="141"/>
      <c r="U974" s="57"/>
      <c r="V974" s="57"/>
      <c r="W974" s="57"/>
      <c r="X974" s="57"/>
      <c r="Y974" s="57"/>
      <c r="Z974" s="57"/>
      <c r="AA974" s="57"/>
      <c r="AB974" s="57"/>
    </row>
    <row r="975">
      <c r="A975" s="141"/>
      <c r="B975" s="141"/>
      <c r="C975" s="141"/>
      <c r="D975" s="141"/>
      <c r="E975" s="141"/>
      <c r="F975" s="141"/>
      <c r="G975" s="48"/>
      <c r="H975" s="141"/>
      <c r="I975" s="141"/>
      <c r="J975" s="220"/>
      <c r="K975" s="220"/>
      <c r="L975" s="220"/>
      <c r="M975" s="220"/>
      <c r="N975" s="220"/>
      <c r="O975" s="382"/>
      <c r="P975" s="141"/>
      <c r="Q975" s="141"/>
      <c r="R975" s="141"/>
      <c r="S975" s="141"/>
      <c r="T975" s="141"/>
      <c r="U975" s="57"/>
      <c r="V975" s="57"/>
      <c r="W975" s="57"/>
      <c r="X975" s="57"/>
      <c r="Y975" s="57"/>
      <c r="Z975" s="57"/>
      <c r="AA975" s="57"/>
      <c r="AB975" s="57"/>
    </row>
    <row r="976">
      <c r="A976" s="141"/>
      <c r="B976" s="141"/>
      <c r="C976" s="141"/>
      <c r="D976" s="141"/>
      <c r="E976" s="141"/>
      <c r="F976" s="141"/>
      <c r="G976" s="48"/>
      <c r="H976" s="141"/>
      <c r="I976" s="141"/>
      <c r="J976" s="220"/>
      <c r="K976" s="220"/>
      <c r="L976" s="220"/>
      <c r="M976" s="220"/>
      <c r="N976" s="220"/>
      <c r="O976" s="382"/>
      <c r="P976" s="141"/>
      <c r="Q976" s="141"/>
      <c r="R976" s="141"/>
      <c r="S976" s="141"/>
      <c r="T976" s="141"/>
      <c r="U976" s="57"/>
      <c r="V976" s="57"/>
      <c r="W976" s="57"/>
      <c r="X976" s="57"/>
      <c r="Y976" s="57"/>
      <c r="Z976" s="57"/>
      <c r="AA976" s="57"/>
      <c r="AB976" s="57"/>
    </row>
    <row r="977">
      <c r="A977" s="141"/>
      <c r="B977" s="141"/>
      <c r="C977" s="141"/>
      <c r="D977" s="141"/>
      <c r="E977" s="141"/>
      <c r="F977" s="141"/>
      <c r="G977" s="48"/>
      <c r="H977" s="141"/>
      <c r="I977" s="141"/>
      <c r="J977" s="220"/>
      <c r="K977" s="220"/>
      <c r="L977" s="220"/>
      <c r="M977" s="220"/>
      <c r="N977" s="220"/>
      <c r="O977" s="382"/>
      <c r="P977" s="141"/>
      <c r="Q977" s="141"/>
      <c r="R977" s="141"/>
      <c r="S977" s="141"/>
      <c r="T977" s="141"/>
      <c r="U977" s="57"/>
      <c r="V977" s="57"/>
      <c r="W977" s="57"/>
      <c r="X977" s="57"/>
      <c r="Y977" s="57"/>
      <c r="Z977" s="57"/>
      <c r="AA977" s="57"/>
      <c r="AB977" s="57"/>
    </row>
    <row r="978">
      <c r="A978" s="141"/>
      <c r="B978" s="141"/>
      <c r="C978" s="141"/>
      <c r="D978" s="141"/>
      <c r="E978" s="141"/>
      <c r="F978" s="141"/>
      <c r="G978" s="48"/>
      <c r="H978" s="141"/>
      <c r="I978" s="141"/>
      <c r="J978" s="220"/>
      <c r="K978" s="220"/>
      <c r="L978" s="220"/>
      <c r="M978" s="220"/>
      <c r="N978" s="220"/>
      <c r="O978" s="382"/>
      <c r="P978" s="141"/>
      <c r="Q978" s="141"/>
      <c r="R978" s="141"/>
      <c r="S978" s="141"/>
      <c r="T978" s="141"/>
      <c r="U978" s="57"/>
      <c r="V978" s="57"/>
      <c r="W978" s="57"/>
      <c r="X978" s="57"/>
      <c r="Y978" s="57"/>
      <c r="Z978" s="57"/>
      <c r="AA978" s="57"/>
      <c r="AB978" s="57"/>
    </row>
    <row r="979">
      <c r="A979" s="141"/>
      <c r="B979" s="141"/>
      <c r="C979" s="141"/>
      <c r="D979" s="141"/>
      <c r="E979" s="141"/>
      <c r="F979" s="141"/>
      <c r="G979" s="48"/>
      <c r="H979" s="141"/>
      <c r="I979" s="141"/>
      <c r="J979" s="220"/>
      <c r="K979" s="220"/>
      <c r="L979" s="220"/>
      <c r="M979" s="220"/>
      <c r="N979" s="220"/>
      <c r="O979" s="382"/>
      <c r="P979" s="141"/>
      <c r="Q979" s="141"/>
      <c r="R979" s="141"/>
      <c r="S979" s="141"/>
      <c r="T979" s="141"/>
      <c r="U979" s="57"/>
      <c r="V979" s="57"/>
      <c r="W979" s="57"/>
      <c r="X979" s="57"/>
      <c r="Y979" s="57"/>
      <c r="Z979" s="57"/>
      <c r="AA979" s="57"/>
      <c r="AB979" s="57"/>
    </row>
    <row r="980">
      <c r="A980" s="141"/>
      <c r="B980" s="141"/>
      <c r="C980" s="141"/>
      <c r="D980" s="141"/>
      <c r="E980" s="141"/>
      <c r="F980" s="141"/>
      <c r="G980" s="48"/>
      <c r="H980" s="141"/>
      <c r="I980" s="141"/>
      <c r="J980" s="220"/>
      <c r="K980" s="220"/>
      <c r="L980" s="220"/>
      <c r="M980" s="220"/>
      <c r="N980" s="220"/>
      <c r="O980" s="382"/>
      <c r="P980" s="141"/>
      <c r="Q980" s="141"/>
      <c r="R980" s="141"/>
      <c r="S980" s="141"/>
      <c r="T980" s="141"/>
      <c r="U980" s="57"/>
      <c r="V980" s="57"/>
      <c r="W980" s="57"/>
      <c r="X980" s="57"/>
      <c r="Y980" s="57"/>
      <c r="Z980" s="57"/>
      <c r="AA980" s="57"/>
      <c r="AB980" s="57"/>
    </row>
    <row r="981">
      <c r="A981" s="141"/>
      <c r="B981" s="141"/>
      <c r="C981" s="141"/>
      <c r="D981" s="141"/>
      <c r="E981" s="141"/>
      <c r="F981" s="141"/>
      <c r="G981" s="48"/>
      <c r="H981" s="141"/>
      <c r="I981" s="141"/>
      <c r="J981" s="220"/>
      <c r="K981" s="220"/>
      <c r="L981" s="220"/>
      <c r="M981" s="220"/>
      <c r="N981" s="220"/>
      <c r="O981" s="382"/>
      <c r="P981" s="141"/>
      <c r="Q981" s="141"/>
      <c r="R981" s="141"/>
      <c r="S981" s="141"/>
      <c r="T981" s="141"/>
      <c r="U981" s="57"/>
      <c r="V981" s="57"/>
      <c r="W981" s="57"/>
      <c r="X981" s="57"/>
      <c r="Y981" s="57"/>
      <c r="Z981" s="57"/>
      <c r="AA981" s="57"/>
      <c r="AB981" s="57"/>
    </row>
    <row r="982">
      <c r="A982" s="141"/>
      <c r="B982" s="141"/>
      <c r="C982" s="141"/>
      <c r="D982" s="141"/>
      <c r="E982" s="141"/>
      <c r="F982" s="141"/>
      <c r="G982" s="48"/>
      <c r="H982" s="141"/>
      <c r="I982" s="141"/>
      <c r="J982" s="220"/>
      <c r="K982" s="220"/>
      <c r="L982" s="220"/>
      <c r="M982" s="220"/>
      <c r="N982" s="220"/>
      <c r="O982" s="382"/>
      <c r="P982" s="141"/>
      <c r="Q982" s="141"/>
      <c r="R982" s="141"/>
      <c r="S982" s="141"/>
      <c r="T982" s="141"/>
      <c r="U982" s="57"/>
      <c r="V982" s="57"/>
      <c r="W982" s="57"/>
      <c r="X982" s="57"/>
      <c r="Y982" s="57"/>
      <c r="Z982" s="57"/>
      <c r="AA982" s="57"/>
      <c r="AB982" s="57"/>
    </row>
    <row r="983">
      <c r="A983" s="141"/>
      <c r="B983" s="141"/>
      <c r="C983" s="141"/>
      <c r="D983" s="141"/>
      <c r="E983" s="141"/>
      <c r="F983" s="141"/>
      <c r="G983" s="48"/>
      <c r="H983" s="141"/>
      <c r="I983" s="141"/>
      <c r="J983" s="220"/>
      <c r="K983" s="220"/>
      <c r="L983" s="220"/>
      <c r="M983" s="220"/>
      <c r="N983" s="220"/>
      <c r="O983" s="382"/>
      <c r="P983" s="141"/>
      <c r="Q983" s="141"/>
      <c r="R983" s="141"/>
      <c r="S983" s="141"/>
      <c r="T983" s="141"/>
      <c r="U983" s="57"/>
      <c r="V983" s="57"/>
      <c r="W983" s="57"/>
      <c r="X983" s="57"/>
      <c r="Y983" s="57"/>
      <c r="Z983" s="57"/>
      <c r="AA983" s="57"/>
      <c r="AB983" s="57"/>
    </row>
    <row r="984">
      <c r="A984" s="141"/>
      <c r="B984" s="141"/>
      <c r="C984" s="141"/>
      <c r="D984" s="141"/>
      <c r="E984" s="141"/>
      <c r="F984" s="141"/>
      <c r="G984" s="48"/>
      <c r="H984" s="141"/>
      <c r="I984" s="141"/>
      <c r="J984" s="220"/>
      <c r="K984" s="220"/>
      <c r="L984" s="220"/>
      <c r="M984" s="220"/>
      <c r="N984" s="220"/>
      <c r="O984" s="382"/>
      <c r="P984" s="141"/>
      <c r="Q984" s="141"/>
      <c r="R984" s="141"/>
      <c r="S984" s="141"/>
      <c r="T984" s="141"/>
      <c r="U984" s="57"/>
      <c r="V984" s="57"/>
      <c r="W984" s="57"/>
      <c r="X984" s="57"/>
      <c r="Y984" s="57"/>
      <c r="Z984" s="57"/>
      <c r="AA984" s="57"/>
      <c r="AB984" s="57"/>
    </row>
    <row r="985">
      <c r="A985" s="141"/>
      <c r="B985" s="141"/>
      <c r="C985" s="141"/>
      <c r="D985" s="141"/>
      <c r="E985" s="141"/>
      <c r="F985" s="141"/>
      <c r="G985" s="48"/>
      <c r="H985" s="141"/>
      <c r="I985" s="141"/>
      <c r="J985" s="220"/>
      <c r="K985" s="220"/>
      <c r="L985" s="220"/>
      <c r="M985" s="220"/>
      <c r="N985" s="220"/>
      <c r="O985" s="382"/>
      <c r="P985" s="141"/>
      <c r="Q985" s="141"/>
      <c r="R985" s="141"/>
      <c r="S985" s="141"/>
      <c r="T985" s="141"/>
      <c r="U985" s="57"/>
      <c r="V985" s="57"/>
      <c r="W985" s="57"/>
      <c r="X985" s="57"/>
      <c r="Y985" s="57"/>
      <c r="Z985" s="57"/>
      <c r="AA985" s="57"/>
      <c r="AB985" s="57"/>
    </row>
    <row r="986">
      <c r="A986" s="141"/>
      <c r="B986" s="141"/>
      <c r="C986" s="141"/>
      <c r="D986" s="141"/>
      <c r="E986" s="141"/>
      <c r="F986" s="141"/>
      <c r="G986" s="48"/>
      <c r="H986" s="141"/>
      <c r="I986" s="141"/>
      <c r="J986" s="220"/>
      <c r="K986" s="220"/>
      <c r="L986" s="220"/>
      <c r="M986" s="220"/>
      <c r="N986" s="220"/>
      <c r="O986" s="382"/>
      <c r="P986" s="141"/>
      <c r="Q986" s="141"/>
      <c r="R986" s="141"/>
      <c r="S986" s="141"/>
      <c r="T986" s="141"/>
      <c r="U986" s="57"/>
      <c r="V986" s="57"/>
      <c r="W986" s="57"/>
      <c r="X986" s="57"/>
      <c r="Y986" s="57"/>
      <c r="Z986" s="57"/>
      <c r="AA986" s="57"/>
      <c r="AB986" s="57"/>
    </row>
    <row r="987">
      <c r="A987" s="141"/>
      <c r="B987" s="141"/>
      <c r="C987" s="141"/>
      <c r="D987" s="141"/>
      <c r="E987" s="141"/>
      <c r="F987" s="141"/>
      <c r="G987" s="48"/>
      <c r="H987" s="141"/>
      <c r="I987" s="141"/>
      <c r="J987" s="220"/>
      <c r="K987" s="220"/>
      <c r="L987" s="220"/>
      <c r="M987" s="220"/>
      <c r="N987" s="220"/>
      <c r="O987" s="382"/>
      <c r="P987" s="141"/>
      <c r="Q987" s="141"/>
      <c r="R987" s="141"/>
      <c r="S987" s="141"/>
      <c r="T987" s="141"/>
      <c r="U987" s="57"/>
      <c r="V987" s="57"/>
      <c r="W987" s="57"/>
      <c r="X987" s="57"/>
      <c r="Y987" s="57"/>
      <c r="Z987" s="57"/>
      <c r="AA987" s="57"/>
      <c r="AB987" s="57"/>
    </row>
    <row r="988">
      <c r="A988" s="141"/>
      <c r="B988" s="141"/>
      <c r="C988" s="141"/>
      <c r="D988" s="141"/>
      <c r="E988" s="141"/>
      <c r="F988" s="141"/>
      <c r="G988" s="48"/>
      <c r="H988" s="141"/>
      <c r="I988" s="141"/>
      <c r="J988" s="220"/>
      <c r="K988" s="220"/>
      <c r="L988" s="220"/>
      <c r="M988" s="220"/>
      <c r="N988" s="220"/>
      <c r="O988" s="382"/>
      <c r="P988" s="141"/>
      <c r="Q988" s="141"/>
      <c r="R988" s="141"/>
      <c r="S988" s="141"/>
      <c r="T988" s="141"/>
      <c r="U988" s="57"/>
      <c r="V988" s="57"/>
      <c r="W988" s="57"/>
      <c r="X988" s="57"/>
      <c r="Y988" s="57"/>
      <c r="Z988" s="57"/>
      <c r="AA988" s="57"/>
      <c r="AB988" s="57"/>
    </row>
    <row r="989">
      <c r="A989" s="141"/>
      <c r="B989" s="141"/>
      <c r="C989" s="141"/>
      <c r="D989" s="141"/>
      <c r="E989" s="141"/>
      <c r="F989" s="141"/>
      <c r="G989" s="48"/>
      <c r="H989" s="141"/>
      <c r="I989" s="141"/>
      <c r="J989" s="220"/>
      <c r="K989" s="220"/>
      <c r="L989" s="220"/>
      <c r="M989" s="220"/>
      <c r="N989" s="220"/>
      <c r="O989" s="382"/>
      <c r="P989" s="141"/>
      <c r="Q989" s="141"/>
      <c r="R989" s="141"/>
      <c r="S989" s="141"/>
      <c r="T989" s="141"/>
      <c r="U989" s="57"/>
      <c r="V989" s="57"/>
      <c r="W989" s="57"/>
      <c r="X989" s="57"/>
      <c r="Y989" s="57"/>
      <c r="Z989" s="57"/>
      <c r="AA989" s="57"/>
      <c r="AB989" s="57"/>
    </row>
    <row r="990">
      <c r="A990" s="141"/>
      <c r="B990" s="141"/>
      <c r="C990" s="141"/>
      <c r="D990" s="141"/>
      <c r="E990" s="141"/>
      <c r="F990" s="141"/>
      <c r="G990" s="48"/>
      <c r="H990" s="141"/>
      <c r="I990" s="141"/>
      <c r="J990" s="220"/>
      <c r="K990" s="220"/>
      <c r="L990" s="220"/>
      <c r="M990" s="220"/>
      <c r="N990" s="220"/>
      <c r="O990" s="382"/>
      <c r="P990" s="141"/>
      <c r="Q990" s="141"/>
      <c r="R990" s="141"/>
      <c r="S990" s="141"/>
      <c r="T990" s="141"/>
      <c r="U990" s="57"/>
      <c r="V990" s="57"/>
      <c r="W990" s="57"/>
      <c r="X990" s="57"/>
      <c r="Y990" s="57"/>
      <c r="Z990" s="57"/>
      <c r="AA990" s="57"/>
      <c r="AB990" s="57"/>
    </row>
    <row r="991">
      <c r="A991" s="141"/>
      <c r="B991" s="141"/>
      <c r="C991" s="141"/>
      <c r="D991" s="141"/>
      <c r="E991" s="141"/>
      <c r="F991" s="141"/>
      <c r="G991" s="48"/>
      <c r="H991" s="141"/>
      <c r="I991" s="141"/>
      <c r="J991" s="220"/>
      <c r="K991" s="220"/>
      <c r="L991" s="220"/>
      <c r="M991" s="220"/>
      <c r="N991" s="220"/>
      <c r="O991" s="382"/>
      <c r="P991" s="141"/>
      <c r="Q991" s="141"/>
      <c r="R991" s="141"/>
      <c r="S991" s="141"/>
      <c r="T991" s="141"/>
      <c r="U991" s="57"/>
      <c r="V991" s="57"/>
      <c r="W991" s="57"/>
      <c r="X991" s="57"/>
      <c r="Y991" s="57"/>
      <c r="Z991" s="57"/>
      <c r="AA991" s="57"/>
      <c r="AB991" s="57"/>
    </row>
    <row r="992">
      <c r="A992" s="141"/>
      <c r="B992" s="141"/>
      <c r="C992" s="141"/>
      <c r="D992" s="141"/>
      <c r="E992" s="141"/>
      <c r="F992" s="141"/>
      <c r="G992" s="48"/>
      <c r="H992" s="141"/>
      <c r="I992" s="141"/>
      <c r="J992" s="220"/>
      <c r="K992" s="220"/>
      <c r="L992" s="220"/>
      <c r="M992" s="220"/>
      <c r="N992" s="220"/>
      <c r="O992" s="382"/>
      <c r="P992" s="141"/>
      <c r="Q992" s="141"/>
      <c r="R992" s="141"/>
      <c r="S992" s="141"/>
      <c r="T992" s="141"/>
      <c r="U992" s="57"/>
      <c r="V992" s="57"/>
      <c r="W992" s="57"/>
      <c r="X992" s="57"/>
      <c r="Y992" s="57"/>
      <c r="Z992" s="57"/>
      <c r="AA992" s="57"/>
      <c r="AB992" s="57"/>
    </row>
    <row r="993">
      <c r="A993" s="141"/>
      <c r="B993" s="141"/>
      <c r="C993" s="141"/>
      <c r="D993" s="141"/>
      <c r="E993" s="141"/>
      <c r="F993" s="141"/>
      <c r="G993" s="48"/>
      <c r="H993" s="141"/>
      <c r="I993" s="141"/>
      <c r="J993" s="220"/>
      <c r="K993" s="220"/>
      <c r="L993" s="220"/>
      <c r="M993" s="220"/>
      <c r="N993" s="220"/>
      <c r="O993" s="382"/>
      <c r="P993" s="141"/>
      <c r="Q993" s="141"/>
      <c r="R993" s="141"/>
      <c r="S993" s="141"/>
      <c r="T993" s="141"/>
      <c r="U993" s="57"/>
      <c r="V993" s="57"/>
      <c r="W993" s="57"/>
      <c r="X993" s="57"/>
      <c r="Y993" s="57"/>
      <c r="Z993" s="57"/>
      <c r="AA993" s="57"/>
      <c r="AB993" s="57"/>
    </row>
    <row r="994">
      <c r="A994" s="141"/>
      <c r="B994" s="141"/>
      <c r="C994" s="141"/>
      <c r="D994" s="141"/>
      <c r="E994" s="141"/>
      <c r="F994" s="141"/>
      <c r="G994" s="48"/>
      <c r="H994" s="141"/>
      <c r="I994" s="141"/>
      <c r="J994" s="220"/>
      <c r="K994" s="220"/>
      <c r="L994" s="220"/>
      <c r="M994" s="220"/>
      <c r="N994" s="220"/>
      <c r="O994" s="382"/>
      <c r="P994" s="141"/>
      <c r="Q994" s="141"/>
      <c r="R994" s="141"/>
      <c r="S994" s="141"/>
      <c r="T994" s="141"/>
      <c r="U994" s="57"/>
      <c r="V994" s="57"/>
      <c r="W994" s="57"/>
      <c r="X994" s="57"/>
      <c r="Y994" s="57"/>
      <c r="Z994" s="57"/>
      <c r="AA994" s="57"/>
      <c r="AB994" s="57"/>
    </row>
    <row r="995">
      <c r="A995" s="141"/>
      <c r="B995" s="141"/>
      <c r="C995" s="141"/>
      <c r="D995" s="141"/>
      <c r="E995" s="141"/>
      <c r="F995" s="141"/>
      <c r="G995" s="48"/>
      <c r="H995" s="141"/>
      <c r="I995" s="141"/>
      <c r="J995" s="220"/>
      <c r="K995" s="220"/>
      <c r="L995" s="220"/>
      <c r="M995" s="220"/>
      <c r="N995" s="220"/>
      <c r="O995" s="382"/>
      <c r="P995" s="141"/>
      <c r="Q995" s="141"/>
      <c r="R995" s="141"/>
      <c r="S995" s="141"/>
      <c r="T995" s="141"/>
      <c r="U995" s="57"/>
      <c r="V995" s="57"/>
      <c r="W995" s="57"/>
      <c r="X995" s="57"/>
      <c r="Y995" s="57"/>
      <c r="Z995" s="57"/>
      <c r="AA995" s="57"/>
      <c r="AB995" s="57"/>
    </row>
    <row r="996">
      <c r="A996" s="141"/>
      <c r="B996" s="141"/>
      <c r="C996" s="141"/>
      <c r="D996" s="141"/>
      <c r="E996" s="141"/>
      <c r="F996" s="141"/>
      <c r="G996" s="48"/>
      <c r="H996" s="141"/>
      <c r="I996" s="141"/>
      <c r="J996" s="220"/>
      <c r="K996" s="220"/>
      <c r="L996" s="220"/>
      <c r="M996" s="220"/>
      <c r="N996" s="220"/>
      <c r="O996" s="382"/>
      <c r="P996" s="141"/>
      <c r="Q996" s="141"/>
      <c r="R996" s="141"/>
      <c r="S996" s="141"/>
      <c r="T996" s="141"/>
      <c r="U996" s="57"/>
      <c r="V996" s="57"/>
      <c r="W996" s="57"/>
      <c r="X996" s="57"/>
      <c r="Y996" s="57"/>
      <c r="Z996" s="57"/>
      <c r="AA996" s="57"/>
      <c r="AB996" s="57"/>
    </row>
    <row r="997">
      <c r="A997" s="141"/>
      <c r="B997" s="141"/>
      <c r="C997" s="141"/>
      <c r="D997" s="141"/>
      <c r="E997" s="141"/>
      <c r="F997" s="141"/>
      <c r="G997" s="48"/>
      <c r="H997" s="141"/>
      <c r="I997" s="141"/>
      <c r="J997" s="220"/>
      <c r="K997" s="220"/>
      <c r="L997" s="220"/>
      <c r="M997" s="220"/>
      <c r="N997" s="220"/>
      <c r="O997" s="382"/>
      <c r="P997" s="141"/>
      <c r="Q997" s="141"/>
      <c r="R997" s="141"/>
      <c r="S997" s="141"/>
      <c r="T997" s="141"/>
      <c r="U997" s="57"/>
      <c r="V997" s="57"/>
      <c r="W997" s="57"/>
      <c r="X997" s="57"/>
      <c r="Y997" s="57"/>
      <c r="Z997" s="57"/>
      <c r="AA997" s="57"/>
      <c r="AB997" s="57"/>
    </row>
  </sheetData>
  <conditionalFormatting sqref="K2:M303">
    <cfRule type="expression" dxfId="5" priority="1">
      <formula>AND($B2&lt;&gt;"", $M2="")</formula>
    </cfRule>
  </conditionalFormatting>
  <conditionalFormatting sqref="A1:G997 H1:I1 J2:J997 H304:I997">
    <cfRule type="expression" dxfId="5" priority="2">
      <formula>AND($B1&lt;&gt;"", $J1="")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3" max="3" width="54.25"/>
    <col customWidth="1" min="4" max="4" width="553.0"/>
    <col customWidth="1" min="5" max="5" width="11.13"/>
    <col customWidth="1" min="6" max="6" width="9.38"/>
  </cols>
  <sheetData>
    <row r="1">
      <c r="A1" s="12" t="s">
        <v>1</v>
      </c>
      <c r="B1" s="12" t="s">
        <v>2</v>
      </c>
      <c r="C1" s="37" t="s">
        <v>3</v>
      </c>
      <c r="D1" s="398" t="s">
        <v>4</v>
      </c>
      <c r="E1" s="12" t="s">
        <v>5</v>
      </c>
      <c r="F1" s="12" t="s">
        <v>6</v>
      </c>
      <c r="G1" s="12" t="s">
        <v>8</v>
      </c>
      <c r="H1" s="12" t="s">
        <v>12</v>
      </c>
      <c r="I1" s="12" t="s">
        <v>14</v>
      </c>
      <c r="J1" s="12" t="s">
        <v>16</v>
      </c>
      <c r="K1" s="12" t="s">
        <v>17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49" t="str">
        <f>IFERROR(__xludf.DUMMYFUNCTION("QUERY({
  QUERY('All Orders'!A2:U1000, ""SELECT A, B, C, E, G, I, H, Q, P, R, S, T WHERE A IS NOT NULL and R &lt;&gt; 'Yes'"", 0);
  QUERY('Service Tracker'!A2:M1000, ""SELECT A, B, C, D, E, F, G, I, J, K, L, M WHERE A IS NOT NULL and K &lt;&gt; 'Yes'"", 0)
}, ""SELE"&amp;"CT * WHERE Col1 IS NOT NULL ORDER BY Col6 ASC"")"),"20251210-YP4")</f>
        <v>20251210-YP4</v>
      </c>
      <c r="B2" s="49" t="str">
        <f>IFERROR(__xludf.DUMMYFUNCTION("""COMPUTED_VALUE"""),"Kim Smalls")</f>
        <v>Kim Smalls</v>
      </c>
      <c r="C2" s="49"/>
      <c r="D2" s="399" t="str">
        <f>IFERROR(__xludf.DUMMYFUNCTION("""COMPUTED_VALUE"""),"Storm Phaze II Pearl 15 lb")</f>
        <v>Storm Phaze II Pearl 15 lb</v>
      </c>
      <c r="E2" s="39"/>
      <c r="F2" s="39"/>
      <c r="G2" s="52">
        <f>IFERROR(__xludf.DUMMYFUNCTION("""COMPUTED_VALUE"""),46001.0)</f>
        <v>46001</v>
      </c>
      <c r="H2" s="49" t="str">
        <f>IFERROR(__xludf.DUMMYFUNCTION("""COMPUTED_VALUE"""),"Y")</f>
        <v>Y</v>
      </c>
      <c r="I2" s="49"/>
      <c r="J2" s="49" t="str">
        <f>IFERROR(__xludf.DUMMYFUNCTION("""COMPUTED_VALUE"""),"Y")</f>
        <v>Y</v>
      </c>
      <c r="K2" s="49"/>
      <c r="L2" s="49"/>
    </row>
    <row r="3">
      <c r="A3" s="49" t="str">
        <f>IFERROR(__xludf.DUMMYFUNCTION("""COMPUTED_VALUE"""),"20251210-10PR")</f>
        <v>20251210-10PR</v>
      </c>
      <c r="B3" s="49" t="str">
        <f>IFERROR(__xludf.DUMMYFUNCTION("""COMPUTED_VALUE"""),"Mark Ottone")</f>
        <v>Mark Ottone</v>
      </c>
      <c r="C3" s="49"/>
      <c r="D3" s="399" t="str">
        <f>IFERROR(__xludf.DUMMYFUNCTION("""COMPUTED_VALUE"""),"Storm Phaze II Pearl 15 lb")</f>
        <v>Storm Phaze II Pearl 15 lb</v>
      </c>
      <c r="E3" s="39"/>
      <c r="F3" s="39"/>
      <c r="G3" s="52">
        <f>IFERROR(__xludf.DUMMYFUNCTION("""COMPUTED_VALUE"""),46001.0)</f>
        <v>46001</v>
      </c>
      <c r="H3" s="49" t="str">
        <f>IFERROR(__xludf.DUMMYFUNCTION("""COMPUTED_VALUE"""),"Y")</f>
        <v>Y</v>
      </c>
      <c r="I3" s="49"/>
      <c r="J3" s="49" t="str">
        <f>IFERROR(__xludf.DUMMYFUNCTION("""COMPUTED_VALUE"""),"Y")</f>
        <v>Y</v>
      </c>
      <c r="K3" s="49"/>
      <c r="L3" s="49"/>
    </row>
    <row r="4">
      <c r="A4" s="49" t="str">
        <f>IFERROR(__xludf.DUMMYFUNCTION("""COMPUTED_VALUE"""),"20251211-33V4")</f>
        <v>20251211-33V4</v>
      </c>
      <c r="B4" s="49" t="str">
        <f>IFERROR(__xludf.DUMMYFUNCTION("""COMPUTED_VALUE"""),"Dylan Wesley")</f>
        <v>Dylan Wesley</v>
      </c>
      <c r="C4" s="49" t="str">
        <f>IFERROR(__xludf.DUMMYFUNCTION("""COMPUTED_VALUE"""),"570-690-6589")</f>
        <v>570-690-6589</v>
      </c>
      <c r="D4" s="399" t="str">
        <f>IFERROR(__xludf.DUMMYFUNCTION("""COMPUTED_VALUE"""),"Dexter T2+ Hyperflex Traction sole large")</f>
        <v>Dexter T2+ Hyperflex Traction sole large</v>
      </c>
      <c r="E4" s="39" t="str">
        <f>IFERROR(__xludf.DUMMYFUNCTION("""COMPUTED_VALUE"""),"South")</f>
        <v>South</v>
      </c>
      <c r="F4" s="39"/>
      <c r="G4" s="52">
        <f>IFERROR(__xludf.DUMMYFUNCTION("""COMPUTED_VALUE"""),46002.0)</f>
        <v>46002</v>
      </c>
      <c r="H4" s="49"/>
      <c r="I4" s="49"/>
      <c r="J4" s="49"/>
      <c r="K4" s="49"/>
      <c r="L4" s="49"/>
    </row>
    <row r="5">
      <c r="A5" s="49" t="str">
        <f>IFERROR(__xludf.DUMMYFUNCTION("""COMPUTED_VALUE"""),"20251211-1ZAZ")</f>
        <v>20251211-1ZAZ</v>
      </c>
      <c r="B5" s="49" t="str">
        <f>IFERROR(__xludf.DUMMYFUNCTION("""COMPUTED_VALUE"""),"Tara Castrogiovanni")</f>
        <v>Tara Castrogiovanni</v>
      </c>
      <c r="C5" s="49"/>
      <c r="D5" s="399" t="str">
        <f>IFERROR(__xludf.DUMMYFUNCTION("""COMPUTED_VALUE"""),"Brunswick Twist pink/black 10 lb")</f>
        <v>Brunswick Twist pink/black 10 lb</v>
      </c>
      <c r="E5" s="39" t="str">
        <f>IFERROR(__xludf.DUMMYFUNCTION("""COMPUTED_VALUE"""),"Valley")</f>
        <v>Valley</v>
      </c>
      <c r="F5" s="39"/>
      <c r="G5" s="52">
        <f>IFERROR(__xludf.DUMMYFUNCTION("""COMPUTED_VALUE"""),46002.0)</f>
        <v>46002</v>
      </c>
      <c r="H5" s="49" t="str">
        <f>IFERROR(__xludf.DUMMYFUNCTION("""COMPUTED_VALUE"""),"Y")</f>
        <v>Y</v>
      </c>
      <c r="I5" s="49"/>
      <c r="J5" s="49" t="str">
        <f>IFERROR(__xludf.DUMMYFUNCTION("""COMPUTED_VALUE"""),"Y")</f>
        <v>Y</v>
      </c>
      <c r="K5" s="49"/>
      <c r="L5" s="49"/>
    </row>
    <row r="6">
      <c r="A6" s="49" t="str">
        <f>IFERROR(__xludf.DUMMYFUNCTION("""COMPUTED_VALUE"""),"20251211-25AQ")</f>
        <v>20251211-25AQ</v>
      </c>
      <c r="B6" s="49" t="str">
        <f>IFERROR(__xludf.DUMMYFUNCTION("""COMPUTED_VALUE"""),"Tara Castrogiovanni")</f>
        <v>Tara Castrogiovanni</v>
      </c>
      <c r="C6" s="49"/>
      <c r="D6" s="399" t="str">
        <f>IFERROR(__xludf.DUMMYFUNCTION("""COMPUTED_VALUE"""),"Brunswick Spark single tote black")</f>
        <v>Brunswick Spark single tote black</v>
      </c>
      <c r="E6" s="39" t="str">
        <f>IFERROR(__xludf.DUMMYFUNCTION("""COMPUTED_VALUE"""),"Valley")</f>
        <v>Valley</v>
      </c>
      <c r="F6" s="39"/>
      <c r="G6" s="52">
        <f>IFERROR(__xludf.DUMMYFUNCTION("""COMPUTED_VALUE"""),46002.0)</f>
        <v>46002</v>
      </c>
      <c r="H6" s="49" t="str">
        <f>IFERROR(__xludf.DUMMYFUNCTION("""COMPUTED_VALUE"""),"Y")</f>
        <v>Y</v>
      </c>
      <c r="I6" s="49"/>
      <c r="J6" s="49" t="str">
        <f>IFERROR(__xludf.DUMMYFUNCTION("""COMPUTED_VALUE"""),"Y")</f>
        <v>Y</v>
      </c>
      <c r="K6" s="49"/>
      <c r="L6" s="49"/>
    </row>
    <row r="7">
      <c r="A7" s="49" t="str">
        <f>IFERROR(__xludf.DUMMYFUNCTION("""COMPUTED_VALUE"""),"20251211-1IE3")</f>
        <v>20251211-1IE3</v>
      </c>
      <c r="B7" s="49" t="str">
        <f>IFERROR(__xludf.DUMMYFUNCTION("""COMPUTED_VALUE"""),"Troy Petrillo")</f>
        <v>Troy Petrillo</v>
      </c>
      <c r="C7" s="49"/>
      <c r="D7" s="399" t="str">
        <f>IFERROR(__xludf.DUMMYFUNCTION("""COMPUTED_VALUE"""),"Dexter Turbo BOA white size 10.5")</f>
        <v>Dexter Turbo BOA white size 10.5</v>
      </c>
      <c r="E7" s="39" t="str">
        <f>IFERROR(__xludf.DUMMYFUNCTION("""COMPUTED_VALUE"""),"South")</f>
        <v>South</v>
      </c>
      <c r="F7" s="39"/>
      <c r="G7" s="52">
        <f>IFERROR(__xludf.DUMMYFUNCTION("""COMPUTED_VALUE"""),46002.0)</f>
        <v>46002</v>
      </c>
      <c r="H7" s="49" t="str">
        <f>IFERROR(__xludf.DUMMYFUNCTION("""COMPUTED_VALUE"""),"Y")</f>
        <v>Y</v>
      </c>
      <c r="I7" s="49" t="str">
        <f>IFERROR(__xludf.DUMMYFUNCTION("""COMPUTED_VALUE"""),"paid")</f>
        <v>paid</v>
      </c>
      <c r="J7" s="49" t="str">
        <f>IFERROR(__xludf.DUMMYFUNCTION("""COMPUTED_VALUE"""),"Y")</f>
        <v>Y</v>
      </c>
      <c r="K7" s="49"/>
      <c r="L7" s="49"/>
    </row>
    <row r="8">
      <c r="A8" s="49" t="str">
        <f>IFERROR(__xludf.DUMMYFUNCTION("""COMPUTED_VALUE"""),"20251211-1SXH")</f>
        <v>20251211-1SXH</v>
      </c>
      <c r="B8" s="49" t="str">
        <f>IFERROR(__xludf.DUMMYFUNCTION("""COMPUTED_VALUE"""),"William Kennedy")</f>
        <v>William Kennedy</v>
      </c>
      <c r="C8" s="49" t="str">
        <f>IFERROR(__xludf.DUMMYFUNCTION("""COMPUTED_VALUE"""),"570-687-4578")</f>
        <v>570-687-4578</v>
      </c>
      <c r="D8" s="399" t="str">
        <f>IFERROR(__xludf.DUMMYFUNCTION("""COMPUTED_VALUE"""),"Storm Next Factor 14 lb")</f>
        <v>Storm Next Factor 14 lb</v>
      </c>
      <c r="E8" s="39" t="str">
        <f>IFERROR(__xludf.DUMMYFUNCTION("""COMPUTED_VALUE"""),"South")</f>
        <v>South</v>
      </c>
      <c r="F8" s="39"/>
      <c r="G8" s="52">
        <f>IFERROR(__xludf.DUMMYFUNCTION("""COMPUTED_VALUE"""),46002.0)</f>
        <v>46002</v>
      </c>
      <c r="H8" s="49" t="str">
        <f>IFERROR(__xludf.DUMMYFUNCTION("""COMPUTED_VALUE"""),"Y")</f>
        <v>Y</v>
      </c>
      <c r="I8" s="49"/>
      <c r="J8" s="49" t="str">
        <f>IFERROR(__xludf.DUMMYFUNCTION("""COMPUTED_VALUE"""),"Y")</f>
        <v>Y</v>
      </c>
      <c r="K8" s="49"/>
      <c r="L8" s="49"/>
    </row>
    <row r="9">
      <c r="A9" s="49" t="str">
        <f>IFERROR(__xludf.DUMMYFUNCTION("""COMPUTED_VALUE"""),"20251211-1M35")</f>
        <v>20251211-1M35</v>
      </c>
      <c r="B9" s="49" t="str">
        <f>IFERROR(__xludf.DUMMYFUNCTION("""COMPUTED_VALUE"""),"Scott Betson")</f>
        <v>Scott Betson</v>
      </c>
      <c r="C9" s="49" t="str">
        <f>IFERROR(__xludf.DUMMYFUNCTION("""COMPUTED_VALUE"""),"570-267-7853")</f>
        <v>570-267-7853</v>
      </c>
      <c r="D9" s="399" t="str">
        <f>IFERROR(__xludf.DUMMYFUNCTION("""COMPUTED_VALUE"""),"Brunswick Alpha size 12")</f>
        <v>Brunswick Alpha size 12</v>
      </c>
      <c r="E9" s="39" t="str">
        <f>IFERROR(__xludf.DUMMYFUNCTION("""COMPUTED_VALUE"""),"Valley")</f>
        <v>Valley</v>
      </c>
      <c r="F9" s="39"/>
      <c r="G9" s="52">
        <f>IFERROR(__xludf.DUMMYFUNCTION("""COMPUTED_VALUE"""),46002.0)</f>
        <v>46002</v>
      </c>
      <c r="H9" s="49"/>
      <c r="I9" s="49"/>
      <c r="J9" s="49"/>
      <c r="K9" s="49"/>
      <c r="L9" s="49"/>
    </row>
    <row r="10">
      <c r="A10" s="49" t="str">
        <f>IFERROR(__xludf.DUMMYFUNCTION("""COMPUTED_VALUE"""),"20251211-1NQ7")</f>
        <v>20251211-1NQ7</v>
      </c>
      <c r="B10" s="49" t="str">
        <f>IFERROR(__xludf.DUMMYFUNCTION("""COMPUTED_VALUE"""),"Jonathan Ottone")</f>
        <v>Jonathan Ottone</v>
      </c>
      <c r="C10" s="49" t="str">
        <f>IFERROR(__xludf.DUMMYFUNCTION("""COMPUTED_VALUE"""),"570-335-5366")</f>
        <v>570-335-5366</v>
      </c>
      <c r="D10" s="399" t="str">
        <f>IFERROR(__xludf.DUMMYFUNCTION("""COMPUTED_VALUE"""),"Brunswick Alert 14 lb")</f>
        <v>Brunswick Alert 14 lb</v>
      </c>
      <c r="E10" s="39" t="str">
        <f>IFERROR(__xludf.DUMMYFUNCTION("""COMPUTED_VALUE"""),"South")</f>
        <v>South</v>
      </c>
      <c r="F10" s="39"/>
      <c r="G10" s="52">
        <f>IFERROR(__xludf.DUMMYFUNCTION("""COMPUTED_VALUE"""),46002.0)</f>
        <v>46002</v>
      </c>
      <c r="H10" s="49"/>
      <c r="I10" s="49"/>
      <c r="J10" s="49"/>
      <c r="K10" s="49"/>
      <c r="L10" s="49"/>
    </row>
    <row r="11">
      <c r="A11" s="49" t="str">
        <f>IFERROR(__xludf.DUMMYFUNCTION("""COMPUTED_VALUE"""),"20251215-1ITO")</f>
        <v>20251215-1ITO</v>
      </c>
      <c r="B11" s="49" t="str">
        <f>IFERROR(__xludf.DUMMYFUNCTION("""COMPUTED_VALUE"""),"Becky Decker")</f>
        <v>Becky Decker</v>
      </c>
      <c r="C11" s="49"/>
      <c r="D11" s="399" t="str">
        <f>IFERROR(__xludf.DUMMYFUNCTION("""COMPUTED_VALUE"""),"Brunswick Danger Zone Solid 15 lb")</f>
        <v>Brunswick Danger Zone Solid 15 lb</v>
      </c>
      <c r="E11" s="39" t="str">
        <f>IFERROR(__xludf.DUMMYFUNCTION("""COMPUTED_VALUE"""),"Valley")</f>
        <v>Valley</v>
      </c>
      <c r="F11" s="39"/>
      <c r="G11" s="52">
        <f>IFERROR(__xludf.DUMMYFUNCTION("""COMPUTED_VALUE"""),46006.0)</f>
        <v>46006</v>
      </c>
      <c r="H11" s="49"/>
      <c r="I11" s="49"/>
      <c r="J11" s="49"/>
      <c r="K11" s="49"/>
      <c r="L11" s="49"/>
    </row>
    <row r="12">
      <c r="A12" s="49" t="str">
        <f>IFERROR(__xludf.DUMMYFUNCTION("""COMPUTED_VALUE"""),"20251215-IHR")</f>
        <v>20251215-IHR</v>
      </c>
      <c r="B12" s="49" t="str">
        <f>IFERROR(__xludf.DUMMYFUNCTION("""COMPUTED_VALUE"""),"James Durland")</f>
        <v>James Durland</v>
      </c>
      <c r="C12" s="49"/>
      <c r="D12" s="399" t="str">
        <f>IFERROR(__xludf.DUMMYFUNCTION("""COMPUTED_VALUE"""),"VIse 4 &amp; 6 PO")</f>
        <v>VIse 4 &amp; 6 PO</v>
      </c>
      <c r="E12" s="39"/>
      <c r="F12" s="39"/>
      <c r="G12" s="52">
        <f>IFERROR(__xludf.DUMMYFUNCTION("""COMPUTED_VALUE"""),46006.0)</f>
        <v>46006</v>
      </c>
      <c r="H12" s="49"/>
      <c r="I12" s="49"/>
      <c r="J12" s="49"/>
      <c r="K12" s="49"/>
      <c r="L12" s="49"/>
    </row>
    <row r="13">
      <c r="A13" s="49" t="str">
        <f>IFERROR(__xludf.DUMMYFUNCTION("""COMPUTED_VALUE"""),"20251215-1PH5")</f>
        <v>20251215-1PH5</v>
      </c>
      <c r="B13" s="49" t="str">
        <f>IFERROR(__xludf.DUMMYFUNCTION("""COMPUTED_VALUE"""),"Mike Evans")</f>
        <v>Mike Evans</v>
      </c>
      <c r="C13" s="49" t="str">
        <f>IFERROR(__xludf.DUMMYFUNCTION("""COMPUTED_VALUE"""),"570-413-3944")</f>
        <v>570-413-3944</v>
      </c>
      <c r="D13" s="399" t="str">
        <f>IFERROR(__xludf.DUMMYFUNCTION("""COMPUTED_VALUE"""),"Hammer Black Urethane 15 lb")</f>
        <v>Hammer Black Urethane 15 lb</v>
      </c>
      <c r="E13" s="39" t="str">
        <f>IFERROR(__xludf.DUMMYFUNCTION("""COMPUTED_VALUE"""),"South")</f>
        <v>South</v>
      </c>
      <c r="F13" s="39"/>
      <c r="G13" s="52">
        <f>IFERROR(__xludf.DUMMYFUNCTION("""COMPUTED_VALUE"""),46006.0)</f>
        <v>46006</v>
      </c>
      <c r="H13" s="49" t="str">
        <f>IFERROR(__xludf.DUMMYFUNCTION("""COMPUTED_VALUE"""),"Y")</f>
        <v>Y</v>
      </c>
      <c r="I13" s="49"/>
      <c r="J13" s="49" t="str">
        <f>IFERROR(__xludf.DUMMYFUNCTION("""COMPUTED_VALUE"""),"Y")</f>
        <v>Y</v>
      </c>
      <c r="K13" s="49"/>
      <c r="L13" s="49"/>
    </row>
    <row r="14">
      <c r="A14" s="49" t="str">
        <f>IFERROR(__xludf.DUMMYFUNCTION("""COMPUTED_VALUE"""),"20251215-YIY")</f>
        <v>20251215-YIY</v>
      </c>
      <c r="B14" s="49" t="str">
        <f>IFERROR(__xludf.DUMMYFUNCTION("""COMPUTED_VALUE"""),"Brian Hamilton")</f>
        <v>Brian Hamilton</v>
      </c>
      <c r="C14" s="49"/>
      <c r="D14" s="399" t="str">
        <f>IFERROR(__xludf.DUMMYFUNCTION("""COMPUTED_VALUE"""),"Radical Evil Eye 14 lb")</f>
        <v>Radical Evil Eye 14 lb</v>
      </c>
      <c r="E14" s="39" t="str">
        <f>IFERROR(__xludf.DUMMYFUNCTION("""COMPUTED_VALUE"""),"South")</f>
        <v>South</v>
      </c>
      <c r="F14" s="39"/>
      <c r="G14" s="52">
        <f>IFERROR(__xludf.DUMMYFUNCTION("""COMPUTED_VALUE"""),46006.0)</f>
        <v>46006</v>
      </c>
      <c r="H14" s="49"/>
      <c r="I14" s="49"/>
      <c r="J14" s="49"/>
      <c r="K14" s="49"/>
      <c r="L14" s="49"/>
    </row>
    <row r="15">
      <c r="A15" s="49" t="str">
        <f>IFERROR(__xludf.DUMMYFUNCTION("""COMPUTED_VALUE"""),"20251215-1VSK")</f>
        <v>20251215-1VSK</v>
      </c>
      <c r="B15" s="49" t="str">
        <f>IFERROR(__xludf.DUMMYFUNCTION("""COMPUTED_VALUE"""),"Michael Marinelli")</f>
        <v>Michael Marinelli</v>
      </c>
      <c r="C15" s="49"/>
      <c r="D15" s="399" t="str">
        <f>IFERROR(__xludf.DUMMYFUNCTION("""COMPUTED_VALUE"""),"Brunswick Danger Zone Solid 14 lb")</f>
        <v>Brunswick Danger Zone Solid 14 lb</v>
      </c>
      <c r="E15" s="39" t="str">
        <f>IFERROR(__xludf.DUMMYFUNCTION("""COMPUTED_VALUE"""),"Valley")</f>
        <v>Valley</v>
      </c>
      <c r="F15" s="39"/>
      <c r="G15" s="52">
        <f>IFERROR(__xludf.DUMMYFUNCTION("""COMPUTED_VALUE"""),46006.0)</f>
        <v>46006</v>
      </c>
      <c r="H15" s="49" t="str">
        <f>IFERROR(__xludf.DUMMYFUNCTION("""COMPUTED_VALUE"""),"Y")</f>
        <v>Y</v>
      </c>
      <c r="I15" s="49"/>
      <c r="J15" s="49" t="str">
        <f>IFERROR(__xludf.DUMMYFUNCTION("""COMPUTED_VALUE"""),"Y")</f>
        <v>Y</v>
      </c>
      <c r="K15" s="49"/>
      <c r="L15" s="49"/>
    </row>
    <row r="16">
      <c r="A16" s="49" t="str">
        <f>IFERROR(__xludf.DUMMYFUNCTION("""COMPUTED_VALUE"""),"20251215-1WVK")</f>
        <v>20251215-1WVK</v>
      </c>
      <c r="B16" s="49" t="str">
        <f>IFERROR(__xludf.DUMMYFUNCTION("""COMPUTED_VALUE"""),"Michael Marinelli")</f>
        <v>Michael Marinelli</v>
      </c>
      <c r="C16" s="49"/>
      <c r="D16" s="399" t="str">
        <f>IFERROR(__xludf.DUMMYFUNCTION("""COMPUTED_VALUE"""),"Brunswick Danger Zone Pearl 14 lb ")</f>
        <v>Brunswick Danger Zone Pearl 14 lb </v>
      </c>
      <c r="E16" s="39" t="str">
        <f>IFERROR(__xludf.DUMMYFUNCTION("""COMPUTED_VALUE"""),"South")</f>
        <v>South</v>
      </c>
      <c r="F16" s="39"/>
      <c r="G16" s="52">
        <f>IFERROR(__xludf.DUMMYFUNCTION("""COMPUTED_VALUE"""),46006.0)</f>
        <v>46006</v>
      </c>
      <c r="H16" s="49" t="str">
        <f>IFERROR(__xludf.DUMMYFUNCTION("""COMPUTED_VALUE"""),"Y")</f>
        <v>Y</v>
      </c>
      <c r="I16" s="49"/>
      <c r="J16" s="49" t="str">
        <f>IFERROR(__xludf.DUMMYFUNCTION("""COMPUTED_VALUE"""),"Y")</f>
        <v>Y</v>
      </c>
      <c r="K16" s="49"/>
      <c r="L16" s="49"/>
    </row>
    <row r="17">
      <c r="A17" s="49" t="str">
        <f>IFERROR(__xludf.DUMMYFUNCTION("""COMPUTED_VALUE"""),"20251215-MTN")</f>
        <v>20251215-MTN</v>
      </c>
      <c r="B17" s="49" t="str">
        <f>IFERROR(__xludf.DUMMYFUNCTION("""COMPUTED_VALUE"""),"Matt Lynott")</f>
        <v>Matt Lynott</v>
      </c>
      <c r="C17" s="49"/>
      <c r="D17" s="399" t="str">
        <f>IFERROR(__xludf.DUMMYFUNCTION("""COMPUTED_VALUE"""),"Hammer NU 2.0 14 lb")</f>
        <v>Hammer NU 2.0 14 lb</v>
      </c>
      <c r="E17" s="39" t="str">
        <f>IFERROR(__xludf.DUMMYFUNCTION("""COMPUTED_VALUE"""),"Valley")</f>
        <v>Valley</v>
      </c>
      <c r="F17" s="39"/>
      <c r="G17" s="52">
        <f>IFERROR(__xludf.DUMMYFUNCTION("""COMPUTED_VALUE"""),46006.0)</f>
        <v>46006</v>
      </c>
      <c r="H17" s="49" t="str">
        <f>IFERROR(__xludf.DUMMYFUNCTION("""COMPUTED_VALUE"""),"Y")</f>
        <v>Y</v>
      </c>
      <c r="I17" s="49"/>
      <c r="J17" s="49" t="str">
        <f>IFERROR(__xludf.DUMMYFUNCTION("""COMPUTED_VALUE"""),"Y")</f>
        <v>Y</v>
      </c>
      <c r="K17" s="49"/>
      <c r="L17" s="49"/>
    </row>
    <row r="18">
      <c r="A18" s="49" t="str">
        <f>IFERROR(__xludf.DUMMYFUNCTION("""COMPUTED_VALUE"""),"20251215-19EG")</f>
        <v>20251215-19EG</v>
      </c>
      <c r="B18" s="49" t="str">
        <f>IFERROR(__xludf.DUMMYFUNCTION("""COMPUTED_VALUE"""),"Mike Straut")</f>
        <v>Mike Straut</v>
      </c>
      <c r="C18" s="49"/>
      <c r="D18" s="399" t="str">
        <f>IFERROR(__xludf.DUMMYFUNCTION("""COMPUTED_VALUE""")," Hammer Zero Mercy Solid 15 lb")</f>
        <v> Hammer Zero Mercy Solid 15 lb</v>
      </c>
      <c r="E18" s="39" t="str">
        <f>IFERROR(__xludf.DUMMYFUNCTION("""COMPUTED_VALUE"""),"Valley")</f>
        <v>Valley</v>
      </c>
      <c r="F18" s="39"/>
      <c r="G18" s="52">
        <f>IFERROR(__xludf.DUMMYFUNCTION("""COMPUTED_VALUE"""),46006.0)</f>
        <v>46006</v>
      </c>
      <c r="H18" s="49" t="str">
        <f>IFERROR(__xludf.DUMMYFUNCTION("""COMPUTED_VALUE"""),"Y")</f>
        <v>Y</v>
      </c>
      <c r="I18" s="49"/>
      <c r="J18" s="49" t="str">
        <f>IFERROR(__xludf.DUMMYFUNCTION("""COMPUTED_VALUE"""),"Y")</f>
        <v>Y</v>
      </c>
      <c r="K18" s="49"/>
      <c r="L18" s="49"/>
    </row>
    <row r="19">
      <c r="A19" s="49" t="str">
        <f>IFERROR(__xludf.DUMMYFUNCTION("""COMPUTED_VALUE"""),"20251215-RUZ")</f>
        <v>20251215-RUZ</v>
      </c>
      <c r="B19" s="49" t="str">
        <f>IFERROR(__xludf.DUMMYFUNCTION("""COMPUTED_VALUE"""),"Jim")</f>
        <v>Jim</v>
      </c>
      <c r="C19" s="49"/>
      <c r="D19" s="399" t="str">
        <f>IFERROR(__xludf.DUMMYFUNCTION("""COMPUTED_VALUE"""),"Hammer Zero Mercy Solid 14 lb")</f>
        <v>Hammer Zero Mercy Solid 14 lb</v>
      </c>
      <c r="E19" s="39" t="str">
        <f>IFERROR(__xludf.DUMMYFUNCTION("""COMPUTED_VALUE"""),"Valley")</f>
        <v>Valley</v>
      </c>
      <c r="F19" s="39"/>
      <c r="G19" s="52">
        <f>IFERROR(__xludf.DUMMYFUNCTION("""COMPUTED_VALUE"""),46006.0)</f>
        <v>46006</v>
      </c>
      <c r="H19" s="49"/>
      <c r="I19" s="49"/>
      <c r="J19" s="49"/>
      <c r="K19" s="49"/>
      <c r="L19" s="49"/>
    </row>
    <row r="20">
      <c r="A20" s="49" t="str">
        <f>IFERROR(__xludf.DUMMYFUNCTION("""COMPUTED_VALUE"""),"20251215-RR9")</f>
        <v>20251215-RR9</v>
      </c>
      <c r="B20" s="49" t="str">
        <f>IFERROR(__xludf.DUMMYFUNCTION("""COMPUTED_VALUE"""),"Jim")</f>
        <v>Jim</v>
      </c>
      <c r="C20" s="49"/>
      <c r="D20" s="399" t="str">
        <f>IFERROR(__xludf.DUMMYFUNCTION("""COMPUTED_VALUE"""),"Hammer Zero Mercy Pearl 14 lb")</f>
        <v>Hammer Zero Mercy Pearl 14 lb</v>
      </c>
      <c r="E20" s="39" t="str">
        <f>IFERROR(__xludf.DUMMYFUNCTION("""COMPUTED_VALUE"""),"Valley")</f>
        <v>Valley</v>
      </c>
      <c r="F20" s="39"/>
      <c r="G20" s="52">
        <f>IFERROR(__xludf.DUMMYFUNCTION("""COMPUTED_VALUE"""),46006.0)</f>
        <v>46006</v>
      </c>
      <c r="H20" s="49"/>
      <c r="I20" s="49"/>
      <c r="J20" s="49"/>
      <c r="K20" s="49"/>
      <c r="L20" s="49"/>
    </row>
    <row r="21">
      <c r="A21" s="49" t="str">
        <f>IFERROR(__xludf.DUMMYFUNCTION("""COMPUTED_VALUE"""),"20251216-1F04")</f>
        <v>20251216-1F04</v>
      </c>
      <c r="B21" s="49" t="str">
        <f>IFERROR(__xludf.DUMMYFUNCTION("""COMPUTED_VALUE"""),"Tom Boylan")</f>
        <v>Tom Boylan</v>
      </c>
      <c r="C21" s="49" t="str">
        <f>IFERROR(__xludf.DUMMYFUNCTION("""COMPUTED_VALUE"""),"570-766-2123")</f>
        <v>570-766-2123</v>
      </c>
      <c r="D21" s="399" t="str">
        <f>IFERROR(__xludf.DUMMYFUNCTION("""COMPUTED_VALUE"""),"Brunswick Hero size 11")</f>
        <v>Brunswick Hero size 11</v>
      </c>
      <c r="E21" s="39"/>
      <c r="F21" s="39"/>
      <c r="G21" s="52">
        <f>IFERROR(__xludf.DUMMYFUNCTION("""COMPUTED_VALUE"""),46007.0)</f>
        <v>46007</v>
      </c>
      <c r="H21" s="49" t="str">
        <f>IFERROR(__xludf.DUMMYFUNCTION("""COMPUTED_VALUE"""),"Y")</f>
        <v>Y</v>
      </c>
      <c r="I21" s="49"/>
      <c r="J21" s="49" t="str">
        <f>IFERROR(__xludf.DUMMYFUNCTION("""COMPUTED_VALUE"""),"Y")</f>
        <v>Y</v>
      </c>
      <c r="K21" s="49"/>
      <c r="L21" s="49"/>
    </row>
    <row r="22">
      <c r="A22" s="49" t="str">
        <f>IFERROR(__xludf.DUMMYFUNCTION("""COMPUTED_VALUE"""),"20251216-2CCG")</f>
        <v>20251216-2CCG</v>
      </c>
      <c r="B22" s="49" t="str">
        <f>IFERROR(__xludf.DUMMYFUNCTION("""COMPUTED_VALUE"""),"Jim Bedford")</f>
        <v>Jim Bedford</v>
      </c>
      <c r="C22" s="49" t="str">
        <f>IFERROR(__xludf.DUMMYFUNCTION("""COMPUTED_VALUE"""),"570-840-1023")</f>
        <v>570-840-1023</v>
      </c>
      <c r="D22" s="399" t="str">
        <f>IFERROR(__xludf.DUMMYFUNCTION("""COMPUTED_VALUE"""),"Brunswick T-zone berry blast 9 lb ")</f>
        <v>Brunswick T-zone berry blast 9 lb </v>
      </c>
      <c r="E22" s="39" t="str">
        <f>IFERROR(__xludf.DUMMYFUNCTION("""COMPUTED_VALUE"""),"Valley")</f>
        <v>Valley</v>
      </c>
      <c r="F22" s="39"/>
      <c r="G22" s="52">
        <f>IFERROR(__xludf.DUMMYFUNCTION("""COMPUTED_VALUE"""),46007.0)</f>
        <v>46007</v>
      </c>
      <c r="H22" s="49" t="str">
        <f>IFERROR(__xludf.DUMMYFUNCTION("""COMPUTED_VALUE"""),"Y")</f>
        <v>Y</v>
      </c>
      <c r="I22" s="49"/>
      <c r="J22" s="49" t="str">
        <f>IFERROR(__xludf.DUMMYFUNCTION("""COMPUTED_VALUE"""),"Y")</f>
        <v>Y</v>
      </c>
      <c r="K22" s="49"/>
      <c r="L22" s="49"/>
    </row>
    <row r="23">
      <c r="A23" s="49" t="str">
        <f>IFERROR(__xludf.DUMMYFUNCTION("""COMPUTED_VALUE"""),"20251216-1JK5")</f>
        <v>20251216-1JK5</v>
      </c>
      <c r="B23" s="49" t="str">
        <f>IFERROR(__xludf.DUMMYFUNCTION("""COMPUTED_VALUE"""),"Eddie Boroski")</f>
        <v>Eddie Boroski</v>
      </c>
      <c r="C23" s="49"/>
      <c r="D23" s="399" t="str">
        <f>IFERROR(__xludf.DUMMYFUNCTION("""COMPUTED_VALUE"""),"Hammer Black Widow Tote w/Pouch")</f>
        <v>Hammer Black Widow Tote w/Pouch</v>
      </c>
      <c r="E23" s="39"/>
      <c r="F23" s="39"/>
      <c r="G23" s="52">
        <f>IFERROR(__xludf.DUMMYFUNCTION("""COMPUTED_VALUE"""),46007.0)</f>
        <v>46007</v>
      </c>
      <c r="H23" s="49" t="str">
        <f>IFERROR(__xludf.DUMMYFUNCTION("""COMPUTED_VALUE"""),"Y")</f>
        <v>Y</v>
      </c>
      <c r="I23" s="49"/>
      <c r="J23" s="49" t="str">
        <f>IFERROR(__xludf.DUMMYFUNCTION("""COMPUTED_VALUE"""),"Y")</f>
        <v>Y</v>
      </c>
      <c r="K23" s="49"/>
      <c r="L23" s="49"/>
    </row>
    <row r="24">
      <c r="A24" s="49" t="str">
        <f>IFERROR(__xludf.DUMMYFUNCTION("""COMPUTED_VALUE"""),"20251216-11NH")</f>
        <v>20251216-11NH</v>
      </c>
      <c r="B24" s="49" t="str">
        <f>IFERROR(__xludf.DUMMYFUNCTION("""COMPUTED_VALUE"""),"Curt Sonneburg")</f>
        <v>Curt Sonneburg</v>
      </c>
      <c r="C24" s="49"/>
      <c r="D24" s="399" t="str">
        <f>IFERROR(__xludf.DUMMYFUNCTION("""COMPUTED_VALUE"""),"Roto Grip Gremlin 12 lb")</f>
        <v>Roto Grip Gremlin 12 lb</v>
      </c>
      <c r="E24" s="39"/>
      <c r="F24" s="39"/>
      <c r="G24" s="52">
        <f>IFERROR(__xludf.DUMMYFUNCTION("""COMPUTED_VALUE"""),46007.0)</f>
        <v>46007</v>
      </c>
      <c r="H24" s="49" t="str">
        <f>IFERROR(__xludf.DUMMYFUNCTION("""COMPUTED_VALUE"""),"Y")</f>
        <v>Y</v>
      </c>
      <c r="I24" s="49"/>
      <c r="J24" s="49" t="str">
        <f>IFERROR(__xludf.DUMMYFUNCTION("""COMPUTED_VALUE"""),"Y")</f>
        <v>Y</v>
      </c>
      <c r="K24" s="49"/>
      <c r="L24" s="49"/>
    </row>
    <row r="25">
      <c r="A25" s="49" t="str">
        <f>IFERROR(__xludf.DUMMYFUNCTION("""COMPUTED_VALUE"""),"18991230-17LL")</f>
        <v>18991230-17LL</v>
      </c>
      <c r="B25" s="49" t="str">
        <f>IFERROR(__xludf.DUMMYFUNCTION("""COMPUTED_VALUE"""),"Mike Miller")</f>
        <v>Mike Miller</v>
      </c>
      <c r="C25" s="49"/>
      <c r="D25" s="399" t="str">
        <f>IFERROR(__xludf.DUMMYFUNCTION("""COMPUTED_VALUE"""),"Motiv Max Thrill Hybrid 15 lb")</f>
        <v>Motiv Max Thrill Hybrid 15 lb</v>
      </c>
      <c r="E25" s="39" t="str">
        <f>IFERROR(__xludf.DUMMYFUNCTION("""COMPUTED_VALUE"""),"South")</f>
        <v>South</v>
      </c>
      <c r="F25" s="39"/>
      <c r="G25" s="52"/>
      <c r="H25" s="49" t="str">
        <f>IFERROR(__xludf.DUMMYFUNCTION("""COMPUTED_VALUE"""),"Y")</f>
        <v>Y</v>
      </c>
      <c r="I25" s="49"/>
      <c r="J25" s="49" t="str">
        <f>IFERROR(__xludf.DUMMYFUNCTION("""COMPUTED_VALUE"""),"Y")</f>
        <v>Y</v>
      </c>
      <c r="K25" s="49"/>
      <c r="L25" s="49"/>
    </row>
    <row r="26">
      <c r="A26" s="49" t="str">
        <f>IFERROR(__xludf.DUMMYFUNCTION("""COMPUTED_VALUE"""),"18991230-SMD")</f>
        <v>18991230-SMD</v>
      </c>
      <c r="B26" s="49" t="str">
        <f>IFERROR(__xludf.DUMMYFUNCTION("""COMPUTED_VALUE"""),"Keith")</f>
        <v>Keith</v>
      </c>
      <c r="C26" s="49"/>
      <c r="D26" s="399" t="str">
        <f>IFERROR(__xludf.DUMMYFUNCTION("""COMPUTED_VALUE"""),"Hammer Maximum Effect 14 lb ")</f>
        <v>Hammer Maximum Effect 14 lb </v>
      </c>
      <c r="E26" s="39"/>
      <c r="F26" s="39"/>
      <c r="G26" s="52"/>
      <c r="H26" s="49" t="str">
        <f>IFERROR(__xludf.DUMMYFUNCTION("""COMPUTED_VALUE"""),"na")</f>
        <v>na</v>
      </c>
      <c r="I26" s="49"/>
      <c r="J26" s="49"/>
      <c r="K26" s="49"/>
      <c r="L26" s="49"/>
    </row>
    <row r="27">
      <c r="A27" s="49" t="str">
        <f>IFERROR(__xludf.DUMMYFUNCTION("""COMPUTED_VALUE"""),"18991230-VPF")</f>
        <v>18991230-VPF</v>
      </c>
      <c r="B27" s="49" t="str">
        <f>IFERROR(__xludf.DUMMYFUNCTION("""COMPUTED_VALUE"""),"Mike Straut")</f>
        <v>Mike Straut</v>
      </c>
      <c r="C27" s="49"/>
      <c r="D27" s="399" t="str">
        <f>IFERROR(__xludf.DUMMYFUNCTION("""COMPUTED_VALUE"""),"Motiv Apex Jackyl 15 lb")</f>
        <v>Motiv Apex Jackyl 15 lb</v>
      </c>
      <c r="E27" s="39"/>
      <c r="F27" s="39"/>
      <c r="G27" s="52"/>
      <c r="H27" s="49"/>
      <c r="I27" s="49"/>
      <c r="J27" s="49"/>
      <c r="K27" s="49"/>
      <c r="L27" s="49"/>
    </row>
    <row r="28">
      <c r="A28" s="49" t="str">
        <f>IFERROR(__xludf.DUMMYFUNCTION("""COMPUTED_VALUE"""),"18991230-1G6C")</f>
        <v>18991230-1G6C</v>
      </c>
      <c r="B28" s="49" t="str">
        <f>IFERROR(__xludf.DUMMYFUNCTION("""COMPUTED_VALUE"""),"Tanya")</f>
        <v>Tanya</v>
      </c>
      <c r="C28" s="49" t="str">
        <f>IFERROR(__xludf.DUMMYFUNCTION("""COMPUTED_VALUE"""),"570-677-0591")</f>
        <v>570-677-0591</v>
      </c>
      <c r="D28" s="399" t="str">
        <f>IFERROR(__xludf.DUMMYFUNCTION("""COMPUTED_VALUE"""),"Hammer Raw blue/orange 12 lb")</f>
        <v>Hammer Raw blue/orange 12 lb</v>
      </c>
      <c r="E28" s="39" t="str">
        <f>IFERROR(__xludf.DUMMYFUNCTION("""COMPUTED_VALUE"""),"South")</f>
        <v>South</v>
      </c>
      <c r="F28" s="39"/>
      <c r="G28" s="52"/>
      <c r="H28" s="49" t="str">
        <f>IFERROR(__xludf.DUMMYFUNCTION("""COMPUTED_VALUE"""),"Y")</f>
        <v>Y</v>
      </c>
      <c r="I28" s="49"/>
      <c r="J28" s="49" t="str">
        <f>IFERROR(__xludf.DUMMYFUNCTION("""COMPUTED_VALUE"""),"Y")</f>
        <v>Y</v>
      </c>
      <c r="K28" s="49"/>
      <c r="L28" s="49"/>
    </row>
    <row r="29">
      <c r="A29" s="49" t="str">
        <f>IFERROR(__xludf.DUMMYFUNCTION("""COMPUTED_VALUE"""),"18991230-1ITE")</f>
        <v>18991230-1ITE</v>
      </c>
      <c r="B29" s="49" t="str">
        <f>IFERROR(__xludf.DUMMYFUNCTION("""COMPUTED_VALUE"""),"Chris Tirpak")</f>
        <v>Chris Tirpak</v>
      </c>
      <c r="C29" s="49"/>
      <c r="D29" s="399" t="str">
        <f>IFERROR(__xludf.DUMMYFUNCTION("""COMPUTED_VALUE"""),"Brunswick Danger Zone Pearl 15 lb")</f>
        <v>Brunswick Danger Zone Pearl 15 lb</v>
      </c>
      <c r="E29" s="39" t="str">
        <f>IFERROR(__xludf.DUMMYFUNCTION("""COMPUTED_VALUE"""),"South")</f>
        <v>South</v>
      </c>
      <c r="F29" s="39"/>
      <c r="G29" s="52"/>
      <c r="H29" s="49" t="str">
        <f>IFERROR(__xludf.DUMMYFUNCTION("""COMPUTED_VALUE"""),"Y")</f>
        <v>Y</v>
      </c>
      <c r="I29" s="49"/>
      <c r="J29" s="49" t="str">
        <f>IFERROR(__xludf.DUMMYFUNCTION("""COMPUTED_VALUE"""),"Y")</f>
        <v>Y</v>
      </c>
      <c r="K29" s="49"/>
      <c r="L29" s="49"/>
    </row>
    <row r="30">
      <c r="A30" s="49" t="str">
        <f>IFERROR(__xludf.DUMMYFUNCTION("""COMPUTED_VALUE"""),"18991230-2DDP")</f>
        <v>18991230-2DDP</v>
      </c>
      <c r="B30" s="49" t="str">
        <f>IFERROR(__xludf.DUMMYFUNCTION("""COMPUTED_VALUE"""),"Kevin Williams")</f>
        <v>Kevin Williams</v>
      </c>
      <c r="C30" s="49" t="str">
        <f>IFERROR(__xludf.DUMMYFUNCTION("""COMPUTED_VALUE"""),"570-815-7256")</f>
        <v>570-815-7256</v>
      </c>
      <c r="D30" s="399" t="str">
        <f>IFERROR(__xludf.DUMMYFUNCTION("""COMPUTED_VALUE"""),"KR Flyer Lite black size 10 &amp; 10.5")</f>
        <v>KR Flyer Lite black size 10 &amp; 10.5</v>
      </c>
      <c r="E30" s="39"/>
      <c r="F30" s="39"/>
      <c r="G30" s="52"/>
      <c r="H30" s="49"/>
      <c r="I30" s="49"/>
      <c r="J30" s="49"/>
      <c r="K30" s="49"/>
      <c r="L30" s="49"/>
    </row>
    <row r="31">
      <c r="A31" s="49" t="str">
        <f>IFERROR(__xludf.DUMMYFUNCTION("""COMPUTED_VALUE"""),"18991230-1TCG")</f>
        <v>18991230-1TCG</v>
      </c>
      <c r="B31" s="49" t="str">
        <f>IFERROR(__xludf.DUMMYFUNCTION("""COMPUTED_VALUE"""),"Kevin Williams")</f>
        <v>Kevin Williams</v>
      </c>
      <c r="C31" s="49" t="str">
        <f>IFERROR(__xludf.DUMMYFUNCTION("""COMPUTED_VALUE"""),"570-815-7256")</f>
        <v>570-815-7256</v>
      </c>
      <c r="D31" s="399" t="str">
        <f>IFERROR(__xludf.DUMMYFUNCTION("""COMPUTED_VALUE"""),"KR OPP black size 10 &amp; 10.5")</f>
        <v>KR OPP black size 10 &amp; 10.5</v>
      </c>
      <c r="E31" s="39"/>
      <c r="F31" s="39"/>
      <c r="G31" s="52"/>
      <c r="H31" s="49"/>
      <c r="I31" s="49"/>
      <c r="J31" s="49"/>
      <c r="K31" s="49"/>
      <c r="L31" s="49"/>
    </row>
    <row r="32">
      <c r="A32" s="49" t="str">
        <f>IFERROR(__xludf.DUMMYFUNCTION("""COMPUTED_VALUE"""),"18991230-35TJ")</f>
        <v>18991230-35TJ</v>
      </c>
      <c r="B32" s="49" t="str">
        <f>IFERROR(__xludf.DUMMYFUNCTION("""COMPUTED_VALUE"""),"Kevin Williams")</f>
        <v>Kevin Williams</v>
      </c>
      <c r="C32" s="49" t="str">
        <f>IFERROR(__xludf.DUMMYFUNCTION("""COMPUTED_VALUE"""),"570-815-7256")</f>
        <v>570-815-7256</v>
      </c>
      <c r="D32" s="399" t="str">
        <f>IFERROR(__xludf.DUMMYFUNCTION("""COMPUTED_VALUE"""),"KR Flyer Mesh Lite black/royal size 10.5 ")</f>
        <v>KR Flyer Mesh Lite black/royal size 10.5 </v>
      </c>
      <c r="E32" s="39"/>
      <c r="F32" s="39"/>
      <c r="G32" s="52"/>
      <c r="H32" s="49"/>
      <c r="I32" s="49"/>
      <c r="J32" s="49"/>
      <c r="K32" s="49"/>
      <c r="L32" s="49"/>
    </row>
    <row r="33">
      <c r="A33" s="49" t="str">
        <f>IFERROR(__xludf.DUMMYFUNCTION("""COMPUTED_VALUE"""),"18991230-2S3Z")</f>
        <v>18991230-2S3Z</v>
      </c>
      <c r="B33" s="49" t="str">
        <f>IFERROR(__xludf.DUMMYFUNCTION("""COMPUTED_VALUE"""),"Kevin Williams")</f>
        <v>Kevin Williams</v>
      </c>
      <c r="C33" s="49" t="str">
        <f>IFERROR(__xludf.DUMMYFUNCTION("""COMPUTED_VALUE"""),"570-815-7256")</f>
        <v>570-815-7256</v>
      </c>
      <c r="D33" s="399" t="str">
        <f>IFERROR(__xludf.DUMMYFUNCTION("""COMPUTED_VALUE"""),"Brunswick Renegade grey size 10 &amp; 10.5")</f>
        <v>Brunswick Renegade grey size 10 &amp; 10.5</v>
      </c>
      <c r="E33" s="39"/>
      <c r="F33" s="39"/>
      <c r="G33" s="52"/>
      <c r="H33" s="49"/>
      <c r="I33" s="49"/>
      <c r="J33" s="49"/>
      <c r="K33" s="49"/>
      <c r="L33" s="49"/>
    </row>
    <row r="34">
      <c r="A34" s="49" t="str">
        <f>IFERROR(__xludf.DUMMYFUNCTION("""COMPUTED_VALUE"""),"18991230-1IFU")</f>
        <v>18991230-1IFU</v>
      </c>
      <c r="B34" s="49" t="str">
        <f>IFERROR(__xludf.DUMMYFUNCTION("""COMPUTED_VALUE"""),"Chris Macavage")</f>
        <v>Chris Macavage</v>
      </c>
      <c r="C34" s="49" t="str">
        <f>IFERROR(__xludf.DUMMYFUNCTION("""COMPUTED_VALUE"""),"570-504-4611")</f>
        <v>570-504-4611</v>
      </c>
      <c r="D34" s="399" t="str">
        <f>IFERROR(__xludf.DUMMYFUNCTION("""COMPUTED_VALUE"""),"Hammer Dynasty 15 lb")</f>
        <v>Hammer Dynasty 15 lb</v>
      </c>
      <c r="E34" s="39"/>
      <c r="F34" s="39"/>
      <c r="G34" s="52"/>
      <c r="H34" s="49"/>
      <c r="I34" s="49"/>
      <c r="J34" s="49"/>
      <c r="K34" s="49"/>
      <c r="L34" s="49"/>
    </row>
    <row r="35">
      <c r="A35" s="49" t="str">
        <f>IFERROR(__xludf.DUMMYFUNCTION("""COMPUTED_VALUE"""),"18991230-11J1")</f>
        <v>18991230-11J1</v>
      </c>
      <c r="B35" s="49" t="str">
        <f>IFERROR(__xludf.DUMMYFUNCTION("""COMPUTED_VALUE"""),"Eddie Kozloski")</f>
        <v>Eddie Kozloski</v>
      </c>
      <c r="C35" s="49"/>
      <c r="D35" s="399" t="str">
        <f>IFERROR(__xludf.DUMMYFUNCTION("""COMPUTED_VALUE"""),"Motiv Apex Jackyl 15 lb")</f>
        <v>Motiv Apex Jackyl 15 lb</v>
      </c>
      <c r="E35" s="39"/>
      <c r="F35" s="39"/>
      <c r="G35" s="52"/>
      <c r="H35" s="49"/>
      <c r="I35" s="49"/>
      <c r="J35" s="49"/>
      <c r="K35" s="49"/>
      <c r="L35" s="49"/>
    </row>
    <row r="36">
      <c r="A36" s="49" t="str">
        <f>IFERROR(__xludf.DUMMYFUNCTION("""COMPUTED_VALUE"""),"---")</f>
        <v>---</v>
      </c>
      <c r="B36" s="49" t="str">
        <f>IFERROR(__xludf.DUMMYFUNCTION("""COMPUTED_VALUE"""),"---")</f>
        <v>---</v>
      </c>
      <c r="C36" s="49" t="str">
        <f>IFERROR(__xludf.DUMMYFUNCTION("""COMPUTED_VALUE"""),"Stock")</f>
        <v>Stock</v>
      </c>
      <c r="D36" s="399"/>
      <c r="E36" s="39" t="str">
        <f>IFERROR(__xludf.DUMMYFUNCTION("""COMPUTED_VALUE"""),"TG blue 39")</f>
        <v>TG blue 39</v>
      </c>
      <c r="F36" s="39"/>
      <c r="G36" s="52"/>
      <c r="H36" s="49" t="str">
        <f>IFERROR(__xludf.DUMMYFUNCTION("""COMPUTED_VALUE"""),"na")</f>
        <v>na</v>
      </c>
      <c r="I36" s="49" t="str">
        <f>IFERROR(__xludf.DUMMYFUNCTION("""COMPUTED_VALUE"""),"na")</f>
        <v>na</v>
      </c>
      <c r="J36" s="49"/>
      <c r="K36" s="49"/>
      <c r="L36" s="49"/>
    </row>
    <row r="37">
      <c r="A37" s="49" t="str">
        <f>IFERROR(__xludf.DUMMYFUNCTION("""COMPUTED_VALUE"""),"---")</f>
        <v>---</v>
      </c>
      <c r="B37" s="49" t="str">
        <f>IFERROR(__xludf.DUMMYFUNCTION("""COMPUTED_VALUE"""),"---")</f>
        <v>---</v>
      </c>
      <c r="C37" s="49" t="str">
        <f>IFERROR(__xludf.DUMMYFUNCTION("""COMPUTED_VALUE"""),"Maura Wisnefski")</f>
        <v>Maura Wisnefski</v>
      </c>
      <c r="D37" s="399" t="str">
        <f>IFERROR(__xludf.DUMMYFUNCTION("""COMPUTED_VALUE"""),"South")</f>
        <v>South</v>
      </c>
      <c r="E37" s="39" t="str">
        <f>IFERROR(__xludf.DUMMYFUNCTION("""COMPUTED_VALUE"""),"Brunswick Twist Lavender/Lime 12 lbs.")</f>
        <v>Brunswick Twist Lavender/Lime 12 lbs.</v>
      </c>
      <c r="F37" s="39"/>
      <c r="G37" s="52"/>
      <c r="H37" s="49" t="str">
        <f>IFERROR(__xludf.DUMMYFUNCTION("""COMPUTED_VALUE"""),"Y")</f>
        <v>Y</v>
      </c>
      <c r="I37" s="49" t="str">
        <f>IFERROR(__xludf.DUMMYFUNCTION("""COMPUTED_VALUE"""),"Y")</f>
        <v>Y</v>
      </c>
      <c r="J37" s="49"/>
      <c r="K37" s="49"/>
      <c r="L37" s="49"/>
    </row>
    <row r="38">
      <c r="A38" s="49" t="str">
        <f>IFERROR(__xludf.DUMMYFUNCTION("""COMPUTED_VALUE"""),"---")</f>
        <v>---</v>
      </c>
      <c r="B38" s="49" t="str">
        <f>IFERROR(__xludf.DUMMYFUNCTION("""COMPUTED_VALUE"""),"---")</f>
        <v>---</v>
      </c>
      <c r="C38" s="49" t="str">
        <f>IFERROR(__xludf.DUMMYFUNCTION("""COMPUTED_VALUE"""),"Stock")</f>
        <v>Stock</v>
      </c>
      <c r="D38" s="399"/>
      <c r="E38" s="39" t="str">
        <f>IFERROR(__xludf.DUMMYFUNCTION("""COMPUTED_VALUE"""),"TG ice 39")</f>
        <v>TG ice 39</v>
      </c>
      <c r="F38" s="39"/>
      <c r="G38" s="52"/>
      <c r="H38" s="49" t="str">
        <f>IFERROR(__xludf.DUMMYFUNCTION("""COMPUTED_VALUE"""),"na")</f>
        <v>na</v>
      </c>
      <c r="I38" s="49" t="str">
        <f>IFERROR(__xludf.DUMMYFUNCTION("""COMPUTED_VALUE"""),"na")</f>
        <v>na</v>
      </c>
      <c r="J38" s="49"/>
      <c r="K38" s="49"/>
      <c r="L38" s="49"/>
    </row>
    <row r="39">
      <c r="A39" s="49" t="str">
        <f>IFERROR(__xludf.DUMMYFUNCTION("""COMPUTED_VALUE"""),"---")</f>
        <v>---</v>
      </c>
      <c r="B39" s="49" t="str">
        <f>IFERROR(__xludf.DUMMYFUNCTION("""COMPUTED_VALUE"""),"---")</f>
        <v>---</v>
      </c>
      <c r="C39" s="49" t="str">
        <f>IFERROR(__xludf.DUMMYFUNCTION("""COMPUTED_VALUE"""),"Stock")</f>
        <v>Stock</v>
      </c>
      <c r="D39" s="399" t="str">
        <f>IFERROR(__xludf.DUMMYFUNCTION("""COMPUTED_VALUE"""),"Valley")</f>
        <v>Valley</v>
      </c>
      <c r="E39" s="39" t="str">
        <f>IFERROR(__xludf.DUMMYFUNCTION("""COMPUTED_VALUE"""),"Hammer NU 2.0 15 lb")</f>
        <v>Hammer NU 2.0 15 lb</v>
      </c>
      <c r="F39" s="39"/>
      <c r="G39" s="52"/>
      <c r="H39" s="49" t="str">
        <f>IFERROR(__xludf.DUMMYFUNCTION("""COMPUTED_VALUE"""),"na")</f>
        <v>na</v>
      </c>
      <c r="I39" s="49" t="str">
        <f>IFERROR(__xludf.DUMMYFUNCTION("""COMPUTED_VALUE"""),"na")</f>
        <v>na</v>
      </c>
      <c r="J39" s="49"/>
      <c r="K39" s="49"/>
      <c r="L39" s="49"/>
    </row>
    <row r="40">
      <c r="A40" s="49" t="str">
        <f>IFERROR(__xludf.DUMMYFUNCTION("""COMPUTED_VALUE"""),"---")</f>
        <v>---</v>
      </c>
      <c r="B40" s="49" t="str">
        <f>IFERROR(__xludf.DUMMYFUNCTION("""COMPUTED_VALUE"""),"---")</f>
        <v>---</v>
      </c>
      <c r="C40" s="49" t="str">
        <f>IFERROR(__xludf.DUMMYFUNCTION("""COMPUTED_VALUE"""),"Angelo Barry")</f>
        <v>Angelo Barry</v>
      </c>
      <c r="D40" s="399" t="str">
        <f>IFERROR(__xludf.DUMMYFUNCTION("""COMPUTED_VALUE"""),"South")</f>
        <v>South</v>
      </c>
      <c r="E40" s="39" t="str">
        <f>IFERROR(__xludf.DUMMYFUNCTION("""COMPUTED_VALUE"""),"Danger Zone Solid 15lb")</f>
        <v>Danger Zone Solid 15lb</v>
      </c>
      <c r="F40" s="39"/>
      <c r="G40" s="52"/>
      <c r="H40" s="49" t="str">
        <f>IFERROR(__xludf.DUMMYFUNCTION("""COMPUTED_VALUE"""),"Y")</f>
        <v>Y</v>
      </c>
      <c r="I40" s="49" t="str">
        <f>IFERROR(__xludf.DUMMYFUNCTION("""COMPUTED_VALUE"""),"Y")</f>
        <v>Y</v>
      </c>
      <c r="J40" s="49"/>
      <c r="K40" s="49"/>
      <c r="L40" s="49"/>
    </row>
    <row r="41">
      <c r="A41" s="49" t="str">
        <f>IFERROR(__xludf.DUMMYFUNCTION("""COMPUTED_VALUE"""),"---")</f>
        <v>---</v>
      </c>
      <c r="B41" s="49" t="str">
        <f>IFERROR(__xludf.DUMMYFUNCTION("""COMPUTED_VALUE"""),"---")</f>
        <v>---</v>
      </c>
      <c r="C41" s="49" t="str">
        <f>IFERROR(__xludf.DUMMYFUNCTION("""COMPUTED_VALUE"""),"Kevin Williams")</f>
        <v>Kevin Williams</v>
      </c>
      <c r="D41" s="399" t="str">
        <f>IFERROR(__xludf.DUMMYFUNCTION("""COMPUTED_VALUE"""),"South")</f>
        <v>South</v>
      </c>
      <c r="E41" s="39" t="str">
        <f>IFERROR(__xludf.DUMMYFUNCTION("""COMPUTED_VALUE"""),"Brunswick Renegade grey size 10.5")</f>
        <v>Brunswick Renegade grey size 10.5</v>
      </c>
      <c r="F41" s="39"/>
      <c r="G41" s="52"/>
      <c r="H41" s="49" t="str">
        <f>IFERROR(__xludf.DUMMYFUNCTION("""COMPUTED_VALUE"""),"na")</f>
        <v>na</v>
      </c>
      <c r="I41" s="49" t="str">
        <f>IFERROR(__xludf.DUMMYFUNCTION("""COMPUTED_VALUE"""),"na")</f>
        <v>na</v>
      </c>
      <c r="J41" s="49"/>
      <c r="K41" s="49"/>
      <c r="L41" s="49"/>
    </row>
    <row r="42">
      <c r="A42" s="49" t="str">
        <f>IFERROR(__xludf.DUMMYFUNCTION("""COMPUTED_VALUE"""),"---")</f>
        <v>---</v>
      </c>
      <c r="B42" s="49" t="str">
        <f>IFERROR(__xludf.DUMMYFUNCTION("""COMPUTED_VALUE"""),"---")</f>
        <v>---</v>
      </c>
      <c r="C42" s="49" t="str">
        <f>IFERROR(__xludf.DUMMYFUNCTION("""COMPUTED_VALUE"""),"Kim Smalls")</f>
        <v>Kim Smalls</v>
      </c>
      <c r="D42" s="399" t="str">
        <f>IFERROR(__xludf.DUMMYFUNCTION("""COMPUTED_VALUE"""),"South")</f>
        <v>South</v>
      </c>
      <c r="E42" s="39" t="str">
        <f>IFERROR(__xludf.DUMMYFUNCTION("""COMPUTED_VALUE"""),"C300 WD scarlet/gold/black 13lb")</f>
        <v>C300 WD scarlet/gold/black 13lb</v>
      </c>
      <c r="F42" s="39"/>
      <c r="G42" s="52"/>
      <c r="H42" s="49" t="str">
        <f>IFERROR(__xludf.DUMMYFUNCTION("""COMPUTED_VALUE"""),"Y")</f>
        <v>Y</v>
      </c>
      <c r="I42" s="49" t="str">
        <f>IFERROR(__xludf.DUMMYFUNCTION("""COMPUTED_VALUE"""),"Y")</f>
        <v>Y</v>
      </c>
      <c r="J42" s="49"/>
      <c r="K42" s="49"/>
      <c r="L42" s="49"/>
    </row>
    <row r="43">
      <c r="A43" s="49" t="str">
        <f>IFERROR(__xludf.DUMMYFUNCTION("""COMPUTED_VALUE"""),"---")</f>
        <v>---</v>
      </c>
      <c r="B43" s="49" t="str">
        <f>IFERROR(__xludf.DUMMYFUNCTION("""COMPUTED_VALUE"""),"---")</f>
        <v>---</v>
      </c>
      <c r="C43" s="49" t="str">
        <f>IFERROR(__xludf.DUMMYFUNCTION("""COMPUTED_VALUE"""),"Stock")</f>
        <v>Stock</v>
      </c>
      <c r="D43" s="399" t="str">
        <f>IFERROR(__xludf.DUMMYFUNCTION("""COMPUTED_VALUE"""),"Valley")</f>
        <v>Valley</v>
      </c>
      <c r="E43" s="39" t="str">
        <f>IFERROR(__xludf.DUMMYFUNCTION("""COMPUTED_VALUE"""),"Brunswick Danger Zone Pearl 15 lb")</f>
        <v>Brunswick Danger Zone Pearl 15 lb</v>
      </c>
      <c r="F43" s="39"/>
      <c r="G43" s="52"/>
      <c r="H43" s="49" t="str">
        <f>IFERROR(__xludf.DUMMYFUNCTION("""COMPUTED_VALUE"""),"na")</f>
        <v>na</v>
      </c>
      <c r="I43" s="49" t="str">
        <f>IFERROR(__xludf.DUMMYFUNCTION("""COMPUTED_VALUE"""),"na")</f>
        <v>na</v>
      </c>
      <c r="J43" s="49"/>
      <c r="K43" s="49"/>
      <c r="L43" s="49"/>
    </row>
    <row r="44">
      <c r="A44" s="49" t="str">
        <f>IFERROR(__xludf.DUMMYFUNCTION("""COMPUTED_VALUE"""),"xf")</f>
        <v>xf</v>
      </c>
      <c r="B44" s="49" t="str">
        <f>IFERROR(__xludf.DUMMYFUNCTION("""COMPUTED_VALUE"""),"---")</f>
        <v>---</v>
      </c>
      <c r="C44" s="49" t="str">
        <f>IFERROR(__xludf.DUMMYFUNCTION("""COMPUTED_VALUE"""),"Christian Halliday")</f>
        <v>Christian Halliday</v>
      </c>
      <c r="D44" s="399" t="str">
        <f>IFERROR(__xludf.DUMMYFUNCTION("""COMPUTED_VALUE"""),"South")</f>
        <v>South</v>
      </c>
      <c r="E44" s="39" t="str">
        <f>IFERROR(__xludf.DUMMYFUNCTION("""COMPUTED_VALUE"""),"Hammer Arctic Vibe 15lb")</f>
        <v>Hammer Arctic Vibe 15lb</v>
      </c>
      <c r="F44" s="39"/>
      <c r="G44" s="52"/>
      <c r="H44" s="49" t="str">
        <f>IFERROR(__xludf.DUMMYFUNCTION("""COMPUTED_VALUE"""),"Y")</f>
        <v>Y</v>
      </c>
      <c r="I44" s="49" t="str">
        <f>IFERROR(__xludf.DUMMYFUNCTION("""COMPUTED_VALUE"""),"Y")</f>
        <v>Y</v>
      </c>
      <c r="J44" s="49"/>
      <c r="K44" s="49"/>
      <c r="L44" s="49"/>
    </row>
    <row r="45">
      <c r="A45" s="49" t="str">
        <f>IFERROR(__xludf.DUMMYFUNCTION("""COMPUTED_VALUE"""),"---")</f>
        <v>---</v>
      </c>
      <c r="B45" s="49" t="str">
        <f>IFERROR(__xludf.DUMMYFUNCTION("""COMPUTED_VALUE"""),"---")</f>
        <v>---</v>
      </c>
      <c r="C45" s="49" t="str">
        <f>IFERROR(__xludf.DUMMYFUNCTION("""COMPUTED_VALUE"""),"Jim Bingham")</f>
        <v>Jim Bingham</v>
      </c>
      <c r="D45" s="399" t="str">
        <f>IFERROR(__xludf.DUMMYFUNCTION("""COMPUTED_VALUE"""),"South")</f>
        <v>South</v>
      </c>
      <c r="E45" s="39" t="str">
        <f>IFERROR(__xludf.DUMMYFUNCTION("""COMPUTED_VALUE"""),"Storm Ion Pro Solid 16 lb")</f>
        <v>Storm Ion Pro Solid 16 lb</v>
      </c>
      <c r="F45" s="39"/>
      <c r="G45" s="52"/>
      <c r="H45" s="49" t="str">
        <f>IFERROR(__xludf.DUMMYFUNCTION("""COMPUTED_VALUE"""),"Y")</f>
        <v>Y</v>
      </c>
      <c r="I45" s="49" t="str">
        <f>IFERROR(__xludf.DUMMYFUNCTION("""COMPUTED_VALUE"""),"Y")</f>
        <v>Y</v>
      </c>
      <c r="J45" s="49"/>
      <c r="K45" s="49"/>
      <c r="L45" s="49"/>
    </row>
    <row r="46">
      <c r="A46" s="49" t="str">
        <f>IFERROR(__xludf.DUMMYFUNCTION("""COMPUTED_VALUE"""),"---")</f>
        <v>---</v>
      </c>
      <c r="B46" s="49" t="str">
        <f>IFERROR(__xludf.DUMMYFUNCTION("""COMPUTED_VALUE"""),"---")</f>
        <v>---</v>
      </c>
      <c r="C46" s="49" t="str">
        <f>IFERROR(__xludf.DUMMYFUNCTION("""COMPUTED_VALUE"""),"Troy Petrillo")</f>
        <v>Troy Petrillo</v>
      </c>
      <c r="D46" s="399" t="str">
        <f>IFERROR(__xludf.DUMMYFUNCTION("""COMPUTED_VALUE"""),"South")</f>
        <v>South</v>
      </c>
      <c r="E46" s="39" t="str">
        <f>IFERROR(__xludf.DUMMYFUNCTION("""COMPUTED_VALUE"""),"Dexter Turbo BOA white size 10.5")</f>
        <v>Dexter Turbo BOA white size 10.5</v>
      </c>
      <c r="F46" s="39"/>
      <c r="G46" s="52"/>
      <c r="H46" s="49" t="str">
        <f>IFERROR(__xludf.DUMMYFUNCTION("""COMPUTED_VALUE"""),"Y")</f>
        <v>Y</v>
      </c>
      <c r="I46" s="49" t="str">
        <f>IFERROR(__xludf.DUMMYFUNCTION("""COMPUTED_VALUE"""),"Y")</f>
        <v>Y</v>
      </c>
      <c r="J46" s="49"/>
      <c r="K46" s="49"/>
      <c r="L46" s="49"/>
    </row>
    <row r="47">
      <c r="A47" s="49" t="str">
        <f>IFERROR(__xludf.DUMMYFUNCTION("""COMPUTED_VALUE"""),"---")</f>
        <v>---</v>
      </c>
      <c r="B47" s="49" t="str">
        <f>IFERROR(__xludf.DUMMYFUNCTION("""COMPUTED_VALUE"""),"---")</f>
        <v>---</v>
      </c>
      <c r="C47" s="49" t="str">
        <f>IFERROR(__xludf.DUMMYFUNCTION("""COMPUTED_VALUE"""),"Joe Melucci")</f>
        <v>Joe Melucci</v>
      </c>
      <c r="D47" s="399" t="str">
        <f>IFERROR(__xludf.DUMMYFUNCTION("""COMPUTED_VALUE"""),"South")</f>
        <v>South</v>
      </c>
      <c r="E47" s="39" t="str">
        <f>IFERROR(__xludf.DUMMYFUNCTION("""COMPUTED_VALUE"""),"Storm Next Factor 14 lb")</f>
        <v>Storm Next Factor 14 lb</v>
      </c>
      <c r="F47" s="39"/>
      <c r="G47" s="52"/>
      <c r="H47" s="49" t="str">
        <f>IFERROR(__xludf.DUMMYFUNCTION("""COMPUTED_VALUE"""),"Y")</f>
        <v>Y</v>
      </c>
      <c r="I47" s="49" t="str">
        <f>IFERROR(__xludf.DUMMYFUNCTION("""COMPUTED_VALUE"""),"Y")</f>
        <v>Y</v>
      </c>
      <c r="J47" s="49"/>
      <c r="K47" s="49"/>
      <c r="L47" s="49"/>
    </row>
    <row r="48">
      <c r="A48" s="49" t="str">
        <f>IFERROR(__xludf.DUMMYFUNCTION("""COMPUTED_VALUE"""),"---")</f>
        <v>---</v>
      </c>
      <c r="B48" s="49" t="str">
        <f>IFERROR(__xludf.DUMMYFUNCTION("""COMPUTED_VALUE"""),"---")</f>
        <v>---</v>
      </c>
      <c r="C48" s="49" t="str">
        <f>IFERROR(__xludf.DUMMYFUNCTION("""COMPUTED_VALUE"""),"Adam Jaffe")</f>
        <v>Adam Jaffe</v>
      </c>
      <c r="D48" s="399" t="str">
        <f>IFERROR(__xludf.DUMMYFUNCTION("""COMPUTED_VALUE"""),"South")</f>
        <v>South</v>
      </c>
      <c r="E48" s="39" t="str">
        <f>IFERROR(__xludf.DUMMYFUNCTION("""COMPUTED_VALUE"""),"White dot purple/black/silver 14lbs")</f>
        <v>White dot purple/black/silver 14lbs</v>
      </c>
      <c r="F48" s="39"/>
      <c r="G48" s="52"/>
      <c r="H48" s="49" t="str">
        <f>IFERROR(__xludf.DUMMYFUNCTION("""COMPUTED_VALUE"""),"Y")</f>
        <v>Y</v>
      </c>
      <c r="I48" s="49" t="str">
        <f>IFERROR(__xludf.DUMMYFUNCTION("""COMPUTED_VALUE"""),"Y")</f>
        <v>Y</v>
      </c>
      <c r="J48" s="49"/>
      <c r="K48" s="49"/>
      <c r="L48" s="49"/>
    </row>
    <row r="49">
      <c r="A49" s="49" t="str">
        <f>IFERROR(__xludf.DUMMYFUNCTION("""COMPUTED_VALUE"""),"---")</f>
        <v>---</v>
      </c>
      <c r="B49" s="49" t="str">
        <f>IFERROR(__xludf.DUMMYFUNCTION("""COMPUTED_VALUE"""),"---")</f>
        <v>---</v>
      </c>
      <c r="C49" s="49" t="str">
        <f>IFERROR(__xludf.DUMMYFUNCTION("""COMPUTED_VALUE"""),"Greg Matievich")</f>
        <v>Greg Matievich</v>
      </c>
      <c r="D49" s="399" t="str">
        <f>IFERROR(__xludf.DUMMYFUNCTION("""COMPUTED_VALUE"""),"South")</f>
        <v>South</v>
      </c>
      <c r="E49" s="39" t="str">
        <f>IFERROR(__xludf.DUMMYFUNCTION("""COMPUTED_VALUE"""),"Hammer NU 2.0 14 lb")</f>
        <v>Hammer NU 2.0 14 lb</v>
      </c>
      <c r="F49" s="39"/>
      <c r="G49" s="52"/>
      <c r="H49" s="49" t="str">
        <f>IFERROR(__xludf.DUMMYFUNCTION("""COMPUTED_VALUE"""),"Y")</f>
        <v>Y</v>
      </c>
      <c r="I49" s="49" t="str">
        <f>IFERROR(__xludf.DUMMYFUNCTION("""COMPUTED_VALUE"""),"Y")</f>
        <v>Y</v>
      </c>
      <c r="J49" s="49"/>
      <c r="K49" s="49"/>
      <c r="L49" s="49"/>
    </row>
    <row r="50">
      <c r="A50" s="49" t="str">
        <f>IFERROR(__xludf.DUMMYFUNCTION("""COMPUTED_VALUE"""),"---")</f>
        <v>---</v>
      </c>
      <c r="B50" s="49" t="str">
        <f>IFERROR(__xludf.DUMMYFUNCTION("""COMPUTED_VALUE"""),"---")</f>
        <v>---</v>
      </c>
      <c r="C50" s="49" t="str">
        <f>IFERROR(__xludf.DUMMYFUNCTION("""COMPUTED_VALUE"""),"Keith Griffiths")</f>
        <v>Keith Griffiths</v>
      </c>
      <c r="D50" s="399" t="str">
        <f>IFERROR(__xludf.DUMMYFUNCTION("""COMPUTED_VALUE"""),"South")</f>
        <v>South</v>
      </c>
      <c r="E50" s="39" t="str">
        <f>IFERROR(__xludf.DUMMYFUNCTION("""COMPUTED_VALUE"""),"Brunswick Danger Zone Pearl 15 lb")</f>
        <v>Brunswick Danger Zone Pearl 15 lb</v>
      </c>
      <c r="F50" s="39"/>
      <c r="G50" s="52"/>
      <c r="H50" s="49" t="str">
        <f>IFERROR(__xludf.DUMMYFUNCTION("""COMPUTED_VALUE"""),"Y")</f>
        <v>Y</v>
      </c>
      <c r="I50" s="49" t="str">
        <f>IFERROR(__xludf.DUMMYFUNCTION("""COMPUTED_VALUE"""),"Y")</f>
        <v>Y</v>
      </c>
      <c r="J50" s="49"/>
      <c r="K50" s="49"/>
      <c r="L50" s="49"/>
    </row>
    <row r="51">
      <c r="A51" s="49" t="str">
        <f>IFERROR(__xludf.DUMMYFUNCTION("""COMPUTED_VALUE"""),"---")</f>
        <v>---</v>
      </c>
      <c r="B51" s="49" t="str">
        <f>IFERROR(__xludf.DUMMYFUNCTION("""COMPUTED_VALUE"""),"---")</f>
        <v>---</v>
      </c>
      <c r="C51" s="49" t="str">
        <f>IFERROR(__xludf.DUMMYFUNCTION("""COMPUTED_VALUE"""),"Stock")</f>
        <v>Stock</v>
      </c>
      <c r="D51" s="399" t="str">
        <f>IFERROR(__xludf.DUMMYFUNCTION("""COMPUTED_VALUE"""),"South")</f>
        <v>South</v>
      </c>
      <c r="E51" s="39" t="str">
        <f>IFERROR(__xludf.DUMMYFUNCTION("""COMPUTED_VALUE"""),"Ebonite Turbo X 15 lb")</f>
        <v>Ebonite Turbo X 15 lb</v>
      </c>
      <c r="F51" s="39"/>
      <c r="G51" s="52"/>
      <c r="H51" s="49" t="str">
        <f>IFERROR(__xludf.DUMMYFUNCTION("""COMPUTED_VALUE"""),"na")</f>
        <v>na</v>
      </c>
      <c r="I51" s="49" t="str">
        <f>IFERROR(__xludf.DUMMYFUNCTION("""COMPUTED_VALUE"""),"na")</f>
        <v>na</v>
      </c>
      <c r="J51" s="49"/>
      <c r="K51" s="49"/>
      <c r="L51" s="49"/>
    </row>
    <row r="52">
      <c r="A52" s="49" t="str">
        <f>IFERROR(__xludf.DUMMYFUNCTION("""COMPUTED_VALUE"""),"---")</f>
        <v>---</v>
      </c>
      <c r="B52" s="49" t="str">
        <f>IFERROR(__xludf.DUMMYFUNCTION("""COMPUTED_VALUE"""),"---")</f>
        <v>---</v>
      </c>
      <c r="C52" s="49" t="str">
        <f>IFERROR(__xludf.DUMMYFUNCTION("""COMPUTED_VALUE"""),"Stock")</f>
        <v>Stock</v>
      </c>
      <c r="D52" s="399"/>
      <c r="E52" s="39" t="str">
        <f>IFERROR(__xludf.DUMMYFUNCTION("""COMPUTED_VALUE"""),"Turbo switch-a-roo")</f>
        <v>Turbo switch-a-roo</v>
      </c>
      <c r="F52" s="39"/>
      <c r="G52" s="52"/>
      <c r="H52" s="49" t="str">
        <f>IFERROR(__xludf.DUMMYFUNCTION("""COMPUTED_VALUE"""),"na")</f>
        <v>na</v>
      </c>
      <c r="I52" s="49" t="str">
        <f>IFERROR(__xludf.DUMMYFUNCTION("""COMPUTED_VALUE"""),"na")</f>
        <v>na</v>
      </c>
      <c r="J52" s="49"/>
      <c r="K52" s="49"/>
      <c r="L52" s="49"/>
    </row>
    <row r="53">
      <c r="A53" s="49" t="str">
        <f>IFERROR(__xludf.DUMMYFUNCTION("""COMPUTED_VALUE"""),"---")</f>
        <v>---</v>
      </c>
      <c r="B53" s="49" t="str">
        <f>IFERROR(__xludf.DUMMYFUNCTION("""COMPUTED_VALUE"""),"---")</f>
        <v>---</v>
      </c>
      <c r="C53" s="49" t="str">
        <f>IFERROR(__xludf.DUMMYFUNCTION("""COMPUTED_VALUE"""),"Dan Very")</f>
        <v>Dan Very</v>
      </c>
      <c r="D53" s="399" t="str">
        <f>IFERROR(__xludf.DUMMYFUNCTION("""COMPUTED_VALUE"""),"Valley")</f>
        <v>Valley</v>
      </c>
      <c r="E53" s="39" t="str">
        <f>IFERROR(__xludf.DUMMYFUNCTION("""COMPUTED_VALUE"""),"Motiv evoke hysteria 13 lb")</f>
        <v>Motiv evoke hysteria 13 lb</v>
      </c>
      <c r="F53" s="39"/>
      <c r="G53" s="52"/>
      <c r="H53" s="49" t="str">
        <f>IFERROR(__xludf.DUMMYFUNCTION("""COMPUTED_VALUE"""),"Y")</f>
        <v>Y</v>
      </c>
      <c r="I53" s="49" t="str">
        <f>IFERROR(__xludf.DUMMYFUNCTION("""COMPUTED_VALUE"""),"Y")</f>
        <v>Y</v>
      </c>
      <c r="J53" s="49"/>
      <c r="K53" s="49"/>
      <c r="L53" s="49"/>
    </row>
    <row r="54">
      <c r="A54" s="49" t="str">
        <f>IFERROR(__xludf.DUMMYFUNCTION("""COMPUTED_VALUE"""),"---")</f>
        <v>---</v>
      </c>
      <c r="B54" s="49" t="str">
        <f>IFERROR(__xludf.DUMMYFUNCTION("""COMPUTED_VALUE"""),"---")</f>
        <v>---</v>
      </c>
      <c r="C54" s="49" t="str">
        <f>IFERROR(__xludf.DUMMYFUNCTION("""COMPUTED_VALUE"""),"Bobby Johnson")</f>
        <v>Bobby Johnson</v>
      </c>
      <c r="D54" s="399" t="str">
        <f>IFERROR(__xludf.DUMMYFUNCTION("""COMPUTED_VALUE"""),"Valley")</f>
        <v>Valley</v>
      </c>
      <c r="E54" s="39" t="str">
        <f>IFERROR(__xludf.DUMMYFUNCTION("""COMPUTED_VALUE"""),"hammer widow dynasty 15lbs")</f>
        <v>hammer widow dynasty 15lbs</v>
      </c>
      <c r="F54" s="39"/>
      <c r="G54" s="52"/>
      <c r="H54" s="49" t="str">
        <f>IFERROR(__xludf.DUMMYFUNCTION("""COMPUTED_VALUE"""),"Y")</f>
        <v>Y</v>
      </c>
      <c r="I54" s="49" t="str">
        <f>IFERROR(__xludf.DUMMYFUNCTION("""COMPUTED_VALUE"""),"Y")</f>
        <v>Y</v>
      </c>
      <c r="J54" s="49"/>
      <c r="K54" s="49"/>
      <c r="L54" s="49"/>
    </row>
    <row r="55">
      <c r="A55" s="49" t="str">
        <f>IFERROR(__xludf.DUMMYFUNCTION("""COMPUTED_VALUE"""),"---")</f>
        <v>---</v>
      </c>
      <c r="B55" s="49" t="str">
        <f>IFERROR(__xludf.DUMMYFUNCTION("""COMPUTED_VALUE"""),"---")</f>
        <v>---</v>
      </c>
      <c r="C55" s="49" t="str">
        <f>IFERROR(__xludf.DUMMYFUNCTION("""COMPUTED_VALUE"""),"Chris Lutz")</f>
        <v>Chris Lutz</v>
      </c>
      <c r="D55" s="399" t="str">
        <f>IFERROR(__xludf.DUMMYFUNCTION("""COMPUTED_VALUE"""),"Valley")</f>
        <v>Valley</v>
      </c>
      <c r="E55" s="39" t="str">
        <f>IFERROR(__xludf.DUMMYFUNCTION("""COMPUTED_VALUE"""),"Dexter THE 9, #10 slide pad, medium")</f>
        <v>Dexter THE 9, #10 slide pad, medium</v>
      </c>
      <c r="F55" s="39"/>
      <c r="G55" s="52"/>
      <c r="H55" s="49" t="str">
        <f>IFERROR(__xludf.DUMMYFUNCTION("""COMPUTED_VALUE"""),"Y")</f>
        <v>Y</v>
      </c>
      <c r="I55" s="49" t="str">
        <f>IFERROR(__xludf.DUMMYFUNCTION("""COMPUTED_VALUE"""),"Y")</f>
        <v>Y</v>
      </c>
      <c r="J55" s="49"/>
      <c r="K55" s="49"/>
      <c r="L55" s="49"/>
    </row>
    <row r="56">
      <c r="A56" s="49" t="str">
        <f>IFERROR(__xludf.DUMMYFUNCTION("""COMPUTED_VALUE"""),"---")</f>
        <v>---</v>
      </c>
      <c r="B56" s="49" t="str">
        <f>IFERROR(__xludf.DUMMYFUNCTION("""COMPUTED_VALUE"""),"---")</f>
        <v>---</v>
      </c>
      <c r="C56" s="49" t="str">
        <f>IFERROR(__xludf.DUMMYFUNCTION("""COMPUTED_VALUE"""),"Stock")</f>
        <v>Stock</v>
      </c>
      <c r="D56" s="399"/>
      <c r="E56" s="39" t="str">
        <f>IFERROR(__xludf.DUMMYFUNCTION("""COMPUTED_VALUE"""),"Brunswick #6 sole")</f>
        <v>Brunswick #6 sole</v>
      </c>
      <c r="F56" s="39"/>
      <c r="G56" s="52"/>
      <c r="H56" s="49" t="str">
        <f>IFERROR(__xludf.DUMMYFUNCTION("""COMPUTED_VALUE"""),"na")</f>
        <v>na</v>
      </c>
      <c r="I56" s="49" t="str">
        <f>IFERROR(__xludf.DUMMYFUNCTION("""COMPUTED_VALUE"""),"na")</f>
        <v>na</v>
      </c>
      <c r="J56" s="49"/>
      <c r="K56" s="49"/>
      <c r="L56" s="49"/>
    </row>
    <row r="57">
      <c r="A57" s="49" t="str">
        <f>IFERROR(__xludf.DUMMYFUNCTION("""COMPUTED_VALUE"""),"---")</f>
        <v>---</v>
      </c>
      <c r="B57" s="49" t="str">
        <f>IFERROR(__xludf.DUMMYFUNCTION("""COMPUTED_VALUE"""),"---")</f>
        <v>---</v>
      </c>
      <c r="C57" s="49" t="str">
        <f>IFERROR(__xludf.DUMMYFUNCTION("""COMPUTED_VALUE"""),"Paul Ward")</f>
        <v>Paul Ward</v>
      </c>
      <c r="D57" s="399" t="str">
        <f>IFERROR(__xludf.DUMMYFUNCTION("""COMPUTED_VALUE"""),"South")</f>
        <v>South</v>
      </c>
      <c r="E57" s="39" t="str">
        <f>IFERROR(__xludf.DUMMYFUNCTION("""COMPUTED_VALUE"""),"Storm Typhoon 14 lb")</f>
        <v>Storm Typhoon 14 lb</v>
      </c>
      <c r="F57" s="39"/>
      <c r="G57" s="52"/>
      <c r="H57" s="49" t="str">
        <f>IFERROR(__xludf.DUMMYFUNCTION("""COMPUTED_VALUE"""),"Y")</f>
        <v>Y</v>
      </c>
      <c r="I57" s="49" t="str">
        <f>IFERROR(__xludf.DUMMYFUNCTION("""COMPUTED_VALUE"""),"Y")</f>
        <v>Y</v>
      </c>
      <c r="J57" s="49"/>
      <c r="K57" s="49"/>
      <c r="L57" s="49"/>
    </row>
    <row r="58">
      <c r="A58" s="49" t="str">
        <f>IFERROR(__xludf.DUMMYFUNCTION("""COMPUTED_VALUE"""),"---")</f>
        <v>---</v>
      </c>
      <c r="B58" s="49" t="str">
        <f>IFERROR(__xludf.DUMMYFUNCTION("""COMPUTED_VALUE"""),"---")</f>
        <v>---</v>
      </c>
      <c r="C58" s="49" t="str">
        <f>IFERROR(__xludf.DUMMYFUNCTION("""COMPUTED_VALUE"""),"Preston")</f>
        <v>Preston</v>
      </c>
      <c r="D58" s="399" t="str">
        <f>IFERROR(__xludf.DUMMYFUNCTION("""COMPUTED_VALUE"""),"Valley")</f>
        <v>Valley</v>
      </c>
      <c r="E58" s="39" t="str">
        <f>IFERROR(__xludf.DUMMYFUNCTION("""COMPUTED_VALUE"""),"Storm IQ Tour 14 lb")</f>
        <v>Storm IQ Tour 14 lb</v>
      </c>
      <c r="F58" s="39"/>
      <c r="G58" s="52"/>
      <c r="H58" s="49" t="str">
        <f>IFERROR(__xludf.DUMMYFUNCTION("""COMPUTED_VALUE"""),"Y")</f>
        <v>Y</v>
      </c>
      <c r="I58" s="49" t="str">
        <f>IFERROR(__xludf.DUMMYFUNCTION("""COMPUTED_VALUE"""),"Y")</f>
        <v>Y</v>
      </c>
      <c r="J58" s="49"/>
      <c r="K58" s="49"/>
      <c r="L58" s="49"/>
    </row>
    <row r="59">
      <c r="A59" s="49" t="str">
        <f>IFERROR(__xludf.DUMMYFUNCTION("""COMPUTED_VALUE"""),"---")</f>
        <v>---</v>
      </c>
      <c r="B59" s="49" t="str">
        <f>IFERROR(__xludf.DUMMYFUNCTION("""COMPUTED_VALUE"""),"---")</f>
        <v>---</v>
      </c>
      <c r="C59" s="49" t="str">
        <f>IFERROR(__xludf.DUMMYFUNCTION("""COMPUTED_VALUE"""),"Christine Auriemma")</f>
        <v>Christine Auriemma</v>
      </c>
      <c r="D59" s="399" t="str">
        <f>IFERROR(__xludf.DUMMYFUNCTION("""COMPUTED_VALUE"""),"South")</f>
        <v>South</v>
      </c>
      <c r="E59" s="39" t="str">
        <f>IFERROR(__xludf.DUMMYFUNCTION("""COMPUTED_VALUE"""),"Brunswick Zone single roller black")</f>
        <v>Brunswick Zone single roller black</v>
      </c>
      <c r="F59" s="39"/>
      <c r="G59" s="52"/>
      <c r="H59" s="49" t="str">
        <f>IFERROR(__xludf.DUMMYFUNCTION("""COMPUTED_VALUE"""),"Y")</f>
        <v>Y</v>
      </c>
      <c r="I59" s="49" t="str">
        <f>IFERROR(__xludf.DUMMYFUNCTION("""COMPUTED_VALUE"""),"Y")</f>
        <v>Y</v>
      </c>
      <c r="J59" s="49"/>
      <c r="K59" s="49"/>
      <c r="L59" s="49"/>
    </row>
    <row r="60">
      <c r="A60" s="49" t="str">
        <f>IFERROR(__xludf.DUMMYFUNCTION("""COMPUTED_VALUE"""),"---")</f>
        <v>---</v>
      </c>
      <c r="B60" s="49" t="str">
        <f>IFERROR(__xludf.DUMMYFUNCTION("""COMPUTED_VALUE"""),"---")</f>
        <v>---</v>
      </c>
      <c r="C60" s="49" t="str">
        <f>IFERROR(__xludf.DUMMYFUNCTION("""COMPUTED_VALUE"""),"Cody Wilcox")</f>
        <v>Cody Wilcox</v>
      </c>
      <c r="D60" s="399" t="str">
        <f>IFERROR(__xludf.DUMMYFUNCTION("""COMPUTED_VALUE"""),"Valley")</f>
        <v>Valley</v>
      </c>
      <c r="E60" s="39" t="str">
        <f>IFERROR(__xludf.DUMMYFUNCTION("""COMPUTED_VALUE"""),"Hammer Hammerhead Pearl 15 lb")</f>
        <v>Hammer Hammerhead Pearl 15 lb</v>
      </c>
      <c r="F60" s="39"/>
      <c r="G60" s="52"/>
      <c r="H60" s="49" t="str">
        <f>IFERROR(__xludf.DUMMYFUNCTION("""COMPUTED_VALUE"""),"Y")</f>
        <v>Y</v>
      </c>
      <c r="I60" s="49" t="str">
        <f>IFERROR(__xludf.DUMMYFUNCTION("""COMPUTED_VALUE"""),"Y")</f>
        <v>Y</v>
      </c>
      <c r="J60" s="49"/>
      <c r="K60" s="49"/>
      <c r="L60" s="49"/>
    </row>
    <row r="61">
      <c r="A61" s="49" t="str">
        <f>IFERROR(__xludf.DUMMYFUNCTION("""COMPUTED_VALUE"""),"---")</f>
        <v>---</v>
      </c>
      <c r="B61" s="49" t="str">
        <f>IFERROR(__xludf.DUMMYFUNCTION("""COMPUTED_VALUE"""),"---")</f>
        <v>---</v>
      </c>
      <c r="C61" s="49" t="str">
        <f>IFERROR(__xludf.DUMMYFUNCTION("""COMPUTED_VALUE"""),"Joe Pica")</f>
        <v>Joe Pica</v>
      </c>
      <c r="D61" s="399" t="str">
        <f>IFERROR(__xludf.DUMMYFUNCTION("""COMPUTED_VALUE"""),"Valley")</f>
        <v>Valley</v>
      </c>
      <c r="E61" s="39" t="str">
        <f>IFERROR(__xludf.DUMMYFUNCTION("""COMPUTED_VALUE"""),"Hammer Dynasty 14 lb")</f>
        <v>Hammer Dynasty 14 lb</v>
      </c>
      <c r="F61" s="39"/>
      <c r="G61" s="52"/>
      <c r="H61" s="49" t="str">
        <f>IFERROR(__xludf.DUMMYFUNCTION("""COMPUTED_VALUE"""),"Y")</f>
        <v>Y</v>
      </c>
      <c r="I61" s="49" t="str">
        <f>IFERROR(__xludf.DUMMYFUNCTION("""COMPUTED_VALUE"""),"Y")</f>
        <v>Y</v>
      </c>
      <c r="J61" s="49"/>
      <c r="K61" s="49"/>
      <c r="L61" s="49"/>
    </row>
    <row r="62">
      <c r="A62" s="49" t="str">
        <f>IFERROR(__xludf.DUMMYFUNCTION("""COMPUTED_VALUE"""),"---")</f>
        <v>---</v>
      </c>
      <c r="B62" s="49" t="str">
        <f>IFERROR(__xludf.DUMMYFUNCTION("""COMPUTED_VALUE"""),"---")</f>
        <v>---</v>
      </c>
      <c r="C62" s="49" t="str">
        <f>IFERROR(__xludf.DUMMYFUNCTION("""COMPUTED_VALUE"""),"Michael Marinelli")</f>
        <v>Michael Marinelli</v>
      </c>
      <c r="D62" s="399" t="str">
        <f>IFERROR(__xludf.DUMMYFUNCTION("""COMPUTED_VALUE"""),"Valley")</f>
        <v>Valley</v>
      </c>
      <c r="E62" s="39" t="str">
        <f>IFERROR(__xludf.DUMMYFUNCTION("""COMPUTED_VALUE"""),"Hammer Dynasty 14 lb")</f>
        <v>Hammer Dynasty 14 lb</v>
      </c>
      <c r="F62" s="39"/>
      <c r="G62" s="52"/>
      <c r="H62" s="49" t="str">
        <f>IFERROR(__xludf.DUMMYFUNCTION("""COMPUTED_VALUE"""),"Y")</f>
        <v>Y</v>
      </c>
      <c r="I62" s="49" t="str">
        <f>IFERROR(__xludf.DUMMYFUNCTION("""COMPUTED_VALUE"""),"Y")</f>
        <v>Y</v>
      </c>
      <c r="J62" s="49"/>
      <c r="K62" s="49"/>
      <c r="L62" s="49"/>
    </row>
    <row r="63">
      <c r="A63" s="49" t="str">
        <f>IFERROR(__xludf.DUMMYFUNCTION("""COMPUTED_VALUE"""),"---")</f>
        <v>---</v>
      </c>
      <c r="B63" s="49" t="str">
        <f>IFERROR(__xludf.DUMMYFUNCTION("""COMPUTED_VALUE"""),"---")</f>
        <v>---</v>
      </c>
      <c r="C63" s="49" t="str">
        <f>IFERROR(__xludf.DUMMYFUNCTION("""COMPUTED_VALUE"""),"Stock")</f>
        <v>Stock</v>
      </c>
      <c r="D63" s="399"/>
      <c r="E63" s="39" t="str">
        <f>IFERROR(__xludf.DUMMYFUNCTION("""COMPUTED_VALUE"""),"Hammer NU 2.0 15 lb")</f>
        <v>Hammer NU 2.0 15 lb</v>
      </c>
      <c r="F63" s="39"/>
      <c r="G63" s="52"/>
      <c r="H63" s="49" t="str">
        <f>IFERROR(__xludf.DUMMYFUNCTION("""COMPUTED_VALUE"""),"na")</f>
        <v>na</v>
      </c>
      <c r="I63" s="49" t="str">
        <f>IFERROR(__xludf.DUMMYFUNCTION("""COMPUTED_VALUE"""),"na")</f>
        <v>na</v>
      </c>
      <c r="J63" s="49"/>
      <c r="K63" s="49"/>
      <c r="L63" s="49"/>
    </row>
    <row r="64">
      <c r="A64" s="49" t="str">
        <f>IFERROR(__xludf.DUMMYFUNCTION("""COMPUTED_VALUE"""),"---")</f>
        <v>---</v>
      </c>
      <c r="B64" s="49" t="str">
        <f>IFERROR(__xludf.DUMMYFUNCTION("""COMPUTED_VALUE"""),"---")</f>
        <v>---</v>
      </c>
      <c r="C64" s="49" t="str">
        <f>IFERROR(__xludf.DUMMYFUNCTION("""COMPUTED_VALUE"""),"John Schwarztrauber")</f>
        <v>John Schwarztrauber</v>
      </c>
      <c r="D64" s="399" t="str">
        <f>IFERROR(__xludf.DUMMYFUNCTION("""COMPUTED_VALUE"""),"South")</f>
        <v>South</v>
      </c>
      <c r="E64" s="39" t="str">
        <f>IFERROR(__xludf.DUMMYFUNCTION("""COMPUTED_VALUE"""),"Storm equinox pearl 14lb")</f>
        <v>Storm equinox pearl 14lb</v>
      </c>
      <c r="F64" s="39"/>
      <c r="G64" s="52"/>
      <c r="H64" s="49" t="str">
        <f>IFERROR(__xludf.DUMMYFUNCTION("""COMPUTED_VALUE"""),"Y")</f>
        <v>Y</v>
      </c>
      <c r="I64" s="49" t="str">
        <f>IFERROR(__xludf.DUMMYFUNCTION("""COMPUTED_VALUE"""),"Y")</f>
        <v>Y</v>
      </c>
      <c r="J64" s="49"/>
      <c r="K64" s="49"/>
      <c r="L64" s="49"/>
    </row>
    <row r="65">
      <c r="A65" s="49" t="str">
        <f>IFERROR(__xludf.DUMMYFUNCTION("""COMPUTED_VALUE"""),"---")</f>
        <v>---</v>
      </c>
      <c r="B65" s="49" t="str">
        <f>IFERROR(__xludf.DUMMYFUNCTION("""COMPUTED_VALUE"""),"---")</f>
        <v>---</v>
      </c>
      <c r="C65" s="49" t="str">
        <f>IFERROR(__xludf.DUMMYFUNCTION("""COMPUTED_VALUE"""),"Gino Arcurie")</f>
        <v>Gino Arcurie</v>
      </c>
      <c r="D65" s="399" t="str">
        <f>IFERROR(__xludf.DUMMYFUNCTION("""COMPUTED_VALUE"""),"South")</f>
        <v>South</v>
      </c>
      <c r="E65" s="39" t="str">
        <f>IFERROR(__xludf.DUMMYFUNCTION("""COMPUTED_VALUE"""),"Hammer Anger Solid 12 lb")</f>
        <v>Hammer Anger Solid 12 lb</v>
      </c>
      <c r="F65" s="39"/>
      <c r="G65" s="52"/>
      <c r="H65" s="49" t="str">
        <f>IFERROR(__xludf.DUMMYFUNCTION("""COMPUTED_VALUE"""),"Y")</f>
        <v>Y</v>
      </c>
      <c r="I65" s="49" t="str">
        <f>IFERROR(__xludf.DUMMYFUNCTION("""COMPUTED_VALUE"""),"Y")</f>
        <v>Y</v>
      </c>
      <c r="J65" s="49"/>
      <c r="K65" s="49"/>
      <c r="L65" s="49"/>
    </row>
    <row r="66">
      <c r="A66" s="49" t="str">
        <f>IFERROR(__xludf.DUMMYFUNCTION("""COMPUTED_VALUE"""),"---")</f>
        <v>---</v>
      </c>
      <c r="B66" s="49" t="str">
        <f>IFERROR(__xludf.DUMMYFUNCTION("""COMPUTED_VALUE"""),"---")</f>
        <v>---</v>
      </c>
      <c r="C66" s="49" t="str">
        <f>IFERROR(__xludf.DUMMYFUNCTION("""COMPUTED_VALUE"""),"Stacy Costanzo")</f>
        <v>Stacy Costanzo</v>
      </c>
      <c r="D66" s="399" t="str">
        <f>IFERROR(__xludf.DUMMYFUNCTION("""COMPUTED_VALUE"""),"Valley")</f>
        <v>Valley</v>
      </c>
      <c r="E66" s="39" t="str">
        <f>IFERROR(__xludf.DUMMYFUNCTION("""COMPUTED_VALUE"""),"Hammer Zero Mercy Solid 14 lb")</f>
        <v>Hammer Zero Mercy Solid 14 lb</v>
      </c>
      <c r="F66" s="39"/>
      <c r="G66" s="52"/>
      <c r="H66" s="49" t="str">
        <f>IFERROR(__xludf.DUMMYFUNCTION("""COMPUTED_VALUE"""),"Y")</f>
        <v>Y</v>
      </c>
      <c r="I66" s="49" t="str">
        <f>IFERROR(__xludf.DUMMYFUNCTION("""COMPUTED_VALUE"""),"Y")</f>
        <v>Y</v>
      </c>
      <c r="J66" s="49"/>
      <c r="K66" s="49"/>
      <c r="L66" s="49"/>
    </row>
    <row r="67">
      <c r="A67" s="49" t="str">
        <f>IFERROR(__xludf.DUMMYFUNCTION("""COMPUTED_VALUE"""),"---")</f>
        <v>---</v>
      </c>
      <c r="B67" s="49" t="str">
        <f>IFERROR(__xludf.DUMMYFUNCTION("""COMPUTED_VALUE"""),"---")</f>
        <v>---</v>
      </c>
      <c r="C67" s="49" t="str">
        <f>IFERROR(__xludf.DUMMYFUNCTION("""COMPUTED_VALUE"""),"Stock")</f>
        <v>Stock</v>
      </c>
      <c r="D67" s="399" t="str">
        <f>IFERROR(__xludf.DUMMYFUNCTION("""COMPUTED_VALUE"""),"Valley")</f>
        <v>Valley</v>
      </c>
      <c r="E67" s="39" t="str">
        <f>IFERROR(__xludf.DUMMYFUNCTION("""COMPUTED_VALUE"""),"1 3/8"" thumb slug blue/purple")</f>
        <v>1 3/8" thumb slug blue/purple</v>
      </c>
      <c r="F67" s="39"/>
      <c r="G67" s="52"/>
      <c r="H67" s="49" t="str">
        <f>IFERROR(__xludf.DUMMYFUNCTION("""COMPUTED_VALUE"""),"na")</f>
        <v>na</v>
      </c>
      <c r="I67" s="49" t="str">
        <f>IFERROR(__xludf.DUMMYFUNCTION("""COMPUTED_VALUE"""),"na")</f>
        <v>na</v>
      </c>
      <c r="J67" s="49"/>
      <c r="K67" s="49"/>
      <c r="L67" s="49"/>
    </row>
    <row r="68">
      <c r="A68" s="49" t="str">
        <f>IFERROR(__xludf.DUMMYFUNCTION("""COMPUTED_VALUE"""),"---")</f>
        <v>---</v>
      </c>
      <c r="B68" s="49" t="str">
        <f>IFERROR(__xludf.DUMMYFUNCTION("""COMPUTED_VALUE"""),"---")</f>
        <v>---</v>
      </c>
      <c r="C68" s="49" t="str">
        <f>IFERROR(__xludf.DUMMYFUNCTION("""COMPUTED_VALUE"""),"Pesarchik")</f>
        <v>Pesarchik</v>
      </c>
      <c r="D68" s="399" t="str">
        <f>IFERROR(__xludf.DUMMYFUNCTION("""COMPUTED_VALUE"""),"Valley")</f>
        <v>Valley</v>
      </c>
      <c r="E68" s="39" t="str">
        <f>IFERROR(__xludf.DUMMYFUNCTION("""COMPUTED_VALUE"""),"Dexter S6 blue microfiber sole")</f>
        <v>Dexter S6 blue microfiber sole</v>
      </c>
      <c r="F68" s="39"/>
      <c r="G68" s="52"/>
      <c r="H68" s="49" t="str">
        <f>IFERROR(__xludf.DUMMYFUNCTION("""COMPUTED_VALUE"""),"Y")</f>
        <v>Y</v>
      </c>
      <c r="I68" s="49" t="str">
        <f>IFERROR(__xludf.DUMMYFUNCTION("""COMPUTED_VALUE"""),"Y")</f>
        <v>Y</v>
      </c>
      <c r="J68" s="49"/>
      <c r="K68" s="49"/>
      <c r="L68" s="49"/>
    </row>
    <row r="69">
      <c r="A69" s="49" t="str">
        <f>IFERROR(__xludf.DUMMYFUNCTION("""COMPUTED_VALUE"""),"---")</f>
        <v>---</v>
      </c>
      <c r="B69" s="49" t="str">
        <f>IFERROR(__xludf.DUMMYFUNCTION("""COMPUTED_VALUE"""),"---")</f>
        <v>---</v>
      </c>
      <c r="C69" s="49" t="str">
        <f>IFERROR(__xludf.DUMMYFUNCTION("""COMPUTED_VALUE"""),"Stock")</f>
        <v>Stock</v>
      </c>
      <c r="D69" s="399"/>
      <c r="E69" s="39" t="str">
        <f>IFERROR(__xludf.DUMMYFUNCTION("""COMPUTED_VALUE"""),"Brunswick Punisher Double Roller grey")</f>
        <v>Brunswick Punisher Double Roller grey</v>
      </c>
      <c r="F69" s="39"/>
      <c r="G69" s="52"/>
      <c r="H69" s="49" t="str">
        <f>IFERROR(__xludf.DUMMYFUNCTION("""COMPUTED_VALUE"""),"na")</f>
        <v>na</v>
      </c>
      <c r="I69" s="49" t="str">
        <f>IFERROR(__xludf.DUMMYFUNCTION("""COMPUTED_VALUE"""),"na")</f>
        <v>na</v>
      </c>
      <c r="J69" s="49"/>
      <c r="K69" s="49"/>
      <c r="L69" s="49"/>
    </row>
    <row r="70">
      <c r="A70" s="49" t="str">
        <f>IFERROR(__xludf.DUMMYFUNCTION("""COMPUTED_VALUE"""),"---")</f>
        <v>---</v>
      </c>
      <c r="B70" s="49" t="str">
        <f>IFERROR(__xludf.DUMMYFUNCTION("""COMPUTED_VALUE"""),"---")</f>
        <v>---</v>
      </c>
      <c r="C70" s="49" t="str">
        <f>IFERROR(__xludf.DUMMYFUNCTION("""COMPUTED_VALUE"""),"Mary Jo Ricci")</f>
        <v>Mary Jo Ricci</v>
      </c>
      <c r="D70" s="399" t="str">
        <f>IFERROR(__xludf.DUMMYFUNCTION("""COMPUTED_VALUE"""),"Valley")</f>
        <v>Valley</v>
      </c>
      <c r="E70" s="39" t="str">
        <f>IFERROR(__xludf.DUMMYFUNCTION("""COMPUTED_VALUE"""),"Brunswick Strikezone White/Teal size 4")</f>
        <v>Brunswick Strikezone White/Teal size 4</v>
      </c>
      <c r="F70" s="39"/>
      <c r="G70" s="52"/>
      <c r="H70" s="49" t="str">
        <f>IFERROR(__xludf.DUMMYFUNCTION("""COMPUTED_VALUE"""),"Y")</f>
        <v>Y</v>
      </c>
      <c r="I70" s="49" t="str">
        <f>IFERROR(__xludf.DUMMYFUNCTION("""COMPUTED_VALUE"""),"Y")</f>
        <v>Y</v>
      </c>
      <c r="J70" s="49"/>
      <c r="K70" s="49"/>
      <c r="L70" s="49"/>
    </row>
    <row r="71">
      <c r="A71" s="49" t="str">
        <f>IFERROR(__xludf.DUMMYFUNCTION("""COMPUTED_VALUE"""),"---")</f>
        <v>---</v>
      </c>
      <c r="B71" s="49" t="str">
        <f>IFERROR(__xludf.DUMMYFUNCTION("""COMPUTED_VALUE"""),"---")</f>
        <v>---</v>
      </c>
      <c r="C71" s="49" t="str">
        <f>IFERROR(__xludf.DUMMYFUNCTION("""COMPUTED_VALUE"""),"Tim Smalls")</f>
        <v>Tim Smalls</v>
      </c>
      <c r="D71" s="399" t="str">
        <f>IFERROR(__xludf.DUMMYFUNCTION("""COMPUTED_VALUE"""),"South")</f>
        <v>South</v>
      </c>
      <c r="E71" s="39" t="str">
        <f>IFERROR(__xludf.DUMMYFUNCTION("""COMPUTED_VALUE"""),"Hammer Dynasty 15 lb")</f>
        <v>Hammer Dynasty 15 lb</v>
      </c>
      <c r="F71" s="39"/>
      <c r="G71" s="52"/>
      <c r="H71" s="49" t="str">
        <f>IFERROR(__xludf.DUMMYFUNCTION("""COMPUTED_VALUE"""),"Y")</f>
        <v>Y</v>
      </c>
      <c r="I71" s="49" t="str">
        <f>IFERROR(__xludf.DUMMYFUNCTION("""COMPUTED_VALUE"""),"Y")</f>
        <v>Y</v>
      </c>
      <c r="J71" s="49"/>
      <c r="K71" s="49"/>
      <c r="L71" s="49"/>
    </row>
    <row r="72">
      <c r="A72" s="49" t="str">
        <f>IFERROR(__xludf.DUMMYFUNCTION("""COMPUTED_VALUE"""),"---")</f>
        <v>---</v>
      </c>
      <c r="B72" s="49" t="str">
        <f>IFERROR(__xludf.DUMMYFUNCTION("""COMPUTED_VALUE"""),"---")</f>
        <v>---</v>
      </c>
      <c r="C72" s="49" t="str">
        <f>IFERROR(__xludf.DUMMYFUNCTION("""COMPUTED_VALUE"""),"Ryan kollonige")</f>
        <v>Ryan kollonige</v>
      </c>
      <c r="D72" s="399" t="str">
        <f>IFERROR(__xludf.DUMMYFUNCTION("""COMPUTED_VALUE"""),"South")</f>
        <v>South</v>
      </c>
      <c r="E72" s="39" t="str">
        <f>IFERROR(__xludf.DUMMYFUNCTION("""COMPUTED_VALUE"""),"Hammer Dynasty 15 lb")</f>
        <v>Hammer Dynasty 15 lb</v>
      </c>
      <c r="F72" s="39"/>
      <c r="G72" s="52"/>
      <c r="H72" s="49" t="str">
        <f>IFERROR(__xludf.DUMMYFUNCTION("""COMPUTED_VALUE"""),"Y")</f>
        <v>Y</v>
      </c>
      <c r="I72" s="49" t="str">
        <f>IFERROR(__xludf.DUMMYFUNCTION("""COMPUTED_VALUE"""),"Y")</f>
        <v>Y</v>
      </c>
      <c r="J72" s="49"/>
      <c r="K72" s="49"/>
      <c r="L72" s="49"/>
    </row>
    <row r="73">
      <c r="A73" s="49" t="str">
        <f>IFERROR(__xludf.DUMMYFUNCTION("""COMPUTED_VALUE"""),"---")</f>
        <v>---</v>
      </c>
      <c r="B73" s="49" t="str">
        <f>IFERROR(__xludf.DUMMYFUNCTION("""COMPUTED_VALUE"""),"---")</f>
        <v>---</v>
      </c>
      <c r="C73" s="49" t="str">
        <f>IFERROR(__xludf.DUMMYFUNCTION("""COMPUTED_VALUE"""),"Stock")</f>
        <v>Stock</v>
      </c>
      <c r="D73" s="399" t="str">
        <f>IFERROR(__xludf.DUMMYFUNCTION("""COMPUTED_VALUE"""),"Valley")</f>
        <v>Valley</v>
      </c>
      <c r="E73" s="39" t="str">
        <f>IFERROR(__xludf.DUMMYFUNCTION("""COMPUTED_VALUE"""),"Brunswick Prism blue size 9.5")</f>
        <v>Brunswick Prism blue size 9.5</v>
      </c>
      <c r="F73" s="39"/>
      <c r="G73" s="52"/>
      <c r="H73" s="49" t="str">
        <f>IFERROR(__xludf.DUMMYFUNCTION("""COMPUTED_VALUE"""),"na")</f>
        <v>na</v>
      </c>
      <c r="I73" s="49" t="str">
        <f>IFERROR(__xludf.DUMMYFUNCTION("""COMPUTED_VALUE"""),"na")</f>
        <v>na</v>
      </c>
      <c r="J73" s="49"/>
      <c r="K73" s="49"/>
      <c r="L73" s="49"/>
    </row>
    <row r="74">
      <c r="A74" s="49" t="str">
        <f>IFERROR(__xludf.DUMMYFUNCTION("""COMPUTED_VALUE"""),"---")</f>
        <v>---</v>
      </c>
      <c r="B74" s="49" t="str">
        <f>IFERROR(__xludf.DUMMYFUNCTION("""COMPUTED_VALUE"""),"---")</f>
        <v>---</v>
      </c>
      <c r="C74" s="49" t="str">
        <f>IFERROR(__xludf.DUMMYFUNCTION("""COMPUTED_VALUE"""),"Stock")</f>
        <v>Stock</v>
      </c>
      <c r="D74" s="399" t="str">
        <f>IFERROR(__xludf.DUMMYFUNCTION("""COMPUTED_VALUE"""),"Valley")</f>
        <v>Valley</v>
      </c>
      <c r="E74" s="39" t="str">
        <f>IFERROR(__xludf.DUMMYFUNCTION("""COMPUTED_VALUE"""),"Brunswick Prism black size 11")</f>
        <v>Brunswick Prism black size 11</v>
      </c>
      <c r="F74" s="39"/>
      <c r="G74" s="52"/>
      <c r="H74" s="49" t="str">
        <f>IFERROR(__xludf.DUMMYFUNCTION("""COMPUTED_VALUE"""),"na")</f>
        <v>na</v>
      </c>
      <c r="I74" s="49" t="str">
        <f>IFERROR(__xludf.DUMMYFUNCTION("""COMPUTED_VALUE"""),"na")</f>
        <v>na</v>
      </c>
      <c r="J74" s="49"/>
      <c r="K74" s="49"/>
      <c r="L74" s="49"/>
    </row>
    <row r="75">
      <c r="A75" s="49" t="str">
        <f>IFERROR(__xludf.DUMMYFUNCTION("""COMPUTED_VALUE"""),"---")</f>
        <v>---</v>
      </c>
      <c r="B75" s="49" t="str">
        <f>IFERROR(__xludf.DUMMYFUNCTION("""COMPUTED_VALUE"""),"---")</f>
        <v>---</v>
      </c>
      <c r="C75" s="49" t="str">
        <f>IFERROR(__xludf.DUMMYFUNCTION("""COMPUTED_VALUE"""),"Stock")</f>
        <v>Stock</v>
      </c>
      <c r="D75" s="399"/>
      <c r="E75" s="39" t="str">
        <f>IFERROR(__xludf.DUMMYFUNCTION("""COMPUTED_VALUE"""),"Jopo outer sleeve")</f>
        <v>Jopo outer sleeve</v>
      </c>
      <c r="F75" s="39"/>
      <c r="G75" s="52"/>
      <c r="H75" s="49" t="str">
        <f>IFERROR(__xludf.DUMMYFUNCTION("""COMPUTED_VALUE"""),"na")</f>
        <v>na</v>
      </c>
      <c r="I75" s="49" t="str">
        <f>IFERROR(__xludf.DUMMYFUNCTION("""COMPUTED_VALUE"""),"na")</f>
        <v>na</v>
      </c>
      <c r="J75" s="49"/>
      <c r="K75" s="49"/>
      <c r="L75" s="49"/>
    </row>
    <row r="76">
      <c r="A76" s="49" t="str">
        <f>IFERROR(__xludf.DUMMYFUNCTION("""COMPUTED_VALUE"""),"---")</f>
        <v>---</v>
      </c>
      <c r="B76" s="49" t="str">
        <f>IFERROR(__xludf.DUMMYFUNCTION("""COMPUTED_VALUE"""),"---")</f>
        <v>---</v>
      </c>
      <c r="C76" s="49" t="str">
        <f>IFERROR(__xludf.DUMMYFUNCTION("""COMPUTED_VALUE"""),"Stock")</f>
        <v>Stock</v>
      </c>
      <c r="D76" s="399"/>
      <c r="E76" s="39" t="str">
        <f>IFERROR(__xludf.DUMMYFUNCTION("""COMPUTED_VALUE"""),"TG red 5")</f>
        <v>TG red 5</v>
      </c>
      <c r="F76" s="39"/>
      <c r="G76" s="52"/>
      <c r="H76" s="49" t="str">
        <f>IFERROR(__xludf.DUMMYFUNCTION("""COMPUTED_VALUE"""),"na")</f>
        <v>na</v>
      </c>
      <c r="I76" s="49" t="str">
        <f>IFERROR(__xludf.DUMMYFUNCTION("""COMPUTED_VALUE"""),"na")</f>
        <v>na</v>
      </c>
      <c r="J76" s="49"/>
      <c r="K76" s="49"/>
      <c r="L76" s="49"/>
    </row>
    <row r="77">
      <c r="A77" s="49" t="str">
        <f>IFERROR(__xludf.DUMMYFUNCTION("""COMPUTED_VALUE"""),"---")</f>
        <v>---</v>
      </c>
      <c r="B77" s="49" t="str">
        <f>IFERROR(__xludf.DUMMYFUNCTION("""COMPUTED_VALUE"""),"---")</f>
        <v>---</v>
      </c>
      <c r="C77" s="49" t="str">
        <f>IFERROR(__xludf.DUMMYFUNCTION("""COMPUTED_VALUE"""),"Stock")</f>
        <v>Stock</v>
      </c>
      <c r="D77" s="399"/>
      <c r="E77" s="39" t="str">
        <f>IFERROR(__xludf.DUMMYFUNCTION("""COMPUTED_VALUE"""),"TG red 11")</f>
        <v>TG red 11</v>
      </c>
      <c r="F77" s="39"/>
      <c r="G77" s="52"/>
      <c r="H77" s="49" t="str">
        <f>IFERROR(__xludf.DUMMYFUNCTION("""COMPUTED_VALUE"""),"na")</f>
        <v>na</v>
      </c>
      <c r="I77" s="49" t="str">
        <f>IFERROR(__xludf.DUMMYFUNCTION("""COMPUTED_VALUE"""),"na")</f>
        <v>na</v>
      </c>
      <c r="J77" s="49"/>
      <c r="K77" s="49"/>
      <c r="L77" s="49"/>
    </row>
    <row r="78">
      <c r="A78" s="49" t="str">
        <f>IFERROR(__xludf.DUMMYFUNCTION("""COMPUTED_VALUE"""),"---")</f>
        <v>---</v>
      </c>
      <c r="B78" s="49" t="str">
        <f>IFERROR(__xludf.DUMMYFUNCTION("""COMPUTED_VALUE"""),"---")</f>
        <v>---</v>
      </c>
      <c r="C78" s="49" t="str">
        <f>IFERROR(__xludf.DUMMYFUNCTION("""COMPUTED_VALUE"""),"Stock")</f>
        <v>Stock</v>
      </c>
      <c r="D78" s="399"/>
      <c r="E78" s="39" t="str">
        <f>IFERROR(__xludf.DUMMYFUNCTION("""COMPUTED_VALUE"""),"TG red 21")</f>
        <v>TG red 21</v>
      </c>
      <c r="F78" s="39"/>
      <c r="G78" s="52"/>
      <c r="H78" s="49" t="str">
        <f>IFERROR(__xludf.DUMMYFUNCTION("""COMPUTED_VALUE"""),"na")</f>
        <v>na</v>
      </c>
      <c r="I78" s="49" t="str">
        <f>IFERROR(__xludf.DUMMYFUNCTION("""COMPUTED_VALUE"""),"na")</f>
        <v>na</v>
      </c>
      <c r="J78" s="49"/>
      <c r="K78" s="49"/>
      <c r="L78" s="49"/>
    </row>
    <row r="79">
      <c r="A79" s="49" t="str">
        <f>IFERROR(__xludf.DUMMYFUNCTION("""COMPUTED_VALUE"""),"---")</f>
        <v>---</v>
      </c>
      <c r="B79" s="49" t="str">
        <f>IFERROR(__xludf.DUMMYFUNCTION("""COMPUTED_VALUE"""),"---")</f>
        <v>---</v>
      </c>
      <c r="C79" s="49" t="str">
        <f>IFERROR(__xludf.DUMMYFUNCTION("""COMPUTED_VALUE"""),"Stock")</f>
        <v>Stock</v>
      </c>
      <c r="D79" s="399"/>
      <c r="E79" s="39" t="str">
        <f>IFERROR(__xludf.DUMMYFUNCTION("""COMPUTED_VALUE"""),"TG red 43")</f>
        <v>TG red 43</v>
      </c>
      <c r="F79" s="39"/>
      <c r="G79" s="52"/>
      <c r="H79" s="49" t="str">
        <f>IFERROR(__xludf.DUMMYFUNCTION("""COMPUTED_VALUE"""),"na")</f>
        <v>na</v>
      </c>
      <c r="I79" s="49" t="str">
        <f>IFERROR(__xludf.DUMMYFUNCTION("""COMPUTED_VALUE"""),"na")</f>
        <v>na</v>
      </c>
      <c r="J79" s="49"/>
      <c r="K79" s="49"/>
      <c r="L79" s="49"/>
    </row>
    <row r="80">
      <c r="A80" s="49" t="str">
        <f>IFERROR(__xludf.DUMMYFUNCTION("""COMPUTED_VALUE"""),"---")</f>
        <v>---</v>
      </c>
      <c r="B80" s="49" t="str">
        <f>IFERROR(__xludf.DUMMYFUNCTION("""COMPUTED_VALUE"""),"---")</f>
        <v>---</v>
      </c>
      <c r="C80" s="49" t="str">
        <f>IFERROR(__xludf.DUMMYFUNCTION("""COMPUTED_VALUE"""),"Stock")</f>
        <v>Stock</v>
      </c>
      <c r="D80" s="399"/>
      <c r="E80" s="39" t="str">
        <f>IFERROR(__xludf.DUMMYFUNCTION("""COMPUTED_VALUE"""),"TG yellow 45")</f>
        <v>TG yellow 45</v>
      </c>
      <c r="F80" s="39"/>
      <c r="G80" s="52"/>
      <c r="H80" s="49" t="str">
        <f>IFERROR(__xludf.DUMMYFUNCTION("""COMPUTED_VALUE"""),"na")</f>
        <v>na</v>
      </c>
      <c r="I80" s="49" t="str">
        <f>IFERROR(__xludf.DUMMYFUNCTION("""COMPUTED_VALUE"""),"na")</f>
        <v>na</v>
      </c>
      <c r="J80" s="49"/>
      <c r="K80" s="49"/>
      <c r="L80" s="49"/>
    </row>
    <row r="81">
      <c r="A81" s="49" t="str">
        <f>IFERROR(__xludf.DUMMYFUNCTION("""COMPUTED_VALUE"""),"---")</f>
        <v>---</v>
      </c>
      <c r="B81" s="49" t="str">
        <f>IFERROR(__xludf.DUMMYFUNCTION("""COMPUTED_VALUE"""),"---")</f>
        <v>---</v>
      </c>
      <c r="C81" s="49" t="str">
        <f>IFERROR(__xludf.DUMMYFUNCTION("""COMPUTED_VALUE"""),"Stock")</f>
        <v>Stock</v>
      </c>
      <c r="D81" s="399"/>
      <c r="E81" s="39" t="str">
        <f>IFERROR(__xludf.DUMMYFUNCTION("""COMPUTED_VALUE"""),"TG purple 23")</f>
        <v>TG purple 23</v>
      </c>
      <c r="F81" s="39"/>
      <c r="G81" s="52"/>
      <c r="H81" s="49" t="str">
        <f>IFERROR(__xludf.DUMMYFUNCTION("""COMPUTED_VALUE"""),"na")</f>
        <v>na</v>
      </c>
      <c r="I81" s="49" t="str">
        <f>IFERROR(__xludf.DUMMYFUNCTION("""COMPUTED_VALUE"""),"na")</f>
        <v>na</v>
      </c>
      <c r="J81" s="49"/>
      <c r="K81" s="49"/>
      <c r="L81" s="49"/>
    </row>
    <row r="82">
      <c r="A82" s="49" t="str">
        <f>IFERROR(__xludf.DUMMYFUNCTION("""COMPUTED_VALUE"""),"---")</f>
        <v>---</v>
      </c>
      <c r="B82" s="49" t="str">
        <f>IFERROR(__xludf.DUMMYFUNCTION("""COMPUTED_VALUE"""),"---")</f>
        <v>---</v>
      </c>
      <c r="C82" s="49" t="str">
        <f>IFERROR(__xludf.DUMMYFUNCTION("""COMPUTED_VALUE"""),"Stock")</f>
        <v>Stock</v>
      </c>
      <c r="D82" s="399"/>
      <c r="E82" s="39" t="str">
        <f>IFERROR(__xludf.DUMMYFUNCTION("""COMPUTED_VALUE"""),"TG blue 21")</f>
        <v>TG blue 21</v>
      </c>
      <c r="F82" s="39"/>
      <c r="G82" s="52"/>
      <c r="H82" s="49" t="str">
        <f>IFERROR(__xludf.DUMMYFUNCTION("""COMPUTED_VALUE"""),"na")</f>
        <v>na</v>
      </c>
      <c r="I82" s="49" t="str">
        <f>IFERROR(__xludf.DUMMYFUNCTION("""COMPUTED_VALUE"""),"na")</f>
        <v>na</v>
      </c>
      <c r="J82" s="49"/>
      <c r="K82" s="49"/>
      <c r="L82" s="49"/>
    </row>
    <row r="83">
      <c r="A83" s="49" t="str">
        <f>IFERROR(__xludf.DUMMYFUNCTION("""COMPUTED_VALUE"""),"---")</f>
        <v>---</v>
      </c>
      <c r="B83" s="49" t="str">
        <f>IFERROR(__xludf.DUMMYFUNCTION("""COMPUTED_VALUE"""),"---")</f>
        <v>---</v>
      </c>
      <c r="C83" s="49" t="str">
        <f>IFERROR(__xludf.DUMMYFUNCTION("""COMPUTED_VALUE"""),"Stock")</f>
        <v>Stock</v>
      </c>
      <c r="D83" s="399"/>
      <c r="E83" s="39" t="str">
        <f>IFERROR(__xludf.DUMMYFUNCTION("""COMPUTED_VALUE"""),"TG blue 45")</f>
        <v>TG blue 45</v>
      </c>
      <c r="F83" s="39"/>
      <c r="G83" s="52"/>
      <c r="H83" s="49" t="str">
        <f>IFERROR(__xludf.DUMMYFUNCTION("""COMPUTED_VALUE"""),"na")</f>
        <v>na</v>
      </c>
      <c r="I83" s="49" t="str">
        <f>IFERROR(__xludf.DUMMYFUNCTION("""COMPUTED_VALUE"""),"na")</f>
        <v>na</v>
      </c>
      <c r="J83" s="49"/>
      <c r="K83" s="49"/>
      <c r="L83" s="49"/>
    </row>
    <row r="84">
      <c r="A84" s="49" t="str">
        <f>IFERROR(__xludf.DUMMYFUNCTION("""COMPUTED_VALUE"""),"---")</f>
        <v>---</v>
      </c>
      <c r="B84" s="49" t="str">
        <f>IFERROR(__xludf.DUMMYFUNCTION("""COMPUTED_VALUE"""),"---")</f>
        <v>---</v>
      </c>
      <c r="C84" s="49" t="str">
        <f>IFERROR(__xludf.DUMMYFUNCTION("""COMPUTED_VALUE"""),"Stock")</f>
        <v>Stock</v>
      </c>
      <c r="D84" s="399"/>
      <c r="E84" s="39" t="str">
        <f>IFERROR(__xludf.DUMMYFUNCTION("""COMPUTED_VALUE"""),"TG blue 49")</f>
        <v>TG blue 49</v>
      </c>
      <c r="F84" s="39"/>
      <c r="G84" s="52"/>
      <c r="H84" s="49" t="str">
        <f>IFERROR(__xludf.DUMMYFUNCTION("""COMPUTED_VALUE"""),"na")</f>
        <v>na</v>
      </c>
      <c r="I84" s="49" t="str">
        <f>IFERROR(__xludf.DUMMYFUNCTION("""COMPUTED_VALUE"""),"na")</f>
        <v>na</v>
      </c>
      <c r="J84" s="49"/>
      <c r="K84" s="49"/>
      <c r="L84" s="49"/>
    </row>
    <row r="85">
      <c r="A85" s="49" t="str">
        <f>IFERROR(__xludf.DUMMYFUNCTION("""COMPUTED_VALUE"""),"---")</f>
        <v>---</v>
      </c>
      <c r="B85" s="49" t="str">
        <f>IFERROR(__xludf.DUMMYFUNCTION("""COMPUTED_VALUE"""),"---")</f>
        <v>---</v>
      </c>
      <c r="C85" s="49" t="str">
        <f>IFERROR(__xludf.DUMMYFUNCTION("""COMPUTED_VALUE"""),"Stock")</f>
        <v>Stock</v>
      </c>
      <c r="D85" s="399"/>
      <c r="E85" s="39" t="str">
        <f>IFERROR(__xludf.DUMMYFUNCTION("""COMPUTED_VALUE"""),"TG ice 11")</f>
        <v>TG ice 11</v>
      </c>
      <c r="F85" s="39"/>
      <c r="G85" s="52"/>
      <c r="H85" s="49" t="str">
        <f>IFERROR(__xludf.DUMMYFUNCTION("""COMPUTED_VALUE"""),"na")</f>
        <v>na</v>
      </c>
      <c r="I85" s="49" t="str">
        <f>IFERROR(__xludf.DUMMYFUNCTION("""COMPUTED_VALUE"""),"na")</f>
        <v>na</v>
      </c>
      <c r="J85" s="49"/>
      <c r="K85" s="49"/>
      <c r="L85" s="49"/>
    </row>
    <row r="86">
      <c r="A86" s="49" t="str">
        <f>IFERROR(__xludf.DUMMYFUNCTION("""COMPUTED_VALUE"""),"---")</f>
        <v>---</v>
      </c>
      <c r="B86" s="49" t="str">
        <f>IFERROR(__xludf.DUMMYFUNCTION("""COMPUTED_VALUE"""),"---")</f>
        <v>---</v>
      </c>
      <c r="C86" s="49" t="str">
        <f>IFERROR(__xludf.DUMMYFUNCTION("""COMPUTED_VALUE"""),"Stock")</f>
        <v>Stock</v>
      </c>
      <c r="D86" s="399"/>
      <c r="E86" s="39" t="str">
        <f>IFERROR(__xludf.DUMMYFUNCTION("""COMPUTED_VALUE"""),"TG ice 39")</f>
        <v>TG ice 39</v>
      </c>
      <c r="F86" s="39"/>
      <c r="G86" s="52"/>
      <c r="H86" s="49" t="str">
        <f>IFERROR(__xludf.DUMMYFUNCTION("""COMPUTED_VALUE"""),"na")</f>
        <v>na</v>
      </c>
      <c r="I86" s="49" t="str">
        <f>IFERROR(__xludf.DUMMYFUNCTION("""COMPUTED_VALUE"""),"na")</f>
        <v>na</v>
      </c>
      <c r="J86" s="49"/>
      <c r="K86" s="49"/>
      <c r="L86" s="49"/>
    </row>
    <row r="87">
      <c r="A87" s="49" t="str">
        <f>IFERROR(__xludf.DUMMYFUNCTION("""COMPUTED_VALUE"""),"---")</f>
        <v>---</v>
      </c>
      <c r="B87" s="49" t="str">
        <f>IFERROR(__xludf.DUMMYFUNCTION("""COMPUTED_VALUE"""),"---")</f>
        <v>---</v>
      </c>
      <c r="C87" s="49" t="str">
        <f>IFERROR(__xludf.DUMMYFUNCTION("""COMPUTED_VALUE"""),"Stock")</f>
        <v>Stock</v>
      </c>
      <c r="D87" s="399"/>
      <c r="E87" s="39" t="str">
        <f>IFERROR(__xludf.DUMMYFUNCTION("""COMPUTED_VALUE"""),"TG orange 23")</f>
        <v>TG orange 23</v>
      </c>
      <c r="F87" s="39"/>
      <c r="G87" s="52"/>
      <c r="H87" s="49" t="str">
        <f>IFERROR(__xludf.DUMMYFUNCTION("""COMPUTED_VALUE"""),"na")</f>
        <v>na</v>
      </c>
      <c r="I87" s="49" t="str">
        <f>IFERROR(__xludf.DUMMYFUNCTION("""COMPUTED_VALUE"""),"na")</f>
        <v>na</v>
      </c>
      <c r="J87" s="49"/>
      <c r="K87" s="49"/>
      <c r="L87" s="49"/>
    </row>
    <row r="88">
      <c r="A88" s="49" t="str">
        <f>IFERROR(__xludf.DUMMYFUNCTION("""COMPUTED_VALUE"""),"---")</f>
        <v>---</v>
      </c>
      <c r="B88" s="49" t="str">
        <f>IFERROR(__xludf.DUMMYFUNCTION("""COMPUTED_VALUE"""),"---")</f>
        <v>---</v>
      </c>
      <c r="C88" s="49" t="str">
        <f>IFERROR(__xludf.DUMMYFUNCTION("""COMPUTED_VALUE"""),"Stock")</f>
        <v>Stock</v>
      </c>
      <c r="D88" s="399"/>
      <c r="E88" s="39" t="str">
        <f>IFERROR(__xludf.DUMMYFUNCTION("""COMPUTED_VALUE"""),"TG pink 21")</f>
        <v>TG pink 21</v>
      </c>
      <c r="F88" s="39"/>
      <c r="G88" s="52"/>
      <c r="H88" s="49" t="str">
        <f>IFERROR(__xludf.DUMMYFUNCTION("""COMPUTED_VALUE"""),"na")</f>
        <v>na</v>
      </c>
      <c r="I88" s="49" t="str">
        <f>IFERROR(__xludf.DUMMYFUNCTION("""COMPUTED_VALUE"""),"na")</f>
        <v>na</v>
      </c>
      <c r="J88" s="49"/>
      <c r="K88" s="49"/>
      <c r="L88" s="49"/>
    </row>
    <row r="89">
      <c r="A89" s="49" t="str">
        <f>IFERROR(__xludf.DUMMYFUNCTION("""COMPUTED_VALUE"""),"---")</f>
        <v>---</v>
      </c>
      <c r="B89" s="49" t="str">
        <f>IFERROR(__xludf.DUMMYFUNCTION("""COMPUTED_VALUE"""),"---")</f>
        <v>---</v>
      </c>
      <c r="C89" s="49" t="str">
        <f>IFERROR(__xludf.DUMMYFUNCTION("""COMPUTED_VALUE"""),"Stock")</f>
        <v>Stock</v>
      </c>
      <c r="D89" s="399"/>
      <c r="E89" s="39" t="str">
        <f>IFERROR(__xludf.DUMMYFUNCTION("""COMPUTED_VALUE"""),"TG pink 39")</f>
        <v>TG pink 39</v>
      </c>
      <c r="F89" s="39"/>
      <c r="G89" s="52"/>
      <c r="H89" s="49" t="str">
        <f>IFERROR(__xludf.DUMMYFUNCTION("""COMPUTED_VALUE"""),"na")</f>
        <v>na</v>
      </c>
      <c r="I89" s="49" t="str">
        <f>IFERROR(__xludf.DUMMYFUNCTION("""COMPUTED_VALUE"""),"na")</f>
        <v>na</v>
      </c>
      <c r="J89" s="49"/>
      <c r="K89" s="49"/>
      <c r="L89" s="49"/>
    </row>
    <row r="90">
      <c r="A90" s="49" t="str">
        <f>IFERROR(__xludf.DUMMYFUNCTION("""COMPUTED_VALUE"""),"---")</f>
        <v>---</v>
      </c>
      <c r="B90" s="49" t="str">
        <f>IFERROR(__xludf.DUMMYFUNCTION("""COMPUTED_VALUE"""),"---")</f>
        <v>---</v>
      </c>
      <c r="C90" s="49" t="str">
        <f>IFERROR(__xludf.DUMMYFUNCTION("""COMPUTED_VALUE"""),"Stock")</f>
        <v>Stock</v>
      </c>
      <c r="D90" s="399"/>
      <c r="E90" s="39" t="str">
        <f>IFERROR(__xludf.DUMMYFUNCTION("""COMPUTED_VALUE"""),"TG white 3")</f>
        <v>TG white 3</v>
      </c>
      <c r="F90" s="39"/>
      <c r="G90" s="52"/>
      <c r="H90" s="49" t="str">
        <f>IFERROR(__xludf.DUMMYFUNCTION("""COMPUTED_VALUE"""),"na")</f>
        <v>na</v>
      </c>
      <c r="I90" s="49" t="str">
        <f>IFERROR(__xludf.DUMMYFUNCTION("""COMPUTED_VALUE"""),"na")</f>
        <v>na</v>
      </c>
      <c r="J90" s="49"/>
      <c r="K90" s="49"/>
      <c r="L90" s="49"/>
    </row>
    <row r="91">
      <c r="A91" s="49" t="str">
        <f>IFERROR(__xludf.DUMMYFUNCTION("""COMPUTED_VALUE"""),"---")</f>
        <v>---</v>
      </c>
      <c r="B91" s="49" t="str">
        <f>IFERROR(__xludf.DUMMYFUNCTION("""COMPUTED_VALUE"""),"---")</f>
        <v>---</v>
      </c>
      <c r="C91" s="49" t="str">
        <f>IFERROR(__xludf.DUMMYFUNCTION("""COMPUTED_VALUE"""),"Stock")</f>
        <v>Stock</v>
      </c>
      <c r="D91" s="399"/>
      <c r="E91" s="39" t="str">
        <f>IFERROR(__xludf.DUMMYFUNCTION("""COMPUTED_VALUE"""),"TG black 25")</f>
        <v>TG black 25</v>
      </c>
      <c r="F91" s="39"/>
      <c r="G91" s="52"/>
      <c r="H91" s="49" t="str">
        <f>IFERROR(__xludf.DUMMYFUNCTION("""COMPUTED_VALUE"""),"na")</f>
        <v>na</v>
      </c>
      <c r="I91" s="49" t="str">
        <f>IFERROR(__xludf.DUMMYFUNCTION("""COMPUTED_VALUE"""),"na")</f>
        <v>na</v>
      </c>
      <c r="J91" s="49"/>
      <c r="K91" s="49"/>
      <c r="L91" s="49"/>
    </row>
    <row r="92">
      <c r="A92" s="49" t="str">
        <f>IFERROR(__xludf.DUMMYFUNCTION("""COMPUTED_VALUE"""),"---")</f>
        <v>---</v>
      </c>
      <c r="B92" s="49" t="str">
        <f>IFERROR(__xludf.DUMMYFUNCTION("""COMPUTED_VALUE"""),"---")</f>
        <v>---</v>
      </c>
      <c r="C92" s="49" t="str">
        <f>IFERROR(__xludf.DUMMYFUNCTION("""COMPUTED_VALUE"""),"Stock")</f>
        <v>Stock</v>
      </c>
      <c r="D92" s="399"/>
      <c r="E92" s="39" t="str">
        <f>IFERROR(__xludf.DUMMYFUNCTION("""COMPUTED_VALUE"""),"TG black 29")</f>
        <v>TG black 29</v>
      </c>
      <c r="F92" s="39"/>
      <c r="G92" s="52"/>
      <c r="H92" s="49" t="str">
        <f>IFERROR(__xludf.DUMMYFUNCTION("""COMPUTED_VALUE"""),"na")</f>
        <v>na</v>
      </c>
      <c r="I92" s="49" t="str">
        <f>IFERROR(__xludf.DUMMYFUNCTION("""COMPUTED_VALUE"""),"na")</f>
        <v>na</v>
      </c>
      <c r="J92" s="49"/>
      <c r="K92" s="49"/>
      <c r="L92" s="49"/>
    </row>
    <row r="93">
      <c r="A93" s="49" t="str">
        <f>IFERROR(__xludf.DUMMYFUNCTION("""COMPUTED_VALUE"""),"---")</f>
        <v>---</v>
      </c>
      <c r="B93" s="49" t="str">
        <f>IFERROR(__xludf.DUMMYFUNCTION("""COMPUTED_VALUE"""),"---")</f>
        <v>---</v>
      </c>
      <c r="C93" s="49" t="str">
        <f>IFERROR(__xludf.DUMMYFUNCTION("""COMPUTED_VALUE"""),"Stock")</f>
        <v>Stock</v>
      </c>
      <c r="D93" s="399"/>
      <c r="E93" s="39" t="str">
        <f>IFERROR(__xludf.DUMMYFUNCTION("""COMPUTED_VALUE"""),"TG black 39")</f>
        <v>TG black 39</v>
      </c>
      <c r="F93" s="39"/>
      <c r="G93" s="52"/>
      <c r="H93" s="49" t="str">
        <f>IFERROR(__xludf.DUMMYFUNCTION("""COMPUTED_VALUE"""),"na")</f>
        <v>na</v>
      </c>
      <c r="I93" s="49" t="str">
        <f>IFERROR(__xludf.DUMMYFUNCTION("""COMPUTED_VALUE"""),"na")</f>
        <v>na</v>
      </c>
      <c r="J93" s="49"/>
      <c r="K93" s="49"/>
      <c r="L93" s="49"/>
    </row>
    <row r="94">
      <c r="A94" s="49" t="str">
        <f>IFERROR(__xludf.DUMMYFUNCTION("""COMPUTED_VALUE"""),"---")</f>
        <v>---</v>
      </c>
      <c r="B94" s="49" t="str">
        <f>IFERROR(__xludf.DUMMYFUNCTION("""COMPUTED_VALUE"""),"---")</f>
        <v>---</v>
      </c>
      <c r="C94" s="49" t="str">
        <f>IFERROR(__xludf.DUMMYFUNCTION("""COMPUTED_VALUE"""),"Stock")</f>
        <v>Stock</v>
      </c>
      <c r="D94" s="399"/>
      <c r="E94" s="39" t="str">
        <f>IFERROR(__xludf.DUMMYFUNCTION("""COMPUTED_VALUE"""),"TG black 41")</f>
        <v>TG black 41</v>
      </c>
      <c r="F94" s="39"/>
      <c r="G94" s="52"/>
      <c r="H94" s="49" t="str">
        <f>IFERROR(__xludf.DUMMYFUNCTION("""COMPUTED_VALUE"""),"na")</f>
        <v>na</v>
      </c>
      <c r="I94" s="49" t="str">
        <f>IFERROR(__xludf.DUMMYFUNCTION("""COMPUTED_VALUE"""),"na")</f>
        <v>na</v>
      </c>
      <c r="J94" s="49"/>
      <c r="K94" s="49"/>
      <c r="L94" s="49"/>
    </row>
    <row r="95">
      <c r="A95" s="49" t="str">
        <f>IFERROR(__xludf.DUMMYFUNCTION("""COMPUTED_VALUE"""),"---")</f>
        <v>---</v>
      </c>
      <c r="B95" s="49" t="str">
        <f>IFERROR(__xludf.DUMMYFUNCTION("""COMPUTED_VALUE"""),"---")</f>
        <v>---</v>
      </c>
      <c r="C95" s="49" t="str">
        <f>IFERROR(__xludf.DUMMYFUNCTION("""COMPUTED_VALUE"""),"Stock")</f>
        <v>Stock</v>
      </c>
      <c r="D95" s="399"/>
      <c r="E95" s="39" t="str">
        <f>IFERROR(__xludf.DUMMYFUNCTION("""COMPUTED_VALUE"""),"1 1/4"" slug red/green")</f>
        <v>1 1/4" slug red/green</v>
      </c>
      <c r="F95" s="39"/>
      <c r="G95" s="52"/>
      <c r="H95" s="49" t="str">
        <f>IFERROR(__xludf.DUMMYFUNCTION("""COMPUTED_VALUE"""),"na")</f>
        <v>na</v>
      </c>
      <c r="I95" s="49" t="str">
        <f>IFERROR(__xludf.DUMMYFUNCTION("""COMPUTED_VALUE"""),"na")</f>
        <v>na</v>
      </c>
      <c r="J95" s="49"/>
      <c r="K95" s="49"/>
      <c r="L95" s="49"/>
    </row>
    <row r="96">
      <c r="A96" s="49" t="str">
        <f>IFERROR(__xludf.DUMMYFUNCTION("""COMPUTED_VALUE"""),"---")</f>
        <v>---</v>
      </c>
      <c r="B96" s="49" t="str">
        <f>IFERROR(__xludf.DUMMYFUNCTION("""COMPUTED_VALUE"""),"---")</f>
        <v>---</v>
      </c>
      <c r="C96" s="49" t="str">
        <f>IFERROR(__xludf.DUMMYFUNCTION("""COMPUTED_VALUE"""),"Melvin Thomas")</f>
        <v>Melvin Thomas</v>
      </c>
      <c r="D96" s="399" t="str">
        <f>IFERROR(__xludf.DUMMYFUNCTION("""COMPUTED_VALUE"""),"South")</f>
        <v>South</v>
      </c>
      <c r="E96" s="39" t="str">
        <f>IFERROR(__xludf.DUMMYFUNCTION("""COMPUTED_VALUE"""),"Hammer Tour V1 13 lb")</f>
        <v>Hammer Tour V1 13 lb</v>
      </c>
      <c r="F96" s="39"/>
      <c r="G96" s="52"/>
      <c r="H96" s="49" t="str">
        <f>IFERROR(__xludf.DUMMYFUNCTION("""COMPUTED_VALUE"""),"Y")</f>
        <v>Y</v>
      </c>
      <c r="I96" s="49" t="str">
        <f>IFERROR(__xludf.DUMMYFUNCTION("""COMPUTED_VALUE"""),"Y")</f>
        <v>Y</v>
      </c>
      <c r="J96" s="49"/>
      <c r="K96" s="49"/>
      <c r="L96" s="49"/>
    </row>
    <row r="97">
      <c r="A97" s="49" t="str">
        <f>IFERROR(__xludf.DUMMYFUNCTION("""COMPUTED_VALUE"""),"---")</f>
        <v>---</v>
      </c>
      <c r="B97" s="49" t="str">
        <f>IFERROR(__xludf.DUMMYFUNCTION("""COMPUTED_VALUE"""),"---")</f>
        <v>---</v>
      </c>
      <c r="C97" s="49" t="str">
        <f>IFERROR(__xludf.DUMMYFUNCTION("""COMPUTED_VALUE"""),"Stock")</f>
        <v>Stock</v>
      </c>
      <c r="D97" s="399"/>
      <c r="E97" s="39" t="str">
        <f>IFERROR(__xludf.DUMMYFUNCTION("""COMPUTED_VALUE"""),"Football shoe covers")</f>
        <v>Football shoe covers</v>
      </c>
      <c r="F97" s="39"/>
      <c r="G97" s="52"/>
      <c r="H97" s="49" t="str">
        <f>IFERROR(__xludf.DUMMYFUNCTION("""COMPUTED_VALUE"""),"na")</f>
        <v>na</v>
      </c>
      <c r="I97" s="49" t="str">
        <f>IFERROR(__xludf.DUMMYFUNCTION("""COMPUTED_VALUE"""),"na")</f>
        <v>na</v>
      </c>
      <c r="J97" s="49"/>
      <c r="K97" s="49"/>
      <c r="L97" s="49"/>
    </row>
    <row r="98">
      <c r="A98" s="49" t="str">
        <f>IFERROR(__xludf.DUMMYFUNCTION("""COMPUTED_VALUE"""),"---")</f>
        <v>---</v>
      </c>
      <c r="B98" s="49" t="str">
        <f>IFERROR(__xludf.DUMMYFUNCTION("""COMPUTED_VALUE"""),"---")</f>
        <v>---</v>
      </c>
      <c r="C98" s="49" t="str">
        <f>IFERROR(__xludf.DUMMYFUNCTION("""COMPUTED_VALUE"""),"Stock")</f>
        <v>Stock</v>
      </c>
      <c r="D98" s="399"/>
      <c r="E98" s="39" t="str">
        <f>IFERROR(__xludf.DUMMYFUNCTION("""COMPUTED_VALUE"""),"Brunswick shoe shield S")</f>
        <v>Brunswick shoe shield S</v>
      </c>
      <c r="F98" s="39"/>
      <c r="G98" s="52"/>
      <c r="H98" s="49" t="str">
        <f>IFERROR(__xludf.DUMMYFUNCTION("""COMPUTED_VALUE"""),"na")</f>
        <v>na</v>
      </c>
      <c r="I98" s="49" t="str">
        <f>IFERROR(__xludf.DUMMYFUNCTION("""COMPUTED_VALUE"""),"na")</f>
        <v>na</v>
      </c>
      <c r="J98" s="49"/>
      <c r="K98" s="49"/>
      <c r="L98" s="49"/>
    </row>
    <row r="99">
      <c r="A99" s="49" t="str">
        <f>IFERROR(__xludf.DUMMYFUNCTION("""COMPUTED_VALUE"""),"---")</f>
        <v>---</v>
      </c>
      <c r="B99" s="49" t="str">
        <f>IFERROR(__xludf.DUMMYFUNCTION("""COMPUTED_VALUE"""),"---")</f>
        <v>---</v>
      </c>
      <c r="C99" s="49" t="str">
        <f>IFERROR(__xludf.DUMMYFUNCTION("""COMPUTED_VALUE"""),"Stock")</f>
        <v>Stock</v>
      </c>
      <c r="D99" s="399"/>
      <c r="E99" s="39" t="str">
        <f>IFERROR(__xludf.DUMMYFUNCTION("""COMPUTED_VALUE"""),"Turbo Rev Wrap M")</f>
        <v>Turbo Rev Wrap M</v>
      </c>
      <c r="F99" s="39"/>
      <c r="G99" s="52"/>
      <c r="H99" s="49" t="str">
        <f>IFERROR(__xludf.DUMMYFUNCTION("""COMPUTED_VALUE"""),"na")</f>
        <v>na</v>
      </c>
      <c r="I99" s="49" t="str">
        <f>IFERROR(__xludf.DUMMYFUNCTION("""COMPUTED_VALUE"""),"na")</f>
        <v>na</v>
      </c>
      <c r="J99" s="49"/>
      <c r="K99" s="49"/>
      <c r="L99" s="49"/>
    </row>
    <row r="100">
      <c r="A100" s="49" t="str">
        <f>IFERROR(__xludf.DUMMYFUNCTION("""COMPUTED_VALUE"""),"---")</f>
        <v>---</v>
      </c>
      <c r="B100" s="49" t="str">
        <f>IFERROR(__xludf.DUMMYFUNCTION("""COMPUTED_VALUE"""),"---")</f>
        <v>---</v>
      </c>
      <c r="C100" s="49" t="str">
        <f>IFERROR(__xludf.DUMMYFUNCTION("""COMPUTED_VALUE"""),"Stock")</f>
        <v>Stock</v>
      </c>
      <c r="D100" s="399"/>
      <c r="E100" s="39" t="str">
        <f>IFERROR(__xludf.DUMMYFUNCTION("""COMPUTED_VALUE"""),"Motiv Venom Shock 15 lb")</f>
        <v>Motiv Venom Shock 15 lb</v>
      </c>
      <c r="F100" s="39"/>
      <c r="G100" s="52"/>
      <c r="H100" s="49" t="str">
        <f>IFERROR(__xludf.DUMMYFUNCTION("""COMPUTED_VALUE"""),"na")</f>
        <v>na</v>
      </c>
      <c r="I100" s="49" t="str">
        <f>IFERROR(__xludf.DUMMYFUNCTION("""COMPUTED_VALUE"""),"na")</f>
        <v>na</v>
      </c>
      <c r="J100" s="49"/>
      <c r="K100" s="49"/>
      <c r="L100" s="49"/>
    </row>
    <row r="101">
      <c r="A101" s="49" t="str">
        <f>IFERROR(__xludf.DUMMYFUNCTION("""COMPUTED_VALUE"""),"---")</f>
        <v>---</v>
      </c>
      <c r="B101" s="49" t="str">
        <f>IFERROR(__xludf.DUMMYFUNCTION("""COMPUTED_VALUE"""),"---")</f>
        <v>---</v>
      </c>
      <c r="C101" s="49" t="str">
        <f>IFERROR(__xludf.DUMMYFUNCTION("""COMPUTED_VALUE"""),"Ben Brady")</f>
        <v>Ben Brady</v>
      </c>
      <c r="D101" s="399" t="str">
        <f>IFERROR(__xludf.DUMMYFUNCTION("""COMPUTED_VALUE"""),"South")</f>
        <v>South</v>
      </c>
      <c r="E101" s="39" t="str">
        <f>IFERROR(__xludf.DUMMYFUNCTION("""COMPUTED_VALUE"""),"Ball: Track Therom Original 15lb 3-4"" pin")</f>
        <v>Ball: Track Therom Original 15lb 3-4" pin</v>
      </c>
      <c r="F101" s="39"/>
      <c r="G101" s="52"/>
      <c r="H101" s="49" t="str">
        <f>IFERROR(__xludf.DUMMYFUNCTION("""COMPUTED_VALUE"""),"Y")</f>
        <v>Y</v>
      </c>
      <c r="I101" s="49" t="str">
        <f>IFERROR(__xludf.DUMMYFUNCTION("""COMPUTED_VALUE"""),"Y")</f>
        <v>Y</v>
      </c>
      <c r="J101" s="49"/>
      <c r="K101" s="49"/>
      <c r="L101" s="49"/>
    </row>
    <row r="102">
      <c r="A102" s="49" t="str">
        <f>IFERROR(__xludf.DUMMYFUNCTION("""COMPUTED_VALUE"""),"---")</f>
        <v>---</v>
      </c>
      <c r="B102" s="49" t="str">
        <f>IFERROR(__xludf.DUMMYFUNCTION("""COMPUTED_VALUE"""),"---")</f>
        <v>---</v>
      </c>
      <c r="C102" s="49" t="str">
        <f>IFERROR(__xludf.DUMMYFUNCTION("""COMPUTED_VALUE"""),"Michael Dinning")</f>
        <v>Michael Dinning</v>
      </c>
      <c r="D102" s="399" t="str">
        <f>IFERROR(__xludf.DUMMYFUNCTION("""COMPUTED_VALUE"""),"Valley")</f>
        <v>Valley</v>
      </c>
      <c r="E102" s="39" t="str">
        <f>IFERROR(__xludf.DUMMYFUNCTION("""COMPUTED_VALUE"""),"Storm Phaze 2 pearl")</f>
        <v>Storm Phaze 2 pearl</v>
      </c>
      <c r="F102" s="39"/>
      <c r="G102" s="52"/>
      <c r="H102" s="49" t="str">
        <f>IFERROR(__xludf.DUMMYFUNCTION("""COMPUTED_VALUE"""),"Y")</f>
        <v>Y</v>
      </c>
      <c r="I102" s="49" t="str">
        <f>IFERROR(__xludf.DUMMYFUNCTION("""COMPUTED_VALUE"""),"Y")</f>
        <v>Y</v>
      </c>
      <c r="J102" s="49"/>
      <c r="K102" s="49"/>
      <c r="L102" s="49"/>
    </row>
    <row r="103">
      <c r="A103" s="49" t="str">
        <f>IFERROR(__xludf.DUMMYFUNCTION("""COMPUTED_VALUE"""),"---")</f>
        <v>---</v>
      </c>
      <c r="B103" s="49" t="str">
        <f>IFERROR(__xludf.DUMMYFUNCTION("""COMPUTED_VALUE"""),"---")</f>
        <v>---</v>
      </c>
      <c r="C103" s="49" t="str">
        <f>IFERROR(__xludf.DUMMYFUNCTION("""COMPUTED_VALUE"""),"Stock")</f>
        <v>Stock</v>
      </c>
      <c r="D103" s="399" t="str">
        <f>IFERROR(__xludf.DUMMYFUNCTION("""COMPUTED_VALUE"""),"South")</f>
        <v>South</v>
      </c>
      <c r="E103" s="39" t="str">
        <f>IFERROR(__xludf.DUMMYFUNCTION("""COMPUTED_VALUE"""),"Brunswick Danger Zone Solid 15 lb")</f>
        <v>Brunswick Danger Zone Solid 15 lb</v>
      </c>
      <c r="F103" s="39"/>
      <c r="G103" s="52"/>
      <c r="H103" s="49" t="str">
        <f>IFERROR(__xludf.DUMMYFUNCTION("""COMPUTED_VALUE"""),"na")</f>
        <v>na</v>
      </c>
      <c r="I103" s="49" t="str">
        <f>IFERROR(__xludf.DUMMYFUNCTION("""COMPUTED_VALUE"""),"na")</f>
        <v>na</v>
      </c>
      <c r="J103" s="49"/>
      <c r="K103" s="49"/>
      <c r="L103" s="49"/>
    </row>
    <row r="104">
      <c r="A104" s="49" t="str">
        <f>IFERROR(__xludf.DUMMYFUNCTION("""COMPUTED_VALUE"""),"---")</f>
        <v>---</v>
      </c>
      <c r="B104" s="49" t="str">
        <f>IFERROR(__xludf.DUMMYFUNCTION("""COMPUTED_VALUE"""),"---")</f>
        <v>---</v>
      </c>
      <c r="C104" s="49" t="str">
        <f>IFERROR(__xludf.DUMMYFUNCTION("""COMPUTED_VALUE"""),"Ryan Thomas")</f>
        <v>Ryan Thomas</v>
      </c>
      <c r="D104" s="399" t="str">
        <f>IFERROR(__xludf.DUMMYFUNCTION("""COMPUTED_VALUE"""),"Valley")</f>
        <v>Valley</v>
      </c>
      <c r="E104" s="39" t="str">
        <f>IFERROR(__xludf.DUMMYFUNCTION("""COMPUTED_VALUE"""),"Arctic Vibe - 13lbs")</f>
        <v>Arctic Vibe - 13lbs</v>
      </c>
      <c r="F104" s="39"/>
      <c r="G104" s="52"/>
      <c r="H104" s="49" t="str">
        <f>IFERROR(__xludf.DUMMYFUNCTION("""COMPUTED_VALUE"""),"Y")</f>
        <v>Y</v>
      </c>
      <c r="I104" s="49" t="str">
        <f>IFERROR(__xludf.DUMMYFUNCTION("""COMPUTED_VALUE"""),"Y")</f>
        <v>Y</v>
      </c>
      <c r="J104" s="49"/>
      <c r="K104" s="49"/>
      <c r="L104" s="49"/>
    </row>
    <row r="105">
      <c r="A105" s="49" t="str">
        <f>IFERROR(__xludf.DUMMYFUNCTION("""COMPUTED_VALUE"""),"---")</f>
        <v>---</v>
      </c>
      <c r="B105" s="49" t="str">
        <f>IFERROR(__xludf.DUMMYFUNCTION("""COMPUTED_VALUE"""),"---")</f>
        <v>---</v>
      </c>
      <c r="C105" s="49" t="str">
        <f>IFERROR(__xludf.DUMMYFUNCTION("""COMPUTED_VALUE"""),"Stock")</f>
        <v>Stock</v>
      </c>
      <c r="D105" s="399"/>
      <c r="E105" s="39" t="str">
        <f>IFERROR(__xludf.DUMMYFUNCTION("""COMPUTED_VALUE"""),"C300 Boss Triple Roller")</f>
        <v>C300 Boss Triple Roller</v>
      </c>
      <c r="F105" s="39"/>
      <c r="G105" s="52"/>
      <c r="H105" s="49" t="str">
        <f>IFERROR(__xludf.DUMMYFUNCTION("""COMPUTED_VALUE"""),"na")</f>
        <v>na</v>
      </c>
      <c r="I105" s="49" t="str">
        <f>IFERROR(__xludf.DUMMYFUNCTION("""COMPUTED_VALUE"""),"na")</f>
        <v>na</v>
      </c>
      <c r="J105" s="49"/>
      <c r="K105" s="49"/>
      <c r="L105" s="49"/>
    </row>
    <row r="106">
      <c r="A106" s="49" t="str">
        <f>IFERROR(__xludf.DUMMYFUNCTION("""COMPUTED_VALUE"""),"---")</f>
        <v>---</v>
      </c>
      <c r="B106" s="49" t="str">
        <f>IFERROR(__xludf.DUMMYFUNCTION("""COMPUTED_VALUE"""),"---")</f>
        <v>---</v>
      </c>
      <c r="C106" s="49" t="str">
        <f>IFERROR(__xludf.DUMMYFUNCTION("""COMPUTED_VALUE"""),"Mckinley Floyd")</f>
        <v>Mckinley Floyd</v>
      </c>
      <c r="D106" s="399" t="str">
        <f>IFERROR(__xludf.DUMMYFUNCTION("""COMPUTED_VALUE"""),"South")</f>
        <v>South</v>
      </c>
      <c r="E106" s="39" t="str">
        <f>IFERROR(__xludf.DUMMYFUNCTION("""COMPUTED_VALUE"""),"Storm Ice - 10lbs")</f>
        <v>Storm Ice - 10lbs</v>
      </c>
      <c r="F106" s="39"/>
      <c r="G106" s="52"/>
      <c r="H106" s="49" t="str">
        <f>IFERROR(__xludf.DUMMYFUNCTION("""COMPUTED_VALUE"""),"Y")</f>
        <v>Y</v>
      </c>
      <c r="I106" s="49" t="str">
        <f>IFERROR(__xludf.DUMMYFUNCTION("""COMPUTED_VALUE"""),"Y")</f>
        <v>Y</v>
      </c>
      <c r="J106" s="49"/>
      <c r="K106" s="49"/>
      <c r="L106" s="49"/>
    </row>
    <row r="107">
      <c r="A107" s="49" t="str">
        <f>IFERROR(__xludf.DUMMYFUNCTION("""COMPUTED_VALUE"""),"---")</f>
        <v>---</v>
      </c>
      <c r="B107" s="49" t="str">
        <f>IFERROR(__xludf.DUMMYFUNCTION("""COMPUTED_VALUE"""),"---")</f>
        <v>---</v>
      </c>
      <c r="C107" s="49" t="str">
        <f>IFERROR(__xludf.DUMMYFUNCTION("""COMPUTED_VALUE"""),"Cheo Samad")</f>
        <v>Cheo Samad</v>
      </c>
      <c r="D107" s="399" t="str">
        <f>IFERROR(__xludf.DUMMYFUNCTION("""COMPUTED_VALUE"""),"South")</f>
        <v>South</v>
      </c>
      <c r="E107" s="39" t="str">
        <f>IFERROR(__xludf.DUMMYFUNCTION("""COMPUTED_VALUE"""),"Arctic Vibe - 13lbs")</f>
        <v>Arctic Vibe - 13lbs</v>
      </c>
      <c r="F107" s="39"/>
      <c r="G107" s="52"/>
      <c r="H107" s="49" t="str">
        <f>IFERROR(__xludf.DUMMYFUNCTION("""COMPUTED_VALUE"""),"Y")</f>
        <v>Y</v>
      </c>
      <c r="I107" s="49" t="str">
        <f>IFERROR(__xludf.DUMMYFUNCTION("""COMPUTED_VALUE"""),"Y")</f>
        <v>Y</v>
      </c>
      <c r="J107" s="49"/>
      <c r="K107" s="49"/>
      <c r="L107" s="49"/>
    </row>
    <row r="108">
      <c r="A108" s="49" t="str">
        <f>IFERROR(__xludf.DUMMYFUNCTION("""COMPUTED_VALUE"""),"---")</f>
        <v>---</v>
      </c>
      <c r="B108" s="49" t="str">
        <f>IFERROR(__xludf.DUMMYFUNCTION("""COMPUTED_VALUE"""),"---")</f>
        <v>---</v>
      </c>
      <c r="C108" s="49" t="str">
        <f>IFERROR(__xludf.DUMMYFUNCTION("""COMPUTED_VALUE"""),"Stock")</f>
        <v>Stock</v>
      </c>
      <c r="D108" s="399" t="str">
        <f>IFERROR(__xludf.DUMMYFUNCTION("""COMPUTED_VALUE"""),"South")</f>
        <v>South</v>
      </c>
      <c r="E108" s="39" t="str">
        <f>IFERROR(__xludf.DUMMYFUNCTION("""COMPUTED_VALUE"""),"Hammer Arctic Vibe 15 lb")</f>
        <v>Hammer Arctic Vibe 15 lb</v>
      </c>
      <c r="F108" s="39"/>
      <c r="G108" s="52"/>
      <c r="H108" s="49" t="str">
        <f>IFERROR(__xludf.DUMMYFUNCTION("""COMPUTED_VALUE"""),"na")</f>
        <v>na</v>
      </c>
      <c r="I108" s="49" t="str">
        <f>IFERROR(__xludf.DUMMYFUNCTION("""COMPUTED_VALUE"""),"na")</f>
        <v>na</v>
      </c>
      <c r="J108" s="49"/>
      <c r="K108" s="49"/>
      <c r="L108" s="49"/>
    </row>
    <row r="109">
      <c r="A109" s="49" t="str">
        <f>IFERROR(__xludf.DUMMYFUNCTION("""COMPUTED_VALUE"""),"---")</f>
        <v>---</v>
      </c>
      <c r="B109" s="49" t="str">
        <f>IFERROR(__xludf.DUMMYFUNCTION("""COMPUTED_VALUE"""),"---")</f>
        <v>---</v>
      </c>
      <c r="C109" s="49" t="str">
        <f>IFERROR(__xludf.DUMMYFUNCTION("""COMPUTED_VALUE"""),"Dev Telford")</f>
        <v>Dev Telford</v>
      </c>
      <c r="D109" s="399" t="str">
        <f>IFERROR(__xludf.DUMMYFUNCTION("""COMPUTED_VALUE"""),"Valley")</f>
        <v>Valley</v>
      </c>
      <c r="E109" s="39" t="str">
        <f>IFERROR(__xludf.DUMMYFUNCTION("""COMPUTED_VALUE"""),"Hammer Hammerhead Pearl 15 lb")</f>
        <v>Hammer Hammerhead Pearl 15 lb</v>
      </c>
      <c r="F109" s="39"/>
      <c r="G109" s="52"/>
      <c r="H109" s="49" t="str">
        <f>IFERROR(__xludf.DUMMYFUNCTION("""COMPUTED_VALUE"""),"Y")</f>
        <v>Y</v>
      </c>
      <c r="I109" s="49" t="str">
        <f>IFERROR(__xludf.DUMMYFUNCTION("""COMPUTED_VALUE"""),"Y")</f>
        <v>Y</v>
      </c>
      <c r="J109" s="49"/>
      <c r="K109" s="49"/>
      <c r="L109" s="49"/>
    </row>
    <row r="110">
      <c r="A110" s="49" t="str">
        <f>IFERROR(__xludf.DUMMYFUNCTION("""COMPUTED_VALUE"""),"---")</f>
        <v>---</v>
      </c>
      <c r="B110" s="49" t="str">
        <f>IFERROR(__xludf.DUMMYFUNCTION("""COMPUTED_VALUE"""),"---")</f>
        <v>---</v>
      </c>
      <c r="C110" s="49" t="str">
        <f>IFERROR(__xludf.DUMMYFUNCTION("""COMPUTED_VALUE"""),"Dev Telford")</f>
        <v>Dev Telford</v>
      </c>
      <c r="D110" s="399" t="str">
        <f>IFERROR(__xludf.DUMMYFUNCTION("""COMPUTED_VALUE"""),"Valley")</f>
        <v>Valley</v>
      </c>
      <c r="E110" s="39" t="str">
        <f>IFERROR(__xludf.DUMMYFUNCTION("""COMPUTED_VALUE"""),"Hammer Axe Purple Smoke 15 lb")</f>
        <v>Hammer Axe Purple Smoke 15 lb</v>
      </c>
      <c r="F110" s="39"/>
      <c r="G110" s="52"/>
      <c r="H110" s="49" t="str">
        <f>IFERROR(__xludf.DUMMYFUNCTION("""COMPUTED_VALUE"""),"Y")</f>
        <v>Y</v>
      </c>
      <c r="I110" s="49" t="str">
        <f>IFERROR(__xludf.DUMMYFUNCTION("""COMPUTED_VALUE"""),"Y")</f>
        <v>Y</v>
      </c>
      <c r="J110" s="49"/>
      <c r="K110" s="49"/>
      <c r="L110" s="49"/>
    </row>
    <row r="111">
      <c r="A111" s="49" t="str">
        <f>IFERROR(__xludf.DUMMYFUNCTION("""COMPUTED_VALUE"""),"---")</f>
        <v>---</v>
      </c>
      <c r="B111" s="49" t="str">
        <f>IFERROR(__xludf.DUMMYFUNCTION("""COMPUTED_VALUE"""),"---")</f>
        <v>---</v>
      </c>
      <c r="C111" s="49" t="str">
        <f>IFERROR(__xludf.DUMMYFUNCTION("""COMPUTED_VALUE"""),"Stock")</f>
        <v>Stock</v>
      </c>
      <c r="D111" s="399" t="str">
        <f>IFERROR(__xludf.DUMMYFUNCTION("""COMPUTED_VALUE"""),"Valley")</f>
        <v>Valley</v>
      </c>
      <c r="E111" s="39" t="str">
        <f>IFERROR(__xludf.DUMMYFUNCTION("""COMPUTED_VALUE"""),"Storm Phaze II 15 lb")</f>
        <v>Storm Phaze II 15 lb</v>
      </c>
      <c r="F111" s="39"/>
      <c r="G111" s="52"/>
      <c r="H111" s="49" t="str">
        <f>IFERROR(__xludf.DUMMYFUNCTION("""COMPUTED_VALUE"""),"na")</f>
        <v>na</v>
      </c>
      <c r="I111" s="49" t="str">
        <f>IFERROR(__xludf.DUMMYFUNCTION("""COMPUTED_VALUE"""),"na")</f>
        <v>na</v>
      </c>
      <c r="J111" s="49"/>
      <c r="K111" s="49"/>
      <c r="L111" s="49"/>
    </row>
    <row r="112">
      <c r="A112" s="49" t="str">
        <f>IFERROR(__xludf.DUMMYFUNCTION("""COMPUTED_VALUE"""),"---")</f>
        <v>---</v>
      </c>
      <c r="B112" s="49" t="str">
        <f>IFERROR(__xludf.DUMMYFUNCTION("""COMPUTED_VALUE"""),"---")</f>
        <v>---</v>
      </c>
      <c r="C112" s="49" t="str">
        <f>IFERROR(__xludf.DUMMYFUNCTION("""COMPUTED_VALUE"""),"Mary Jo Ricci")</f>
        <v>Mary Jo Ricci</v>
      </c>
      <c r="D112" s="399" t="str">
        <f>IFERROR(__xludf.DUMMYFUNCTION("""COMPUTED_VALUE"""),"Valley")</f>
        <v>Valley</v>
      </c>
      <c r="E112" s="39" t="str">
        <f>IFERROR(__xludf.DUMMYFUNCTION("""COMPUTED_VALUE"""),"Brunswick Strikezone White/Teal size 3")</f>
        <v>Brunswick Strikezone White/Teal size 3</v>
      </c>
      <c r="F112" s="39"/>
      <c r="G112" s="52"/>
      <c r="H112" s="49" t="str">
        <f>IFERROR(__xludf.DUMMYFUNCTION("""COMPUTED_VALUE"""),"na")</f>
        <v>na</v>
      </c>
      <c r="I112" s="49" t="str">
        <f>IFERROR(__xludf.DUMMYFUNCTION("""COMPUTED_VALUE"""),"na")</f>
        <v>na</v>
      </c>
      <c r="J112" s="49"/>
      <c r="K112" s="49"/>
      <c r="L112" s="49"/>
    </row>
    <row r="113">
      <c r="A113" s="49" t="str">
        <f>IFERROR(__xludf.DUMMYFUNCTION("""COMPUTED_VALUE"""),"---")</f>
        <v>---</v>
      </c>
      <c r="B113" s="49" t="str">
        <f>IFERROR(__xludf.DUMMYFUNCTION("""COMPUTED_VALUE"""),"---")</f>
        <v>---</v>
      </c>
      <c r="C113" s="49" t="str">
        <f>IFERROR(__xludf.DUMMYFUNCTION("""COMPUTED_VALUE"""),"Justin Schiavone")</f>
        <v>Justin Schiavone</v>
      </c>
      <c r="D113" s="399" t="str">
        <f>IFERROR(__xludf.DUMMYFUNCTION("""COMPUTED_VALUE"""),"Valley")</f>
        <v>Valley</v>
      </c>
      <c r="E113" s="39" t="str">
        <f>IFERROR(__xludf.DUMMYFUNCTION("""COMPUTED_VALUE"""),"Brunswick Danger Zone Solid - 14 lb")</f>
        <v>Brunswick Danger Zone Solid - 14 lb</v>
      </c>
      <c r="F113" s="39"/>
      <c r="G113" s="52"/>
      <c r="H113" s="49" t="str">
        <f>IFERROR(__xludf.DUMMYFUNCTION("""COMPUTED_VALUE"""),"Y")</f>
        <v>Y</v>
      </c>
      <c r="I113" s="49" t="str">
        <f>IFERROR(__xludf.DUMMYFUNCTION("""COMPUTED_VALUE"""),"Y")</f>
        <v>Y</v>
      </c>
      <c r="J113" s="49"/>
      <c r="K113" s="49"/>
      <c r="L113" s="49"/>
    </row>
    <row r="114">
      <c r="A114" s="49" t="str">
        <f>IFERROR(__xludf.DUMMYFUNCTION("""COMPUTED_VALUE"""),"---")</f>
        <v>---</v>
      </c>
      <c r="B114" s="49" t="str">
        <f>IFERROR(__xludf.DUMMYFUNCTION("""COMPUTED_VALUE"""),"---")</f>
        <v>---</v>
      </c>
      <c r="C114" s="49" t="str">
        <f>IFERROR(__xludf.DUMMYFUNCTION("""COMPUTED_VALUE"""),"Stock")</f>
        <v>Stock</v>
      </c>
      <c r="D114" s="399" t="str">
        <f>IFERROR(__xludf.DUMMYFUNCTION("""COMPUTED_VALUE"""),"Valley")</f>
        <v>Valley</v>
      </c>
      <c r="E114" s="39" t="str">
        <f>IFERROR(__xludf.DUMMYFUNCTION("""COMPUTED_VALUE"""),"Brunswick Danger Zone Solid 15 lb")</f>
        <v>Brunswick Danger Zone Solid 15 lb</v>
      </c>
      <c r="F114" s="39"/>
      <c r="G114" s="52"/>
      <c r="H114" s="49" t="str">
        <f>IFERROR(__xludf.DUMMYFUNCTION("""COMPUTED_VALUE"""),"na")</f>
        <v>na</v>
      </c>
      <c r="I114" s="49" t="str">
        <f>IFERROR(__xludf.DUMMYFUNCTION("""COMPUTED_VALUE"""),"na")</f>
        <v>na</v>
      </c>
      <c r="J114" s="49"/>
      <c r="K114" s="49"/>
      <c r="L114" s="49"/>
    </row>
    <row r="115">
      <c r="A115" s="49" t="str">
        <f>IFERROR(__xludf.DUMMYFUNCTION("""COMPUTED_VALUE"""),"---")</f>
        <v>---</v>
      </c>
      <c r="B115" s="49" t="str">
        <f>IFERROR(__xludf.DUMMYFUNCTION("""COMPUTED_VALUE"""),"---")</f>
        <v>---</v>
      </c>
      <c r="C115" s="49" t="str">
        <f>IFERROR(__xludf.DUMMYFUNCTION("""COMPUTED_VALUE"""),"Derek Benson")</f>
        <v>Derek Benson</v>
      </c>
      <c r="D115" s="399" t="str">
        <f>IFERROR(__xludf.DUMMYFUNCTION("""COMPUTED_VALUE"""),"Valley")</f>
        <v>Valley</v>
      </c>
      <c r="E115" s="39" t="str">
        <f>IFERROR(__xludf.DUMMYFUNCTION("""COMPUTED_VALUE"""),"Brunswick Crown Victory 15 lb")</f>
        <v>Brunswick Crown Victory 15 lb</v>
      </c>
      <c r="F115" s="39"/>
      <c r="G115" s="52"/>
      <c r="H115" s="49" t="str">
        <f>IFERROR(__xludf.DUMMYFUNCTION("""COMPUTED_VALUE"""),"Y")</f>
        <v>Y</v>
      </c>
      <c r="I115" s="49" t="str">
        <f>IFERROR(__xludf.DUMMYFUNCTION("""COMPUTED_VALUE"""),"Y")</f>
        <v>Y</v>
      </c>
      <c r="J115" s="49"/>
      <c r="K115" s="49"/>
      <c r="L115" s="49"/>
    </row>
    <row r="116">
      <c r="A116" s="49" t="str">
        <f>IFERROR(__xludf.DUMMYFUNCTION("""COMPUTED_VALUE"""),"---")</f>
        <v>---</v>
      </c>
      <c r="B116" s="49" t="str">
        <f>IFERROR(__xludf.DUMMYFUNCTION("""COMPUTED_VALUE"""),"---")</f>
        <v>---</v>
      </c>
      <c r="C116" s="49" t="str">
        <f>IFERROR(__xludf.DUMMYFUNCTION("""COMPUTED_VALUE"""),"Kyle defina")</f>
        <v>Kyle defina</v>
      </c>
      <c r="D116" s="399" t="str">
        <f>IFERROR(__xludf.DUMMYFUNCTION("""COMPUTED_VALUE"""),"South")</f>
        <v>South</v>
      </c>
      <c r="E116" s="39" t="str">
        <f>IFERROR(__xludf.DUMMYFUNCTION("""COMPUTED_VALUE"""),"Dexter kam camo size 13")</f>
        <v>Dexter kam camo size 13</v>
      </c>
      <c r="F116" s="39"/>
      <c r="G116" s="52"/>
      <c r="H116" s="49" t="str">
        <f>IFERROR(__xludf.DUMMYFUNCTION("""COMPUTED_VALUE"""),"Y")</f>
        <v>Y</v>
      </c>
      <c r="I116" s="49" t="str">
        <f>IFERROR(__xludf.DUMMYFUNCTION("""COMPUTED_VALUE"""),"Y")</f>
        <v>Y</v>
      </c>
      <c r="J116" s="49"/>
      <c r="K116" s="49"/>
      <c r="L116" s="49"/>
    </row>
    <row r="117">
      <c r="A117" s="49" t="str">
        <f>IFERROR(__xludf.DUMMYFUNCTION("""COMPUTED_VALUE"""),"---")</f>
        <v>---</v>
      </c>
      <c r="B117" s="49" t="str">
        <f>IFERROR(__xludf.DUMMYFUNCTION("""COMPUTED_VALUE"""),"---")</f>
        <v>---</v>
      </c>
      <c r="C117" s="49" t="str">
        <f>IFERROR(__xludf.DUMMYFUNCTION("""COMPUTED_VALUE"""),"Gary Ladomirak")</f>
        <v>Gary Ladomirak</v>
      </c>
      <c r="D117" s="399" t="str">
        <f>IFERROR(__xludf.DUMMYFUNCTION("""COMPUTED_VALUE"""),"South")</f>
        <v>South</v>
      </c>
      <c r="E117" s="39" t="str">
        <f>IFERROR(__xludf.DUMMYFUNCTION("""COMPUTED_VALUE"""),"Storm Ion Pro Solid 15 lb")</f>
        <v>Storm Ion Pro Solid 15 lb</v>
      </c>
      <c r="F117" s="39"/>
      <c r="G117" s="52"/>
      <c r="H117" s="49" t="str">
        <f>IFERROR(__xludf.DUMMYFUNCTION("""COMPUTED_VALUE"""),"Y")</f>
        <v>Y</v>
      </c>
      <c r="I117" s="49" t="str">
        <f>IFERROR(__xludf.DUMMYFUNCTION("""COMPUTED_VALUE"""),"Y")</f>
        <v>Y</v>
      </c>
      <c r="J117" s="49"/>
      <c r="K117" s="49"/>
      <c r="L117" s="49"/>
    </row>
    <row r="118">
      <c r="A118" s="49" t="str">
        <f>IFERROR(__xludf.DUMMYFUNCTION("""COMPUTED_VALUE"""),"---")</f>
        <v>---</v>
      </c>
      <c r="B118" s="49" t="str">
        <f>IFERROR(__xludf.DUMMYFUNCTION("""COMPUTED_VALUE"""),"---")</f>
        <v>---</v>
      </c>
      <c r="C118" s="49" t="str">
        <f>IFERROR(__xludf.DUMMYFUNCTION("""COMPUTED_VALUE"""),"Cheo Samad")</f>
        <v>Cheo Samad</v>
      </c>
      <c r="D118" s="399" t="str">
        <f>IFERROR(__xludf.DUMMYFUNCTION("""COMPUTED_VALUE"""),"South")</f>
        <v>South</v>
      </c>
      <c r="E118" s="39" t="str">
        <f>IFERROR(__xludf.DUMMYFUNCTION("""COMPUTED_VALUE"""),"Hammer Arctic Vibe 14lb")</f>
        <v>Hammer Arctic Vibe 14lb</v>
      </c>
      <c r="F118" s="39"/>
      <c r="G118" s="52"/>
      <c r="H118" s="49" t="str">
        <f>IFERROR(__xludf.DUMMYFUNCTION("""COMPUTED_VALUE"""),"Y")</f>
        <v>Y</v>
      </c>
      <c r="I118" s="49" t="str">
        <f>IFERROR(__xludf.DUMMYFUNCTION("""COMPUTED_VALUE"""),"Y")</f>
        <v>Y</v>
      </c>
      <c r="J118" s="49"/>
      <c r="K118" s="49"/>
      <c r="L118" s="49"/>
    </row>
    <row r="119">
      <c r="A119" s="49" t="str">
        <f>IFERROR(__xludf.DUMMYFUNCTION("""COMPUTED_VALUE"""),"---")</f>
        <v>---</v>
      </c>
      <c r="B119" s="49" t="str">
        <f>IFERROR(__xludf.DUMMYFUNCTION("""COMPUTED_VALUE"""),"---")</f>
        <v>---</v>
      </c>
      <c r="C119" s="49" t="str">
        <f>IFERROR(__xludf.DUMMYFUNCTION("""COMPUTED_VALUE"""),"Chris Brink")</f>
        <v>Chris Brink</v>
      </c>
      <c r="D119" s="399" t="str">
        <f>IFERROR(__xludf.DUMMYFUNCTION("""COMPUTED_VALUE"""),"South")</f>
        <v>South</v>
      </c>
      <c r="E119" s="39" t="str">
        <f>IFERROR(__xludf.DUMMYFUNCTION("""COMPUTED_VALUE"""),"Hammer Arctic Vibe 12 lb")</f>
        <v>Hammer Arctic Vibe 12 lb</v>
      </c>
      <c r="F119" s="39"/>
      <c r="G119" s="52"/>
      <c r="H119" s="49" t="str">
        <f>IFERROR(__xludf.DUMMYFUNCTION("""COMPUTED_VALUE"""),"Y")</f>
        <v>Y</v>
      </c>
      <c r="I119" s="49" t="str">
        <f>IFERROR(__xludf.DUMMYFUNCTION("""COMPUTED_VALUE"""),"Y")</f>
        <v>Y</v>
      </c>
      <c r="J119" s="49"/>
      <c r="K119" s="49"/>
      <c r="L119" s="49"/>
    </row>
    <row r="120">
      <c r="A120" s="49" t="str">
        <f>IFERROR(__xludf.DUMMYFUNCTION("""COMPUTED_VALUE"""),"---")</f>
        <v>---</v>
      </c>
      <c r="B120" s="49" t="str">
        <f>IFERROR(__xludf.DUMMYFUNCTION("""COMPUTED_VALUE"""),"---")</f>
        <v>---</v>
      </c>
      <c r="C120" s="49" t="str">
        <f>IFERROR(__xludf.DUMMYFUNCTION("""COMPUTED_VALUE"""),"Stock")</f>
        <v>Stock</v>
      </c>
      <c r="D120" s="399" t="str">
        <f>IFERROR(__xludf.DUMMYFUNCTION("""COMPUTED_VALUE"""),"South")</f>
        <v>South</v>
      </c>
      <c r="E120" s="39" t="str">
        <f>IFERROR(__xludf.DUMMYFUNCTION("""COMPUTED_VALUE"""),"Hammer Zero Mercy Peal 15 lb")</f>
        <v>Hammer Zero Mercy Peal 15 lb</v>
      </c>
      <c r="F120" s="39"/>
      <c r="G120" s="52"/>
      <c r="H120" s="49" t="str">
        <f>IFERROR(__xludf.DUMMYFUNCTION("""COMPUTED_VALUE"""),"na")</f>
        <v>na</v>
      </c>
      <c r="I120" s="49" t="str">
        <f>IFERROR(__xludf.DUMMYFUNCTION("""COMPUTED_VALUE"""),"na")</f>
        <v>na</v>
      </c>
      <c r="J120" s="49"/>
      <c r="K120" s="49"/>
      <c r="L120" s="49"/>
    </row>
    <row r="121">
      <c r="A121" s="49" t="str">
        <f>IFERROR(__xludf.DUMMYFUNCTION("""COMPUTED_VALUE"""),"---")</f>
        <v>---</v>
      </c>
      <c r="B121" s="49" t="str">
        <f>IFERROR(__xludf.DUMMYFUNCTION("""COMPUTED_VALUE"""),"---")</f>
        <v>---</v>
      </c>
      <c r="C121" s="49" t="str">
        <f>IFERROR(__xludf.DUMMYFUNCTION("""COMPUTED_VALUE"""),"Kim Smalls")</f>
        <v>Kim Smalls</v>
      </c>
      <c r="D121" s="399" t="str">
        <f>IFERROR(__xludf.DUMMYFUNCTION("""COMPUTED_VALUE"""),"South")</f>
        <v>South</v>
      </c>
      <c r="E121" s="39" t="str">
        <f>IFERROR(__xludf.DUMMYFUNCTION("""COMPUTED_VALUE"""),"Hammerhead Pearl 13 lb")</f>
        <v>Hammerhead Pearl 13 lb</v>
      </c>
      <c r="F121" s="39"/>
      <c r="G121" s="52"/>
      <c r="H121" s="49" t="str">
        <f>IFERROR(__xludf.DUMMYFUNCTION("""COMPUTED_VALUE"""),"Y")</f>
        <v>Y</v>
      </c>
      <c r="I121" s="49" t="str">
        <f>IFERROR(__xludf.DUMMYFUNCTION("""COMPUTED_VALUE"""),"Y")</f>
        <v>Y</v>
      </c>
      <c r="J121" s="49"/>
      <c r="K121" s="49"/>
      <c r="L121" s="49"/>
    </row>
    <row r="122">
      <c r="A122" s="49" t="str">
        <f>IFERROR(__xludf.DUMMYFUNCTION("""COMPUTED_VALUE"""),"---")</f>
        <v>---</v>
      </c>
      <c r="B122" s="49" t="str">
        <f>IFERROR(__xludf.DUMMYFUNCTION("""COMPUTED_VALUE"""),"---")</f>
        <v>---</v>
      </c>
      <c r="C122" s="49" t="str">
        <f>IFERROR(__xludf.DUMMYFUNCTION("""COMPUTED_VALUE"""),"Stock")</f>
        <v>Stock</v>
      </c>
      <c r="D122" s="399"/>
      <c r="E122" s="39" t="str">
        <f>IFERROR(__xludf.DUMMYFUNCTION("""COMPUTED_VALUE"""),"Brunswick Big B Ball Cleaner")</f>
        <v>Brunswick Big B Ball Cleaner</v>
      </c>
      <c r="F122" s="39"/>
      <c r="G122" s="52"/>
      <c r="H122" s="49" t="str">
        <f>IFERROR(__xludf.DUMMYFUNCTION("""COMPUTED_VALUE"""),"na")</f>
        <v>na</v>
      </c>
      <c r="I122" s="49" t="str">
        <f>IFERROR(__xludf.DUMMYFUNCTION("""COMPUTED_VALUE"""),"na")</f>
        <v>na</v>
      </c>
      <c r="J122" s="49"/>
      <c r="K122" s="49"/>
      <c r="L122" s="49"/>
    </row>
    <row r="123">
      <c r="A123" s="49" t="str">
        <f>IFERROR(__xludf.DUMMYFUNCTION("""COMPUTED_VALUE"""),"---")</f>
        <v>---</v>
      </c>
      <c r="B123" s="49" t="str">
        <f>IFERROR(__xludf.DUMMYFUNCTION("""COMPUTED_VALUE"""),"---")</f>
        <v>---</v>
      </c>
      <c r="C123" s="49" t="str">
        <f>IFERROR(__xludf.DUMMYFUNCTION("""COMPUTED_VALUE"""),"Stock")</f>
        <v>Stock</v>
      </c>
      <c r="D123" s="399"/>
      <c r="E123" s="39" t="str">
        <f>IFERROR(__xludf.DUMMYFUNCTION("""COMPUTED_VALUE"""),"Dexter S 8 sole")</f>
        <v>Dexter S 8 sole</v>
      </c>
      <c r="F123" s="39"/>
      <c r="G123" s="52"/>
      <c r="H123" s="49" t="str">
        <f>IFERROR(__xludf.DUMMYFUNCTION("""COMPUTED_VALUE"""),"na")</f>
        <v>na</v>
      </c>
      <c r="I123" s="49" t="str">
        <f>IFERROR(__xludf.DUMMYFUNCTION("""COMPUTED_VALUE"""),"na")</f>
        <v>na</v>
      </c>
      <c r="J123" s="49"/>
      <c r="K123" s="49"/>
      <c r="L123" s="49"/>
    </row>
    <row r="124">
      <c r="A124" s="49" t="str">
        <f>IFERROR(__xludf.DUMMYFUNCTION("""COMPUTED_VALUE"""),"---")</f>
        <v>---</v>
      </c>
      <c r="B124" s="49" t="str">
        <f>IFERROR(__xludf.DUMMYFUNCTION("""COMPUTED_VALUE"""),"---")</f>
        <v>---</v>
      </c>
      <c r="C124" s="49" t="str">
        <f>IFERROR(__xludf.DUMMYFUNCTION("""COMPUTED_VALUE"""),"Stock")</f>
        <v>Stock</v>
      </c>
      <c r="D124" s="399"/>
      <c r="E124" s="39" t="str">
        <f>IFERROR(__xludf.DUMMYFUNCTION("""COMPUTED_VALUE"""),"Hammer Premium Towels")</f>
        <v>Hammer Premium Towels</v>
      </c>
      <c r="F124" s="39"/>
      <c r="G124" s="52"/>
      <c r="H124" s="49" t="str">
        <f>IFERROR(__xludf.DUMMYFUNCTION("""COMPUTED_VALUE"""),"na")</f>
        <v>na</v>
      </c>
      <c r="I124" s="49" t="str">
        <f>IFERROR(__xludf.DUMMYFUNCTION("""COMPUTED_VALUE"""),"na")</f>
        <v>na</v>
      </c>
      <c r="J124" s="49"/>
      <c r="K124" s="49"/>
      <c r="L124" s="49"/>
    </row>
    <row r="125">
      <c r="A125" s="49" t="str">
        <f>IFERROR(__xludf.DUMMYFUNCTION("""COMPUTED_VALUE"""),"---")</f>
        <v>---</v>
      </c>
      <c r="B125" s="49" t="str">
        <f>IFERROR(__xludf.DUMMYFUNCTION("""COMPUTED_VALUE"""),"---")</f>
        <v>---</v>
      </c>
      <c r="C125" s="49" t="str">
        <f>IFERROR(__xludf.DUMMYFUNCTION("""COMPUTED_VALUE"""),"Michael Marinelli")</f>
        <v>Michael Marinelli</v>
      </c>
      <c r="D125" s="399" t="str">
        <f>IFERROR(__xludf.DUMMYFUNCTION("""COMPUTED_VALUE"""),"Valley")</f>
        <v>Valley</v>
      </c>
      <c r="E125" s="39" t="str">
        <f>IFERROR(__xludf.DUMMYFUNCTION("""COMPUTED_VALUE"""),"Brunswick Danger Zone Solid 14 lb")</f>
        <v>Brunswick Danger Zone Solid 14 lb</v>
      </c>
      <c r="F125" s="39"/>
      <c r="G125" s="52"/>
      <c r="H125" s="49" t="str">
        <f>IFERROR(__xludf.DUMMYFUNCTION("""COMPUTED_VALUE"""),"Y")</f>
        <v>Y</v>
      </c>
      <c r="I125" s="49" t="str">
        <f>IFERROR(__xludf.DUMMYFUNCTION("""COMPUTED_VALUE"""),"Y")</f>
        <v>Y</v>
      </c>
      <c r="J125" s="49"/>
      <c r="K125" s="49"/>
      <c r="L125" s="49"/>
    </row>
    <row r="126">
      <c r="A126" s="49" t="str">
        <f>IFERROR(__xludf.DUMMYFUNCTION("""COMPUTED_VALUE"""),"---")</f>
        <v>---</v>
      </c>
      <c r="B126" s="49" t="str">
        <f>IFERROR(__xludf.DUMMYFUNCTION("""COMPUTED_VALUE"""),"---")</f>
        <v>---</v>
      </c>
      <c r="C126" s="49" t="str">
        <f>IFERROR(__xludf.DUMMYFUNCTION("""COMPUTED_VALUE"""),"Stock")</f>
        <v>Stock</v>
      </c>
      <c r="D126" s="399" t="str">
        <f>IFERROR(__xludf.DUMMYFUNCTION("""COMPUTED_VALUE"""),"South")</f>
        <v>South</v>
      </c>
      <c r="E126" s="39" t="str">
        <f>IFERROR(__xludf.DUMMYFUNCTION("""COMPUTED_VALUE"""),"Brunswick Crown 78 U")</f>
        <v>Brunswick Crown 78 U</v>
      </c>
      <c r="F126" s="39"/>
      <c r="G126" s="52"/>
      <c r="H126" s="49" t="str">
        <f>IFERROR(__xludf.DUMMYFUNCTION("""COMPUTED_VALUE"""),"na")</f>
        <v>na</v>
      </c>
      <c r="I126" s="49" t="str">
        <f>IFERROR(__xludf.DUMMYFUNCTION("""COMPUTED_VALUE"""),"na")</f>
        <v>na</v>
      </c>
      <c r="J126" s="49"/>
      <c r="K126" s="49"/>
      <c r="L126" s="49"/>
    </row>
    <row r="127">
      <c r="A127" s="49" t="str">
        <f>IFERROR(__xludf.DUMMYFUNCTION("""COMPUTED_VALUE"""),"---")</f>
        <v>---</v>
      </c>
      <c r="B127" s="49" t="str">
        <f>IFERROR(__xludf.DUMMYFUNCTION("""COMPUTED_VALUE"""),"---")</f>
        <v>---</v>
      </c>
      <c r="C127" s="49" t="str">
        <f>IFERROR(__xludf.DUMMYFUNCTION("""COMPUTED_VALUE"""),"James Durland")</f>
        <v>James Durland</v>
      </c>
      <c r="D127" s="399"/>
      <c r="E127" s="39" t="str">
        <f>IFERROR(__xludf.DUMMYFUNCTION("""COMPUTED_VALUE"""),"Vise 3/4 P/O")</f>
        <v>Vise 3/4 P/O</v>
      </c>
      <c r="F127" s="39"/>
      <c r="G127" s="52"/>
      <c r="H127" s="49" t="str">
        <f>IFERROR(__xludf.DUMMYFUNCTION("""COMPUTED_VALUE"""),"Y")</f>
        <v>Y</v>
      </c>
      <c r="I127" s="49" t="str">
        <f>IFERROR(__xludf.DUMMYFUNCTION("""COMPUTED_VALUE"""),"Y")</f>
        <v>Y</v>
      </c>
      <c r="J127" s="49"/>
      <c r="K127" s="49"/>
      <c r="L127" s="49"/>
    </row>
    <row r="128">
      <c r="A128" s="49" t="str">
        <f>IFERROR(__xludf.DUMMYFUNCTION("""COMPUTED_VALUE"""),"---")</f>
        <v>---</v>
      </c>
      <c r="B128" s="49" t="str">
        <f>IFERROR(__xludf.DUMMYFUNCTION("""COMPUTED_VALUE"""),"---")</f>
        <v>---</v>
      </c>
      <c r="C128" s="49" t="str">
        <f>IFERROR(__xludf.DUMMYFUNCTION("""COMPUTED_VALUE"""),"James Durland")</f>
        <v>James Durland</v>
      </c>
      <c r="D128" s="399"/>
      <c r="E128" s="39" t="str">
        <f>IFERROR(__xludf.DUMMYFUNCTION("""COMPUTED_VALUE"""),"Vise 11/16 P/O")</f>
        <v>Vise 11/16 P/O</v>
      </c>
      <c r="F128" s="39"/>
      <c r="G128" s="52"/>
      <c r="H128" s="49" t="str">
        <f>IFERROR(__xludf.DUMMYFUNCTION("""COMPUTED_VALUE"""),"Y")</f>
        <v>Y</v>
      </c>
      <c r="I128" s="49" t="str">
        <f>IFERROR(__xludf.DUMMYFUNCTION("""COMPUTED_VALUE"""),"Y")</f>
        <v>Y</v>
      </c>
      <c r="J128" s="49"/>
      <c r="K128" s="49"/>
      <c r="L128" s="49"/>
    </row>
    <row r="129">
      <c r="A129" s="49" t="str">
        <f>IFERROR(__xludf.DUMMYFUNCTION("""COMPUTED_VALUE"""),"---")</f>
        <v>---</v>
      </c>
      <c r="B129" s="49" t="str">
        <f>IFERROR(__xludf.DUMMYFUNCTION("""COMPUTED_VALUE"""),"---")</f>
        <v>---</v>
      </c>
      <c r="C129" s="49" t="str">
        <f>IFERROR(__xludf.DUMMYFUNCTION("""COMPUTED_VALUE"""),"Stock")</f>
        <v>Stock</v>
      </c>
      <c r="D129" s="399"/>
      <c r="E129" s="39" t="str">
        <f>IFERROR(__xludf.DUMMYFUNCTION("""COMPUTED_VALUE"""),"Turbo blank inner")</f>
        <v>Turbo blank inner</v>
      </c>
      <c r="F129" s="39"/>
      <c r="G129" s="52"/>
      <c r="H129" s="49" t="str">
        <f>IFERROR(__xludf.DUMMYFUNCTION("""COMPUTED_VALUE"""),"na")</f>
        <v>na</v>
      </c>
      <c r="I129" s="49" t="str">
        <f>IFERROR(__xludf.DUMMYFUNCTION("""COMPUTED_VALUE"""),"na")</f>
        <v>na</v>
      </c>
      <c r="J129" s="49"/>
      <c r="K129" s="49"/>
      <c r="L129" s="49"/>
    </row>
    <row r="130">
      <c r="A130" s="49" t="str">
        <f>IFERROR(__xludf.DUMMYFUNCTION("""COMPUTED_VALUE"""),"---")</f>
        <v>---</v>
      </c>
      <c r="B130" s="49" t="str">
        <f>IFERROR(__xludf.DUMMYFUNCTION("""COMPUTED_VALUE"""),"---")</f>
        <v>---</v>
      </c>
      <c r="C130" s="49" t="str">
        <f>IFERROR(__xludf.DUMMYFUNCTION("""COMPUTED_VALUE"""),"Stock")</f>
        <v>Stock</v>
      </c>
      <c r="D130" s="399"/>
      <c r="E130" s="39" t="str">
        <f>IFERROR(__xludf.DUMMYFUNCTION("""COMPUTED_VALUE"""),"JoPo blank inner")</f>
        <v>JoPo blank inner</v>
      </c>
      <c r="F130" s="39"/>
      <c r="G130" s="52"/>
      <c r="H130" s="49" t="str">
        <f>IFERROR(__xludf.DUMMYFUNCTION("""COMPUTED_VALUE"""),"na")</f>
        <v>na</v>
      </c>
      <c r="I130" s="49" t="str">
        <f>IFERROR(__xludf.DUMMYFUNCTION("""COMPUTED_VALUE"""),"na")</f>
        <v>na</v>
      </c>
      <c r="J130" s="49"/>
      <c r="K130" s="49"/>
      <c r="L130" s="49"/>
    </row>
    <row r="131">
      <c r="A131" s="49" t="str">
        <f>IFERROR(__xludf.DUMMYFUNCTION("""COMPUTED_VALUE"""),"---")</f>
        <v>---</v>
      </c>
      <c r="B131" s="49" t="str">
        <f>IFERROR(__xludf.DUMMYFUNCTION("""COMPUTED_VALUE"""),"---")</f>
        <v>---</v>
      </c>
      <c r="C131" s="49" t="str">
        <f>IFERROR(__xludf.DUMMYFUNCTION("""COMPUTED_VALUE"""),"Ryan Richmond")</f>
        <v>Ryan Richmond</v>
      </c>
      <c r="D131" s="399" t="str">
        <f>IFERROR(__xludf.DUMMYFUNCTION("""COMPUTED_VALUE"""),"South")</f>
        <v>South</v>
      </c>
      <c r="E131" s="39" t="str">
        <f>IFERROR(__xludf.DUMMYFUNCTION("""COMPUTED_VALUE"""),"Storm Phaze II Pearl 14 lb")</f>
        <v>Storm Phaze II Pearl 14 lb</v>
      </c>
      <c r="F131" s="39"/>
      <c r="G131" s="52"/>
      <c r="H131" s="49" t="str">
        <f>IFERROR(__xludf.DUMMYFUNCTION("""COMPUTED_VALUE"""),"Y")</f>
        <v>Y</v>
      </c>
      <c r="I131" s="49" t="str">
        <f>IFERROR(__xludf.DUMMYFUNCTION("""COMPUTED_VALUE"""),"Y")</f>
        <v>Y</v>
      </c>
      <c r="J131" s="49"/>
      <c r="K131" s="49"/>
      <c r="L131" s="49"/>
    </row>
    <row r="132">
      <c r="A132" s="49" t="str">
        <f>IFERROR(__xludf.DUMMYFUNCTION("""COMPUTED_VALUE"""),"---")</f>
        <v>---</v>
      </c>
      <c r="B132" s="49" t="str">
        <f>IFERROR(__xludf.DUMMYFUNCTION("""COMPUTED_VALUE"""),"---")</f>
        <v>---</v>
      </c>
      <c r="C132" s="49" t="str">
        <f>IFERROR(__xludf.DUMMYFUNCTION("""COMPUTED_VALUE"""),"Adriana Rodriguez")</f>
        <v>Adriana Rodriguez</v>
      </c>
      <c r="D132" s="399" t="str">
        <f>IFERROR(__xludf.DUMMYFUNCTION("""COMPUTED_VALUE"""),"South")</f>
        <v>South</v>
      </c>
      <c r="E132" s="39" t="str">
        <f>IFERROR(__xludf.DUMMYFUNCTION("""COMPUTED_VALUE"""),"RST Hyperdrive Pearl 12 lb")</f>
        <v>RST Hyperdrive Pearl 12 lb</v>
      </c>
      <c r="F132" s="39"/>
      <c r="G132" s="52"/>
      <c r="H132" s="49" t="str">
        <f>IFERROR(__xludf.DUMMYFUNCTION("""COMPUTED_VALUE"""),"Y")</f>
        <v>Y</v>
      </c>
      <c r="I132" s="49" t="str">
        <f>IFERROR(__xludf.DUMMYFUNCTION("""COMPUTED_VALUE"""),"Y")</f>
        <v>Y</v>
      </c>
      <c r="J132" s="49"/>
      <c r="K132" s="49"/>
      <c r="L132" s="49"/>
    </row>
    <row r="133">
      <c r="A133" s="49" t="str">
        <f>IFERROR(__xludf.DUMMYFUNCTION("""COMPUTED_VALUE"""),"---")</f>
        <v>---</v>
      </c>
      <c r="B133" s="49" t="str">
        <f>IFERROR(__xludf.DUMMYFUNCTION("""COMPUTED_VALUE"""),"---")</f>
        <v>---</v>
      </c>
      <c r="C133" s="49" t="str">
        <f>IFERROR(__xludf.DUMMYFUNCTION("""COMPUTED_VALUE"""),"John Keyes")</f>
        <v>John Keyes</v>
      </c>
      <c r="D133" s="399" t="str">
        <f>IFERROR(__xludf.DUMMYFUNCTION("""COMPUTED_VALUE"""),"Valley")</f>
        <v>Valley</v>
      </c>
      <c r="E133" s="39" t="str">
        <f>IFERROR(__xludf.DUMMYFUNCTION("""COMPUTED_VALUE"""),"Hammer Black Widow Tour V1 13 lb")</f>
        <v>Hammer Black Widow Tour V1 13 lb</v>
      </c>
      <c r="F133" s="39"/>
      <c r="G133" s="52"/>
      <c r="H133" s="49" t="str">
        <f>IFERROR(__xludf.DUMMYFUNCTION("""COMPUTED_VALUE"""),"Y")</f>
        <v>Y</v>
      </c>
      <c r="I133" s="49" t="str">
        <f>IFERROR(__xludf.DUMMYFUNCTION("""COMPUTED_VALUE"""),"Y")</f>
        <v>Y</v>
      </c>
      <c r="J133" s="49"/>
      <c r="K133" s="49"/>
      <c r="L133" s="49"/>
    </row>
    <row r="134">
      <c r="A134" s="49" t="str">
        <f>IFERROR(__xludf.DUMMYFUNCTION("""COMPUTED_VALUE"""),"---")</f>
        <v>---</v>
      </c>
      <c r="B134" s="49" t="str">
        <f>IFERROR(__xludf.DUMMYFUNCTION("""COMPUTED_VALUE"""),"---")</f>
        <v>---</v>
      </c>
      <c r="C134" s="49" t="str">
        <f>IFERROR(__xludf.DUMMYFUNCTION("""COMPUTED_VALUE"""),"Richard Sakosky")</f>
        <v>Richard Sakosky</v>
      </c>
      <c r="D134" s="399" t="str">
        <f>IFERROR(__xludf.DUMMYFUNCTION("""COMPUTED_VALUE"""),"South")</f>
        <v>South</v>
      </c>
      <c r="E134" s="39" t="str">
        <f>IFERROR(__xludf.DUMMYFUNCTION("""COMPUTED_VALUE"""),"Ball: black widow tour V1 - 14 lbs")</f>
        <v>Ball: black widow tour V1 - 14 lbs</v>
      </c>
      <c r="F134" s="39"/>
      <c r="G134" s="52"/>
      <c r="H134" s="49" t="str">
        <f>IFERROR(__xludf.DUMMYFUNCTION("""COMPUTED_VALUE"""),"Y")</f>
        <v>Y</v>
      </c>
      <c r="I134" s="49" t="str">
        <f>IFERROR(__xludf.DUMMYFUNCTION("""COMPUTED_VALUE"""),"Y")</f>
        <v>Y</v>
      </c>
      <c r="J134" s="49"/>
      <c r="K134" s="49"/>
      <c r="L134" s="49"/>
    </row>
    <row r="135">
      <c r="A135" s="49" t="str">
        <f>IFERROR(__xludf.DUMMYFUNCTION("""COMPUTED_VALUE"""),"---")</f>
        <v>---</v>
      </c>
      <c r="B135" s="49" t="str">
        <f>IFERROR(__xludf.DUMMYFUNCTION("""COMPUTED_VALUE"""),"---")</f>
        <v>---</v>
      </c>
      <c r="C135" s="49" t="str">
        <f>IFERROR(__xludf.DUMMYFUNCTION("""COMPUTED_VALUE"""),"Richard Sakosky")</f>
        <v>Richard Sakosky</v>
      </c>
      <c r="D135" s="399" t="str">
        <f>IFERROR(__xludf.DUMMYFUNCTION("""COMPUTED_VALUE"""),"South")</f>
        <v>South</v>
      </c>
      <c r="E135" s="39" t="str">
        <f>IFERROR(__xludf.DUMMYFUNCTION("""COMPUTED_VALUE"""),"Ball: Hammer NU 2.0 grey 14 lbs")</f>
        <v>Ball: Hammer NU 2.0 grey 14 lbs</v>
      </c>
      <c r="F135" s="39"/>
      <c r="G135" s="52"/>
      <c r="H135" s="49" t="str">
        <f>IFERROR(__xludf.DUMMYFUNCTION("""COMPUTED_VALUE"""),"Y")</f>
        <v>Y</v>
      </c>
      <c r="I135" s="49" t="str">
        <f>IFERROR(__xludf.DUMMYFUNCTION("""COMPUTED_VALUE"""),"Y")</f>
        <v>Y</v>
      </c>
      <c r="J135" s="49"/>
      <c r="K135" s="49"/>
      <c r="L135" s="49"/>
    </row>
    <row r="136">
      <c r="A136" s="49" t="str">
        <f>IFERROR(__xludf.DUMMYFUNCTION("""COMPUTED_VALUE"""),"---")</f>
        <v>---</v>
      </c>
      <c r="B136" s="49" t="str">
        <f>IFERROR(__xludf.DUMMYFUNCTION("""COMPUTED_VALUE"""),"---")</f>
        <v>---</v>
      </c>
      <c r="C136" s="49" t="str">
        <f>IFERROR(__xludf.DUMMYFUNCTION("""COMPUTED_VALUE"""),"Timmy Bilski")</f>
        <v>Timmy Bilski</v>
      </c>
      <c r="D136" s="399" t="str">
        <f>IFERROR(__xludf.DUMMYFUNCTION("""COMPUTED_VALUE"""),"Valley")</f>
        <v>Valley</v>
      </c>
      <c r="E136" s="39" t="str">
        <f>IFERROR(__xludf.DUMMYFUNCTION("""COMPUTED_VALUE"""),"Brunswick Danger Zone 15 lb")</f>
        <v>Brunswick Danger Zone 15 lb</v>
      </c>
      <c r="F136" s="39"/>
      <c r="G136" s="52"/>
      <c r="H136" s="49" t="str">
        <f>IFERROR(__xludf.DUMMYFUNCTION("""COMPUTED_VALUE"""),"Y")</f>
        <v>Y</v>
      </c>
      <c r="I136" s="49" t="str">
        <f>IFERROR(__xludf.DUMMYFUNCTION("""COMPUTED_VALUE"""),"Y")</f>
        <v>Y</v>
      </c>
      <c r="J136" s="49"/>
      <c r="K136" s="49"/>
      <c r="L136" s="49"/>
    </row>
    <row r="137">
      <c r="A137" s="49" t="str">
        <f>IFERROR(__xludf.DUMMYFUNCTION("""COMPUTED_VALUE"""),"---")</f>
        <v>---</v>
      </c>
      <c r="B137" s="49" t="str">
        <f>IFERROR(__xludf.DUMMYFUNCTION("""COMPUTED_VALUE"""),"---")</f>
        <v>---</v>
      </c>
      <c r="C137" s="49" t="str">
        <f>IFERROR(__xludf.DUMMYFUNCTION("""COMPUTED_VALUE"""),"Michael Marinelli")</f>
        <v>Michael Marinelli</v>
      </c>
      <c r="D137" s="399" t="str">
        <f>IFERROR(__xludf.DUMMYFUNCTION("""COMPUTED_VALUE"""),"Valley")</f>
        <v>Valley</v>
      </c>
      <c r="E137" s="39" t="str">
        <f>IFERROR(__xludf.DUMMYFUNCTION("""COMPUTED_VALUE"""),"C300 Ricochet Return 14 lb")</f>
        <v>C300 Ricochet Return 14 lb</v>
      </c>
      <c r="F137" s="39"/>
      <c r="G137" s="52"/>
      <c r="H137" s="49" t="str">
        <f>IFERROR(__xludf.DUMMYFUNCTION("""COMPUTED_VALUE"""),"Y")</f>
        <v>Y</v>
      </c>
      <c r="I137" s="49" t="str">
        <f>IFERROR(__xludf.DUMMYFUNCTION("""COMPUTED_VALUE"""),"Y")</f>
        <v>Y</v>
      </c>
      <c r="J137" s="49"/>
      <c r="K137" s="49"/>
      <c r="L137" s="49"/>
    </row>
    <row r="138">
      <c r="A138" s="49" t="str">
        <f>IFERROR(__xludf.DUMMYFUNCTION("""COMPUTED_VALUE"""),"---")</f>
        <v>---</v>
      </c>
      <c r="B138" s="49" t="str">
        <f>IFERROR(__xludf.DUMMYFUNCTION("""COMPUTED_VALUE"""),"---")</f>
        <v>---</v>
      </c>
      <c r="C138" s="49" t="str">
        <f>IFERROR(__xludf.DUMMYFUNCTION("""COMPUTED_VALUE"""),"Andrew Flores")</f>
        <v>Andrew Flores</v>
      </c>
      <c r="D138" s="399" t="str">
        <f>IFERROR(__xludf.DUMMYFUNCTION("""COMPUTED_VALUE"""),"Valley")</f>
        <v>Valley</v>
      </c>
      <c r="E138" s="39" t="str">
        <f>IFERROR(__xludf.DUMMYFUNCTION("""COMPUTED_VALUE"""),"Rhino Carbon Lime Silver 13lb")</f>
        <v>Rhino Carbon Lime Silver 13lb</v>
      </c>
      <c r="F138" s="39"/>
      <c r="G138" s="52"/>
      <c r="H138" s="49" t="str">
        <f>IFERROR(__xludf.DUMMYFUNCTION("""COMPUTED_VALUE"""),"Y")</f>
        <v>Y</v>
      </c>
      <c r="I138" s="49" t="str">
        <f>IFERROR(__xludf.DUMMYFUNCTION("""COMPUTED_VALUE"""),"Y")</f>
        <v>Y</v>
      </c>
      <c r="J138" s="49"/>
      <c r="K138" s="49"/>
      <c r="L138" s="49"/>
    </row>
    <row r="139">
      <c r="A139" s="49" t="str">
        <f>IFERROR(__xludf.DUMMYFUNCTION("""COMPUTED_VALUE"""),"---")</f>
        <v>---</v>
      </c>
      <c r="B139" s="49" t="str">
        <f>IFERROR(__xludf.DUMMYFUNCTION("""COMPUTED_VALUE"""),"---")</f>
        <v>---</v>
      </c>
      <c r="C139" s="49" t="str">
        <f>IFERROR(__xludf.DUMMYFUNCTION("""COMPUTED_VALUE"""),"Stock")</f>
        <v>Stock</v>
      </c>
      <c r="D139" s="399" t="str">
        <f>IFERROR(__xludf.DUMMYFUNCTION("""COMPUTED_VALUE"""),"South")</f>
        <v>South</v>
      </c>
      <c r="E139" s="39" t="str">
        <f>IFERROR(__xludf.DUMMYFUNCTION("""COMPUTED_VALUE"""),"Hammer Black Widow Dynasty 3.0 15 lb")</f>
        <v>Hammer Black Widow Dynasty 3.0 15 lb</v>
      </c>
      <c r="F139" s="39"/>
      <c r="G139" s="52"/>
      <c r="H139" s="49" t="str">
        <f>IFERROR(__xludf.DUMMYFUNCTION("""COMPUTED_VALUE"""),"na")</f>
        <v>na</v>
      </c>
      <c r="I139" s="49" t="str">
        <f>IFERROR(__xludf.DUMMYFUNCTION("""COMPUTED_VALUE"""),"na")</f>
        <v>na</v>
      </c>
      <c r="J139" s="49"/>
      <c r="K139" s="49"/>
      <c r="L139" s="49"/>
    </row>
    <row r="140">
      <c r="A140" s="49" t="str">
        <f>IFERROR(__xludf.DUMMYFUNCTION("""COMPUTED_VALUE"""),"---")</f>
        <v>---</v>
      </c>
      <c r="B140" s="49" t="str">
        <f>IFERROR(__xludf.DUMMYFUNCTION("""COMPUTED_VALUE"""),"---")</f>
        <v>---</v>
      </c>
      <c r="C140" s="49" t="str">
        <f>IFERROR(__xludf.DUMMYFUNCTION("""COMPUTED_VALUE"""),"Kyle Defina")</f>
        <v>Kyle Defina</v>
      </c>
      <c r="D140" s="399" t="str">
        <f>IFERROR(__xludf.DUMMYFUNCTION("""COMPUTED_VALUE"""),"South")</f>
        <v>South</v>
      </c>
      <c r="E140" s="39" t="str">
        <f>IFERROR(__xludf.DUMMYFUNCTION("""COMPUTED_VALUE"""),"Dexter pro boa lavender size 8")</f>
        <v>Dexter pro boa lavender size 8</v>
      </c>
      <c r="F140" s="39"/>
      <c r="G140" s="52"/>
      <c r="H140" s="49" t="str">
        <f>IFERROR(__xludf.DUMMYFUNCTION("""COMPUTED_VALUE"""),"Y")</f>
        <v>Y</v>
      </c>
      <c r="I140" s="49" t="str">
        <f>IFERROR(__xludf.DUMMYFUNCTION("""COMPUTED_VALUE"""),"Y")</f>
        <v>Y</v>
      </c>
      <c r="J140" s="49"/>
      <c r="K140" s="49"/>
      <c r="L140" s="49"/>
    </row>
    <row r="141">
      <c r="A141" s="49" t="str">
        <f>IFERROR(__xludf.DUMMYFUNCTION("""COMPUTED_VALUE"""),"---")</f>
        <v>---</v>
      </c>
      <c r="B141" s="49" t="str">
        <f>IFERROR(__xludf.DUMMYFUNCTION("""COMPUTED_VALUE"""),"---")</f>
        <v>---</v>
      </c>
      <c r="C141" s="49" t="str">
        <f>IFERROR(__xludf.DUMMYFUNCTION("""COMPUTED_VALUE"""),"Carleen Ramirez")</f>
        <v>Carleen Ramirez</v>
      </c>
      <c r="D141" s="399" t="str">
        <f>IFERROR(__xludf.DUMMYFUNCTION("""COMPUTED_VALUE"""),"South")</f>
        <v>South</v>
      </c>
      <c r="E141" s="39" t="str">
        <f>IFERROR(__xludf.DUMMYFUNCTION("""COMPUTED_VALUE"""),"Brunswick t-zone deep space 8 lb")</f>
        <v>Brunswick t-zone deep space 8 lb</v>
      </c>
      <c r="F141" s="39"/>
      <c r="G141" s="52"/>
      <c r="H141" s="49" t="str">
        <f>IFERROR(__xludf.DUMMYFUNCTION("""COMPUTED_VALUE"""),"Y")</f>
        <v>Y</v>
      </c>
      <c r="I141" s="49" t="str">
        <f>IFERROR(__xludf.DUMMYFUNCTION("""COMPUTED_VALUE"""),"Y")</f>
        <v>Y</v>
      </c>
      <c r="J141" s="49"/>
      <c r="K141" s="49"/>
      <c r="L141" s="49"/>
    </row>
    <row r="142">
      <c r="A142" s="49" t="str">
        <f>IFERROR(__xludf.DUMMYFUNCTION("""COMPUTED_VALUE"""),"---")</f>
        <v>---</v>
      </c>
      <c r="B142" s="49" t="str">
        <f>IFERROR(__xludf.DUMMYFUNCTION("""COMPUTED_VALUE"""),"---")</f>
        <v>---</v>
      </c>
      <c r="C142" s="49" t="str">
        <f>IFERROR(__xludf.DUMMYFUNCTION("""COMPUTED_VALUE"""),"Jordan Edwards")</f>
        <v>Jordan Edwards</v>
      </c>
      <c r="D142" s="399" t="str">
        <f>IFERROR(__xludf.DUMMYFUNCTION("""COMPUTED_VALUE"""),"South")</f>
        <v>South</v>
      </c>
      <c r="E142" s="39" t="str">
        <f>IFERROR(__xludf.DUMMYFUNCTION("""COMPUTED_VALUE"""),"Track Theorem Solid 16 lb")</f>
        <v>Track Theorem Solid 16 lb</v>
      </c>
      <c r="F142" s="39"/>
      <c r="G142" s="52"/>
      <c r="H142" s="49" t="str">
        <f>IFERROR(__xludf.DUMMYFUNCTION("""COMPUTED_VALUE"""),"Y")</f>
        <v>Y</v>
      </c>
      <c r="I142" s="49" t="str">
        <f>IFERROR(__xludf.DUMMYFUNCTION("""COMPUTED_VALUE"""),"Y")</f>
        <v>Y</v>
      </c>
      <c r="J142" s="49"/>
      <c r="K142" s="49"/>
      <c r="L142" s="49"/>
    </row>
    <row r="143">
      <c r="A143" s="49" t="str">
        <f>IFERROR(__xludf.DUMMYFUNCTION("""COMPUTED_VALUE"""),"---")</f>
        <v>---</v>
      </c>
      <c r="B143" s="49" t="str">
        <f>IFERROR(__xludf.DUMMYFUNCTION("""COMPUTED_VALUE"""),"---")</f>
        <v>---</v>
      </c>
      <c r="C143" s="49" t="str">
        <f>IFERROR(__xludf.DUMMYFUNCTION("""COMPUTED_VALUE"""),"Stock")</f>
        <v>Stock</v>
      </c>
      <c r="D143" s="399"/>
      <c r="E143" s="39" t="str">
        <f>IFERROR(__xludf.DUMMYFUNCTION("""COMPUTED_VALUE"""),"T45 quick plug")</f>
        <v>T45 quick plug</v>
      </c>
      <c r="F143" s="39"/>
      <c r="G143" s="52"/>
      <c r="H143" s="49" t="str">
        <f>IFERROR(__xludf.DUMMYFUNCTION("""COMPUTED_VALUE"""),"na")</f>
        <v>na</v>
      </c>
      <c r="I143" s="49" t="str">
        <f>IFERROR(__xludf.DUMMYFUNCTION("""COMPUTED_VALUE"""),"na")</f>
        <v>na</v>
      </c>
      <c r="J143" s="49"/>
      <c r="K143" s="49"/>
      <c r="L143" s="49"/>
    </row>
    <row r="144">
      <c r="A144" s="49" t="str">
        <f>IFERROR(__xludf.DUMMYFUNCTION("""COMPUTED_VALUE"""),"---")</f>
        <v>---</v>
      </c>
      <c r="B144" s="49" t="str">
        <f>IFERROR(__xludf.DUMMYFUNCTION("""COMPUTED_VALUE"""),"---")</f>
        <v>---</v>
      </c>
      <c r="C144" s="49" t="str">
        <f>IFERROR(__xludf.DUMMYFUNCTION("""COMPUTED_VALUE"""),"Stock")</f>
        <v>Stock</v>
      </c>
      <c r="D144" s="399" t="str">
        <f>IFERROR(__xludf.DUMMYFUNCTION("""COMPUTED_VALUE"""),"South")</f>
        <v>South</v>
      </c>
      <c r="E144" s="39" t="str">
        <f>IFERROR(__xludf.DUMMYFUNCTION("""COMPUTED_VALUE"""),"Hammer Zero Mercy Pearl 15 lb")</f>
        <v>Hammer Zero Mercy Pearl 15 lb</v>
      </c>
      <c r="F144" s="39"/>
      <c r="G144" s="52"/>
      <c r="H144" s="49" t="str">
        <f>IFERROR(__xludf.DUMMYFUNCTION("""COMPUTED_VALUE"""),"na")</f>
        <v>na</v>
      </c>
      <c r="I144" s="49" t="str">
        <f>IFERROR(__xludf.DUMMYFUNCTION("""COMPUTED_VALUE"""),"na")</f>
        <v>na</v>
      </c>
      <c r="J144" s="49"/>
      <c r="K144" s="49"/>
      <c r="L144" s="49"/>
    </row>
    <row r="145">
      <c r="A145" s="49" t="str">
        <f>IFERROR(__xludf.DUMMYFUNCTION("""COMPUTED_VALUE"""),"---")</f>
        <v>---</v>
      </c>
      <c r="B145" s="49" t="str">
        <f>IFERROR(__xludf.DUMMYFUNCTION("""COMPUTED_VALUE"""),"---")</f>
        <v>---</v>
      </c>
      <c r="C145" s="49" t="str">
        <f>IFERROR(__xludf.DUMMYFUNCTION("""COMPUTED_VALUE"""),"Leann Martin")</f>
        <v>Leann Martin</v>
      </c>
      <c r="D145" s="399" t="str">
        <f>IFERROR(__xludf.DUMMYFUNCTION("""COMPUTED_VALUE"""),"Valley")</f>
        <v>Valley</v>
      </c>
      <c r="E145" s="39" t="str">
        <f>IFERROR(__xludf.DUMMYFUNCTION("""COMPUTED_VALUE"""),"Zero Mercy Solid - 13lbs")</f>
        <v>Zero Mercy Solid - 13lbs</v>
      </c>
      <c r="F145" s="39"/>
      <c r="G145" s="52"/>
      <c r="H145" s="49" t="str">
        <f>IFERROR(__xludf.DUMMYFUNCTION("""COMPUTED_VALUE"""),"Y")</f>
        <v>Y</v>
      </c>
      <c r="I145" s="49" t="str">
        <f>IFERROR(__xludf.DUMMYFUNCTION("""COMPUTED_VALUE"""),"Y")</f>
        <v>Y</v>
      </c>
      <c r="J145" s="49"/>
      <c r="K145" s="49"/>
      <c r="L145" s="49"/>
    </row>
    <row r="146">
      <c r="A146" s="49" t="str">
        <f>IFERROR(__xludf.DUMMYFUNCTION("""COMPUTED_VALUE"""),"---")</f>
        <v>---</v>
      </c>
      <c r="B146" s="49" t="str">
        <f>IFERROR(__xludf.DUMMYFUNCTION("""COMPUTED_VALUE"""),"---")</f>
        <v>---</v>
      </c>
      <c r="C146" s="49" t="str">
        <f>IFERROR(__xludf.DUMMYFUNCTION("""COMPUTED_VALUE"""),"Stock")</f>
        <v>Stock</v>
      </c>
      <c r="D146" s="399" t="str">
        <f>IFERROR(__xludf.DUMMYFUNCTION("""COMPUTED_VALUE"""),"South")</f>
        <v>South</v>
      </c>
      <c r="E146" s="39" t="str">
        <f>IFERROR(__xludf.DUMMYFUNCTION("""COMPUTED_VALUE"""),"Hammer Black Widow Dynasty 3.0 15 lb (2)")</f>
        <v>Hammer Black Widow Dynasty 3.0 15 lb (2)</v>
      </c>
      <c r="F146" s="39"/>
      <c r="G146" s="52"/>
      <c r="H146" s="49" t="str">
        <f>IFERROR(__xludf.DUMMYFUNCTION("""COMPUTED_VALUE"""),"na")</f>
        <v>na</v>
      </c>
      <c r="I146" s="49" t="str">
        <f>IFERROR(__xludf.DUMMYFUNCTION("""COMPUTED_VALUE"""),"na")</f>
        <v>na</v>
      </c>
      <c r="J146" s="49"/>
      <c r="K146" s="49"/>
      <c r="L146" s="49"/>
    </row>
    <row r="147">
      <c r="A147" s="49" t="str">
        <f>IFERROR(__xludf.DUMMYFUNCTION("""COMPUTED_VALUE"""),"---")</f>
        <v>---</v>
      </c>
      <c r="B147" s="49" t="str">
        <f>IFERROR(__xludf.DUMMYFUNCTION("""COMPUTED_VALUE"""),"---")</f>
        <v>---</v>
      </c>
      <c r="C147" s="49" t="str">
        <f>IFERROR(__xludf.DUMMYFUNCTION("""COMPUTED_VALUE"""),"Stock")</f>
        <v>Stock</v>
      </c>
      <c r="D147" s="399" t="str">
        <f>IFERROR(__xludf.DUMMYFUNCTION("""COMPUTED_VALUE"""),"South")</f>
        <v>South</v>
      </c>
      <c r="E147" s="39" t="str">
        <f>IFERROR(__xludf.DUMMYFUNCTION("""COMPUTED_VALUE"""),"Hammer Tour V1 15 lb (2)")</f>
        <v>Hammer Tour V1 15 lb (2)</v>
      </c>
      <c r="F147" s="39"/>
      <c r="G147" s="52"/>
      <c r="H147" s="49" t="str">
        <f>IFERROR(__xludf.DUMMYFUNCTION("""COMPUTED_VALUE"""),"na")</f>
        <v>na</v>
      </c>
      <c r="I147" s="49" t="str">
        <f>IFERROR(__xludf.DUMMYFUNCTION("""COMPUTED_VALUE"""),"na")</f>
        <v>na</v>
      </c>
      <c r="J147" s="49"/>
      <c r="K147" s="49"/>
      <c r="L147" s="49"/>
    </row>
    <row r="148">
      <c r="A148" s="49" t="str">
        <f>IFERROR(__xludf.DUMMYFUNCTION("""COMPUTED_VALUE"""),"---")</f>
        <v>---</v>
      </c>
      <c r="B148" s="49" t="str">
        <f>IFERROR(__xludf.DUMMYFUNCTION("""COMPUTED_VALUE"""),"---")</f>
        <v>---</v>
      </c>
      <c r="C148" s="49" t="str">
        <f>IFERROR(__xludf.DUMMYFUNCTION("""COMPUTED_VALUE"""),"Stock")</f>
        <v>Stock</v>
      </c>
      <c r="D148" s="399"/>
      <c r="E148" s="39" t="str">
        <f>IFERROR(__xludf.DUMMYFUNCTION("""COMPUTED_VALUE"""),"Hammer Tough single tote blue (2)")</f>
        <v>Hammer Tough single tote blue (2)</v>
      </c>
      <c r="F148" s="39"/>
      <c r="G148" s="52"/>
      <c r="H148" s="49" t="str">
        <f>IFERROR(__xludf.DUMMYFUNCTION("""COMPUTED_VALUE"""),"na")</f>
        <v>na</v>
      </c>
      <c r="I148" s="49" t="str">
        <f>IFERROR(__xludf.DUMMYFUNCTION("""COMPUTED_VALUE"""),"na")</f>
        <v>na</v>
      </c>
      <c r="J148" s="49"/>
      <c r="K148" s="49"/>
      <c r="L148" s="49"/>
    </row>
    <row r="149">
      <c r="A149" s="49" t="str">
        <f>IFERROR(__xludf.DUMMYFUNCTION("""COMPUTED_VALUE"""),"---")</f>
        <v>---</v>
      </c>
      <c r="B149" s="49" t="str">
        <f>IFERROR(__xludf.DUMMYFUNCTION("""COMPUTED_VALUE"""),"---")</f>
        <v>---</v>
      </c>
      <c r="C149" s="49" t="str">
        <f>IFERROR(__xludf.DUMMYFUNCTION("""COMPUTED_VALUE"""),"Stock")</f>
        <v>Stock</v>
      </c>
      <c r="D149" s="399"/>
      <c r="E149" s="39" t="str">
        <f>IFERROR(__xludf.DUMMYFUNCTION("""COMPUTED_VALUE"""),"Hammer Tough single tote purple (2)")</f>
        <v>Hammer Tough single tote purple (2)</v>
      </c>
      <c r="F149" s="39"/>
      <c r="G149" s="52"/>
      <c r="H149" s="49" t="str">
        <f>IFERROR(__xludf.DUMMYFUNCTION("""COMPUTED_VALUE"""),"na")</f>
        <v>na</v>
      </c>
      <c r="I149" s="49" t="str">
        <f>IFERROR(__xludf.DUMMYFUNCTION("""COMPUTED_VALUE"""),"na")</f>
        <v>na</v>
      </c>
      <c r="J149" s="49"/>
      <c r="K149" s="49"/>
      <c r="L149" s="49"/>
    </row>
    <row r="150">
      <c r="A150" s="49" t="str">
        <f>IFERROR(__xludf.DUMMYFUNCTION("""COMPUTED_VALUE"""),"---")</f>
        <v>---</v>
      </c>
      <c r="B150" s="49" t="str">
        <f>IFERROR(__xludf.DUMMYFUNCTION("""COMPUTED_VALUE"""),"---")</f>
        <v>---</v>
      </c>
      <c r="C150" s="49" t="str">
        <f>IFERROR(__xludf.DUMMYFUNCTION("""COMPUTED_VALUE"""),"Stock")</f>
        <v>Stock</v>
      </c>
      <c r="D150" s="399" t="str">
        <f>IFERROR(__xludf.DUMMYFUNCTION("""COMPUTED_VALUE"""),"Valley")</f>
        <v>Valley</v>
      </c>
      <c r="E150" s="39" t="str">
        <f>IFERROR(__xludf.DUMMYFUNCTION("""COMPUTED_VALUE"""),"Hammer Black Widow Dynasty 3.0 15 lb")</f>
        <v>Hammer Black Widow Dynasty 3.0 15 lb</v>
      </c>
      <c r="F150" s="39"/>
      <c r="G150" s="52"/>
      <c r="H150" s="49" t="str">
        <f>IFERROR(__xludf.DUMMYFUNCTION("""COMPUTED_VALUE"""),"na")</f>
        <v>na</v>
      </c>
      <c r="I150" s="49" t="str">
        <f>IFERROR(__xludf.DUMMYFUNCTION("""COMPUTED_VALUE"""),"na")</f>
        <v>na</v>
      </c>
      <c r="J150" s="49"/>
      <c r="K150" s="49"/>
      <c r="L150" s="49"/>
    </row>
    <row r="151">
      <c r="A151" s="49" t="str">
        <f>IFERROR(__xludf.DUMMYFUNCTION("""COMPUTED_VALUE"""),"---")</f>
        <v>---</v>
      </c>
      <c r="B151" s="49" t="str">
        <f>IFERROR(__xludf.DUMMYFUNCTION("""COMPUTED_VALUE"""),"---")</f>
        <v>---</v>
      </c>
      <c r="C151" s="49" t="str">
        <f>IFERROR(__xludf.DUMMYFUNCTION("""COMPUTED_VALUE"""),"Stock")</f>
        <v>Stock</v>
      </c>
      <c r="D151" s="399" t="str">
        <f>IFERROR(__xludf.DUMMYFUNCTION("""COMPUTED_VALUE"""),"Valley")</f>
        <v>Valley</v>
      </c>
      <c r="E151" s="39" t="str">
        <f>IFERROR(__xludf.DUMMYFUNCTION("""COMPUTED_VALUE"""),"Hammer Tour V1 15 lb")</f>
        <v>Hammer Tour V1 15 lb</v>
      </c>
      <c r="F151" s="39"/>
      <c r="G151" s="52"/>
      <c r="H151" s="49" t="str">
        <f>IFERROR(__xludf.DUMMYFUNCTION("""COMPUTED_VALUE"""),"na")</f>
        <v>na</v>
      </c>
      <c r="I151" s="49" t="str">
        <f>IFERROR(__xludf.DUMMYFUNCTION("""COMPUTED_VALUE"""),"na")</f>
        <v>na</v>
      </c>
      <c r="J151" s="49"/>
      <c r="K151" s="49"/>
      <c r="L151" s="49"/>
    </row>
    <row r="152">
      <c r="A152" s="49" t="str">
        <f>IFERROR(__xludf.DUMMYFUNCTION("""COMPUTED_VALUE"""),"---")</f>
        <v>---</v>
      </c>
      <c r="B152" s="49" t="str">
        <f>IFERROR(__xludf.DUMMYFUNCTION("""COMPUTED_VALUE"""),"---")</f>
        <v>---</v>
      </c>
      <c r="C152" s="49" t="str">
        <f>IFERROR(__xludf.DUMMYFUNCTION("""COMPUTED_VALUE"""),"Stock")</f>
        <v>Stock</v>
      </c>
      <c r="D152" s="399"/>
      <c r="E152" s="39" t="str">
        <f>IFERROR(__xludf.DUMMYFUNCTION("""COMPUTED_VALUE"""),"Hammer single tote")</f>
        <v>Hammer single tote</v>
      </c>
      <c r="F152" s="39"/>
      <c r="G152" s="52"/>
      <c r="H152" s="49" t="str">
        <f>IFERROR(__xludf.DUMMYFUNCTION("""COMPUTED_VALUE"""),"na")</f>
        <v>na</v>
      </c>
      <c r="I152" s="49" t="str">
        <f>IFERROR(__xludf.DUMMYFUNCTION("""COMPUTED_VALUE"""),"na")</f>
        <v>na</v>
      </c>
      <c r="J152" s="49"/>
      <c r="K152" s="49"/>
      <c r="L152" s="49"/>
    </row>
    <row r="153">
      <c r="A153" s="49" t="str">
        <f>IFERROR(__xludf.DUMMYFUNCTION("""COMPUTED_VALUE"""),"---")</f>
        <v>---</v>
      </c>
      <c r="B153" s="49" t="str">
        <f>IFERROR(__xludf.DUMMYFUNCTION("""COMPUTED_VALUE"""),"---")</f>
        <v>---</v>
      </c>
      <c r="C153" s="49" t="str">
        <f>IFERROR(__xludf.DUMMYFUNCTION("""COMPUTED_VALUE"""),"Stock")</f>
        <v>Stock</v>
      </c>
      <c r="D153" s="399"/>
      <c r="E153" s="39" t="str">
        <f>IFERROR(__xludf.DUMMYFUNCTION("""COMPUTED_VALUE"""),"Hammer single tote")</f>
        <v>Hammer single tote</v>
      </c>
      <c r="F153" s="39"/>
      <c r="G153" s="52"/>
      <c r="H153" s="49" t="str">
        <f>IFERROR(__xludf.DUMMYFUNCTION("""COMPUTED_VALUE"""),"na")</f>
        <v>na</v>
      </c>
      <c r="I153" s="49" t="str">
        <f>IFERROR(__xludf.DUMMYFUNCTION("""COMPUTED_VALUE"""),"na")</f>
        <v>na</v>
      </c>
      <c r="J153" s="49"/>
      <c r="K153" s="49"/>
      <c r="L153" s="49"/>
    </row>
    <row r="154">
      <c r="A154" s="49" t="str">
        <f>IFERROR(__xludf.DUMMYFUNCTION("""COMPUTED_VALUE"""),"---")</f>
        <v>---</v>
      </c>
      <c r="B154" s="49" t="str">
        <f>IFERROR(__xludf.DUMMYFUNCTION("""COMPUTED_VALUE"""),"---")</f>
        <v>---</v>
      </c>
      <c r="C154" s="49" t="str">
        <f>IFERROR(__xludf.DUMMYFUNCTION("""COMPUTED_VALUE"""),"Stock")</f>
        <v>Stock</v>
      </c>
      <c r="D154" s="399"/>
      <c r="E154" s="39" t="str">
        <f>IFERROR(__xludf.DUMMYFUNCTION("""COMPUTED_VALUE"""),"Jopo inner sleeves")</f>
        <v>Jopo inner sleeves</v>
      </c>
      <c r="F154" s="39"/>
      <c r="G154" s="52"/>
      <c r="H154" s="49" t="str">
        <f>IFERROR(__xludf.DUMMYFUNCTION("""COMPUTED_VALUE"""),"na")</f>
        <v>na</v>
      </c>
      <c r="I154" s="49" t="str">
        <f>IFERROR(__xludf.DUMMYFUNCTION("""COMPUTED_VALUE"""),"na")</f>
        <v>na</v>
      </c>
      <c r="J154" s="49"/>
      <c r="K154" s="49"/>
      <c r="L154" s="49"/>
    </row>
    <row r="155">
      <c r="A155" s="49" t="str">
        <f>IFERROR(__xludf.DUMMYFUNCTION("""COMPUTED_VALUE"""),"---")</f>
        <v>---</v>
      </c>
      <c r="B155" s="49" t="str">
        <f>IFERROR(__xludf.DUMMYFUNCTION("""COMPUTED_VALUE"""),"---")</f>
        <v>---</v>
      </c>
      <c r="C155" s="49" t="str">
        <f>IFERROR(__xludf.DUMMYFUNCTION("""COMPUTED_VALUE"""),"Stock")</f>
        <v>Stock</v>
      </c>
      <c r="D155" s="399"/>
      <c r="E155" s="39" t="str">
        <f>IFERROR(__xludf.DUMMYFUNCTION("""COMPUTED_VALUE"""),"Jopo outer sleeves")</f>
        <v>Jopo outer sleeves</v>
      </c>
      <c r="F155" s="39"/>
      <c r="G155" s="52"/>
      <c r="H155" s="49" t="str">
        <f>IFERROR(__xludf.DUMMYFUNCTION("""COMPUTED_VALUE"""),"na")</f>
        <v>na</v>
      </c>
      <c r="I155" s="49" t="str">
        <f>IFERROR(__xludf.DUMMYFUNCTION("""COMPUTED_VALUE"""),"na")</f>
        <v>na</v>
      </c>
      <c r="J155" s="49"/>
      <c r="K155" s="49"/>
      <c r="L155" s="49"/>
    </row>
    <row r="156">
      <c r="A156" s="49" t="str">
        <f>IFERROR(__xludf.DUMMYFUNCTION("""COMPUTED_VALUE"""),"---")</f>
        <v>---</v>
      </c>
      <c r="B156" s="49" t="str">
        <f>IFERROR(__xludf.DUMMYFUNCTION("""COMPUTED_VALUE"""),"---")</f>
        <v>---</v>
      </c>
      <c r="C156" s="49" t="str">
        <f>IFERROR(__xludf.DUMMYFUNCTION("""COMPUTED_VALUE"""),"Stock")</f>
        <v>Stock</v>
      </c>
      <c r="D156" s="399"/>
      <c r="E156" s="39" t="str">
        <f>IFERROR(__xludf.DUMMYFUNCTION("""COMPUTED_VALUE"""),"Turbo inner sleeves")</f>
        <v>Turbo inner sleeves</v>
      </c>
      <c r="F156" s="39"/>
      <c r="G156" s="52"/>
      <c r="H156" s="49" t="str">
        <f>IFERROR(__xludf.DUMMYFUNCTION("""COMPUTED_VALUE"""),"na")</f>
        <v>na</v>
      </c>
      <c r="I156" s="49" t="str">
        <f>IFERROR(__xludf.DUMMYFUNCTION("""COMPUTED_VALUE"""),"na")</f>
        <v>na</v>
      </c>
      <c r="J156" s="49"/>
      <c r="K156" s="49"/>
      <c r="L156" s="49"/>
    </row>
    <row r="157">
      <c r="A157" s="49" t="str">
        <f>IFERROR(__xludf.DUMMYFUNCTION("""COMPUTED_VALUE"""),"---")</f>
        <v>---</v>
      </c>
      <c r="B157" s="49" t="str">
        <f>IFERROR(__xludf.DUMMYFUNCTION("""COMPUTED_VALUE"""),"---")</f>
        <v>---</v>
      </c>
      <c r="C157" s="49" t="str">
        <f>IFERROR(__xludf.DUMMYFUNCTION("""COMPUTED_VALUE"""),"Stock")</f>
        <v>Stock</v>
      </c>
      <c r="D157" s="399"/>
      <c r="E157" s="39" t="str">
        <f>IFERROR(__xludf.DUMMYFUNCTION("""COMPUTED_VALUE"""),"Turbo outer sleeves")</f>
        <v>Turbo outer sleeves</v>
      </c>
      <c r="F157" s="39"/>
      <c r="G157" s="52"/>
      <c r="H157" s="49" t="str">
        <f>IFERROR(__xludf.DUMMYFUNCTION("""COMPUTED_VALUE"""),"na")</f>
        <v>na</v>
      </c>
      <c r="I157" s="49" t="str">
        <f>IFERROR(__xludf.DUMMYFUNCTION("""COMPUTED_VALUE"""),"na")</f>
        <v>na</v>
      </c>
      <c r="J157" s="49"/>
      <c r="K157" s="49"/>
      <c r="L157" s="49"/>
    </row>
    <row r="158">
      <c r="A158" s="49" t="str">
        <f>IFERROR(__xludf.DUMMYFUNCTION("""COMPUTED_VALUE"""),"---")</f>
        <v>---</v>
      </c>
      <c r="B158" s="49" t="str">
        <f>IFERROR(__xludf.DUMMYFUNCTION("""COMPUTED_VALUE"""),"---")</f>
        <v>---</v>
      </c>
      <c r="C158" s="49" t="str">
        <f>IFERROR(__xludf.DUMMYFUNCTION("""COMPUTED_VALUE"""),"Stock")</f>
        <v>Stock</v>
      </c>
      <c r="D158" s="399"/>
      <c r="E158" s="39" t="str">
        <f>IFERROR(__xludf.DUMMYFUNCTION("""COMPUTED_VALUE"""),"1 1/8"" black/white")</f>
        <v>1 1/8" black/white</v>
      </c>
      <c r="F158" s="39"/>
      <c r="G158" s="52"/>
      <c r="H158" s="49" t="str">
        <f>IFERROR(__xludf.DUMMYFUNCTION("""COMPUTED_VALUE"""),"na")</f>
        <v>na</v>
      </c>
      <c r="I158" s="49" t="str">
        <f>IFERROR(__xludf.DUMMYFUNCTION("""COMPUTED_VALUE"""),"na")</f>
        <v>na</v>
      </c>
      <c r="J158" s="49"/>
      <c r="K158" s="49"/>
      <c r="L158" s="49"/>
    </row>
    <row r="159">
      <c r="A159" s="49" t="str">
        <f>IFERROR(__xludf.DUMMYFUNCTION("""COMPUTED_VALUE"""),"---")</f>
        <v>---</v>
      </c>
      <c r="B159" s="49" t="str">
        <f>IFERROR(__xludf.DUMMYFUNCTION("""COMPUTED_VALUE"""),"---")</f>
        <v>---</v>
      </c>
      <c r="C159" s="49" t="str">
        <f>IFERROR(__xludf.DUMMYFUNCTION("""COMPUTED_VALUE"""),"Stock")</f>
        <v>Stock</v>
      </c>
      <c r="D159" s="399"/>
      <c r="E159" s="39" t="str">
        <f>IFERROR(__xludf.DUMMYFUNCTION("""COMPUTED_VALUE"""),"1 1/4"" slug red/green")</f>
        <v>1 1/4" slug red/green</v>
      </c>
      <c r="F159" s="39"/>
      <c r="G159" s="52"/>
      <c r="H159" s="49" t="str">
        <f>IFERROR(__xludf.DUMMYFUNCTION("""COMPUTED_VALUE"""),"na")</f>
        <v>na</v>
      </c>
      <c r="I159" s="49" t="str">
        <f>IFERROR(__xludf.DUMMYFUNCTION("""COMPUTED_VALUE"""),"na")</f>
        <v>na</v>
      </c>
      <c r="J159" s="49"/>
      <c r="K159" s="49"/>
      <c r="L159" s="49"/>
    </row>
    <row r="160">
      <c r="A160" s="49" t="str">
        <f>IFERROR(__xludf.DUMMYFUNCTION("""COMPUTED_VALUE"""),"---")</f>
        <v>---</v>
      </c>
      <c r="B160" s="49" t="str">
        <f>IFERROR(__xludf.DUMMYFUNCTION("""COMPUTED_VALUE"""),"---")</f>
        <v>---</v>
      </c>
      <c r="C160" s="49" t="str">
        <f>IFERROR(__xludf.DUMMYFUNCTION("""COMPUTED_VALUE"""),"Stock")</f>
        <v>Stock</v>
      </c>
      <c r="D160" s="399"/>
      <c r="E160" s="39" t="str">
        <f>IFERROR(__xludf.DUMMYFUNCTION("""COMPUTED_VALUE"""),"TG blue 23")</f>
        <v>TG blue 23</v>
      </c>
      <c r="F160" s="39"/>
      <c r="G160" s="52"/>
      <c r="H160" s="49" t="str">
        <f>IFERROR(__xludf.DUMMYFUNCTION("""COMPUTED_VALUE"""),"na")</f>
        <v>na</v>
      </c>
      <c r="I160" s="49" t="str">
        <f>IFERROR(__xludf.DUMMYFUNCTION("""COMPUTED_VALUE"""),"na")</f>
        <v>na</v>
      </c>
      <c r="J160" s="49"/>
      <c r="K160" s="49"/>
      <c r="L160" s="49"/>
    </row>
    <row r="161">
      <c r="A161" s="49" t="str">
        <f>IFERROR(__xludf.DUMMYFUNCTION("""COMPUTED_VALUE"""),"---")</f>
        <v>---</v>
      </c>
      <c r="B161" s="49" t="str">
        <f>IFERROR(__xludf.DUMMYFUNCTION("""COMPUTED_VALUE"""),"---")</f>
        <v>---</v>
      </c>
      <c r="C161" s="49" t="str">
        <f>IFERROR(__xludf.DUMMYFUNCTION("""COMPUTED_VALUE"""),"Stock")</f>
        <v>Stock</v>
      </c>
      <c r="D161" s="399"/>
      <c r="E161" s="39" t="str">
        <f>IFERROR(__xludf.DUMMYFUNCTION("""COMPUTED_VALUE"""),"TG blue 51")</f>
        <v>TG blue 51</v>
      </c>
      <c r="F161" s="39"/>
      <c r="G161" s="52"/>
      <c r="H161" s="49" t="str">
        <f>IFERROR(__xludf.DUMMYFUNCTION("""COMPUTED_VALUE"""),"na")</f>
        <v>na</v>
      </c>
      <c r="I161" s="49" t="str">
        <f>IFERROR(__xludf.DUMMYFUNCTION("""COMPUTED_VALUE"""),"na")</f>
        <v>na</v>
      </c>
      <c r="J161" s="49"/>
      <c r="K161" s="49"/>
      <c r="L161" s="49"/>
    </row>
    <row r="162">
      <c r="A162" s="49" t="str">
        <f>IFERROR(__xludf.DUMMYFUNCTION("""COMPUTED_VALUE"""),"---")</f>
        <v>---</v>
      </c>
      <c r="B162" s="49" t="str">
        <f>IFERROR(__xludf.DUMMYFUNCTION("""COMPUTED_VALUE"""),"---")</f>
        <v>---</v>
      </c>
      <c r="C162" s="49" t="str">
        <f>IFERROR(__xludf.DUMMYFUNCTION("""COMPUTED_VALUE"""),"Stock")</f>
        <v>Stock</v>
      </c>
      <c r="D162" s="399"/>
      <c r="E162" s="39" t="str">
        <f>IFERROR(__xludf.DUMMYFUNCTION("""COMPUTED_VALUE"""),"TG red 23")</f>
        <v>TG red 23</v>
      </c>
      <c r="F162" s="39"/>
      <c r="G162" s="52"/>
      <c r="H162" s="49" t="str">
        <f>IFERROR(__xludf.DUMMYFUNCTION("""COMPUTED_VALUE"""),"na")</f>
        <v>na</v>
      </c>
      <c r="I162" s="49" t="str">
        <f>IFERROR(__xludf.DUMMYFUNCTION("""COMPUTED_VALUE"""),"na")</f>
        <v>na</v>
      </c>
      <c r="J162" s="49"/>
      <c r="K162" s="49"/>
      <c r="L162" s="49"/>
    </row>
    <row r="163">
      <c r="A163" s="49" t="str">
        <f>IFERROR(__xludf.DUMMYFUNCTION("""COMPUTED_VALUE"""),"---")</f>
        <v>---</v>
      </c>
      <c r="B163" s="49" t="str">
        <f>IFERROR(__xludf.DUMMYFUNCTION("""COMPUTED_VALUE"""),"---")</f>
        <v>---</v>
      </c>
      <c r="C163" s="49" t="str">
        <f>IFERROR(__xludf.DUMMYFUNCTION("""COMPUTED_VALUE"""),"Stock")</f>
        <v>Stock</v>
      </c>
      <c r="D163" s="399"/>
      <c r="E163" s="39" t="str">
        <f>IFERROR(__xludf.DUMMYFUNCTION("""COMPUTED_VALUE"""),"TG red 39")</f>
        <v>TG red 39</v>
      </c>
      <c r="F163" s="39"/>
      <c r="G163" s="52"/>
      <c r="H163" s="49" t="str">
        <f>IFERROR(__xludf.DUMMYFUNCTION("""COMPUTED_VALUE"""),"na")</f>
        <v>na</v>
      </c>
      <c r="I163" s="49" t="str">
        <f>IFERROR(__xludf.DUMMYFUNCTION("""COMPUTED_VALUE"""),"na")</f>
        <v>na</v>
      </c>
      <c r="J163" s="49"/>
      <c r="K163" s="49"/>
      <c r="L163" s="49"/>
    </row>
    <row r="164">
      <c r="A164" s="49" t="str">
        <f>IFERROR(__xludf.DUMMYFUNCTION("""COMPUTED_VALUE"""),"---")</f>
        <v>---</v>
      </c>
      <c r="B164" s="49" t="str">
        <f>IFERROR(__xludf.DUMMYFUNCTION("""COMPUTED_VALUE"""),"---")</f>
        <v>---</v>
      </c>
      <c r="C164" s="49" t="str">
        <f>IFERROR(__xludf.DUMMYFUNCTION("""COMPUTED_VALUE"""),"Stock")</f>
        <v>Stock</v>
      </c>
      <c r="D164" s="399"/>
      <c r="E164" s="39" t="str">
        <f>IFERROR(__xludf.DUMMYFUNCTION("""COMPUTED_VALUE"""),"TG yellow 43")</f>
        <v>TG yellow 43</v>
      </c>
      <c r="F164" s="39"/>
      <c r="G164" s="52"/>
      <c r="H164" s="49" t="str">
        <f>IFERROR(__xludf.DUMMYFUNCTION("""COMPUTED_VALUE"""),"na")</f>
        <v>na</v>
      </c>
      <c r="I164" s="49" t="str">
        <f>IFERROR(__xludf.DUMMYFUNCTION("""COMPUTED_VALUE"""),"na")</f>
        <v>na</v>
      </c>
      <c r="J164" s="49"/>
      <c r="K164" s="49"/>
      <c r="L164" s="49"/>
    </row>
    <row r="165">
      <c r="A165" s="49" t="str">
        <f>IFERROR(__xludf.DUMMYFUNCTION("""COMPUTED_VALUE"""),"---")</f>
        <v>---</v>
      </c>
      <c r="B165" s="49" t="str">
        <f>IFERROR(__xludf.DUMMYFUNCTION("""COMPUTED_VALUE"""),"---")</f>
        <v>---</v>
      </c>
      <c r="C165" s="49" t="str">
        <f>IFERROR(__xludf.DUMMYFUNCTION("""COMPUTED_VALUE"""),"Stock")</f>
        <v>Stock</v>
      </c>
      <c r="D165" s="399"/>
      <c r="E165" s="39" t="str">
        <f>IFERROR(__xludf.DUMMYFUNCTION("""COMPUTED_VALUE"""),"TG purple 45")</f>
        <v>TG purple 45</v>
      </c>
      <c r="F165" s="39"/>
      <c r="G165" s="52"/>
      <c r="H165" s="49" t="str">
        <f>IFERROR(__xludf.DUMMYFUNCTION("""COMPUTED_VALUE"""),"na")</f>
        <v>na</v>
      </c>
      <c r="I165" s="49" t="str">
        <f>IFERROR(__xludf.DUMMYFUNCTION("""COMPUTED_VALUE"""),"na")</f>
        <v>na</v>
      </c>
      <c r="J165" s="49"/>
      <c r="K165" s="49"/>
      <c r="L165" s="49"/>
    </row>
    <row r="166">
      <c r="A166" s="49" t="str">
        <f>IFERROR(__xludf.DUMMYFUNCTION("""COMPUTED_VALUE"""),"---")</f>
        <v>---</v>
      </c>
      <c r="B166" s="49" t="str">
        <f>IFERROR(__xludf.DUMMYFUNCTION("""COMPUTED_VALUE"""),"---")</f>
        <v>---</v>
      </c>
      <c r="C166" s="49" t="str">
        <f>IFERROR(__xludf.DUMMYFUNCTION("""COMPUTED_VALUE"""),"Aaron cole")</f>
        <v>Aaron cole</v>
      </c>
      <c r="D166" s="399" t="str">
        <f>IFERROR(__xludf.DUMMYFUNCTION("""COMPUTED_VALUE"""),"South")</f>
        <v>South</v>
      </c>
      <c r="E166" s="39" t="str">
        <f>IFERROR(__xludf.DUMMYFUNCTION("""COMPUTED_VALUE"""),"Bag: 3-ball travel tote pro white/teal")</f>
        <v>Bag: 3-ball travel tote pro white/teal</v>
      </c>
      <c r="F166" s="39"/>
      <c r="G166" s="52"/>
      <c r="H166" s="49" t="str">
        <f>IFERROR(__xludf.DUMMYFUNCTION("""COMPUTED_VALUE"""),"Y")</f>
        <v>Y</v>
      </c>
      <c r="I166" s="49" t="str">
        <f>IFERROR(__xludf.DUMMYFUNCTION("""COMPUTED_VALUE"""),"Y")</f>
        <v>Y</v>
      </c>
      <c r="J166" s="49"/>
      <c r="K166" s="49"/>
      <c r="L166" s="49"/>
    </row>
    <row r="167">
      <c r="A167" s="49" t="str">
        <f>IFERROR(__xludf.DUMMYFUNCTION("""COMPUTED_VALUE"""),"---")</f>
        <v>---</v>
      </c>
      <c r="B167" s="49" t="str">
        <f>IFERROR(__xludf.DUMMYFUNCTION("""COMPUTED_VALUE"""),"---")</f>
        <v>---</v>
      </c>
      <c r="C167" s="49" t="str">
        <f>IFERROR(__xludf.DUMMYFUNCTION("""COMPUTED_VALUE"""),"Stock")</f>
        <v>Stock</v>
      </c>
      <c r="D167" s="399" t="str">
        <f>IFERROR(__xludf.DUMMYFUNCTION("""COMPUTED_VALUE"""),"South")</f>
        <v>South</v>
      </c>
      <c r="E167" s="39" t="str">
        <f>IFERROR(__xludf.DUMMYFUNCTION("""COMPUTED_VALUE"""),"Brunswick Prism size 13")</f>
        <v>Brunswick Prism size 13</v>
      </c>
      <c r="F167" s="39"/>
      <c r="G167" s="52"/>
      <c r="H167" s="49" t="str">
        <f>IFERROR(__xludf.DUMMYFUNCTION("""COMPUTED_VALUE"""),"na")</f>
        <v>na</v>
      </c>
      <c r="I167" s="49" t="str">
        <f>IFERROR(__xludf.DUMMYFUNCTION("""COMPUTED_VALUE"""),"na")</f>
        <v>na</v>
      </c>
      <c r="J167" s="49"/>
      <c r="K167" s="49"/>
      <c r="L167" s="49"/>
    </row>
    <row r="168">
      <c r="A168" s="49" t="str">
        <f>IFERROR(__xludf.DUMMYFUNCTION("""COMPUTED_VALUE"""),"---")</f>
        <v>---</v>
      </c>
      <c r="B168" s="49" t="str">
        <f>IFERROR(__xludf.DUMMYFUNCTION("""COMPUTED_VALUE"""),"---")</f>
        <v>---</v>
      </c>
      <c r="C168" s="49" t="str">
        <f>IFERROR(__xludf.DUMMYFUNCTION("""COMPUTED_VALUE"""),"Jerry Sealey")</f>
        <v>Jerry Sealey</v>
      </c>
      <c r="D168" s="399"/>
      <c r="E168" s="39" t="str">
        <f>IFERROR(__xludf.DUMMYFUNCTION("""COMPUTED_VALUE"""),"Brunswick zone Single ball roller black")</f>
        <v>Brunswick zone Single ball roller black</v>
      </c>
      <c r="F168" s="39"/>
      <c r="G168" s="52"/>
      <c r="H168" s="49" t="str">
        <f>IFERROR(__xludf.DUMMYFUNCTION("""COMPUTED_VALUE"""),"Y")</f>
        <v>Y</v>
      </c>
      <c r="I168" s="49" t="str">
        <f>IFERROR(__xludf.DUMMYFUNCTION("""COMPUTED_VALUE"""),"Y")</f>
        <v>Y</v>
      </c>
      <c r="J168" s="49"/>
      <c r="K168" s="49"/>
      <c r="L168" s="49"/>
    </row>
    <row r="169">
      <c r="A169" s="49" t="str">
        <f>IFERROR(__xludf.DUMMYFUNCTION("""COMPUTED_VALUE"""),"---")</f>
        <v>---</v>
      </c>
      <c r="B169" s="49" t="str">
        <f>IFERROR(__xludf.DUMMYFUNCTION("""COMPUTED_VALUE"""),"---")</f>
        <v>---</v>
      </c>
      <c r="C169" s="49" t="str">
        <f>IFERROR(__xludf.DUMMYFUNCTION("""COMPUTED_VALUE"""),"Stock")</f>
        <v>Stock</v>
      </c>
      <c r="D169" s="399" t="str">
        <f>IFERROR(__xludf.DUMMYFUNCTION("""COMPUTED_VALUE"""),"South")</f>
        <v>South</v>
      </c>
      <c r="E169" s="39" t="str">
        <f>IFERROR(__xludf.DUMMYFUNCTION("""COMPUTED_VALUE"""),"Brunswick Danger Zone Solid 15 lb")</f>
        <v>Brunswick Danger Zone Solid 15 lb</v>
      </c>
      <c r="F169" s="39"/>
      <c r="G169" s="52"/>
      <c r="H169" s="49" t="str">
        <f>IFERROR(__xludf.DUMMYFUNCTION("""COMPUTED_VALUE"""),"na")</f>
        <v>na</v>
      </c>
      <c r="I169" s="49" t="str">
        <f>IFERROR(__xludf.DUMMYFUNCTION("""COMPUTED_VALUE"""),"na")</f>
        <v>na</v>
      </c>
      <c r="J169" s="49"/>
      <c r="K169" s="49"/>
      <c r="L169" s="49"/>
    </row>
    <row r="170">
      <c r="A170" s="49" t="str">
        <f>IFERROR(__xludf.DUMMYFUNCTION("""COMPUTED_VALUE"""),"---")</f>
        <v>---</v>
      </c>
      <c r="B170" s="49" t="str">
        <f>IFERROR(__xludf.DUMMYFUNCTION("""COMPUTED_VALUE"""),"---")</f>
        <v>---</v>
      </c>
      <c r="C170" s="49" t="str">
        <f>IFERROR(__xludf.DUMMYFUNCTION("""COMPUTED_VALUE"""),"Kim Murphy")</f>
        <v>Kim Murphy</v>
      </c>
      <c r="D170" s="399" t="str">
        <f>IFERROR(__xludf.DUMMYFUNCTION("""COMPUTED_VALUE"""),"South")</f>
        <v>South</v>
      </c>
      <c r="E170" s="39" t="str">
        <f>IFERROR(__xludf.DUMMYFUNCTION("""COMPUTED_VALUE"""),"Storm Tropical Surge Black Cherry 15 lb")</f>
        <v>Storm Tropical Surge Black Cherry 15 lb</v>
      </c>
      <c r="F170" s="39"/>
      <c r="G170" s="52"/>
      <c r="H170" s="49" t="str">
        <f>IFERROR(__xludf.DUMMYFUNCTION("""COMPUTED_VALUE"""),"Y")</f>
        <v>Y</v>
      </c>
      <c r="I170" s="49" t="str">
        <f>IFERROR(__xludf.DUMMYFUNCTION("""COMPUTED_VALUE"""),"Y")</f>
        <v>Y</v>
      </c>
      <c r="J170" s="49"/>
      <c r="K170" s="49"/>
      <c r="L170" s="49"/>
    </row>
    <row r="171">
      <c r="A171" s="49" t="str">
        <f>IFERROR(__xludf.DUMMYFUNCTION("""COMPUTED_VALUE"""),"---")</f>
        <v>---</v>
      </c>
      <c r="B171" s="49" t="str">
        <f>IFERROR(__xludf.DUMMYFUNCTION("""COMPUTED_VALUE"""),"---")</f>
        <v>---</v>
      </c>
      <c r="C171" s="49" t="str">
        <f>IFERROR(__xludf.DUMMYFUNCTION("""COMPUTED_VALUE"""),"Gary Ladomirak Jr")</f>
        <v>Gary Ladomirak Jr</v>
      </c>
      <c r="D171" s="399" t="str">
        <f>IFERROR(__xludf.DUMMYFUNCTION("""COMPUTED_VALUE"""),"South")</f>
        <v>South</v>
      </c>
      <c r="E171" s="39" t="str">
        <f>IFERROR(__xludf.DUMMYFUNCTION("""COMPUTED_VALUE"""),"HyRoad (Original) 15 lb")</f>
        <v>HyRoad (Original) 15 lb</v>
      </c>
      <c r="F171" s="39"/>
      <c r="G171" s="52"/>
      <c r="H171" s="49" t="str">
        <f>IFERROR(__xludf.DUMMYFUNCTION("""COMPUTED_VALUE"""),"Y")</f>
        <v>Y</v>
      </c>
      <c r="I171" s="49" t="str">
        <f>IFERROR(__xludf.DUMMYFUNCTION("""COMPUTED_VALUE"""),"Y")</f>
        <v>Y</v>
      </c>
      <c r="J171" s="49"/>
      <c r="K171" s="49"/>
      <c r="L171" s="49"/>
    </row>
    <row r="172">
      <c r="A172" s="49" t="str">
        <f>IFERROR(__xludf.DUMMYFUNCTION("""COMPUTED_VALUE"""),"---")</f>
        <v>---</v>
      </c>
      <c r="B172" s="49" t="str">
        <f>IFERROR(__xludf.DUMMYFUNCTION("""COMPUTED_VALUE"""),"---")</f>
        <v>---</v>
      </c>
      <c r="C172" s="49" t="str">
        <f>IFERROR(__xludf.DUMMYFUNCTION("""COMPUTED_VALUE"""),"Heather Valenzano")</f>
        <v>Heather Valenzano</v>
      </c>
      <c r="D172" s="399" t="str">
        <f>IFERROR(__xludf.DUMMYFUNCTION("""COMPUTED_VALUE"""),"South")</f>
        <v>South</v>
      </c>
      <c r="E172" s="39" t="str">
        <f>IFERROR(__xludf.DUMMYFUNCTION("""COMPUTED_VALUE"""),"Hammer widow 3.0 Dynasty 15 lb")</f>
        <v>Hammer widow 3.0 Dynasty 15 lb</v>
      </c>
      <c r="F172" s="39"/>
      <c r="G172" s="52"/>
      <c r="H172" s="49" t="str">
        <f>IFERROR(__xludf.DUMMYFUNCTION("""COMPUTED_VALUE"""),"Y")</f>
        <v>Y</v>
      </c>
      <c r="I172" s="49" t="str">
        <f>IFERROR(__xludf.DUMMYFUNCTION("""COMPUTED_VALUE"""),"Y")</f>
        <v>Y</v>
      </c>
      <c r="J172" s="49"/>
      <c r="K172" s="49"/>
      <c r="L172" s="49"/>
    </row>
    <row r="173">
      <c r="A173" s="49" t="str">
        <f>IFERROR(__xludf.DUMMYFUNCTION("""COMPUTED_VALUE"""),"---")</f>
        <v>---</v>
      </c>
      <c r="B173" s="49" t="str">
        <f>IFERROR(__xludf.DUMMYFUNCTION("""COMPUTED_VALUE"""),"---")</f>
        <v>---</v>
      </c>
      <c r="C173" s="49" t="str">
        <f>IFERROR(__xludf.DUMMYFUNCTION("""COMPUTED_VALUE"""),"Stock")</f>
        <v>Stock</v>
      </c>
      <c r="D173" s="399" t="str">
        <f>IFERROR(__xludf.DUMMYFUNCTION("""COMPUTED_VALUE"""),"South")</f>
        <v>South</v>
      </c>
      <c r="E173" s="39" t="str">
        <f>IFERROR(__xludf.DUMMYFUNCTION("""COMPUTED_VALUE"""),"Hammer widow 3.0 Dynasty 15 lb")</f>
        <v>Hammer widow 3.0 Dynasty 15 lb</v>
      </c>
      <c r="F173" s="39"/>
      <c r="G173" s="52"/>
      <c r="H173" s="49" t="str">
        <f>IFERROR(__xludf.DUMMYFUNCTION("""COMPUTED_VALUE"""),"na")</f>
        <v>na</v>
      </c>
      <c r="I173" s="49" t="str">
        <f>IFERROR(__xludf.DUMMYFUNCTION("""COMPUTED_VALUE"""),"na")</f>
        <v>na</v>
      </c>
      <c r="J173" s="49"/>
      <c r="K173" s="49"/>
      <c r="L173" s="49"/>
    </row>
    <row r="174">
      <c r="A174" s="49" t="str">
        <f>IFERROR(__xludf.DUMMYFUNCTION("""COMPUTED_VALUE"""),"---")</f>
        <v>---</v>
      </c>
      <c r="B174" s="49" t="str">
        <f>IFERROR(__xludf.DUMMYFUNCTION("""COMPUTED_VALUE"""),"---")</f>
        <v>---</v>
      </c>
      <c r="C174" s="49" t="str">
        <f>IFERROR(__xludf.DUMMYFUNCTION("""COMPUTED_VALUE"""),"Stock")</f>
        <v>Stock</v>
      </c>
      <c r="D174" s="399"/>
      <c r="E174" s="39" t="str">
        <f>IFERROR(__xludf.DUMMYFUNCTION("""COMPUTED_VALUE"""),"Brunswick Punisher Double Roller grey")</f>
        <v>Brunswick Punisher Double Roller grey</v>
      </c>
      <c r="F174" s="39"/>
      <c r="G174" s="52"/>
      <c r="H174" s="49" t="str">
        <f>IFERROR(__xludf.DUMMYFUNCTION("""COMPUTED_VALUE"""),"na")</f>
        <v>na</v>
      </c>
      <c r="I174" s="49" t="str">
        <f>IFERROR(__xludf.DUMMYFUNCTION("""COMPUTED_VALUE"""),"na")</f>
        <v>na</v>
      </c>
      <c r="J174" s="49"/>
      <c r="K174" s="49"/>
      <c r="L174" s="49"/>
    </row>
    <row r="175">
      <c r="A175" s="49" t="str">
        <f>IFERROR(__xludf.DUMMYFUNCTION("""COMPUTED_VALUE"""),"---")</f>
        <v>---</v>
      </c>
      <c r="B175" s="49" t="str">
        <f>IFERROR(__xludf.DUMMYFUNCTION("""COMPUTED_VALUE"""),"---")</f>
        <v>---</v>
      </c>
      <c r="C175" s="49" t="str">
        <f>IFERROR(__xludf.DUMMYFUNCTION("""COMPUTED_VALUE"""),"Kayla")</f>
        <v>Kayla</v>
      </c>
      <c r="D175" s="399" t="str">
        <f>IFERROR(__xludf.DUMMYFUNCTION("""COMPUTED_VALUE"""),"Valley")</f>
        <v>Valley</v>
      </c>
      <c r="E175" s="39" t="str">
        <f>IFERROR(__xludf.DUMMYFUNCTION("""COMPUTED_VALUE"""),"900 Global Vengeance 14 lb")</f>
        <v>900 Global Vengeance 14 lb</v>
      </c>
      <c r="F175" s="39"/>
      <c r="G175" s="52"/>
      <c r="H175" s="49" t="str">
        <f>IFERROR(__xludf.DUMMYFUNCTION("""COMPUTED_VALUE"""),"Y")</f>
        <v>Y</v>
      </c>
      <c r="I175" s="49" t="str">
        <f>IFERROR(__xludf.DUMMYFUNCTION("""COMPUTED_VALUE"""),"Y")</f>
        <v>Y</v>
      </c>
      <c r="J175" s="49"/>
      <c r="K175" s="49"/>
      <c r="L175" s="49"/>
    </row>
    <row r="176">
      <c r="A176" s="49" t="str">
        <f>IFERROR(__xludf.DUMMYFUNCTION("""COMPUTED_VALUE"""),"---")</f>
        <v>---</v>
      </c>
      <c r="B176" s="49" t="str">
        <f>IFERROR(__xludf.DUMMYFUNCTION("""COMPUTED_VALUE"""),"---")</f>
        <v>---</v>
      </c>
      <c r="C176" s="49" t="str">
        <f>IFERROR(__xludf.DUMMYFUNCTION("""COMPUTED_VALUE"""),"Stock")</f>
        <v>Stock</v>
      </c>
      <c r="D176" s="399"/>
      <c r="E176" s="39" t="str">
        <f>IFERROR(__xludf.DUMMYFUNCTION("""COMPUTED_VALUE"""),"C300 Pirahna 14 lb")</f>
        <v>C300 Pirahna 14 lb</v>
      </c>
      <c r="F176" s="39"/>
      <c r="G176" s="52"/>
      <c r="H176" s="49" t="str">
        <f>IFERROR(__xludf.DUMMYFUNCTION("""COMPUTED_VALUE"""),"na")</f>
        <v>na</v>
      </c>
      <c r="I176" s="49" t="str">
        <f>IFERROR(__xludf.DUMMYFUNCTION("""COMPUTED_VALUE"""),"na")</f>
        <v>na</v>
      </c>
      <c r="J176" s="49"/>
      <c r="K176" s="49"/>
      <c r="L176" s="49"/>
    </row>
    <row r="177">
      <c r="A177" s="49" t="str">
        <f>IFERROR(__xludf.DUMMYFUNCTION("""COMPUTED_VALUE"""),"---")</f>
        <v>---</v>
      </c>
      <c r="B177" s="49" t="str">
        <f>IFERROR(__xludf.DUMMYFUNCTION("""COMPUTED_VALUE"""),"---")</f>
        <v>---</v>
      </c>
      <c r="C177" s="49" t="str">
        <f>IFERROR(__xludf.DUMMYFUNCTION("""COMPUTED_VALUE"""),"Stock")</f>
        <v>Stock</v>
      </c>
      <c r="D177" s="399"/>
      <c r="E177" s="39" t="str">
        <f>IFERROR(__xludf.DUMMYFUNCTION("""COMPUTED_VALUE"""),"C300 Pirahna 15 lb")</f>
        <v>C300 Pirahna 15 lb</v>
      </c>
      <c r="F177" s="39"/>
      <c r="G177" s="52"/>
      <c r="H177" s="49" t="str">
        <f>IFERROR(__xludf.DUMMYFUNCTION("""COMPUTED_VALUE"""),"na")</f>
        <v>na</v>
      </c>
      <c r="I177" s="49" t="str">
        <f>IFERROR(__xludf.DUMMYFUNCTION("""COMPUTED_VALUE"""),"na")</f>
        <v>na</v>
      </c>
      <c r="J177" s="49"/>
      <c r="K177" s="49"/>
      <c r="L177" s="49"/>
    </row>
    <row r="178">
      <c r="A178" s="49" t="str">
        <f>IFERROR(__xludf.DUMMYFUNCTION("""COMPUTED_VALUE"""),"---")</f>
        <v>---</v>
      </c>
      <c r="B178" s="49" t="str">
        <f>IFERROR(__xludf.DUMMYFUNCTION("""COMPUTED_VALUE"""),"---")</f>
        <v>---</v>
      </c>
      <c r="C178" s="49" t="str">
        <f>IFERROR(__xludf.DUMMYFUNCTION("""COMPUTED_VALUE"""),"Stock")</f>
        <v>Stock</v>
      </c>
      <c r="D178" s="399"/>
      <c r="E178" s="39" t="str">
        <f>IFERROR(__xludf.DUMMYFUNCTION("""COMPUTED_VALUE"""),"Brunswick Pro Wrist Support XL")</f>
        <v>Brunswick Pro Wrist Support XL</v>
      </c>
      <c r="F178" s="39"/>
      <c r="G178" s="52"/>
      <c r="H178" s="49" t="str">
        <f>IFERROR(__xludf.DUMMYFUNCTION("""COMPUTED_VALUE"""),"na")</f>
        <v>na</v>
      </c>
      <c r="I178" s="49" t="str">
        <f>IFERROR(__xludf.DUMMYFUNCTION("""COMPUTED_VALUE"""),"na")</f>
        <v>na</v>
      </c>
      <c r="J178" s="49"/>
      <c r="K178" s="49"/>
      <c r="L178" s="49"/>
    </row>
    <row r="179">
      <c r="A179" s="49" t="str">
        <f>IFERROR(__xludf.DUMMYFUNCTION("""COMPUTED_VALUE"""),"---")</f>
        <v>---</v>
      </c>
      <c r="B179" s="49" t="str">
        <f>IFERROR(__xludf.DUMMYFUNCTION("""COMPUTED_VALUE"""),"---")</f>
        <v>---</v>
      </c>
      <c r="C179" s="49" t="str">
        <f>IFERROR(__xludf.DUMMYFUNCTION("""COMPUTED_VALUE"""),"Stock")</f>
        <v>Stock</v>
      </c>
      <c r="D179" s="399" t="str">
        <f>IFERROR(__xludf.DUMMYFUNCTION("""COMPUTED_VALUE"""),"Valley")</f>
        <v>Valley</v>
      </c>
      <c r="E179" s="39" t="str">
        <f>IFERROR(__xludf.DUMMYFUNCTION("""COMPUTED_VALUE"""),"Brunswick/Hammer #8 sole")</f>
        <v>Brunswick/Hammer #8 sole</v>
      </c>
      <c r="F179" s="39"/>
      <c r="G179" s="52"/>
      <c r="H179" s="49" t="str">
        <f>IFERROR(__xludf.DUMMYFUNCTION("""COMPUTED_VALUE"""),"na")</f>
        <v>na</v>
      </c>
      <c r="I179" s="49" t="str">
        <f>IFERROR(__xludf.DUMMYFUNCTION("""COMPUTED_VALUE"""),"na")</f>
        <v>na</v>
      </c>
      <c r="J179" s="49"/>
      <c r="K179" s="49"/>
      <c r="L179" s="49"/>
    </row>
    <row r="180">
      <c r="A180" s="49" t="str">
        <f>IFERROR(__xludf.DUMMYFUNCTION("""COMPUTED_VALUE"""),"---")</f>
        <v>---</v>
      </c>
      <c r="B180" s="49" t="str">
        <f>IFERROR(__xludf.DUMMYFUNCTION("""COMPUTED_VALUE"""),"---")</f>
        <v>---</v>
      </c>
      <c r="C180" s="49" t="str">
        <f>IFERROR(__xludf.DUMMYFUNCTION("""COMPUTED_VALUE"""),"Stock")</f>
        <v>Stock</v>
      </c>
      <c r="D180" s="399" t="str">
        <f>IFERROR(__xludf.DUMMYFUNCTION("""COMPUTED_VALUE"""),"Valley")</f>
        <v>Valley</v>
      </c>
      <c r="E180" s="39" t="str">
        <f>IFERROR(__xludf.DUMMYFUNCTION("""COMPUTED_VALUE"""),"Brunswick/Hammer #10 sole")</f>
        <v>Brunswick/Hammer #10 sole</v>
      </c>
      <c r="F180" s="39"/>
      <c r="G180" s="52"/>
      <c r="H180" s="49" t="str">
        <f>IFERROR(__xludf.DUMMYFUNCTION("""COMPUTED_VALUE"""),"na")</f>
        <v>na</v>
      </c>
      <c r="I180" s="49" t="str">
        <f>IFERROR(__xludf.DUMMYFUNCTION("""COMPUTED_VALUE"""),"na")</f>
        <v>na</v>
      </c>
      <c r="J180" s="49"/>
      <c r="K180" s="49"/>
      <c r="L180" s="49"/>
    </row>
    <row r="181">
      <c r="A181" s="49" t="str">
        <f>IFERROR(__xludf.DUMMYFUNCTION("""COMPUTED_VALUE"""),"---")</f>
        <v>---</v>
      </c>
      <c r="B181" s="49" t="str">
        <f>IFERROR(__xludf.DUMMYFUNCTION("""COMPUTED_VALUE"""),"---")</f>
        <v>---</v>
      </c>
      <c r="C181" s="49" t="str">
        <f>IFERROR(__xludf.DUMMYFUNCTION("""COMPUTED_VALUE"""),"Stock")</f>
        <v>Stock</v>
      </c>
      <c r="D181" s="399" t="str">
        <f>IFERROR(__xludf.DUMMYFUNCTION("""COMPUTED_VALUE"""),"South")</f>
        <v>South</v>
      </c>
      <c r="E181" s="39" t="str">
        <f>IFERROR(__xludf.DUMMYFUNCTION("""COMPUTED_VALUE"""),"Storm Phaze II Pearl 15 lb")</f>
        <v>Storm Phaze II Pearl 15 lb</v>
      </c>
      <c r="F181" s="39"/>
      <c r="G181" s="52"/>
      <c r="H181" s="49" t="str">
        <f>IFERROR(__xludf.DUMMYFUNCTION("""COMPUTED_VALUE"""),"na")</f>
        <v>na</v>
      </c>
      <c r="I181" s="49" t="str">
        <f>IFERROR(__xludf.DUMMYFUNCTION("""COMPUTED_VALUE"""),"na")</f>
        <v>na</v>
      </c>
      <c r="J181" s="49"/>
      <c r="K181" s="49"/>
      <c r="L181" s="49"/>
    </row>
    <row r="182">
      <c r="A182" s="49" t="str">
        <f>IFERROR(__xludf.DUMMYFUNCTION("""COMPUTED_VALUE"""),"---")</f>
        <v>---</v>
      </c>
      <c r="B182" s="49" t="str">
        <f>IFERROR(__xludf.DUMMYFUNCTION("""COMPUTED_VALUE"""),"---")</f>
        <v>---</v>
      </c>
      <c r="C182" s="49" t="str">
        <f>IFERROR(__xludf.DUMMYFUNCTION("""COMPUTED_VALUE"""),"Thomas Fasano")</f>
        <v>Thomas Fasano</v>
      </c>
      <c r="D182" s="399" t="str">
        <f>IFERROR(__xludf.DUMMYFUNCTION("""COMPUTED_VALUE"""),"South")</f>
        <v>South</v>
      </c>
      <c r="E182" s="39" t="str">
        <f>IFERROR(__xludf.DUMMYFUNCTION("""COMPUTED_VALUE"""),"black widow dynasty 14 lb")</f>
        <v>black widow dynasty 14 lb</v>
      </c>
      <c r="F182" s="39"/>
      <c r="G182" s="52"/>
      <c r="H182" s="49" t="str">
        <f>IFERROR(__xludf.DUMMYFUNCTION("""COMPUTED_VALUE"""),"Y")</f>
        <v>Y</v>
      </c>
      <c r="I182" s="49" t="str">
        <f>IFERROR(__xludf.DUMMYFUNCTION("""COMPUTED_VALUE"""),"Y")</f>
        <v>Y</v>
      </c>
      <c r="J182" s="49"/>
      <c r="K182" s="49"/>
      <c r="L182" s="49"/>
    </row>
    <row r="183">
      <c r="A183" s="49" t="str">
        <f>IFERROR(__xludf.DUMMYFUNCTION("""COMPUTED_VALUE"""),"---")</f>
        <v>---</v>
      </c>
      <c r="B183" s="49" t="str">
        <f>IFERROR(__xludf.DUMMYFUNCTION("""COMPUTED_VALUE"""),"---")</f>
        <v>---</v>
      </c>
      <c r="C183" s="49" t="str">
        <f>IFERROR(__xludf.DUMMYFUNCTION("""COMPUTED_VALUE"""),"Stock")</f>
        <v>Stock</v>
      </c>
      <c r="D183" s="399" t="str">
        <f>IFERROR(__xludf.DUMMYFUNCTION("""COMPUTED_VALUE"""),"Valley")</f>
        <v>Valley</v>
      </c>
      <c r="E183" s="39" t="str">
        <f>IFERROR(__xludf.DUMMYFUNCTION("""COMPUTED_VALUE"""),"Brunswick Shoe Shield XL")</f>
        <v>Brunswick Shoe Shield XL</v>
      </c>
      <c r="F183" s="39"/>
      <c r="G183" s="52"/>
      <c r="H183" s="49" t="str">
        <f>IFERROR(__xludf.DUMMYFUNCTION("""COMPUTED_VALUE"""),"na")</f>
        <v>na</v>
      </c>
      <c r="I183" s="49" t="str">
        <f>IFERROR(__xludf.DUMMYFUNCTION("""COMPUTED_VALUE"""),"na")</f>
        <v>na</v>
      </c>
      <c r="J183" s="49"/>
      <c r="K183" s="49"/>
      <c r="L183" s="49"/>
    </row>
    <row r="184">
      <c r="A184" s="49" t="str">
        <f>IFERROR(__xludf.DUMMYFUNCTION("""COMPUTED_VALUE"""),"---")</f>
        <v>---</v>
      </c>
      <c r="B184" s="49" t="str">
        <f>IFERROR(__xludf.DUMMYFUNCTION("""COMPUTED_VALUE"""),"---")</f>
        <v>---</v>
      </c>
      <c r="C184" s="49" t="str">
        <f>IFERROR(__xludf.DUMMYFUNCTION("""COMPUTED_VALUE"""),"Stock")</f>
        <v>Stock</v>
      </c>
      <c r="D184" s="399" t="str">
        <f>IFERROR(__xludf.DUMMYFUNCTION("""COMPUTED_VALUE"""),"South")</f>
        <v>South</v>
      </c>
      <c r="E184" s="39" t="str">
        <f>IFERROR(__xludf.DUMMYFUNCTION("""COMPUTED_VALUE"""),"Brunswick Shoe Shield  XL")</f>
        <v>Brunswick Shoe Shield  XL</v>
      </c>
      <c r="F184" s="39"/>
      <c r="G184" s="52"/>
      <c r="H184" s="49" t="str">
        <f>IFERROR(__xludf.DUMMYFUNCTION("""COMPUTED_VALUE"""),"na")</f>
        <v>na</v>
      </c>
      <c r="I184" s="49" t="str">
        <f>IFERROR(__xludf.DUMMYFUNCTION("""COMPUTED_VALUE"""),"na")</f>
        <v>na</v>
      </c>
      <c r="J184" s="49"/>
      <c r="K184" s="49"/>
      <c r="L184" s="49"/>
    </row>
    <row r="185">
      <c r="A185" s="49" t="str">
        <f>IFERROR(__xludf.DUMMYFUNCTION("""COMPUTED_VALUE"""),"---")</f>
        <v>---</v>
      </c>
      <c r="B185" s="49" t="str">
        <f>IFERROR(__xludf.DUMMYFUNCTION("""COMPUTED_VALUE"""),"---")</f>
        <v>---</v>
      </c>
      <c r="C185" s="49" t="str">
        <f>IFERROR(__xludf.DUMMYFUNCTION("""COMPUTED_VALUE"""),"Stock")</f>
        <v>Stock</v>
      </c>
      <c r="D185" s="399" t="str">
        <f>IFERROR(__xludf.DUMMYFUNCTION("""COMPUTED_VALUE"""),"Valley")</f>
        <v>Valley</v>
      </c>
      <c r="E185" s="39" t="str">
        <f>IFERROR(__xludf.DUMMYFUNCTION("""COMPUTED_VALUE"""),"Brunswick Shoe Shield  L")</f>
        <v>Brunswick Shoe Shield  L</v>
      </c>
      <c r="F185" s="39"/>
      <c r="G185" s="52"/>
      <c r="H185" s="49" t="str">
        <f>IFERROR(__xludf.DUMMYFUNCTION("""COMPUTED_VALUE"""),"na")</f>
        <v>na</v>
      </c>
      <c r="I185" s="49" t="str">
        <f>IFERROR(__xludf.DUMMYFUNCTION("""COMPUTED_VALUE"""),"na")</f>
        <v>na</v>
      </c>
      <c r="J185" s="49"/>
      <c r="K185" s="49"/>
      <c r="L185" s="49"/>
    </row>
    <row r="186">
      <c r="A186" s="49" t="str">
        <f>IFERROR(__xludf.DUMMYFUNCTION("""COMPUTED_VALUE"""),"---")</f>
        <v>---</v>
      </c>
      <c r="B186" s="49" t="str">
        <f>IFERROR(__xludf.DUMMYFUNCTION("""COMPUTED_VALUE"""),"---")</f>
        <v>---</v>
      </c>
      <c r="C186" s="49" t="str">
        <f>IFERROR(__xludf.DUMMYFUNCTION("""COMPUTED_VALUE"""),"Anna Pica")</f>
        <v>Anna Pica</v>
      </c>
      <c r="D186" s="399" t="str">
        <f>IFERROR(__xludf.DUMMYFUNCTION("""COMPUTED_VALUE"""),"Valley")</f>
        <v>Valley</v>
      </c>
      <c r="E186" s="39" t="str">
        <f>IFERROR(__xludf.DUMMYFUNCTION("""COMPUTED_VALUE"""),"Dexter SST 8 Power Frame BOA white blue size 9")</f>
        <v>Dexter SST 8 Power Frame BOA white blue size 9</v>
      </c>
      <c r="F186" s="39"/>
      <c r="G186" s="52"/>
      <c r="H186" s="49" t="str">
        <f>IFERROR(__xludf.DUMMYFUNCTION("""COMPUTED_VALUE"""),"Y")</f>
        <v>Y</v>
      </c>
      <c r="I186" s="49" t="str">
        <f>IFERROR(__xludf.DUMMYFUNCTION("""COMPUTED_VALUE"""),"Y")</f>
        <v>Y</v>
      </c>
      <c r="J186" s="49"/>
      <c r="K186" s="49"/>
      <c r="L186" s="49"/>
    </row>
    <row r="187">
      <c r="A187" s="49" t="str">
        <f>IFERROR(__xludf.DUMMYFUNCTION("""COMPUTED_VALUE"""),"---")</f>
        <v>---</v>
      </c>
      <c r="B187" s="49" t="str">
        <f>IFERROR(__xludf.DUMMYFUNCTION("""COMPUTED_VALUE"""),"---")</f>
        <v>---</v>
      </c>
      <c r="C187" s="49" t="str">
        <f>IFERROR(__xludf.DUMMYFUNCTION("""COMPUTED_VALUE"""),"Stock")</f>
        <v>Stock</v>
      </c>
      <c r="D187" s="399"/>
      <c r="E187" s="39" t="str">
        <f>IFERROR(__xludf.DUMMYFUNCTION("""COMPUTED_VALUE"""),"1 1/8"" slug blue/purple")</f>
        <v>1 1/8" slug blue/purple</v>
      </c>
      <c r="F187" s="39"/>
      <c r="G187" s="52"/>
      <c r="H187" s="49" t="str">
        <f>IFERROR(__xludf.DUMMYFUNCTION("""COMPUTED_VALUE"""),"na")</f>
        <v>na</v>
      </c>
      <c r="I187" s="49" t="str">
        <f>IFERROR(__xludf.DUMMYFUNCTION("""COMPUTED_VALUE"""),"na")</f>
        <v>na</v>
      </c>
      <c r="J187" s="49"/>
      <c r="K187" s="49"/>
      <c r="L187" s="49"/>
    </row>
    <row r="188">
      <c r="A188" s="49" t="str">
        <f>IFERROR(__xludf.DUMMYFUNCTION("""COMPUTED_VALUE"""),"---")</f>
        <v>---</v>
      </c>
      <c r="B188" s="49" t="str">
        <f>IFERROR(__xludf.DUMMYFUNCTION("""COMPUTED_VALUE"""),"---")</f>
        <v>---</v>
      </c>
      <c r="C188" s="49" t="str">
        <f>IFERROR(__xludf.DUMMYFUNCTION("""COMPUTED_VALUE"""),"Stock")</f>
        <v>Stock</v>
      </c>
      <c r="D188" s="399"/>
      <c r="E188" s="39" t="str">
        <f>IFERROR(__xludf.DUMMYFUNCTION("""COMPUTED_VALUE"""),"1 1/8"" slug red/green")</f>
        <v>1 1/8" slug red/green</v>
      </c>
      <c r="F188" s="39"/>
      <c r="G188" s="52"/>
      <c r="H188" s="49" t="str">
        <f>IFERROR(__xludf.DUMMYFUNCTION("""COMPUTED_VALUE"""),"na")</f>
        <v>na</v>
      </c>
      <c r="I188" s="49" t="str">
        <f>IFERROR(__xludf.DUMMYFUNCTION("""COMPUTED_VALUE"""),"na")</f>
        <v>na</v>
      </c>
      <c r="J188" s="49"/>
      <c r="K188" s="49"/>
      <c r="L188" s="49"/>
    </row>
    <row r="189">
      <c r="A189" s="49" t="str">
        <f>IFERROR(__xludf.DUMMYFUNCTION("""COMPUTED_VALUE"""),"---")</f>
        <v>---</v>
      </c>
      <c r="B189" s="49" t="str">
        <f>IFERROR(__xludf.DUMMYFUNCTION("""COMPUTED_VALUE"""),"---")</f>
        <v>---</v>
      </c>
      <c r="C189" s="49" t="str">
        <f>IFERROR(__xludf.DUMMYFUNCTION("""COMPUTED_VALUE"""),"Stock")</f>
        <v>Stock</v>
      </c>
      <c r="D189" s="399"/>
      <c r="E189" s="39" t="str">
        <f>IFERROR(__xludf.DUMMYFUNCTION("""COMPUTED_VALUE"""),"TG orange 13")</f>
        <v>TG orange 13</v>
      </c>
      <c r="F189" s="39"/>
      <c r="G189" s="52"/>
      <c r="H189" s="49" t="str">
        <f>IFERROR(__xludf.DUMMYFUNCTION("""COMPUTED_VALUE"""),"na")</f>
        <v>na</v>
      </c>
      <c r="I189" s="49" t="str">
        <f>IFERROR(__xludf.DUMMYFUNCTION("""COMPUTED_VALUE"""),"na")</f>
        <v>na</v>
      </c>
      <c r="J189" s="49"/>
      <c r="K189" s="49"/>
      <c r="L189" s="49"/>
    </row>
    <row r="190">
      <c r="A190" s="49" t="str">
        <f>IFERROR(__xludf.DUMMYFUNCTION("""COMPUTED_VALUE"""),"---")</f>
        <v>---</v>
      </c>
      <c r="B190" s="49" t="str">
        <f>IFERROR(__xludf.DUMMYFUNCTION("""COMPUTED_VALUE"""),"---")</f>
        <v>---</v>
      </c>
      <c r="C190" s="49" t="str">
        <f>IFERROR(__xludf.DUMMYFUNCTION("""COMPUTED_VALUE"""),"Stock")</f>
        <v>Stock</v>
      </c>
      <c r="D190" s="399"/>
      <c r="E190" s="39" t="str">
        <f>IFERROR(__xludf.DUMMYFUNCTION("""COMPUTED_VALUE"""),"TG orange 49")</f>
        <v>TG orange 49</v>
      </c>
      <c r="F190" s="39"/>
      <c r="G190" s="52"/>
      <c r="H190" s="49" t="str">
        <f>IFERROR(__xludf.DUMMYFUNCTION("""COMPUTED_VALUE"""),"na")</f>
        <v>na</v>
      </c>
      <c r="I190" s="49" t="str">
        <f>IFERROR(__xludf.DUMMYFUNCTION("""COMPUTED_VALUE"""),"na")</f>
        <v>na</v>
      </c>
      <c r="J190" s="49"/>
      <c r="K190" s="49"/>
      <c r="L190" s="49"/>
    </row>
    <row r="191">
      <c r="A191" s="49" t="str">
        <f>IFERROR(__xludf.DUMMYFUNCTION("""COMPUTED_VALUE"""),"---")</f>
        <v>---</v>
      </c>
      <c r="B191" s="49" t="str">
        <f>IFERROR(__xludf.DUMMYFUNCTION("""COMPUTED_VALUE"""),"---")</f>
        <v>---</v>
      </c>
      <c r="C191" s="49" t="str">
        <f>IFERROR(__xludf.DUMMYFUNCTION("""COMPUTED_VALUE"""),"Stock")</f>
        <v>Stock</v>
      </c>
      <c r="D191" s="399"/>
      <c r="E191" s="39" t="str">
        <f>IFERROR(__xludf.DUMMYFUNCTION("""COMPUTED_VALUE"""),"TG black 11")</f>
        <v>TG black 11</v>
      </c>
      <c r="F191" s="39"/>
      <c r="G191" s="52"/>
      <c r="H191" s="49" t="str">
        <f>IFERROR(__xludf.DUMMYFUNCTION("""COMPUTED_VALUE"""),"na")</f>
        <v>na</v>
      </c>
      <c r="I191" s="49" t="str">
        <f>IFERROR(__xludf.DUMMYFUNCTION("""COMPUTED_VALUE"""),"na")</f>
        <v>na</v>
      </c>
      <c r="J191" s="49"/>
      <c r="K191" s="49"/>
      <c r="L191" s="49"/>
    </row>
    <row r="192">
      <c r="A192" s="49" t="str">
        <f>IFERROR(__xludf.DUMMYFUNCTION("""COMPUTED_VALUE"""),"---")</f>
        <v>---</v>
      </c>
      <c r="B192" s="49" t="str">
        <f>IFERROR(__xludf.DUMMYFUNCTION("""COMPUTED_VALUE"""),"---")</f>
        <v>---</v>
      </c>
      <c r="C192" s="49" t="str">
        <f>IFERROR(__xludf.DUMMYFUNCTION("""COMPUTED_VALUE"""),"Stock")</f>
        <v>Stock</v>
      </c>
      <c r="D192" s="399"/>
      <c r="E192" s="39" t="str">
        <f>IFERROR(__xludf.DUMMYFUNCTION("""COMPUTED_VALUE"""),"TG black 41")</f>
        <v>TG black 41</v>
      </c>
      <c r="F192" s="39"/>
      <c r="G192" s="52"/>
      <c r="H192" s="49" t="str">
        <f>IFERROR(__xludf.DUMMYFUNCTION("""COMPUTED_VALUE"""),"na")</f>
        <v>na</v>
      </c>
      <c r="I192" s="49" t="str">
        <f>IFERROR(__xludf.DUMMYFUNCTION("""COMPUTED_VALUE"""),"na")</f>
        <v>na</v>
      </c>
      <c r="J192" s="49"/>
      <c r="K192" s="49"/>
      <c r="L192" s="49"/>
    </row>
    <row r="193">
      <c r="A193" s="49" t="str">
        <f>IFERROR(__xludf.DUMMYFUNCTION("""COMPUTED_VALUE"""),"---")</f>
        <v>---</v>
      </c>
      <c r="B193" s="49" t="str">
        <f>IFERROR(__xludf.DUMMYFUNCTION("""COMPUTED_VALUE"""),"---")</f>
        <v>---</v>
      </c>
      <c r="C193" s="49" t="str">
        <f>IFERROR(__xludf.DUMMYFUNCTION("""COMPUTED_VALUE"""),"Stock")</f>
        <v>Stock</v>
      </c>
      <c r="D193" s="399"/>
      <c r="E193" s="39" t="str">
        <f>IFERROR(__xludf.DUMMYFUNCTION("""COMPUTED_VALUE"""),"TG yellow 23")</f>
        <v>TG yellow 23</v>
      </c>
      <c r="F193" s="39"/>
      <c r="G193" s="52"/>
      <c r="H193" s="49" t="str">
        <f>IFERROR(__xludf.DUMMYFUNCTION("""COMPUTED_VALUE"""),"na")</f>
        <v>na</v>
      </c>
      <c r="I193" s="49" t="str">
        <f>IFERROR(__xludf.DUMMYFUNCTION("""COMPUTED_VALUE"""),"na")</f>
        <v>na</v>
      </c>
      <c r="J193" s="49"/>
      <c r="K193" s="49"/>
      <c r="L193" s="49"/>
    </row>
    <row r="194">
      <c r="A194" s="49" t="str">
        <f>IFERROR(__xludf.DUMMYFUNCTION("""COMPUTED_VALUE"""),"---")</f>
        <v>---</v>
      </c>
      <c r="B194" s="49" t="str">
        <f>IFERROR(__xludf.DUMMYFUNCTION("""COMPUTED_VALUE"""),"---")</f>
        <v>---</v>
      </c>
      <c r="C194" s="49" t="str">
        <f>IFERROR(__xludf.DUMMYFUNCTION("""COMPUTED_VALUE"""),"Stock")</f>
        <v>Stock</v>
      </c>
      <c r="D194" s="399"/>
      <c r="E194" s="39" t="str">
        <f>IFERROR(__xludf.DUMMYFUNCTION("""COMPUTED_VALUE"""),"TG white 39")</f>
        <v>TG white 39</v>
      </c>
      <c r="F194" s="39"/>
      <c r="G194" s="52"/>
      <c r="H194" s="49" t="str">
        <f>IFERROR(__xludf.DUMMYFUNCTION("""COMPUTED_VALUE"""),"na")</f>
        <v>na</v>
      </c>
      <c r="I194" s="49" t="str">
        <f>IFERROR(__xludf.DUMMYFUNCTION("""COMPUTED_VALUE"""),"na")</f>
        <v>na</v>
      </c>
      <c r="J194" s="49"/>
      <c r="K194" s="49"/>
      <c r="L194" s="49"/>
    </row>
    <row r="195">
      <c r="A195" s="49" t="str">
        <f>IFERROR(__xludf.DUMMYFUNCTION("""COMPUTED_VALUE"""),"---")</f>
        <v>---</v>
      </c>
      <c r="B195" s="49" t="str">
        <f>IFERROR(__xludf.DUMMYFUNCTION("""COMPUTED_VALUE"""),"---")</f>
        <v>---</v>
      </c>
      <c r="C195" s="49" t="str">
        <f>IFERROR(__xludf.DUMMYFUNCTION("""COMPUTED_VALUE"""),"Stock")</f>
        <v>Stock</v>
      </c>
      <c r="D195" s="399"/>
      <c r="E195" s="39" t="str">
        <f>IFERROR(__xludf.DUMMYFUNCTION("""COMPUTED_VALUE"""),"TG blue 51")</f>
        <v>TG blue 51</v>
      </c>
      <c r="F195" s="39"/>
      <c r="G195" s="52"/>
      <c r="H195" s="49" t="str">
        <f>IFERROR(__xludf.DUMMYFUNCTION("""COMPUTED_VALUE"""),"na")</f>
        <v>na</v>
      </c>
      <c r="I195" s="49" t="str">
        <f>IFERROR(__xludf.DUMMYFUNCTION("""COMPUTED_VALUE"""),"na")</f>
        <v>na</v>
      </c>
      <c r="J195" s="49"/>
      <c r="K195" s="49"/>
      <c r="L195" s="49"/>
    </row>
    <row r="196">
      <c r="A196" s="49" t="str">
        <f>IFERROR(__xludf.DUMMYFUNCTION("""COMPUTED_VALUE"""),"---")</f>
        <v>---</v>
      </c>
      <c r="B196" s="49" t="str">
        <f>IFERROR(__xludf.DUMMYFUNCTION("""COMPUTED_VALUE"""),"---")</f>
        <v>---</v>
      </c>
      <c r="C196" s="49" t="str">
        <f>IFERROR(__xludf.DUMMYFUNCTION("""COMPUTED_VALUE"""),"Stock")</f>
        <v>Stock</v>
      </c>
      <c r="D196" s="399"/>
      <c r="E196" s="39" t="str">
        <f>IFERROR(__xludf.DUMMYFUNCTION("""COMPUTED_VALUE"""),"TG blue 5")</f>
        <v>TG blue 5</v>
      </c>
      <c r="F196" s="39"/>
      <c r="G196" s="52"/>
      <c r="H196" s="49" t="str">
        <f>IFERROR(__xludf.DUMMYFUNCTION("""COMPUTED_VALUE"""),"na")</f>
        <v>na</v>
      </c>
      <c r="I196" s="49" t="str">
        <f>IFERROR(__xludf.DUMMYFUNCTION("""COMPUTED_VALUE"""),"na")</f>
        <v>na</v>
      </c>
      <c r="J196" s="49"/>
      <c r="K196" s="49"/>
      <c r="L196" s="49"/>
    </row>
    <row r="197">
      <c r="A197" s="49" t="str">
        <f>IFERROR(__xludf.DUMMYFUNCTION("""COMPUTED_VALUE"""),"---")</f>
        <v>---</v>
      </c>
      <c r="B197" s="49" t="str">
        <f>IFERROR(__xludf.DUMMYFUNCTION("""COMPUTED_VALUE"""),"---")</f>
        <v>---</v>
      </c>
      <c r="C197" s="49" t="str">
        <f>IFERROR(__xludf.DUMMYFUNCTION("""COMPUTED_VALUE"""),"Stock")</f>
        <v>Stock</v>
      </c>
      <c r="D197" s="399"/>
      <c r="E197" s="39" t="str">
        <f>IFERROR(__xludf.DUMMYFUNCTION("""COMPUTED_VALUE"""),"Brunswick Shoe Shield XXL")</f>
        <v>Brunswick Shoe Shield XXL</v>
      </c>
      <c r="F197" s="39"/>
      <c r="G197" s="52"/>
      <c r="H197" s="49" t="str">
        <f>IFERROR(__xludf.DUMMYFUNCTION("""COMPUTED_VALUE"""),"na")</f>
        <v>na</v>
      </c>
      <c r="I197" s="49" t="str">
        <f>IFERROR(__xludf.DUMMYFUNCTION("""COMPUTED_VALUE"""),"na")</f>
        <v>na</v>
      </c>
      <c r="J197" s="49"/>
      <c r="K197" s="49"/>
      <c r="L197" s="49"/>
    </row>
    <row r="198">
      <c r="A198" s="49" t="str">
        <f>IFERROR(__xludf.DUMMYFUNCTION("""COMPUTED_VALUE"""),"---")</f>
        <v>---</v>
      </c>
      <c r="B198" s="49" t="str">
        <f>IFERROR(__xludf.DUMMYFUNCTION("""COMPUTED_VALUE"""),"---")</f>
        <v>---</v>
      </c>
      <c r="C198" s="49" t="str">
        <f>IFERROR(__xludf.DUMMYFUNCTION("""COMPUTED_VALUE"""),"Allen Phelps")</f>
        <v>Allen Phelps</v>
      </c>
      <c r="D198" s="399" t="str">
        <f>IFERROR(__xludf.DUMMYFUNCTION("""COMPUTED_VALUE"""),"Valley")</f>
        <v>Valley</v>
      </c>
      <c r="E198" s="39" t="str">
        <f>IFERROR(__xludf.DUMMYFUNCTION("""COMPUTED_VALUE"""),"Motiv Evoke Mayhem - 14 lb")</f>
        <v>Motiv Evoke Mayhem - 14 lb</v>
      </c>
      <c r="F198" s="39"/>
      <c r="G198" s="52"/>
      <c r="H198" s="49" t="str">
        <f>IFERROR(__xludf.DUMMYFUNCTION("""COMPUTED_VALUE"""),"Y")</f>
        <v>Y</v>
      </c>
      <c r="I198" s="49" t="str">
        <f>IFERROR(__xludf.DUMMYFUNCTION("""COMPUTED_VALUE"""),"Y")</f>
        <v>Y</v>
      </c>
      <c r="J198" s="49"/>
      <c r="K198" s="49"/>
      <c r="L198" s="49"/>
    </row>
    <row r="199">
      <c r="A199" s="49" t="str">
        <f>IFERROR(__xludf.DUMMYFUNCTION("""COMPUTED_VALUE"""),"---")</f>
        <v>---</v>
      </c>
      <c r="B199" s="49" t="str">
        <f>IFERROR(__xludf.DUMMYFUNCTION("""COMPUTED_VALUE"""),"---")</f>
        <v>---</v>
      </c>
      <c r="C199" s="49" t="str">
        <f>IFERROR(__xludf.DUMMYFUNCTION("""COMPUTED_VALUE"""),"Stock")</f>
        <v>Stock</v>
      </c>
      <c r="D199" s="399" t="str">
        <f>IFERROR(__xludf.DUMMYFUNCTION("""COMPUTED_VALUE"""),"Valley")</f>
        <v>Valley</v>
      </c>
      <c r="E199" s="39" t="str">
        <f>IFERROR(__xludf.DUMMYFUNCTION("""COMPUTED_VALUE"""),"Motiv Evoke Mayhem - 15 lb")</f>
        <v>Motiv Evoke Mayhem - 15 lb</v>
      </c>
      <c r="F199" s="39"/>
      <c r="G199" s="52"/>
      <c r="H199" s="49" t="str">
        <f>IFERROR(__xludf.DUMMYFUNCTION("""COMPUTED_VALUE"""),"na")</f>
        <v>na</v>
      </c>
      <c r="I199" s="49" t="str">
        <f>IFERROR(__xludf.DUMMYFUNCTION("""COMPUTED_VALUE"""),"na")</f>
        <v>na</v>
      </c>
      <c r="J199" s="49"/>
      <c r="K199" s="49"/>
      <c r="L199" s="49"/>
    </row>
    <row r="200">
      <c r="A200" s="49" t="str">
        <f>IFERROR(__xludf.DUMMYFUNCTION("""COMPUTED_VALUE"""),"---")</f>
        <v>---</v>
      </c>
      <c r="B200" s="49" t="str">
        <f>IFERROR(__xludf.DUMMYFUNCTION("""COMPUTED_VALUE"""),"---")</f>
        <v>---</v>
      </c>
      <c r="C200" s="49" t="str">
        <f>IFERROR(__xludf.DUMMYFUNCTION("""COMPUTED_VALUE"""),"Tom Boylan")</f>
        <v>Tom Boylan</v>
      </c>
      <c r="D200" s="399" t="str">
        <f>IFERROR(__xludf.DUMMYFUNCTION("""COMPUTED_VALUE"""),"Valley")</f>
        <v>Valley</v>
      </c>
      <c r="E200" s="39" t="str">
        <f>IFERROR(__xludf.DUMMYFUNCTION("""COMPUTED_VALUE"""),"Motiv Evoke Mayhem - 15 lb")</f>
        <v>Motiv Evoke Mayhem - 15 lb</v>
      </c>
      <c r="F200" s="39"/>
      <c r="G200" s="52"/>
      <c r="H200" s="49" t="str">
        <f>IFERROR(__xludf.DUMMYFUNCTION("""COMPUTED_VALUE"""),"Y")</f>
        <v>Y</v>
      </c>
      <c r="I200" s="49" t="str">
        <f>IFERROR(__xludf.DUMMYFUNCTION("""COMPUTED_VALUE"""),"Y")</f>
        <v>Y</v>
      </c>
      <c r="J200" s="49"/>
      <c r="K200" s="49"/>
      <c r="L200" s="49"/>
    </row>
    <row r="201">
      <c r="A201" s="49" t="str">
        <f>IFERROR(__xludf.DUMMYFUNCTION("""COMPUTED_VALUE"""),"---")</f>
        <v>---</v>
      </c>
      <c r="B201" s="49" t="str">
        <f>IFERROR(__xludf.DUMMYFUNCTION("""COMPUTED_VALUE"""),"---")</f>
        <v>---</v>
      </c>
      <c r="C201" s="49" t="str">
        <f>IFERROR(__xludf.DUMMYFUNCTION("""COMPUTED_VALUE"""),"Cullen Mccarthy")</f>
        <v>Cullen Mccarthy</v>
      </c>
      <c r="D201" s="399" t="str">
        <f>IFERROR(__xludf.DUMMYFUNCTION("""COMPUTED_VALUE"""),"Valley")</f>
        <v>Valley</v>
      </c>
      <c r="E201" s="39" t="str">
        <f>IFERROR(__xludf.DUMMYFUNCTION("""COMPUTED_VALUE"""),"Rhino Carbon Lime Silver 14lbs")</f>
        <v>Rhino Carbon Lime Silver 14lbs</v>
      </c>
      <c r="F201" s="39"/>
      <c r="G201" s="52"/>
      <c r="H201" s="49" t="str">
        <f>IFERROR(__xludf.DUMMYFUNCTION("""COMPUTED_VALUE"""),"Y")</f>
        <v>Y</v>
      </c>
      <c r="I201" s="49" t="str">
        <f>IFERROR(__xludf.DUMMYFUNCTION("""COMPUTED_VALUE"""),"Y")</f>
        <v>Y</v>
      </c>
      <c r="J201" s="49"/>
      <c r="K201" s="49"/>
      <c r="L201" s="49"/>
    </row>
    <row r="202">
      <c r="A202" s="49" t="str">
        <f>IFERROR(__xludf.DUMMYFUNCTION("""COMPUTED_VALUE"""),"---")</f>
        <v>---</v>
      </c>
      <c r="B202" s="49" t="str">
        <f>IFERROR(__xludf.DUMMYFUNCTION("""COMPUTED_VALUE"""),"---")</f>
        <v>---</v>
      </c>
      <c r="C202" s="49" t="str">
        <f>IFERROR(__xludf.DUMMYFUNCTION("""COMPUTED_VALUE"""),"Stock")</f>
        <v>Stock</v>
      </c>
      <c r="D202" s="399"/>
      <c r="E202" s="39" t="str">
        <f>IFERROR(__xludf.DUMMYFUNCTION("""COMPUTED_VALUE"""),"Vise K+ tape")</f>
        <v>Vise K+ tape</v>
      </c>
      <c r="F202" s="39"/>
      <c r="G202" s="52"/>
      <c r="H202" s="49" t="str">
        <f>IFERROR(__xludf.DUMMYFUNCTION("""COMPUTED_VALUE"""),"na")</f>
        <v>na</v>
      </c>
      <c r="I202" s="49" t="str">
        <f>IFERROR(__xludf.DUMMYFUNCTION("""COMPUTED_VALUE"""),"na")</f>
        <v>na</v>
      </c>
      <c r="J202" s="49"/>
      <c r="K202" s="49"/>
      <c r="L202" s="49"/>
    </row>
    <row r="203">
      <c r="A203" s="49" t="str">
        <f>IFERROR(__xludf.DUMMYFUNCTION("""COMPUTED_VALUE"""),"---")</f>
        <v>---</v>
      </c>
      <c r="B203" s="49" t="str">
        <f>IFERROR(__xludf.DUMMYFUNCTION("""COMPUTED_VALUE"""),"---")</f>
        <v>---</v>
      </c>
      <c r="C203" s="49" t="str">
        <f>IFERROR(__xludf.DUMMYFUNCTION("""COMPUTED_VALUE"""),"Stock")</f>
        <v>Stock</v>
      </c>
      <c r="D203" s="399"/>
      <c r="E203" s="39" t="str">
        <f>IFERROR(__xludf.DUMMYFUNCTION("""COMPUTED_VALUE"""),"Dexter S10 sole standard")</f>
        <v>Dexter S10 sole standard</v>
      </c>
      <c r="F203" s="39"/>
      <c r="G203" s="52"/>
      <c r="H203" s="49" t="str">
        <f>IFERROR(__xludf.DUMMYFUNCTION("""COMPUTED_VALUE"""),"na")</f>
        <v>na</v>
      </c>
      <c r="I203" s="49" t="str">
        <f>IFERROR(__xludf.DUMMYFUNCTION("""COMPUTED_VALUE"""),"na")</f>
        <v>na</v>
      </c>
      <c r="J203" s="49"/>
      <c r="K203" s="49"/>
      <c r="L203" s="49"/>
    </row>
    <row r="204">
      <c r="A204" s="49" t="str">
        <f>IFERROR(__xludf.DUMMYFUNCTION("""COMPUTED_VALUE"""),"---")</f>
        <v>---</v>
      </c>
      <c r="B204" s="49" t="str">
        <f>IFERROR(__xludf.DUMMYFUNCTION("""COMPUTED_VALUE"""),"---")</f>
        <v>---</v>
      </c>
      <c r="C204" s="49" t="str">
        <f>IFERROR(__xludf.DUMMYFUNCTION("""COMPUTED_VALUE"""),"Stock")</f>
        <v>Stock</v>
      </c>
      <c r="D204" s="399"/>
      <c r="E204" s="39" t="str">
        <f>IFERROR(__xludf.DUMMYFUNCTION("""COMPUTED_VALUE"""),"Dxeter S10 sole XL")</f>
        <v>Dxeter S10 sole XL</v>
      </c>
      <c r="F204" s="39"/>
      <c r="G204" s="52"/>
      <c r="H204" s="49" t="str">
        <f>IFERROR(__xludf.DUMMYFUNCTION("""COMPUTED_VALUE"""),"na")</f>
        <v>na</v>
      </c>
      <c r="I204" s="49" t="str">
        <f>IFERROR(__xludf.DUMMYFUNCTION("""COMPUTED_VALUE"""),"na")</f>
        <v>na</v>
      </c>
      <c r="J204" s="49"/>
      <c r="K204" s="49"/>
      <c r="L204" s="49"/>
    </row>
    <row r="205">
      <c r="A205" s="49" t="str">
        <f>IFERROR(__xludf.DUMMYFUNCTION("""COMPUTED_VALUE"""),"---")</f>
        <v>---</v>
      </c>
      <c r="B205" s="49" t="str">
        <f>IFERROR(__xludf.DUMMYFUNCTION("""COMPUTED_VALUE"""),"---")</f>
        <v>---</v>
      </c>
      <c r="C205" s="49" t="str">
        <f>IFERROR(__xludf.DUMMYFUNCTION("""COMPUTED_VALUE"""),"Stock")</f>
        <v>Stock</v>
      </c>
      <c r="D205" s="399" t="str">
        <f>IFERROR(__xludf.DUMMYFUNCTION("""COMPUTED_VALUE"""),"Valley")</f>
        <v>Valley</v>
      </c>
      <c r="E205" s="39" t="str">
        <f>IFERROR(__xludf.DUMMYFUNCTION("""COMPUTED_VALUE"""),"Brunswick Shoe Shield M")</f>
        <v>Brunswick Shoe Shield M</v>
      </c>
      <c r="F205" s="39"/>
      <c r="G205" s="52"/>
      <c r="H205" s="49" t="str">
        <f>IFERROR(__xludf.DUMMYFUNCTION("""COMPUTED_VALUE"""),"na")</f>
        <v>na</v>
      </c>
      <c r="I205" s="49" t="str">
        <f>IFERROR(__xludf.DUMMYFUNCTION("""COMPUTED_VALUE"""),"na")</f>
        <v>na</v>
      </c>
      <c r="J205" s="49"/>
      <c r="K205" s="49"/>
      <c r="L205" s="49"/>
    </row>
    <row r="206">
      <c r="A206" s="49" t="str">
        <f>IFERROR(__xludf.DUMMYFUNCTION("""COMPUTED_VALUE"""),"---")</f>
        <v>---</v>
      </c>
      <c r="B206" s="49" t="str">
        <f>IFERROR(__xludf.DUMMYFUNCTION("""COMPUTED_VALUE"""),"---")</f>
        <v>---</v>
      </c>
      <c r="C206" s="49" t="str">
        <f>IFERROR(__xludf.DUMMYFUNCTION("""COMPUTED_VALUE"""),"Stock")</f>
        <v>Stock</v>
      </c>
      <c r="D206" s="399" t="str">
        <f>IFERROR(__xludf.DUMMYFUNCTION("""COMPUTED_VALUE"""),"Valley")</f>
        <v>Valley</v>
      </c>
      <c r="E206" s="39" t="str">
        <f>IFERROR(__xludf.DUMMYFUNCTION("""COMPUTED_VALUE"""),"Master large puff ball")</f>
        <v>Master large puff ball</v>
      </c>
      <c r="F206" s="39"/>
      <c r="G206" s="52"/>
      <c r="H206" s="49" t="str">
        <f>IFERROR(__xludf.DUMMYFUNCTION("""COMPUTED_VALUE"""),"na")</f>
        <v>na</v>
      </c>
      <c r="I206" s="49" t="str">
        <f>IFERROR(__xludf.DUMMYFUNCTION("""COMPUTED_VALUE"""),"na")</f>
        <v>na</v>
      </c>
      <c r="J206" s="49"/>
      <c r="K206" s="49"/>
      <c r="L206" s="49"/>
    </row>
    <row r="207">
      <c r="A207" s="49" t="str">
        <f>IFERROR(__xludf.DUMMYFUNCTION("""COMPUTED_VALUE"""),"---")</f>
        <v>---</v>
      </c>
      <c r="B207" s="49" t="str">
        <f>IFERROR(__xludf.DUMMYFUNCTION("""COMPUTED_VALUE"""),"---")</f>
        <v>---</v>
      </c>
      <c r="C207" s="49" t="str">
        <f>IFERROR(__xludf.DUMMYFUNCTION("""COMPUTED_VALUE"""),"Shaun Kucharski")</f>
        <v>Shaun Kucharski</v>
      </c>
      <c r="D207" s="399" t="str">
        <f>IFERROR(__xludf.DUMMYFUNCTION("""COMPUTED_VALUE"""),"South")</f>
        <v>South</v>
      </c>
      <c r="E207" s="39" t="str">
        <f>IFERROR(__xludf.DUMMYFUNCTION("""COMPUTED_VALUE"""),"Hammer Black Widow Tour V1 14lb")</f>
        <v>Hammer Black Widow Tour V1 14lb</v>
      </c>
      <c r="F207" s="39"/>
      <c r="G207" s="52"/>
      <c r="H207" s="49" t="str">
        <f>IFERROR(__xludf.DUMMYFUNCTION("""COMPUTED_VALUE"""),"Y")</f>
        <v>Y</v>
      </c>
      <c r="I207" s="49" t="str">
        <f>IFERROR(__xludf.DUMMYFUNCTION("""COMPUTED_VALUE"""),"Y")</f>
        <v>Y</v>
      </c>
      <c r="J207" s="49"/>
      <c r="K207" s="49"/>
      <c r="L207" s="49"/>
    </row>
    <row r="208">
      <c r="A208" s="49" t="str">
        <f>IFERROR(__xludf.DUMMYFUNCTION("""COMPUTED_VALUE"""),"---")</f>
        <v>---</v>
      </c>
      <c r="B208" s="49" t="str">
        <f>IFERROR(__xludf.DUMMYFUNCTION("""COMPUTED_VALUE"""),"---")</f>
        <v>---</v>
      </c>
      <c r="C208" s="49" t="str">
        <f>IFERROR(__xludf.DUMMYFUNCTION("""COMPUTED_VALUE"""),"Brian Hamilton")</f>
        <v>Brian Hamilton</v>
      </c>
      <c r="D208" s="399" t="str">
        <f>IFERROR(__xludf.DUMMYFUNCTION("""COMPUTED_VALUE"""),"South")</f>
        <v>South</v>
      </c>
      <c r="E208" s="39" t="str">
        <f>IFERROR(__xludf.DUMMYFUNCTION("""COMPUTED_VALUE"""),"Roto grip rst hyperdrive pearl 14 lb")</f>
        <v>Roto grip rst hyperdrive pearl 14 lb</v>
      </c>
      <c r="F208" s="39"/>
      <c r="G208" s="52"/>
      <c r="H208" s="49" t="str">
        <f>IFERROR(__xludf.DUMMYFUNCTION("""COMPUTED_VALUE"""),"Y")</f>
        <v>Y</v>
      </c>
      <c r="I208" s="49" t="str">
        <f>IFERROR(__xludf.DUMMYFUNCTION("""COMPUTED_VALUE"""),"Y")</f>
        <v>Y</v>
      </c>
      <c r="J208" s="49"/>
      <c r="K208" s="49"/>
      <c r="L208" s="49"/>
    </row>
    <row r="209">
      <c r="A209" s="49" t="str">
        <f>IFERROR(__xludf.DUMMYFUNCTION("""COMPUTED_VALUE"""),"---")</f>
        <v>---</v>
      </c>
      <c r="B209" s="49" t="str">
        <f>IFERROR(__xludf.DUMMYFUNCTION("""COMPUTED_VALUE"""),"---")</f>
        <v>---</v>
      </c>
      <c r="C209" s="49" t="str">
        <f>IFERROR(__xludf.DUMMYFUNCTION("""COMPUTED_VALUE"""),"Benny centeno")</f>
        <v>Benny centeno</v>
      </c>
      <c r="D209" s="399" t="str">
        <f>IFERROR(__xludf.DUMMYFUNCTION("""COMPUTED_VALUE"""),"South")</f>
        <v>South</v>
      </c>
      <c r="E209" s="39" t="str">
        <f>IFERROR(__xludf.DUMMYFUNCTION("""COMPUTED_VALUE"""),"C300 Pulse 14 lbs")</f>
        <v>C300 Pulse 14 lbs</v>
      </c>
      <c r="F209" s="39"/>
      <c r="G209" s="52"/>
      <c r="H209" s="49" t="str">
        <f>IFERROR(__xludf.DUMMYFUNCTION("""COMPUTED_VALUE"""),"Y")</f>
        <v>Y</v>
      </c>
      <c r="I209" s="49" t="str">
        <f>IFERROR(__xludf.DUMMYFUNCTION("""COMPUTED_VALUE"""),"Y")</f>
        <v>Y</v>
      </c>
      <c r="J209" s="49"/>
      <c r="K209" s="49"/>
      <c r="L209" s="49"/>
    </row>
    <row r="210">
      <c r="A210" s="49" t="str">
        <f>IFERROR(__xludf.DUMMYFUNCTION("""COMPUTED_VALUE"""),"---")</f>
        <v>---</v>
      </c>
      <c r="B210" s="49" t="str">
        <f>IFERROR(__xludf.DUMMYFUNCTION("""COMPUTED_VALUE"""),"---")</f>
        <v>---</v>
      </c>
      <c r="C210" s="49" t="str">
        <f>IFERROR(__xludf.DUMMYFUNCTION("""COMPUTED_VALUE"""),"Benny centeno")</f>
        <v>Benny centeno</v>
      </c>
      <c r="D210" s="399" t="str">
        <f>IFERROR(__xludf.DUMMYFUNCTION("""COMPUTED_VALUE"""),"South")</f>
        <v>South</v>
      </c>
      <c r="E210" s="39" t="str">
        <f>IFERROR(__xludf.DUMMYFUNCTION("""COMPUTED_VALUE"""),"Brunswick T-zone deep space 14 lbs")</f>
        <v>Brunswick T-zone deep space 14 lbs</v>
      </c>
      <c r="F210" s="39"/>
      <c r="G210" s="52"/>
      <c r="H210" s="49" t="str">
        <f>IFERROR(__xludf.DUMMYFUNCTION("""COMPUTED_VALUE"""),"Y")</f>
        <v>Y</v>
      </c>
      <c r="I210" s="49" t="str">
        <f>IFERROR(__xludf.DUMMYFUNCTION("""COMPUTED_VALUE"""),"Y")</f>
        <v>Y</v>
      </c>
      <c r="J210" s="49"/>
      <c r="K210" s="49"/>
      <c r="L210" s="49"/>
    </row>
    <row r="211">
      <c r="A211" s="49" t="str">
        <f>IFERROR(__xludf.DUMMYFUNCTION("""COMPUTED_VALUE"""),"---")</f>
        <v>---</v>
      </c>
      <c r="B211" s="49" t="str">
        <f>IFERROR(__xludf.DUMMYFUNCTION("""COMPUTED_VALUE"""),"---")</f>
        <v>---</v>
      </c>
      <c r="C211" s="49" t="str">
        <f>IFERROR(__xludf.DUMMYFUNCTION("""COMPUTED_VALUE"""),"Stock")</f>
        <v>Stock</v>
      </c>
      <c r="D211" s="399" t="str">
        <f>IFERROR(__xludf.DUMMYFUNCTION("""COMPUTED_VALUE"""),"South")</f>
        <v>South</v>
      </c>
      <c r="E211" s="39" t="str">
        <f>IFERROR(__xludf.DUMMYFUNCTION("""COMPUTED_VALUE"""),"14lb black widow dynasty")</f>
        <v>14lb black widow dynasty</v>
      </c>
      <c r="F211" s="39"/>
      <c r="G211" s="52"/>
      <c r="H211" s="49" t="str">
        <f>IFERROR(__xludf.DUMMYFUNCTION("""COMPUTED_VALUE"""),"na")</f>
        <v>na</v>
      </c>
      <c r="I211" s="49" t="str">
        <f>IFERROR(__xludf.DUMMYFUNCTION("""COMPUTED_VALUE"""),"na")</f>
        <v>na</v>
      </c>
      <c r="J211" s="49"/>
      <c r="K211" s="49"/>
      <c r="L211" s="49"/>
    </row>
    <row r="212">
      <c r="A212" s="49" t="str">
        <f>IFERROR(__xludf.DUMMYFUNCTION("""COMPUTED_VALUE"""),"---")</f>
        <v>---</v>
      </c>
      <c r="B212" s="49" t="str">
        <f>IFERROR(__xludf.DUMMYFUNCTION("""COMPUTED_VALUE"""),"---")</f>
        <v>---</v>
      </c>
      <c r="C212" s="49" t="str">
        <f>IFERROR(__xludf.DUMMYFUNCTION("""COMPUTED_VALUE"""),"Phil ferrese")</f>
        <v>Phil ferrese</v>
      </c>
      <c r="D212" s="399" t="str">
        <f>IFERROR(__xludf.DUMMYFUNCTION("""COMPUTED_VALUE"""),"Valley")</f>
        <v>Valley</v>
      </c>
      <c r="E212" s="39" t="str">
        <f>IFERROR(__xludf.DUMMYFUNCTION("""COMPUTED_VALUE"""),"Hammer Nu 2.0 - 14lbs")</f>
        <v>Hammer Nu 2.0 - 14lbs</v>
      </c>
      <c r="F212" s="39"/>
      <c r="G212" s="52"/>
      <c r="H212" s="49" t="str">
        <f>IFERROR(__xludf.DUMMYFUNCTION("""COMPUTED_VALUE"""),"Y")</f>
        <v>Y</v>
      </c>
      <c r="I212" s="49" t="str">
        <f>IFERROR(__xludf.DUMMYFUNCTION("""COMPUTED_VALUE"""),"Y")</f>
        <v>Y</v>
      </c>
      <c r="J212" s="49"/>
      <c r="K212" s="49"/>
      <c r="L212" s="49"/>
    </row>
    <row r="213">
      <c r="A213" s="49" t="str">
        <f>IFERROR(__xludf.DUMMYFUNCTION("""COMPUTED_VALUE"""),"---")</f>
        <v>---</v>
      </c>
      <c r="B213" s="49" t="str">
        <f>IFERROR(__xludf.DUMMYFUNCTION("""COMPUTED_VALUE"""),"---")</f>
        <v>---</v>
      </c>
      <c r="C213" s="49" t="str">
        <f>IFERROR(__xludf.DUMMYFUNCTION("""COMPUTED_VALUE"""),"Michael Dinning")</f>
        <v>Michael Dinning</v>
      </c>
      <c r="D213" s="399" t="str">
        <f>IFERROR(__xludf.DUMMYFUNCTION("""COMPUTED_VALUE"""),"Valley")</f>
        <v>Valley</v>
      </c>
      <c r="E213" s="39" t="str">
        <f>IFERROR(__xludf.DUMMYFUNCTION("""COMPUTED_VALUE"""),"900 Global Vengeance 15 lb")</f>
        <v>900 Global Vengeance 15 lb</v>
      </c>
      <c r="F213" s="39"/>
      <c r="G213" s="52"/>
      <c r="H213" s="49" t="str">
        <f>IFERROR(__xludf.DUMMYFUNCTION("""COMPUTED_VALUE"""),"Y")</f>
        <v>Y</v>
      </c>
      <c r="I213" s="49" t="str">
        <f>IFERROR(__xludf.DUMMYFUNCTION("""COMPUTED_VALUE"""),"Y")</f>
        <v>Y</v>
      </c>
      <c r="J213" s="49"/>
      <c r="K213" s="49"/>
      <c r="L213" s="49"/>
    </row>
    <row r="214">
      <c r="A214" s="49" t="str">
        <f>IFERROR(__xludf.DUMMYFUNCTION("""COMPUTED_VALUE"""),"---")</f>
        <v>---</v>
      </c>
      <c r="B214" s="49" t="str">
        <f>IFERROR(__xludf.DUMMYFUNCTION("""COMPUTED_VALUE"""),"---")</f>
        <v>---</v>
      </c>
      <c r="C214" s="49" t="str">
        <f>IFERROR(__xludf.DUMMYFUNCTION("""COMPUTED_VALUE"""),"Stock")</f>
        <v>Stock</v>
      </c>
      <c r="D214" s="399" t="str">
        <f>IFERROR(__xludf.DUMMYFUNCTION("""COMPUTED_VALUE"""),"South")</f>
        <v>South</v>
      </c>
      <c r="E214" s="39" t="str">
        <f>IFERROR(__xludf.DUMMYFUNCTION("""COMPUTED_VALUE"""),"900 Global Vengeance 15 lb")</f>
        <v>900 Global Vengeance 15 lb</v>
      </c>
      <c r="F214" s="39"/>
      <c r="G214" s="52"/>
      <c r="H214" s="49" t="str">
        <f>IFERROR(__xludf.DUMMYFUNCTION("""COMPUTED_VALUE"""),"na")</f>
        <v>na</v>
      </c>
      <c r="I214" s="49" t="str">
        <f>IFERROR(__xludf.DUMMYFUNCTION("""COMPUTED_VALUE"""),"na")</f>
        <v>na</v>
      </c>
      <c r="J214" s="49"/>
      <c r="K214" s="49"/>
      <c r="L214" s="49"/>
    </row>
    <row r="215">
      <c r="A215" s="49" t="str">
        <f>IFERROR(__xludf.DUMMYFUNCTION("""COMPUTED_VALUE"""),"---")</f>
        <v>---</v>
      </c>
      <c r="B215" s="49" t="str">
        <f>IFERROR(__xludf.DUMMYFUNCTION("""COMPUTED_VALUE"""),"---")</f>
        <v>---</v>
      </c>
      <c r="C215" s="49" t="str">
        <f>IFERROR(__xludf.DUMMYFUNCTION("""COMPUTED_VALUE"""),"Stock")</f>
        <v>Stock</v>
      </c>
      <c r="D215" s="399" t="str">
        <f>IFERROR(__xludf.DUMMYFUNCTION("""COMPUTED_VALUE"""),"South")</f>
        <v>South</v>
      </c>
      <c r="E215" s="39" t="str">
        <f>IFERROR(__xludf.DUMMYFUNCTION("""COMPUTED_VALUE"""),"Rotogrip Transformer 15 lb")</f>
        <v>Rotogrip Transformer 15 lb</v>
      </c>
      <c r="F215" s="39"/>
      <c r="G215" s="52"/>
      <c r="H215" s="49" t="str">
        <f>IFERROR(__xludf.DUMMYFUNCTION("""COMPUTED_VALUE"""),"na")</f>
        <v>na</v>
      </c>
      <c r="I215" s="49" t="str">
        <f>IFERROR(__xludf.DUMMYFUNCTION("""COMPUTED_VALUE"""),"na")</f>
        <v>na</v>
      </c>
      <c r="J215" s="49"/>
      <c r="K215" s="49"/>
      <c r="L215" s="49"/>
    </row>
    <row r="216">
      <c r="A216" s="49" t="str">
        <f>IFERROR(__xludf.DUMMYFUNCTION("""COMPUTED_VALUE"""),"---")</f>
        <v>---</v>
      </c>
      <c r="B216" s="49" t="str">
        <f>IFERROR(__xludf.DUMMYFUNCTION("""COMPUTED_VALUE"""),"---")</f>
        <v>---</v>
      </c>
      <c r="C216" s="49" t="str">
        <f>IFERROR(__xludf.DUMMYFUNCTION("""COMPUTED_VALUE"""),"Stock")</f>
        <v>Stock</v>
      </c>
      <c r="D216" s="399"/>
      <c r="E216" s="39" t="str">
        <f>IFERROR(__xludf.DUMMYFUNCTION("""COMPUTED_VALUE"""),"1 1/4"" slug orange/yellow")</f>
        <v>1 1/4" slug orange/yellow</v>
      </c>
      <c r="F216" s="39"/>
      <c r="G216" s="52"/>
      <c r="H216" s="49" t="str">
        <f>IFERROR(__xludf.DUMMYFUNCTION("""COMPUTED_VALUE"""),"na")</f>
        <v>na</v>
      </c>
      <c r="I216" s="49" t="str">
        <f>IFERROR(__xludf.DUMMYFUNCTION("""COMPUTED_VALUE"""),"na")</f>
        <v>na</v>
      </c>
      <c r="J216" s="49"/>
      <c r="K216" s="49"/>
      <c r="L216" s="49"/>
    </row>
    <row r="217">
      <c r="A217" s="49" t="str">
        <f>IFERROR(__xludf.DUMMYFUNCTION("""COMPUTED_VALUE"""),"---")</f>
        <v>---</v>
      </c>
      <c r="B217" s="49" t="str">
        <f>IFERROR(__xludf.DUMMYFUNCTION("""COMPUTED_VALUE"""),"---")</f>
        <v>---</v>
      </c>
      <c r="C217" s="49" t="str">
        <f>IFERROR(__xludf.DUMMYFUNCTION("""COMPUTED_VALUE"""),"Stock")</f>
        <v>Stock</v>
      </c>
      <c r="D217" s="399"/>
      <c r="E217" s="39" t="str">
        <f>IFERROR(__xludf.DUMMYFUNCTION("""COMPUTED_VALUE"""),"1 1/8"" slug pink/white")</f>
        <v>1 1/8" slug pink/white</v>
      </c>
      <c r="F217" s="39"/>
      <c r="G217" s="52"/>
      <c r="H217" s="49" t="str">
        <f>IFERROR(__xludf.DUMMYFUNCTION("""COMPUTED_VALUE"""),"na")</f>
        <v>na</v>
      </c>
      <c r="I217" s="49" t="str">
        <f>IFERROR(__xludf.DUMMYFUNCTION("""COMPUTED_VALUE"""),"na")</f>
        <v>na</v>
      </c>
      <c r="J217" s="49"/>
      <c r="K217" s="49"/>
      <c r="L217" s="49"/>
    </row>
    <row r="218">
      <c r="A218" s="49" t="str">
        <f>IFERROR(__xludf.DUMMYFUNCTION("""COMPUTED_VALUE"""),"---")</f>
        <v>---</v>
      </c>
      <c r="B218" s="49" t="str">
        <f>IFERROR(__xludf.DUMMYFUNCTION("""COMPUTED_VALUE"""),"---")</f>
        <v>---</v>
      </c>
      <c r="C218" s="49" t="str">
        <f>IFERROR(__xludf.DUMMYFUNCTION("""COMPUTED_VALUE"""),"Stock")</f>
        <v>Stock</v>
      </c>
      <c r="D218" s="399"/>
      <c r="E218" s="39" t="str">
        <f>IFERROR(__xludf.DUMMYFUNCTION("""COMPUTED_VALUE"""),"1 1/4"" blue/purple")</f>
        <v>1 1/4" blue/purple</v>
      </c>
      <c r="F218" s="39"/>
      <c r="G218" s="52"/>
      <c r="H218" s="49" t="str">
        <f>IFERROR(__xludf.DUMMYFUNCTION("""COMPUTED_VALUE"""),"na")</f>
        <v>na</v>
      </c>
      <c r="I218" s="49" t="str">
        <f>IFERROR(__xludf.DUMMYFUNCTION("""COMPUTED_VALUE"""),"na")</f>
        <v>na</v>
      </c>
      <c r="J218" s="49"/>
      <c r="K218" s="49"/>
      <c r="L218" s="49"/>
    </row>
    <row r="219">
      <c r="A219" s="49" t="str">
        <f>IFERROR(__xludf.DUMMYFUNCTION("""COMPUTED_VALUE"""),"---")</f>
        <v>---</v>
      </c>
      <c r="B219" s="49" t="str">
        <f>IFERROR(__xludf.DUMMYFUNCTION("""COMPUTED_VALUE"""),"---")</f>
        <v>---</v>
      </c>
      <c r="C219" s="49" t="str">
        <f>IFERROR(__xludf.DUMMYFUNCTION("""COMPUTED_VALUE"""),"Stock")</f>
        <v>Stock</v>
      </c>
      <c r="D219" s="399" t="str">
        <f>IFERROR(__xludf.DUMMYFUNCTION("""COMPUTED_VALUE"""),"South")</f>
        <v>South</v>
      </c>
      <c r="E219" s="39" t="str">
        <f>IFERROR(__xludf.DUMMYFUNCTION("""COMPUTED_VALUE"""),"Hammer Zero mercy Solid 15 lb")</f>
        <v>Hammer Zero mercy Solid 15 lb</v>
      </c>
      <c r="F219" s="39"/>
      <c r="G219" s="52"/>
      <c r="H219" s="49" t="str">
        <f>IFERROR(__xludf.DUMMYFUNCTION("""COMPUTED_VALUE"""),"na")</f>
        <v>na</v>
      </c>
      <c r="I219" s="49" t="str">
        <f>IFERROR(__xludf.DUMMYFUNCTION("""COMPUTED_VALUE"""),"na")</f>
        <v>na</v>
      </c>
      <c r="J219" s="49"/>
      <c r="K219" s="49"/>
      <c r="L219" s="49"/>
    </row>
    <row r="220">
      <c r="A220" s="49" t="str">
        <f>IFERROR(__xludf.DUMMYFUNCTION("""COMPUTED_VALUE"""),"---")</f>
        <v>---</v>
      </c>
      <c r="B220" s="49" t="str">
        <f>IFERROR(__xludf.DUMMYFUNCTION("""COMPUTED_VALUE"""),"---")</f>
        <v>---</v>
      </c>
      <c r="C220" s="49" t="str">
        <f>IFERROR(__xludf.DUMMYFUNCTION("""COMPUTED_VALUE"""),"Carl O'Neil")</f>
        <v>Carl O'Neil</v>
      </c>
      <c r="D220" s="399" t="str">
        <f>IFERROR(__xludf.DUMMYFUNCTION("""COMPUTED_VALUE"""),"South")</f>
        <v>South</v>
      </c>
      <c r="E220" s="39" t="str">
        <f>IFERROR(__xludf.DUMMYFUNCTION("""COMPUTED_VALUE"""),"Hammer Ocean Vibe 14 lb")</f>
        <v>Hammer Ocean Vibe 14 lb</v>
      </c>
      <c r="F220" s="39"/>
      <c r="G220" s="52"/>
      <c r="H220" s="49" t="str">
        <f>IFERROR(__xludf.DUMMYFUNCTION("""COMPUTED_VALUE"""),"Y")</f>
        <v>Y</v>
      </c>
      <c r="I220" s="49" t="str">
        <f>IFERROR(__xludf.DUMMYFUNCTION("""COMPUTED_VALUE"""),"Y")</f>
        <v>Y</v>
      </c>
      <c r="J220" s="49"/>
      <c r="K220" s="49"/>
      <c r="L220" s="49"/>
    </row>
    <row r="221">
      <c r="A221" s="49" t="str">
        <f>IFERROR(__xludf.DUMMYFUNCTION("""COMPUTED_VALUE"""),"---")</f>
        <v>---</v>
      </c>
      <c r="B221" s="49" t="str">
        <f>IFERROR(__xludf.DUMMYFUNCTION("""COMPUTED_VALUE"""),"---")</f>
        <v>---</v>
      </c>
      <c r="C221" s="49" t="str">
        <f>IFERROR(__xludf.DUMMYFUNCTION("""COMPUTED_VALUE"""),"Ariele Williams")</f>
        <v>Ariele Williams</v>
      </c>
      <c r="D221" s="399" t="str">
        <f>IFERROR(__xludf.DUMMYFUNCTION("""COMPUTED_VALUE"""),"Valley")</f>
        <v>Valley</v>
      </c>
      <c r="E221" s="39" t="str">
        <f>IFERROR(__xludf.DUMMYFUNCTION("""COMPUTED_VALUE"""),"Brunswick Tzone Deep Space - 11lbs")</f>
        <v>Brunswick Tzone Deep Space - 11lbs</v>
      </c>
      <c r="F221" s="39"/>
      <c r="G221" s="52"/>
      <c r="H221" s="49" t="str">
        <f>IFERROR(__xludf.DUMMYFUNCTION("""COMPUTED_VALUE"""),"Y")</f>
        <v>Y</v>
      </c>
      <c r="I221" s="49" t="str">
        <f>IFERROR(__xludf.DUMMYFUNCTION("""COMPUTED_VALUE"""),"Y")</f>
        <v>Y</v>
      </c>
      <c r="J221" s="49"/>
      <c r="K221" s="49"/>
      <c r="L221" s="49"/>
    </row>
    <row r="222">
      <c r="A222" s="49" t="str">
        <f>IFERROR(__xludf.DUMMYFUNCTION("""COMPUTED_VALUE"""),"---")</f>
        <v>---</v>
      </c>
      <c r="B222" s="49" t="str">
        <f>IFERROR(__xludf.DUMMYFUNCTION("""COMPUTED_VALUE"""),"---")</f>
        <v>---</v>
      </c>
      <c r="C222" s="49" t="str">
        <f>IFERROR(__xludf.DUMMYFUNCTION("""COMPUTED_VALUE"""),"Ariele Williams")</f>
        <v>Ariele Williams</v>
      </c>
      <c r="D222" s="399" t="str">
        <f>IFERROR(__xludf.DUMMYFUNCTION("""COMPUTED_VALUE"""),"Valley")</f>
        <v>Valley</v>
      </c>
      <c r="E222" s="39" t="str">
        <f>IFERROR(__xludf.DUMMYFUNCTION("""COMPUTED_VALUE"""),"Lady Fanatic - Size 8.5 and 9  Pink/black/white")</f>
        <v>Lady Fanatic - Size 8.5 and 9  Pink/black/white</v>
      </c>
      <c r="F222" s="39"/>
      <c r="G222" s="52"/>
      <c r="H222" s="49" t="str">
        <f>IFERROR(__xludf.DUMMYFUNCTION("""COMPUTED_VALUE"""),"Y")</f>
        <v>Y</v>
      </c>
      <c r="I222" s="49" t="str">
        <f>IFERROR(__xludf.DUMMYFUNCTION("""COMPUTED_VALUE"""),"Y")</f>
        <v>Y</v>
      </c>
      <c r="J222" s="49"/>
      <c r="K222" s="49"/>
      <c r="L222" s="49"/>
    </row>
    <row r="223">
      <c r="A223" s="49" t="str">
        <f>IFERROR(__xludf.DUMMYFUNCTION("""COMPUTED_VALUE"""),"---")</f>
        <v>---</v>
      </c>
      <c r="B223" s="49" t="str">
        <f>IFERROR(__xludf.DUMMYFUNCTION("""COMPUTED_VALUE"""),"---")</f>
        <v>---</v>
      </c>
      <c r="C223" s="49" t="str">
        <f>IFERROR(__xludf.DUMMYFUNCTION("""COMPUTED_VALUE"""),"Francesha Houck")</f>
        <v>Francesha Houck</v>
      </c>
      <c r="D223" s="399" t="str">
        <f>IFERROR(__xludf.DUMMYFUNCTION("""COMPUTED_VALUE"""),"Valley")</f>
        <v>Valley</v>
      </c>
      <c r="E223" s="39" t="str">
        <f>IFERROR(__xludf.DUMMYFUNCTION("""COMPUTED_VALUE"""),"C300 White Dot Wild Orchid - 11lbs")</f>
        <v>C300 White Dot Wild Orchid - 11lbs</v>
      </c>
      <c r="F223" s="39"/>
      <c r="G223" s="52"/>
      <c r="H223" s="49" t="str">
        <f>IFERROR(__xludf.DUMMYFUNCTION("""COMPUTED_VALUE"""),"Y")</f>
        <v>Y</v>
      </c>
      <c r="I223" s="49" t="str">
        <f>IFERROR(__xludf.DUMMYFUNCTION("""COMPUTED_VALUE"""),"Y")</f>
        <v>Y</v>
      </c>
      <c r="J223" s="49"/>
      <c r="K223" s="49"/>
      <c r="L223" s="49"/>
    </row>
    <row r="224">
      <c r="A224" s="49" t="str">
        <f>IFERROR(__xludf.DUMMYFUNCTION("""COMPUTED_VALUE"""),"---")</f>
        <v>---</v>
      </c>
      <c r="B224" s="49" t="str">
        <f>IFERROR(__xludf.DUMMYFUNCTION("""COMPUTED_VALUE"""),"---")</f>
        <v>---</v>
      </c>
      <c r="C224" s="49" t="str">
        <f>IFERROR(__xludf.DUMMYFUNCTION("""COMPUTED_VALUE"""),"Francesha Houck")</f>
        <v>Francesha Houck</v>
      </c>
      <c r="D224" s="399" t="str">
        <f>IFERROR(__xludf.DUMMYFUNCTION("""COMPUTED_VALUE"""),"Valley")</f>
        <v>Valley</v>
      </c>
      <c r="E224" s="39" t="str">
        <f>IFERROR(__xludf.DUMMYFUNCTION("""COMPUTED_VALUE"""),"Lady Fantic - Size 8.5 - Female - Pink")</f>
        <v>Lady Fantic - Size 8.5 - Female - Pink</v>
      </c>
      <c r="F224" s="39"/>
      <c r="G224" s="52"/>
      <c r="H224" s="49" t="str">
        <f>IFERROR(__xludf.DUMMYFUNCTION("""COMPUTED_VALUE"""),"Y")</f>
        <v>Y</v>
      </c>
      <c r="I224" s="49" t="str">
        <f>IFERROR(__xludf.DUMMYFUNCTION("""COMPUTED_VALUE"""),"Y")</f>
        <v>Y</v>
      </c>
      <c r="J224" s="49"/>
      <c r="K224" s="49"/>
      <c r="L224" s="49"/>
    </row>
    <row r="225">
      <c r="A225" s="49" t="str">
        <f>IFERROR(__xludf.DUMMYFUNCTION("""COMPUTED_VALUE"""),"---")</f>
        <v>---</v>
      </c>
      <c r="B225" s="49" t="str">
        <f>IFERROR(__xludf.DUMMYFUNCTION("""COMPUTED_VALUE"""),"---")</f>
        <v>---</v>
      </c>
      <c r="C225" s="49" t="str">
        <f>IFERROR(__xludf.DUMMYFUNCTION("""COMPUTED_VALUE"""),"Dunton Francis")</f>
        <v>Dunton Francis</v>
      </c>
      <c r="D225" s="399" t="str">
        <f>IFERROR(__xludf.DUMMYFUNCTION("""COMPUTED_VALUE"""),"South")</f>
        <v>South</v>
      </c>
      <c r="E225" s="39" t="str">
        <f>IFERROR(__xludf.DUMMYFUNCTION("""COMPUTED_VALUE"""),"Brunswick Combat 14 lb")</f>
        <v>Brunswick Combat 14 lb</v>
      </c>
      <c r="F225" s="39"/>
      <c r="G225" s="52"/>
      <c r="H225" s="49" t="str">
        <f>IFERROR(__xludf.DUMMYFUNCTION("""COMPUTED_VALUE"""),"Y")</f>
        <v>Y</v>
      </c>
      <c r="I225" s="49" t="str">
        <f>IFERROR(__xludf.DUMMYFUNCTION("""COMPUTED_VALUE"""),"Y")</f>
        <v>Y</v>
      </c>
      <c r="J225" s="49"/>
      <c r="K225" s="49"/>
      <c r="L225" s="49"/>
    </row>
    <row r="226">
      <c r="A226" s="49" t="str">
        <f>IFERROR(__xludf.DUMMYFUNCTION("""COMPUTED_VALUE"""),"---")</f>
        <v>---</v>
      </c>
      <c r="B226" s="49" t="str">
        <f>IFERROR(__xludf.DUMMYFUNCTION("""COMPUTED_VALUE"""),"---")</f>
        <v>---</v>
      </c>
      <c r="C226" s="49" t="str">
        <f>IFERROR(__xludf.DUMMYFUNCTION("""COMPUTED_VALUE"""),"Kyle Recicar")</f>
        <v>Kyle Recicar</v>
      </c>
      <c r="D226" s="399"/>
      <c r="E226" s="39" t="str">
        <f>IFERROR(__xludf.DUMMYFUNCTION("""COMPUTED_VALUE"""),"Hammer Premium Slim Triple Tote")</f>
        <v>Hammer Premium Slim Triple Tote</v>
      </c>
      <c r="F226" s="39"/>
      <c r="G226" s="52"/>
      <c r="H226" s="49"/>
      <c r="I226" s="49"/>
      <c r="J226" s="49"/>
      <c r="K226" s="49"/>
      <c r="L226" s="49"/>
    </row>
    <row r="227">
      <c r="A227" s="49" t="str">
        <f>IFERROR(__xludf.DUMMYFUNCTION("""COMPUTED_VALUE"""),"---")</f>
        <v>---</v>
      </c>
      <c r="B227" s="49" t="str">
        <f>IFERROR(__xludf.DUMMYFUNCTION("""COMPUTED_VALUE"""),"---")</f>
        <v>---</v>
      </c>
      <c r="C227" s="49" t="str">
        <f>IFERROR(__xludf.DUMMYFUNCTION("""COMPUTED_VALUE"""),"Tom Burke")</f>
        <v>Tom Burke</v>
      </c>
      <c r="D227" s="399" t="str">
        <f>IFERROR(__xludf.DUMMYFUNCTION("""COMPUTED_VALUE"""),"South")</f>
        <v>South</v>
      </c>
      <c r="E227" s="39" t="str">
        <f>IFERROR(__xludf.DUMMYFUNCTION("""COMPUTED_VALUE"""),"C300 White Dot mint frost 13 lb")</f>
        <v>C300 White Dot mint frost 13 lb</v>
      </c>
      <c r="F227" s="39"/>
      <c r="G227" s="52"/>
      <c r="H227" s="49" t="str">
        <f>IFERROR(__xludf.DUMMYFUNCTION("""COMPUTED_VALUE"""),"Y")</f>
        <v>Y</v>
      </c>
      <c r="I227" s="49" t="str">
        <f>IFERROR(__xludf.DUMMYFUNCTION("""COMPUTED_VALUE"""),"Y")</f>
        <v>Y</v>
      </c>
      <c r="J227" s="49"/>
      <c r="K227" s="49"/>
      <c r="L227" s="49"/>
    </row>
    <row r="228">
      <c r="A228" s="49" t="str">
        <f>IFERROR(__xludf.DUMMYFUNCTION("""COMPUTED_VALUE"""),"---")</f>
        <v>---</v>
      </c>
      <c r="B228" s="49" t="str">
        <f>IFERROR(__xludf.DUMMYFUNCTION("""COMPUTED_VALUE"""),"---")</f>
        <v>---</v>
      </c>
      <c r="C228" s="49" t="str">
        <f>IFERROR(__xludf.DUMMYFUNCTION("""COMPUTED_VALUE"""),"Bill Bracey")</f>
        <v>Bill Bracey</v>
      </c>
      <c r="D228" s="399" t="str">
        <f>IFERROR(__xludf.DUMMYFUNCTION("""COMPUTED_VALUE"""),"Valley")</f>
        <v>Valley</v>
      </c>
      <c r="E228" s="39" t="str">
        <f>IFERROR(__xludf.DUMMYFUNCTION("""COMPUTED_VALUE"""),"C300 Piranha 15 lb")</f>
        <v>C300 Piranha 15 lb</v>
      </c>
      <c r="F228" s="39"/>
      <c r="G228" s="52"/>
      <c r="H228" s="49" t="str">
        <f>IFERROR(__xludf.DUMMYFUNCTION("""COMPUTED_VALUE"""),"Y")</f>
        <v>Y</v>
      </c>
      <c r="I228" s="49" t="str">
        <f>IFERROR(__xludf.DUMMYFUNCTION("""COMPUTED_VALUE"""),"Y")</f>
        <v>Y</v>
      </c>
      <c r="J228" s="49"/>
      <c r="K228" s="49"/>
      <c r="L228" s="49"/>
    </row>
    <row r="229">
      <c r="A229" s="49" t="str">
        <f>IFERROR(__xludf.DUMMYFUNCTION("""COMPUTED_VALUE"""),"---")</f>
        <v>---</v>
      </c>
      <c r="B229" s="49" t="str">
        <f>IFERROR(__xludf.DUMMYFUNCTION("""COMPUTED_VALUE"""),"---")</f>
        <v>---</v>
      </c>
      <c r="C229" s="49" t="str">
        <f>IFERROR(__xludf.DUMMYFUNCTION("""COMPUTED_VALUE"""),"Stock")</f>
        <v>Stock</v>
      </c>
      <c r="D229" s="399" t="str">
        <f>IFERROR(__xludf.DUMMYFUNCTION("""COMPUTED_VALUE"""),"Both")</f>
        <v>Both</v>
      </c>
      <c r="E229" s="39" t="str">
        <f>IFERROR(__xludf.DUMMYFUNCTION("""COMPUTED_VALUE"""),"C300 Piranha 15 lb")</f>
        <v>C300 Piranha 15 lb</v>
      </c>
      <c r="F229" s="39"/>
      <c r="G229" s="52"/>
      <c r="H229" s="49" t="str">
        <f>IFERROR(__xludf.DUMMYFUNCTION("""COMPUTED_VALUE"""),"na")</f>
        <v>na</v>
      </c>
      <c r="I229" s="49" t="str">
        <f>IFERROR(__xludf.DUMMYFUNCTION("""COMPUTED_VALUE"""),"na")</f>
        <v>na</v>
      </c>
      <c r="J229" s="49"/>
      <c r="K229" s="49"/>
      <c r="L229" s="49"/>
    </row>
    <row r="230">
      <c r="A230" s="49" t="str">
        <f>IFERROR(__xludf.DUMMYFUNCTION("""COMPUTED_VALUE"""),"---")</f>
        <v>---</v>
      </c>
      <c r="B230" s="49" t="str">
        <f>IFERROR(__xludf.DUMMYFUNCTION("""COMPUTED_VALUE"""),"---")</f>
        <v>---</v>
      </c>
      <c r="C230" s="49" t="str">
        <f>IFERROR(__xludf.DUMMYFUNCTION("""COMPUTED_VALUE"""),"Stock")</f>
        <v>Stock</v>
      </c>
      <c r="D230" s="399" t="str">
        <f>IFERROR(__xludf.DUMMYFUNCTION("""COMPUTED_VALUE"""),"South")</f>
        <v>South</v>
      </c>
      <c r="E230" s="39" t="str">
        <f>IFERROR(__xludf.DUMMYFUNCTION("""COMPUTED_VALUE"""),"C300 Piranha 14 lb")</f>
        <v>C300 Piranha 14 lb</v>
      </c>
      <c r="F230" s="39"/>
      <c r="G230" s="52"/>
      <c r="H230" s="49" t="str">
        <f>IFERROR(__xludf.DUMMYFUNCTION("""COMPUTED_VALUE"""),"na")</f>
        <v>na</v>
      </c>
      <c r="I230" s="49" t="str">
        <f>IFERROR(__xludf.DUMMYFUNCTION("""COMPUTED_VALUE"""),"na")</f>
        <v>na</v>
      </c>
      <c r="J230" s="49"/>
      <c r="K230" s="49"/>
      <c r="L230" s="49"/>
    </row>
    <row r="231">
      <c r="A231" s="49" t="str">
        <f>IFERROR(__xludf.DUMMYFUNCTION("""COMPUTED_VALUE"""),"---")</f>
        <v>---</v>
      </c>
      <c r="B231" s="49" t="str">
        <f>IFERROR(__xludf.DUMMYFUNCTION("""COMPUTED_VALUE"""),"---")</f>
        <v>---</v>
      </c>
      <c r="C231" s="49" t="str">
        <f>IFERROR(__xludf.DUMMYFUNCTION("""COMPUTED_VALUE"""),"Phil Minelli")</f>
        <v>Phil Minelli</v>
      </c>
      <c r="D231" s="399" t="str">
        <f>IFERROR(__xludf.DUMMYFUNCTION("""COMPUTED_VALUE"""),"South")</f>
        <v>South</v>
      </c>
      <c r="E231" s="39" t="str">
        <f>IFERROR(__xludf.DUMMYFUNCTION("""COMPUTED_VALUE"""),"Hammer Zero Mercy Pearl 15 lb")</f>
        <v>Hammer Zero Mercy Pearl 15 lb</v>
      </c>
      <c r="F231" s="39"/>
      <c r="G231" s="52"/>
      <c r="H231" s="49" t="str">
        <f>IFERROR(__xludf.DUMMYFUNCTION("""COMPUTED_VALUE"""),"Y")</f>
        <v>Y</v>
      </c>
      <c r="I231" s="49" t="str">
        <f>IFERROR(__xludf.DUMMYFUNCTION("""COMPUTED_VALUE"""),"Y")</f>
        <v>Y</v>
      </c>
      <c r="J231" s="49"/>
      <c r="K231" s="49"/>
      <c r="L231" s="49"/>
    </row>
    <row r="232">
      <c r="A232" s="49" t="str">
        <f>IFERROR(__xludf.DUMMYFUNCTION("""COMPUTED_VALUE"""),"---")</f>
        <v>---</v>
      </c>
      <c r="B232" s="49" t="str">
        <f>IFERROR(__xludf.DUMMYFUNCTION("""COMPUTED_VALUE"""),"---")</f>
        <v>---</v>
      </c>
      <c r="C232" s="49" t="str">
        <f>IFERROR(__xludf.DUMMYFUNCTION("""COMPUTED_VALUE"""),"Paul Ward")</f>
        <v>Paul Ward</v>
      </c>
      <c r="D232" s="399" t="str">
        <f>IFERROR(__xludf.DUMMYFUNCTION("""COMPUTED_VALUE"""),"South")</f>
        <v>South</v>
      </c>
      <c r="E232" s="39" t="str">
        <f>IFERROR(__xludf.DUMMYFUNCTION("""COMPUTED_VALUE"""),"Dexter #7 heel")</f>
        <v>Dexter #7 heel</v>
      </c>
      <c r="F232" s="39"/>
      <c r="G232" s="52"/>
      <c r="H232" s="49" t="str">
        <f>IFERROR(__xludf.DUMMYFUNCTION("""COMPUTED_VALUE"""),"Y")</f>
        <v>Y</v>
      </c>
      <c r="I232" s="49" t="str">
        <f>IFERROR(__xludf.DUMMYFUNCTION("""COMPUTED_VALUE"""),"Y")</f>
        <v>Y</v>
      </c>
      <c r="J232" s="49"/>
      <c r="K232" s="49"/>
      <c r="L232" s="49"/>
    </row>
    <row r="233">
      <c r="A233" s="49" t="str">
        <f>IFERROR(__xludf.DUMMYFUNCTION("""COMPUTED_VALUE"""),"---")</f>
        <v>---</v>
      </c>
      <c r="B233" s="49" t="str">
        <f>IFERROR(__xludf.DUMMYFUNCTION("""COMPUTED_VALUE"""),"---")</f>
        <v>---</v>
      </c>
      <c r="C233" s="49" t="str">
        <f>IFERROR(__xludf.DUMMYFUNCTION("""COMPUTED_VALUE"""),"Stock")</f>
        <v>Stock</v>
      </c>
      <c r="D233" s="399" t="str">
        <f>IFERROR(__xludf.DUMMYFUNCTION("""COMPUTED_VALUE"""),"Both")</f>
        <v>Both</v>
      </c>
      <c r="E233" s="39" t="str">
        <f>IFERROR(__xludf.DUMMYFUNCTION("""COMPUTED_VALUE"""),"Hammer Black Widow Dynasty 3.0 15 lb")</f>
        <v>Hammer Black Widow Dynasty 3.0 15 lb</v>
      </c>
      <c r="F233" s="39"/>
      <c r="G233" s="52"/>
      <c r="H233" s="49" t="str">
        <f>IFERROR(__xludf.DUMMYFUNCTION("""COMPUTED_VALUE"""),"na")</f>
        <v>na</v>
      </c>
      <c r="I233" s="49" t="str">
        <f>IFERROR(__xludf.DUMMYFUNCTION("""COMPUTED_VALUE"""),"na")</f>
        <v>na</v>
      </c>
      <c r="J233" s="49"/>
      <c r="K233" s="49"/>
      <c r="L233" s="49"/>
    </row>
    <row r="234">
      <c r="A234" s="49" t="str">
        <f>IFERROR(__xludf.DUMMYFUNCTION("""COMPUTED_VALUE"""),"---")</f>
        <v>---</v>
      </c>
      <c r="B234" s="49" t="str">
        <f>IFERROR(__xludf.DUMMYFUNCTION("""COMPUTED_VALUE"""),"---")</f>
        <v>---</v>
      </c>
      <c r="C234" s="49" t="str">
        <f>IFERROR(__xludf.DUMMYFUNCTION("""COMPUTED_VALUE"""),"Stock")</f>
        <v>Stock</v>
      </c>
      <c r="D234" s="399" t="str">
        <f>IFERROR(__xludf.DUMMYFUNCTION("""COMPUTED_VALUE"""),"Both")</f>
        <v>Both</v>
      </c>
      <c r="E234" s="39" t="str">
        <f>IFERROR(__xludf.DUMMYFUNCTION("""COMPUTED_VALUE"""),"Brunswick shoe shield M &amp; XXL")</f>
        <v>Brunswick shoe shield M &amp; XXL</v>
      </c>
      <c r="F234" s="39"/>
      <c r="G234" s="52"/>
      <c r="H234" s="49" t="str">
        <f>IFERROR(__xludf.DUMMYFUNCTION("""COMPUTED_VALUE"""),"na")</f>
        <v>na</v>
      </c>
      <c r="I234" s="49" t="str">
        <f>IFERROR(__xludf.DUMMYFUNCTION("""COMPUTED_VALUE"""),"na")</f>
        <v>na</v>
      </c>
      <c r="J234" s="49"/>
      <c r="K234" s="49"/>
      <c r="L234" s="49"/>
    </row>
    <row r="235">
      <c r="A235" s="49" t="str">
        <f>IFERROR(__xludf.DUMMYFUNCTION("""COMPUTED_VALUE"""),"---")</f>
        <v>---</v>
      </c>
      <c r="B235" s="49" t="str">
        <f>IFERROR(__xludf.DUMMYFUNCTION("""COMPUTED_VALUE"""),"---")</f>
        <v>---</v>
      </c>
      <c r="C235" s="49" t="str">
        <f>IFERROR(__xludf.DUMMYFUNCTION("""COMPUTED_VALUE"""),"Stock")</f>
        <v>Stock</v>
      </c>
      <c r="D235" s="399" t="str">
        <f>IFERROR(__xludf.DUMMYFUNCTION("""COMPUTED_VALUE"""),"Valley")</f>
        <v>Valley</v>
      </c>
      <c r="E235" s="39" t="str">
        <f>IFERROR(__xludf.DUMMYFUNCTION("""COMPUTED_VALUE"""),"Turbo wrister M")</f>
        <v>Turbo wrister M</v>
      </c>
      <c r="F235" s="39"/>
      <c r="G235" s="52"/>
      <c r="H235" s="49" t="str">
        <f>IFERROR(__xludf.DUMMYFUNCTION("""COMPUTED_VALUE"""),"na")</f>
        <v>na</v>
      </c>
      <c r="I235" s="49" t="str">
        <f>IFERROR(__xludf.DUMMYFUNCTION("""COMPUTED_VALUE"""),"na")</f>
        <v>na</v>
      </c>
      <c r="J235" s="49"/>
      <c r="K235" s="49"/>
      <c r="L235" s="49"/>
    </row>
    <row r="236">
      <c r="A236" s="49" t="str">
        <f>IFERROR(__xludf.DUMMYFUNCTION("""COMPUTED_VALUE"""),"---")</f>
        <v>---</v>
      </c>
      <c r="B236" s="49" t="str">
        <f>IFERROR(__xludf.DUMMYFUNCTION("""COMPUTED_VALUE"""),"---")</f>
        <v>---</v>
      </c>
      <c r="C236" s="49" t="str">
        <f>IFERROR(__xludf.DUMMYFUNCTION("""COMPUTED_VALUE"""),"Justin Allabaugh")</f>
        <v>Justin Allabaugh</v>
      </c>
      <c r="D236" s="399" t="str">
        <f>IFERROR(__xludf.DUMMYFUNCTION("""COMPUTED_VALUE"""),"South")</f>
        <v>South</v>
      </c>
      <c r="E236" s="39" t="str">
        <f>IFERROR(__xludf.DUMMYFUNCTION("""COMPUTED_VALUE"""),"Motiv nebula 15 lbs")</f>
        <v>Motiv nebula 15 lbs</v>
      </c>
      <c r="F236" s="39"/>
      <c r="G236" s="52"/>
      <c r="H236" s="49" t="str">
        <f>IFERROR(__xludf.DUMMYFUNCTION("""COMPUTED_VALUE"""),"na")</f>
        <v>na</v>
      </c>
      <c r="I236" s="49" t="str">
        <f>IFERROR(__xludf.DUMMYFUNCTION("""COMPUTED_VALUE"""),"na")</f>
        <v>na</v>
      </c>
      <c r="J236" s="49"/>
      <c r="K236" s="49"/>
      <c r="L236" s="49"/>
    </row>
    <row r="237">
      <c r="A237" s="49" t="str">
        <f>IFERROR(__xludf.DUMMYFUNCTION("""COMPUTED_VALUE"""),"---")</f>
        <v>---</v>
      </c>
      <c r="B237" s="49" t="str">
        <f>IFERROR(__xludf.DUMMYFUNCTION("""COMPUTED_VALUE"""),"---")</f>
        <v>---</v>
      </c>
      <c r="C237" s="49" t="str">
        <f>IFERROR(__xludf.DUMMYFUNCTION("""COMPUTED_VALUE"""),"Stock")</f>
        <v>Stock</v>
      </c>
      <c r="D237" s="399"/>
      <c r="E237" s="39" t="str">
        <f>IFERROR(__xludf.DUMMYFUNCTION("""COMPUTED_VALUE"""),"1 1/8"" slug yellow/orange")</f>
        <v>1 1/8" slug yellow/orange</v>
      </c>
      <c r="F237" s="39"/>
      <c r="G237" s="52"/>
      <c r="H237" s="49" t="str">
        <f>IFERROR(__xludf.DUMMYFUNCTION("""COMPUTED_VALUE"""),"na")</f>
        <v>na</v>
      </c>
      <c r="I237" s="49" t="str">
        <f>IFERROR(__xludf.DUMMYFUNCTION("""COMPUTED_VALUE"""),"na")</f>
        <v>na</v>
      </c>
      <c r="J237" s="49"/>
      <c r="K237" s="49"/>
      <c r="L237" s="49"/>
    </row>
    <row r="238">
      <c r="A238" s="49" t="str">
        <f>IFERROR(__xludf.DUMMYFUNCTION("""COMPUTED_VALUE"""),"---")</f>
        <v>---</v>
      </c>
      <c r="B238" s="49" t="str">
        <f>IFERROR(__xludf.DUMMYFUNCTION("""COMPUTED_VALUE"""),"---")</f>
        <v>---</v>
      </c>
      <c r="C238" s="49" t="str">
        <f>IFERROR(__xludf.DUMMYFUNCTION("""COMPUTED_VALUE"""),"Stock")</f>
        <v>Stock</v>
      </c>
      <c r="D238" s="399" t="str">
        <f>IFERROR(__xludf.DUMMYFUNCTION("""COMPUTED_VALUE"""),"Valley")</f>
        <v>Valley</v>
      </c>
      <c r="E238" s="39" t="str">
        <f>IFERROR(__xludf.DUMMYFUNCTION("""COMPUTED_VALUE"""),"Brunswick Big B Ball Cleaner 32 oz")</f>
        <v>Brunswick Big B Ball Cleaner 32 oz</v>
      </c>
      <c r="F238" s="39"/>
      <c r="G238" s="52"/>
      <c r="H238" s="49" t="str">
        <f>IFERROR(__xludf.DUMMYFUNCTION("""COMPUTED_VALUE"""),"na")</f>
        <v>na</v>
      </c>
      <c r="I238" s="49" t="str">
        <f>IFERROR(__xludf.DUMMYFUNCTION("""COMPUTED_VALUE"""),"na")</f>
        <v>na</v>
      </c>
      <c r="J238" s="49"/>
      <c r="K238" s="49"/>
      <c r="L238" s="49"/>
    </row>
    <row r="239">
      <c r="A239" s="49" t="str">
        <f>IFERROR(__xludf.DUMMYFUNCTION("""COMPUTED_VALUE"""),"---")</f>
        <v>---</v>
      </c>
      <c r="B239" s="49" t="str">
        <f>IFERROR(__xludf.DUMMYFUNCTION("""COMPUTED_VALUE"""),"---")</f>
        <v>---</v>
      </c>
      <c r="C239" s="49" t="str">
        <f>IFERROR(__xludf.DUMMYFUNCTION("""COMPUTED_VALUE"""),"Stock")</f>
        <v>Stock</v>
      </c>
      <c r="D239" s="399"/>
      <c r="E239" s="39" t="str">
        <f>IFERROR(__xludf.DUMMYFUNCTION("""COMPUTED_VALUE"""),"JoPo Outer sleeves")</f>
        <v>JoPo Outer sleeves</v>
      </c>
      <c r="F239" s="39"/>
      <c r="G239" s="52"/>
      <c r="H239" s="49" t="str">
        <f>IFERROR(__xludf.DUMMYFUNCTION("""COMPUTED_VALUE"""),"na")</f>
        <v>na</v>
      </c>
      <c r="I239" s="49" t="str">
        <f>IFERROR(__xludf.DUMMYFUNCTION("""COMPUTED_VALUE"""),"na")</f>
        <v>na</v>
      </c>
      <c r="J239" s="49"/>
      <c r="K239" s="49"/>
      <c r="L239" s="49"/>
    </row>
    <row r="240">
      <c r="A240" s="49" t="str">
        <f>IFERROR(__xludf.DUMMYFUNCTION("""COMPUTED_VALUE"""),"---")</f>
        <v>---</v>
      </c>
      <c r="B240" s="49" t="str">
        <f>IFERROR(__xludf.DUMMYFUNCTION("""COMPUTED_VALUE"""),"---")</f>
        <v>---</v>
      </c>
      <c r="C240" s="49" t="str">
        <f>IFERROR(__xludf.DUMMYFUNCTION("""COMPUTED_VALUE"""),"Stock")</f>
        <v>Stock</v>
      </c>
      <c r="D240" s="399"/>
      <c r="E240" s="39" t="str">
        <f>IFERROR(__xludf.DUMMYFUNCTION("""COMPUTED_VALUE"""),"TG purple 47")</f>
        <v>TG purple 47</v>
      </c>
      <c r="F240" s="39"/>
      <c r="G240" s="52"/>
      <c r="H240" s="49" t="str">
        <f>IFERROR(__xludf.DUMMYFUNCTION("""COMPUTED_VALUE"""),"na")</f>
        <v>na</v>
      </c>
      <c r="I240" s="49" t="str">
        <f>IFERROR(__xludf.DUMMYFUNCTION("""COMPUTED_VALUE"""),"na")</f>
        <v>na</v>
      </c>
      <c r="J240" s="49"/>
      <c r="K240" s="49"/>
      <c r="L240" s="49"/>
    </row>
    <row r="241">
      <c r="A241" s="49" t="str">
        <f>IFERROR(__xludf.DUMMYFUNCTION("""COMPUTED_VALUE"""),"---")</f>
        <v>---</v>
      </c>
      <c r="B241" s="49" t="str">
        <f>IFERROR(__xludf.DUMMYFUNCTION("""COMPUTED_VALUE"""),"---")</f>
        <v>---</v>
      </c>
      <c r="C241" s="49" t="str">
        <f>IFERROR(__xludf.DUMMYFUNCTION("""COMPUTED_VALUE"""),"Stock")</f>
        <v>Stock</v>
      </c>
      <c r="D241" s="399"/>
      <c r="E241" s="39" t="str">
        <f>IFERROR(__xludf.DUMMYFUNCTION("""COMPUTED_VALUE"""),"TG black 23")</f>
        <v>TG black 23</v>
      </c>
      <c r="F241" s="39"/>
      <c r="G241" s="52"/>
      <c r="H241" s="49" t="str">
        <f>IFERROR(__xludf.DUMMYFUNCTION("""COMPUTED_VALUE"""),"na")</f>
        <v>na</v>
      </c>
      <c r="I241" s="49" t="str">
        <f>IFERROR(__xludf.DUMMYFUNCTION("""COMPUTED_VALUE"""),"na")</f>
        <v>na</v>
      </c>
      <c r="J241" s="49"/>
      <c r="K241" s="49"/>
      <c r="L241" s="49"/>
    </row>
    <row r="242">
      <c r="A242" s="49" t="str">
        <f>IFERROR(__xludf.DUMMYFUNCTION("""COMPUTED_VALUE"""),"---")</f>
        <v>---</v>
      </c>
      <c r="B242" s="49" t="str">
        <f>IFERROR(__xludf.DUMMYFUNCTION("""COMPUTED_VALUE"""),"---")</f>
        <v>---</v>
      </c>
      <c r="C242" s="49" t="str">
        <f>IFERROR(__xludf.DUMMYFUNCTION("""COMPUTED_VALUE"""),"Stock")</f>
        <v>Stock</v>
      </c>
      <c r="D242" s="399"/>
      <c r="E242" s="39" t="str">
        <f>IFERROR(__xludf.DUMMYFUNCTION("""COMPUTED_VALUE"""),"TG yellow 5")</f>
        <v>TG yellow 5</v>
      </c>
      <c r="F242" s="39"/>
      <c r="G242" s="52"/>
      <c r="H242" s="49" t="str">
        <f>IFERROR(__xludf.DUMMYFUNCTION("""COMPUTED_VALUE"""),"na")</f>
        <v>na</v>
      </c>
      <c r="I242" s="49" t="str">
        <f>IFERROR(__xludf.DUMMYFUNCTION("""COMPUTED_VALUE"""),"na")</f>
        <v>na</v>
      </c>
      <c r="J242" s="49"/>
      <c r="K242" s="49"/>
      <c r="L242" s="49"/>
    </row>
    <row r="243">
      <c r="A243" s="49" t="str">
        <f>IFERROR(__xludf.DUMMYFUNCTION("""COMPUTED_VALUE"""),"---")</f>
        <v>---</v>
      </c>
      <c r="B243" s="49" t="str">
        <f>IFERROR(__xludf.DUMMYFUNCTION("""COMPUTED_VALUE"""),"---")</f>
        <v>---</v>
      </c>
      <c r="C243" s="49" t="str">
        <f>IFERROR(__xludf.DUMMYFUNCTION("""COMPUTED_VALUE"""),"Stock")</f>
        <v>Stock</v>
      </c>
      <c r="D243" s="399"/>
      <c r="E243" s="39" t="str">
        <f>IFERROR(__xludf.DUMMYFUNCTION("""COMPUTED_VALUE"""),"TG red 43")</f>
        <v>TG red 43</v>
      </c>
      <c r="F243" s="39"/>
      <c r="G243" s="52"/>
      <c r="H243" s="49" t="str">
        <f>IFERROR(__xludf.DUMMYFUNCTION("""COMPUTED_VALUE"""),"na")</f>
        <v>na</v>
      </c>
      <c r="I243" s="49" t="str">
        <f>IFERROR(__xludf.DUMMYFUNCTION("""COMPUTED_VALUE"""),"na")</f>
        <v>na</v>
      </c>
      <c r="J243" s="49"/>
      <c r="K243" s="49"/>
      <c r="L243" s="49"/>
    </row>
    <row r="244">
      <c r="A244" s="49" t="str">
        <f>IFERROR(__xludf.DUMMYFUNCTION("""COMPUTED_VALUE"""),"---")</f>
        <v>---</v>
      </c>
      <c r="B244" s="49" t="str">
        <f>IFERROR(__xludf.DUMMYFUNCTION("""COMPUTED_VALUE"""),"---")</f>
        <v>---</v>
      </c>
      <c r="C244" s="49" t="str">
        <f>IFERROR(__xludf.DUMMYFUNCTION("""COMPUTED_VALUE"""),"Stock")</f>
        <v>Stock</v>
      </c>
      <c r="D244" s="399" t="str">
        <f>IFERROR(__xludf.DUMMYFUNCTION("""COMPUTED_VALUE"""),"South")</f>
        <v>South</v>
      </c>
      <c r="E244" s="39" t="str">
        <f>IFERROR(__xludf.DUMMYFUNCTION("""COMPUTED_VALUE"""),"Wristmaster II RH L")</f>
        <v>Wristmaster II RH L</v>
      </c>
      <c r="F244" s="39"/>
      <c r="G244" s="52"/>
      <c r="H244" s="49" t="str">
        <f>IFERROR(__xludf.DUMMYFUNCTION("""COMPUTED_VALUE"""),"na")</f>
        <v>na</v>
      </c>
      <c r="I244" s="49" t="str">
        <f>IFERROR(__xludf.DUMMYFUNCTION("""COMPUTED_VALUE"""),"na")</f>
        <v>na</v>
      </c>
      <c r="J244" s="49"/>
      <c r="K244" s="49"/>
      <c r="L244" s="49"/>
    </row>
    <row r="245">
      <c r="A245" s="49" t="str">
        <f>IFERROR(__xludf.DUMMYFUNCTION("""COMPUTED_VALUE"""),"---")</f>
        <v>---</v>
      </c>
      <c r="B245" s="49" t="str">
        <f>IFERROR(__xludf.DUMMYFUNCTION("""COMPUTED_VALUE"""),"---")</f>
        <v>---</v>
      </c>
      <c r="C245" s="49" t="str">
        <f>IFERROR(__xludf.DUMMYFUNCTION("""COMPUTED_VALUE"""),"Stock")</f>
        <v>Stock</v>
      </c>
      <c r="D245" s="399" t="str">
        <f>IFERROR(__xludf.DUMMYFUNCTION("""COMPUTED_VALUE"""),"South")</f>
        <v>South</v>
      </c>
      <c r="E245" s="39" t="str">
        <f>IFERROR(__xludf.DUMMYFUNCTION("""COMPUTED_VALUE"""),"Wristmaster II RH XL")</f>
        <v>Wristmaster II RH XL</v>
      </c>
      <c r="F245" s="39"/>
      <c r="G245" s="52"/>
      <c r="H245" s="49" t="str">
        <f>IFERROR(__xludf.DUMMYFUNCTION("""COMPUTED_VALUE"""),"na")</f>
        <v>na</v>
      </c>
      <c r="I245" s="49" t="str">
        <f>IFERROR(__xludf.DUMMYFUNCTION("""COMPUTED_VALUE"""),"na")</f>
        <v>na</v>
      </c>
      <c r="J245" s="49"/>
      <c r="K245" s="49"/>
      <c r="L245" s="49"/>
    </row>
    <row r="246">
      <c r="A246" s="49" t="str">
        <f>IFERROR(__xludf.DUMMYFUNCTION("""COMPUTED_VALUE"""),"---")</f>
        <v>---</v>
      </c>
      <c r="B246" s="49" t="str">
        <f>IFERROR(__xludf.DUMMYFUNCTION("""COMPUTED_VALUE"""),"---")</f>
        <v>---</v>
      </c>
      <c r="C246" s="49" t="str">
        <f>IFERROR(__xludf.DUMMYFUNCTION("""COMPUTED_VALUE"""),"Stock")</f>
        <v>Stock</v>
      </c>
      <c r="D246" s="399" t="str">
        <f>IFERROR(__xludf.DUMMYFUNCTION("""COMPUTED_VALUE"""),"Valley")</f>
        <v>Valley</v>
      </c>
      <c r="E246" s="39" t="str">
        <f>IFERROR(__xludf.DUMMYFUNCTION("""COMPUTED_VALUE"""),"Wristmaster II RH S")</f>
        <v>Wristmaster II RH S</v>
      </c>
      <c r="F246" s="39"/>
      <c r="G246" s="52"/>
      <c r="H246" s="49" t="str">
        <f>IFERROR(__xludf.DUMMYFUNCTION("""COMPUTED_VALUE"""),"na")</f>
        <v>na</v>
      </c>
      <c r="I246" s="49" t="str">
        <f>IFERROR(__xludf.DUMMYFUNCTION("""COMPUTED_VALUE"""),"na")</f>
        <v>na</v>
      </c>
      <c r="J246" s="49"/>
      <c r="K246" s="49"/>
      <c r="L246" s="49"/>
    </row>
    <row r="247">
      <c r="A247" s="49" t="str">
        <f>IFERROR(__xludf.DUMMYFUNCTION("""COMPUTED_VALUE"""),"---")</f>
        <v>---</v>
      </c>
      <c r="B247" s="49" t="str">
        <f>IFERROR(__xludf.DUMMYFUNCTION("""COMPUTED_VALUE"""),"---")</f>
        <v>---</v>
      </c>
      <c r="C247" s="49" t="str">
        <f>IFERROR(__xludf.DUMMYFUNCTION("""COMPUTED_VALUE"""),"Stock")</f>
        <v>Stock</v>
      </c>
      <c r="D247" s="399"/>
      <c r="E247" s="39" t="str">
        <f>IFERROR(__xludf.DUMMYFUNCTION("""COMPUTED_VALUE"""),"Brunswick Big B Ball Cleaner")</f>
        <v>Brunswick Big B Ball Cleaner</v>
      </c>
      <c r="F247" s="39"/>
      <c r="G247" s="52"/>
      <c r="H247" s="49" t="str">
        <f>IFERROR(__xludf.DUMMYFUNCTION("""COMPUTED_VALUE"""),"na")</f>
        <v>na</v>
      </c>
      <c r="I247" s="49" t="str">
        <f>IFERROR(__xludf.DUMMYFUNCTION("""COMPUTED_VALUE"""),"na")</f>
        <v>na</v>
      </c>
      <c r="J247" s="49"/>
      <c r="K247" s="49"/>
      <c r="L247" s="49"/>
    </row>
    <row r="248">
      <c r="A248" s="49" t="str">
        <f>IFERROR(__xludf.DUMMYFUNCTION("""COMPUTED_VALUE"""),"---")</f>
        <v>---</v>
      </c>
      <c r="B248" s="49" t="str">
        <f>IFERROR(__xludf.DUMMYFUNCTION("""COMPUTED_VALUE"""),"---")</f>
        <v>---</v>
      </c>
      <c r="C248" s="49" t="str">
        <f>IFERROR(__xludf.DUMMYFUNCTION("""COMPUTED_VALUE"""),"Stock")</f>
        <v>Stock</v>
      </c>
      <c r="D248" s="399"/>
      <c r="E248" s="39" t="str">
        <f>IFERROR(__xludf.DUMMYFUNCTION("""COMPUTED_VALUE"""),"Brunswick Big B Ball Cleaner")</f>
        <v>Brunswick Big B Ball Cleaner</v>
      </c>
      <c r="F248" s="39"/>
      <c r="G248" s="52"/>
      <c r="H248" s="49" t="str">
        <f>IFERROR(__xludf.DUMMYFUNCTION("""COMPUTED_VALUE"""),"na")</f>
        <v>na</v>
      </c>
      <c r="I248" s="49" t="str">
        <f>IFERROR(__xludf.DUMMYFUNCTION("""COMPUTED_VALUE"""),"na")</f>
        <v>na</v>
      </c>
      <c r="J248" s="49"/>
      <c r="K248" s="49"/>
      <c r="L248" s="49"/>
    </row>
    <row r="249">
      <c r="A249" s="49" t="str">
        <f>IFERROR(__xludf.DUMMYFUNCTION("""COMPUTED_VALUE"""),"---")</f>
        <v>---</v>
      </c>
      <c r="B249" s="49" t="str">
        <f>IFERROR(__xludf.DUMMYFUNCTION("""COMPUTED_VALUE"""),"---")</f>
        <v>---</v>
      </c>
      <c r="C249" s="49" t="str">
        <f>IFERROR(__xludf.DUMMYFUNCTION("""COMPUTED_VALUE"""),"Jadyn Rostri")</f>
        <v>Jadyn Rostri</v>
      </c>
      <c r="D249" s="399" t="str">
        <f>IFERROR(__xludf.DUMMYFUNCTION("""COMPUTED_VALUE"""),"Valley")</f>
        <v>Valley</v>
      </c>
      <c r="E249" s="39" t="str">
        <f>IFERROR(__xludf.DUMMYFUNCTION("""COMPUTED_VALUE"""),"Brunswick Coast - Size 11 - Female - Black")</f>
        <v>Brunswick Coast - Size 11 - Female - Black</v>
      </c>
      <c r="F249" s="39"/>
      <c r="G249" s="52"/>
      <c r="H249" s="49" t="str">
        <f>IFERROR(__xludf.DUMMYFUNCTION("""COMPUTED_VALUE"""),"Y")</f>
        <v>Y</v>
      </c>
      <c r="I249" s="49" t="str">
        <f>IFERROR(__xludf.DUMMYFUNCTION("""COMPUTED_VALUE"""),"Y")</f>
        <v>Y</v>
      </c>
      <c r="J249" s="49"/>
      <c r="K249" s="49"/>
      <c r="L249" s="49"/>
    </row>
    <row r="250">
      <c r="A250" s="49" t="str">
        <f>IFERROR(__xludf.DUMMYFUNCTION("""COMPUTED_VALUE"""),"---")</f>
        <v>---</v>
      </c>
      <c r="B250" s="49" t="str">
        <f>IFERROR(__xludf.DUMMYFUNCTION("""COMPUTED_VALUE"""),"---")</f>
        <v>---</v>
      </c>
      <c r="C250" s="49" t="str">
        <f>IFERROR(__xludf.DUMMYFUNCTION("""COMPUTED_VALUE"""),"Mike Wasylyniak")</f>
        <v>Mike Wasylyniak</v>
      </c>
      <c r="D250" s="399" t="str">
        <f>IFERROR(__xludf.DUMMYFUNCTION("""COMPUTED_VALUE"""),"South")</f>
        <v>South</v>
      </c>
      <c r="E250" s="39" t="str">
        <f>IFERROR(__xludf.DUMMYFUNCTION("""COMPUTED_VALUE"""),"Brunswick Hero size 12")</f>
        <v>Brunswick Hero size 12</v>
      </c>
      <c r="F250" s="39"/>
      <c r="G250" s="52"/>
      <c r="H250" s="49" t="str">
        <f>IFERROR(__xludf.DUMMYFUNCTION("""COMPUTED_VALUE"""),"na")</f>
        <v>na</v>
      </c>
      <c r="I250" s="49" t="str">
        <f>IFERROR(__xludf.DUMMYFUNCTION("""COMPUTED_VALUE"""),"na")</f>
        <v>na</v>
      </c>
      <c r="J250" s="49"/>
      <c r="K250" s="49"/>
      <c r="L250" s="49"/>
    </row>
    <row r="251">
      <c r="A251" s="49" t="str">
        <f>IFERROR(__xludf.DUMMYFUNCTION("""COMPUTED_VALUE"""),"---")</f>
        <v>---</v>
      </c>
      <c r="B251" s="49" t="str">
        <f>IFERROR(__xludf.DUMMYFUNCTION("""COMPUTED_VALUE"""),"---")</f>
        <v>---</v>
      </c>
      <c r="C251" s="49" t="str">
        <f>IFERROR(__xludf.DUMMYFUNCTION("""COMPUTED_VALUE"""),"Andrew Vaughan")</f>
        <v>Andrew Vaughan</v>
      </c>
      <c r="D251" s="399" t="str">
        <f>IFERROR(__xludf.DUMMYFUNCTION("""COMPUTED_VALUE"""),"Valley")</f>
        <v>Valley</v>
      </c>
      <c r="E251" s="39" t="str">
        <f>IFERROR(__xludf.DUMMYFUNCTION("""COMPUTED_VALUE"""),"Danger zone solid - 14lbs")</f>
        <v>Danger zone solid - 14lbs</v>
      </c>
      <c r="F251" s="39"/>
      <c r="G251" s="52"/>
      <c r="H251" s="49" t="str">
        <f>IFERROR(__xludf.DUMMYFUNCTION("""COMPUTED_VALUE"""),"Y")</f>
        <v>Y</v>
      </c>
      <c r="I251" s="49" t="str">
        <f>IFERROR(__xludf.DUMMYFUNCTION("""COMPUTED_VALUE"""),"Y")</f>
        <v>Y</v>
      </c>
      <c r="J251" s="49"/>
      <c r="K251" s="49"/>
      <c r="L251" s="49"/>
    </row>
    <row r="252">
      <c r="A252" s="49" t="str">
        <f>IFERROR(__xludf.DUMMYFUNCTION("""COMPUTED_VALUE"""),"---")</f>
        <v>---</v>
      </c>
      <c r="B252" s="49" t="str">
        <f>IFERROR(__xludf.DUMMYFUNCTION("""COMPUTED_VALUE"""),"---")</f>
        <v>---</v>
      </c>
      <c r="C252" s="49" t="str">
        <f>IFERROR(__xludf.DUMMYFUNCTION("""COMPUTED_VALUE"""),"Stock")</f>
        <v>Stock</v>
      </c>
      <c r="D252" s="399" t="str">
        <f>IFERROR(__xludf.DUMMYFUNCTION("""COMPUTED_VALUE"""),"Valley")</f>
        <v>Valley</v>
      </c>
      <c r="E252" s="39" t="str">
        <f>IFERROR(__xludf.DUMMYFUNCTION("""COMPUTED_VALUE"""),"Turbo wrister L")</f>
        <v>Turbo wrister L</v>
      </c>
      <c r="F252" s="39"/>
      <c r="G252" s="52"/>
      <c r="H252" s="49" t="str">
        <f>IFERROR(__xludf.DUMMYFUNCTION("""COMPUTED_VALUE"""),"na")</f>
        <v>na</v>
      </c>
      <c r="I252" s="49" t="str">
        <f>IFERROR(__xludf.DUMMYFUNCTION("""COMPUTED_VALUE"""),"na")</f>
        <v>na</v>
      </c>
      <c r="J252" s="49"/>
      <c r="K252" s="49"/>
      <c r="L252" s="49"/>
    </row>
    <row r="253">
      <c r="A253" s="49" t="str">
        <f>IFERROR(__xludf.DUMMYFUNCTION("""COMPUTED_VALUE"""),"---")</f>
        <v>---</v>
      </c>
      <c r="B253" s="49" t="str">
        <f>IFERROR(__xludf.DUMMYFUNCTION("""COMPUTED_VALUE"""),"---")</f>
        <v>---</v>
      </c>
      <c r="C253" s="49" t="str">
        <f>IFERROR(__xludf.DUMMYFUNCTION("""COMPUTED_VALUE"""),"Stock")</f>
        <v>Stock</v>
      </c>
      <c r="D253" s="399" t="str">
        <f>IFERROR(__xludf.DUMMYFUNCTION("""COMPUTED_VALUE"""),"South")</f>
        <v>South</v>
      </c>
      <c r="E253" s="39" t="str">
        <f>IFERROR(__xludf.DUMMYFUNCTION("""COMPUTED_VALUE"""),"Master Giant puff ball")</f>
        <v>Master Giant puff ball</v>
      </c>
      <c r="F253" s="39"/>
      <c r="G253" s="52"/>
      <c r="H253" s="49" t="str">
        <f>IFERROR(__xludf.DUMMYFUNCTION("""COMPUTED_VALUE"""),"na")</f>
        <v>na</v>
      </c>
      <c r="I253" s="49" t="str">
        <f>IFERROR(__xludf.DUMMYFUNCTION("""COMPUTED_VALUE"""),"na")</f>
        <v>na</v>
      </c>
      <c r="J253" s="49"/>
      <c r="K253" s="49"/>
      <c r="L253" s="49"/>
    </row>
    <row r="254">
      <c r="A254" s="49" t="str">
        <f>IFERROR(__xludf.DUMMYFUNCTION("""COMPUTED_VALUE"""),"---")</f>
        <v>---</v>
      </c>
      <c r="B254" s="49" t="str">
        <f>IFERROR(__xludf.DUMMYFUNCTION("""COMPUTED_VALUE"""),"---")</f>
        <v>---</v>
      </c>
      <c r="C254" s="49" t="str">
        <f>IFERROR(__xludf.DUMMYFUNCTION("""COMPUTED_VALUE"""),"Stock")</f>
        <v>Stock</v>
      </c>
      <c r="D254" s="399" t="str">
        <f>IFERROR(__xludf.DUMMYFUNCTION("""COMPUTED_VALUE"""),"South")</f>
        <v>South</v>
      </c>
      <c r="E254" s="39" t="str">
        <f>IFERROR(__xludf.DUMMYFUNCTION("""COMPUTED_VALUE"""),"Dexter #8 sole standard")</f>
        <v>Dexter #8 sole standard</v>
      </c>
      <c r="F254" s="39"/>
      <c r="G254" s="52"/>
      <c r="H254" s="49" t="str">
        <f>IFERROR(__xludf.DUMMYFUNCTION("""COMPUTED_VALUE"""),"na")</f>
        <v>na</v>
      </c>
      <c r="I254" s="49" t="str">
        <f>IFERROR(__xludf.DUMMYFUNCTION("""COMPUTED_VALUE"""),"na")</f>
        <v>na</v>
      </c>
      <c r="J254" s="49"/>
      <c r="K254" s="49"/>
      <c r="L254" s="49"/>
    </row>
    <row r="255">
      <c r="A255" s="49" t="str">
        <f>IFERROR(__xludf.DUMMYFUNCTION("""COMPUTED_VALUE"""),"---")</f>
        <v>---</v>
      </c>
      <c r="B255" s="49" t="str">
        <f>IFERROR(__xludf.DUMMYFUNCTION("""COMPUTED_VALUE"""),"---")</f>
        <v>---</v>
      </c>
      <c r="C255" s="49" t="str">
        <f>IFERROR(__xludf.DUMMYFUNCTION("""COMPUTED_VALUE"""),"Stock")</f>
        <v>Stock</v>
      </c>
      <c r="D255" s="399" t="str">
        <f>IFERROR(__xludf.DUMMYFUNCTION("""COMPUTED_VALUE"""),"South")</f>
        <v>South</v>
      </c>
      <c r="E255" s="39" t="str">
        <f>IFERROR(__xludf.DUMMYFUNCTION("""COMPUTED_VALUE"""),"Storm Phaze II Pearl 15 lb")</f>
        <v>Storm Phaze II Pearl 15 lb</v>
      </c>
      <c r="F255" s="39"/>
      <c r="G255" s="52"/>
      <c r="H255" s="49" t="str">
        <f>IFERROR(__xludf.DUMMYFUNCTION("""COMPUTED_VALUE"""),"na")</f>
        <v>na</v>
      </c>
      <c r="I255" s="49" t="str">
        <f>IFERROR(__xludf.DUMMYFUNCTION("""COMPUTED_VALUE"""),"na")</f>
        <v>na</v>
      </c>
      <c r="J255" s="49"/>
      <c r="K255" s="49"/>
      <c r="L255" s="49"/>
    </row>
    <row r="256">
      <c r="A256" s="49" t="str">
        <f>IFERROR(__xludf.DUMMYFUNCTION("""COMPUTED_VALUE"""),"---")</f>
        <v>---</v>
      </c>
      <c r="B256" s="49" t="str">
        <f>IFERROR(__xludf.DUMMYFUNCTION("""COMPUTED_VALUE"""),"---")</f>
        <v>---</v>
      </c>
      <c r="C256" s="49" t="str">
        <f>IFERROR(__xludf.DUMMYFUNCTION("""COMPUTED_VALUE"""),"Christopher Fallon")</f>
        <v>Christopher Fallon</v>
      </c>
      <c r="D256" s="399" t="str">
        <f>IFERROR(__xludf.DUMMYFUNCTION("""COMPUTED_VALUE"""),"Valley")</f>
        <v>Valley</v>
      </c>
      <c r="E256" s="39" t="str">
        <f>IFERROR(__xludf.DUMMYFUNCTION("""COMPUTED_VALUE"""),"Brunswick Hero size 10.5")</f>
        <v>Brunswick Hero size 10.5</v>
      </c>
      <c r="F256" s="39"/>
      <c r="G256" s="52"/>
      <c r="H256" s="49" t="str">
        <f>IFERROR(__xludf.DUMMYFUNCTION("""COMPUTED_VALUE"""),"Y")</f>
        <v>Y</v>
      </c>
      <c r="I256" s="49" t="str">
        <f>IFERROR(__xludf.DUMMYFUNCTION("""COMPUTED_VALUE"""),"Y")</f>
        <v>Y</v>
      </c>
      <c r="J256" s="49"/>
      <c r="K256" s="49"/>
      <c r="L256" s="49"/>
    </row>
    <row r="257">
      <c r="A257" s="49" t="str">
        <f>IFERROR(__xludf.DUMMYFUNCTION("""COMPUTED_VALUE"""),"---")</f>
        <v>---</v>
      </c>
      <c r="B257" s="49" t="str">
        <f>IFERROR(__xludf.DUMMYFUNCTION("""COMPUTED_VALUE"""),"---")</f>
        <v>---</v>
      </c>
      <c r="C257" s="49" t="str">
        <f>IFERROR(__xludf.DUMMYFUNCTION("""COMPUTED_VALUE"""),"Becky Decker")</f>
        <v>Becky Decker</v>
      </c>
      <c r="D257" s="399" t="str">
        <f>IFERROR(__xludf.DUMMYFUNCTION("""COMPUTED_VALUE"""),"Valley")</f>
        <v>Valley</v>
      </c>
      <c r="E257" s="39" t="str">
        <f>IFERROR(__xludf.DUMMYFUNCTION("""COMPUTED_VALUE"""),"Entity Pearl - 14lbs")</f>
        <v>Entity Pearl - 14lbs</v>
      </c>
      <c r="F257" s="39"/>
      <c r="G257" s="52"/>
      <c r="H257" s="49" t="str">
        <f>IFERROR(__xludf.DUMMYFUNCTION("""COMPUTED_VALUE"""),"Y")</f>
        <v>Y</v>
      </c>
      <c r="I257" s="49" t="str">
        <f>IFERROR(__xludf.DUMMYFUNCTION("""COMPUTED_VALUE"""),"Y")</f>
        <v>Y</v>
      </c>
      <c r="J257" s="49"/>
      <c r="K257" s="49"/>
      <c r="L257" s="49"/>
    </row>
    <row r="258">
      <c r="A258" s="49" t="str">
        <f>IFERROR(__xludf.DUMMYFUNCTION("""COMPUTED_VALUE"""),"---")</f>
        <v>---</v>
      </c>
      <c r="B258" s="49" t="str">
        <f>IFERROR(__xludf.DUMMYFUNCTION("""COMPUTED_VALUE"""),"---")</f>
        <v>---</v>
      </c>
      <c r="C258" s="49" t="str">
        <f>IFERROR(__xludf.DUMMYFUNCTION("""COMPUTED_VALUE"""),"Kyle Dittus")</f>
        <v>Kyle Dittus</v>
      </c>
      <c r="D258" s="399" t="str">
        <f>IFERROR(__xludf.DUMMYFUNCTION("""COMPUTED_VALUE"""),"South")</f>
        <v>South</v>
      </c>
      <c r="E258" s="39" t="str">
        <f>IFERROR(__xludf.DUMMYFUNCTION("""COMPUTED_VALUE"""),"Storm Phaze II Pearl 14 lb")</f>
        <v>Storm Phaze II Pearl 14 lb</v>
      </c>
      <c r="F258" s="39"/>
      <c r="G258" s="52"/>
      <c r="H258" s="49" t="str">
        <f>IFERROR(__xludf.DUMMYFUNCTION("""COMPUTED_VALUE"""),"Y")</f>
        <v>Y</v>
      </c>
      <c r="I258" s="49" t="str">
        <f>IFERROR(__xludf.DUMMYFUNCTION("""COMPUTED_VALUE"""),"Y")</f>
        <v>Y</v>
      </c>
      <c r="J258" s="49"/>
      <c r="K258" s="49"/>
      <c r="L258" s="49"/>
    </row>
    <row r="259">
      <c r="A259" s="49" t="str">
        <f>IFERROR(__xludf.DUMMYFUNCTION("""COMPUTED_VALUE"""),"---")</f>
        <v>---</v>
      </c>
      <c r="B259" s="49" t="str">
        <f>IFERROR(__xludf.DUMMYFUNCTION("""COMPUTED_VALUE"""),"---")</f>
        <v>---</v>
      </c>
      <c r="C259" s="49" t="str">
        <f>IFERROR(__xludf.DUMMYFUNCTION("""COMPUTED_VALUE"""),"Richard Sakosky")</f>
        <v>Richard Sakosky</v>
      </c>
      <c r="D259" s="399" t="str">
        <f>IFERROR(__xludf.DUMMYFUNCTION("""COMPUTED_VALUE"""),"South")</f>
        <v>South</v>
      </c>
      <c r="E259" s="39" t="str">
        <f>IFERROR(__xludf.DUMMYFUNCTION("""COMPUTED_VALUE"""),"Hammer Black Widow Viz-a-ball 14 lb")</f>
        <v>Hammer Black Widow Viz-a-ball 14 lb</v>
      </c>
      <c r="F259" s="39"/>
      <c r="G259" s="52"/>
      <c r="H259" s="49" t="str">
        <f>IFERROR(__xludf.DUMMYFUNCTION("""COMPUTED_VALUE"""),"Y")</f>
        <v>Y</v>
      </c>
      <c r="I259" s="49" t="str">
        <f>IFERROR(__xludf.DUMMYFUNCTION("""COMPUTED_VALUE"""),"Y")</f>
        <v>Y</v>
      </c>
      <c r="J259" s="49"/>
      <c r="K259" s="49"/>
      <c r="L259" s="49"/>
    </row>
    <row r="260">
      <c r="A260" s="49" t="str">
        <f>IFERROR(__xludf.DUMMYFUNCTION("""COMPUTED_VALUE"""),"---")</f>
        <v>---</v>
      </c>
      <c r="B260" s="49" t="str">
        <f>IFERROR(__xludf.DUMMYFUNCTION("""COMPUTED_VALUE"""),"---")</f>
        <v>---</v>
      </c>
      <c r="C260" s="49" t="str">
        <f>IFERROR(__xludf.DUMMYFUNCTION("""COMPUTED_VALUE"""),"Charles David")</f>
        <v>Charles David</v>
      </c>
      <c r="D260" s="399" t="str">
        <f>IFERROR(__xludf.DUMMYFUNCTION("""COMPUTED_VALUE"""),"Valley")</f>
        <v>Valley</v>
      </c>
      <c r="E260" s="39" t="str">
        <f>IFERROR(__xludf.DUMMYFUNCTION("""COMPUTED_VALUE"""),"Hammer NU 2.0 14 lb")</f>
        <v>Hammer NU 2.0 14 lb</v>
      </c>
      <c r="F260" s="39"/>
      <c r="G260" s="52"/>
      <c r="H260" s="49" t="str">
        <f>IFERROR(__xludf.DUMMYFUNCTION("""COMPUTED_VALUE"""),"Y")</f>
        <v>Y</v>
      </c>
      <c r="I260" s="49" t="str">
        <f>IFERROR(__xludf.DUMMYFUNCTION("""COMPUTED_VALUE"""),"Y")</f>
        <v>Y</v>
      </c>
      <c r="J260" s="49"/>
      <c r="K260" s="49"/>
      <c r="L260" s="49"/>
    </row>
    <row r="261">
      <c r="A261" s="49" t="str">
        <f>IFERROR(__xludf.DUMMYFUNCTION("""COMPUTED_VALUE"""),"---")</f>
        <v>---</v>
      </c>
      <c r="B261" s="49" t="str">
        <f>IFERROR(__xludf.DUMMYFUNCTION("""COMPUTED_VALUE"""),"---")</f>
        <v>---</v>
      </c>
      <c r="C261" s="49" t="str">
        <f>IFERROR(__xludf.DUMMYFUNCTION("""COMPUTED_VALUE"""),"Gino Arcurie")</f>
        <v>Gino Arcurie</v>
      </c>
      <c r="D261" s="399" t="str">
        <f>IFERROR(__xludf.DUMMYFUNCTION("""COMPUTED_VALUE"""),"South")</f>
        <v>South</v>
      </c>
      <c r="E261" s="39" t="str">
        <f>IFERROR(__xludf.DUMMYFUNCTION("""COMPUTED_VALUE"""),"Hammer NU 2.0 14 lb")</f>
        <v>Hammer NU 2.0 14 lb</v>
      </c>
      <c r="F261" s="39"/>
      <c r="G261" s="52"/>
      <c r="H261" s="49" t="str">
        <f>IFERROR(__xludf.DUMMYFUNCTION("""COMPUTED_VALUE"""),"Y")</f>
        <v>Y</v>
      </c>
      <c r="I261" s="49" t="str">
        <f>IFERROR(__xludf.DUMMYFUNCTION("""COMPUTED_VALUE"""),"Y")</f>
        <v>Y</v>
      </c>
      <c r="J261" s="49"/>
      <c r="K261" s="49"/>
      <c r="L261" s="49"/>
    </row>
    <row r="262">
      <c r="A262" s="49" t="str">
        <f>IFERROR(__xludf.DUMMYFUNCTION("""COMPUTED_VALUE"""),"---")</f>
        <v>---</v>
      </c>
      <c r="B262" s="49" t="str">
        <f>IFERROR(__xludf.DUMMYFUNCTION("""COMPUTED_VALUE"""),"---")</f>
        <v>---</v>
      </c>
      <c r="C262" s="49" t="str">
        <f>IFERROR(__xludf.DUMMYFUNCTION("""COMPUTED_VALUE"""),"Greg Matyjevich")</f>
        <v>Greg Matyjevich</v>
      </c>
      <c r="D262" s="399" t="str">
        <f>IFERROR(__xludf.DUMMYFUNCTION("""COMPUTED_VALUE"""),"South")</f>
        <v>South</v>
      </c>
      <c r="E262" s="39" t="str">
        <f>IFERROR(__xludf.DUMMYFUNCTION("""COMPUTED_VALUE"""),"Hammer Hammerhead Pearl 14 lb")</f>
        <v>Hammer Hammerhead Pearl 14 lb</v>
      </c>
      <c r="F262" s="39"/>
      <c r="G262" s="52"/>
      <c r="H262" s="49" t="str">
        <f>IFERROR(__xludf.DUMMYFUNCTION("""COMPUTED_VALUE"""),"Y")</f>
        <v>Y</v>
      </c>
      <c r="I262" s="49" t="str">
        <f>IFERROR(__xludf.DUMMYFUNCTION("""COMPUTED_VALUE"""),"Y")</f>
        <v>Y</v>
      </c>
      <c r="J262" s="49"/>
      <c r="K262" s="49"/>
      <c r="L262" s="49"/>
    </row>
    <row r="263">
      <c r="A263" s="49" t="str">
        <f>IFERROR(__xludf.DUMMYFUNCTION("""COMPUTED_VALUE"""),"---")</f>
        <v>---</v>
      </c>
      <c r="B263" s="49" t="str">
        <f>IFERROR(__xludf.DUMMYFUNCTION("""COMPUTED_VALUE"""),"---")</f>
        <v>---</v>
      </c>
      <c r="C263" s="49" t="str">
        <f>IFERROR(__xludf.DUMMYFUNCTION("""COMPUTED_VALUE"""),"Stock")</f>
        <v>Stock</v>
      </c>
      <c r="D263" s="399" t="str">
        <f>IFERROR(__xludf.DUMMYFUNCTION("""COMPUTED_VALUE"""),"South")</f>
        <v>South</v>
      </c>
      <c r="E263" s="39" t="str">
        <f>IFERROR(__xludf.DUMMYFUNCTION("""COMPUTED_VALUE"""),"Brunswick Danger Zone Solid 15 lb")</f>
        <v>Brunswick Danger Zone Solid 15 lb</v>
      </c>
      <c r="F263" s="39"/>
      <c r="G263" s="52"/>
      <c r="H263" s="49" t="str">
        <f>IFERROR(__xludf.DUMMYFUNCTION("""COMPUTED_VALUE"""),"na")</f>
        <v>na</v>
      </c>
      <c r="I263" s="49" t="str">
        <f>IFERROR(__xludf.DUMMYFUNCTION("""COMPUTED_VALUE"""),"na")</f>
        <v>na</v>
      </c>
      <c r="J263" s="49"/>
      <c r="K263" s="49"/>
      <c r="L263" s="49"/>
    </row>
    <row r="264">
      <c r="A264" s="49" t="str">
        <f>IFERROR(__xludf.DUMMYFUNCTION("""COMPUTED_VALUE"""),"---")</f>
        <v>---</v>
      </c>
      <c r="B264" s="49" t="str">
        <f>IFERROR(__xludf.DUMMYFUNCTION("""COMPUTED_VALUE"""),"---")</f>
        <v>---</v>
      </c>
      <c r="C264" s="49" t="str">
        <f>IFERROR(__xludf.DUMMYFUNCTION("""COMPUTED_VALUE"""),"Jim Bingham")</f>
        <v>Jim Bingham</v>
      </c>
      <c r="D264" s="399" t="str">
        <f>IFERROR(__xludf.DUMMYFUNCTION("""COMPUTED_VALUE"""),"South")</f>
        <v>South</v>
      </c>
      <c r="E264" s="39" t="str">
        <f>IFERROR(__xludf.DUMMYFUNCTION("""COMPUTED_VALUE"""),"Hammer Zero Mercy Pearl 16 lb")</f>
        <v>Hammer Zero Mercy Pearl 16 lb</v>
      </c>
      <c r="F264" s="39"/>
      <c r="G264" s="52"/>
      <c r="H264" s="49"/>
      <c r="I264" s="49"/>
      <c r="J264" s="49"/>
      <c r="K264" s="49"/>
      <c r="L264" s="49"/>
    </row>
    <row r="265">
      <c r="A265" s="49" t="str">
        <f>IFERROR(__xludf.DUMMYFUNCTION("""COMPUTED_VALUE"""),"---")</f>
        <v>---</v>
      </c>
      <c r="B265" s="49" t="str">
        <f>IFERROR(__xludf.DUMMYFUNCTION("""COMPUTED_VALUE"""),"---")</f>
        <v>---</v>
      </c>
      <c r="C265" s="49" t="str">
        <f>IFERROR(__xludf.DUMMYFUNCTION("""COMPUTED_VALUE"""),"Dev Telford")</f>
        <v>Dev Telford</v>
      </c>
      <c r="D265" s="399" t="str">
        <f>IFERROR(__xludf.DUMMYFUNCTION("""COMPUTED_VALUE"""),"Valley")</f>
        <v>Valley</v>
      </c>
      <c r="E265" s="39" t="str">
        <f>IFERROR(__xludf.DUMMYFUNCTION("""COMPUTED_VALUE"""),"Hammer NU 2.0 15 lb")</f>
        <v>Hammer NU 2.0 15 lb</v>
      </c>
      <c r="F265" s="39"/>
      <c r="G265" s="52"/>
      <c r="H265" s="49" t="str">
        <f>IFERROR(__xludf.DUMMYFUNCTION("""COMPUTED_VALUE"""),"Y")</f>
        <v>Y</v>
      </c>
      <c r="I265" s="49" t="str">
        <f>IFERROR(__xludf.DUMMYFUNCTION("""COMPUTED_VALUE"""),"Y")</f>
        <v>Y</v>
      </c>
      <c r="J265" s="49"/>
      <c r="K265" s="49"/>
      <c r="L265" s="49"/>
    </row>
    <row r="266">
      <c r="A266" s="49" t="str">
        <f>IFERROR(__xludf.DUMMYFUNCTION("""COMPUTED_VALUE"""),"---")</f>
        <v>---</v>
      </c>
      <c r="B266" s="49" t="str">
        <f>IFERROR(__xludf.DUMMYFUNCTION("""COMPUTED_VALUE"""),"---")</f>
        <v>---</v>
      </c>
      <c r="C266" s="49" t="str">
        <f>IFERROR(__xludf.DUMMYFUNCTION("""COMPUTED_VALUE"""),"Stock")</f>
        <v>Stock</v>
      </c>
      <c r="D266" s="399" t="str">
        <f>IFERROR(__xludf.DUMMYFUNCTION("""COMPUTED_VALUE"""),"South")</f>
        <v>South</v>
      </c>
      <c r="E266" s="39" t="str">
        <f>IFERROR(__xludf.DUMMYFUNCTION("""COMPUTED_VALUE"""),"Brunswick Sidekick Single Tote")</f>
        <v>Brunswick Sidekick Single Tote</v>
      </c>
      <c r="F266" s="39"/>
      <c r="G266" s="52"/>
      <c r="H266" s="49" t="str">
        <f>IFERROR(__xludf.DUMMYFUNCTION("""COMPUTED_VALUE"""),"na")</f>
        <v>na</v>
      </c>
      <c r="I266" s="49" t="str">
        <f>IFERROR(__xludf.DUMMYFUNCTION("""COMPUTED_VALUE"""),"na")</f>
        <v>na</v>
      </c>
      <c r="J266" s="49"/>
      <c r="K266" s="49"/>
      <c r="L266" s="49"/>
    </row>
    <row r="267">
      <c r="A267" s="49" t="str">
        <f>IFERROR(__xludf.DUMMYFUNCTION("""COMPUTED_VALUE"""),"---")</f>
        <v>---</v>
      </c>
      <c r="B267" s="49" t="str">
        <f>IFERROR(__xludf.DUMMYFUNCTION("""COMPUTED_VALUE"""),"---")</f>
        <v>---</v>
      </c>
      <c r="C267" s="49" t="str">
        <f>IFERROR(__xludf.DUMMYFUNCTION("""COMPUTED_VALUE"""),"Stock")</f>
        <v>Stock</v>
      </c>
      <c r="D267" s="399"/>
      <c r="E267" s="39" t="str">
        <f>IFERROR(__xludf.DUMMYFUNCTION("""COMPUTED_VALUE"""),"Brunswick Crown Victory Pearl 15 lb")</f>
        <v>Brunswick Crown Victory Pearl 15 lb</v>
      </c>
      <c r="F267" s="39"/>
      <c r="G267" s="52"/>
      <c r="H267" s="49" t="str">
        <f>IFERROR(__xludf.DUMMYFUNCTION("""COMPUTED_VALUE"""),"na")</f>
        <v>na</v>
      </c>
      <c r="I267" s="49" t="str">
        <f>IFERROR(__xludf.DUMMYFUNCTION("""COMPUTED_VALUE"""),"na")</f>
        <v>na</v>
      </c>
      <c r="J267" s="49"/>
      <c r="K267" s="49"/>
      <c r="L267" s="49"/>
    </row>
    <row r="268">
      <c r="A268" s="49" t="str">
        <f>IFERROR(__xludf.DUMMYFUNCTION("""COMPUTED_VALUE"""),"---")</f>
        <v>---</v>
      </c>
      <c r="B268" s="49" t="str">
        <f>IFERROR(__xludf.DUMMYFUNCTION("""COMPUTED_VALUE"""),"---")</f>
        <v>---</v>
      </c>
      <c r="C268" s="49" t="str">
        <f>IFERROR(__xludf.DUMMYFUNCTION("""COMPUTED_VALUE"""),"Stock")</f>
        <v>Stock</v>
      </c>
      <c r="D268" s="399"/>
      <c r="E268" s="39" t="str">
        <f>IFERROR(__xludf.DUMMYFUNCTION("""COMPUTED_VALUE"""),"Hammer Black Widow Dynasty 3.0 15 lb")</f>
        <v>Hammer Black Widow Dynasty 3.0 15 lb</v>
      </c>
      <c r="F268" s="39"/>
      <c r="G268" s="52"/>
      <c r="H268" s="49" t="str">
        <f>IFERROR(__xludf.DUMMYFUNCTION("""COMPUTED_VALUE"""),"na")</f>
        <v>na</v>
      </c>
      <c r="I268" s="49" t="str">
        <f>IFERROR(__xludf.DUMMYFUNCTION("""COMPUTED_VALUE"""),"na")</f>
        <v>na</v>
      </c>
      <c r="J268" s="49"/>
      <c r="K268" s="49"/>
      <c r="L268" s="49"/>
    </row>
    <row r="269">
      <c r="A269" s="49" t="str">
        <f>IFERROR(__xludf.DUMMYFUNCTION("""COMPUTED_VALUE"""),"---")</f>
        <v>---</v>
      </c>
      <c r="B269" s="49" t="str">
        <f>IFERROR(__xludf.DUMMYFUNCTION("""COMPUTED_VALUE"""),"---")</f>
        <v>---</v>
      </c>
      <c r="C269" s="49" t="str">
        <f>IFERROR(__xludf.DUMMYFUNCTION("""COMPUTED_VALUE"""),"Stock")</f>
        <v>Stock</v>
      </c>
      <c r="D269" s="399"/>
      <c r="E269" s="39" t="str">
        <f>IFERROR(__xludf.DUMMYFUNCTION("""COMPUTED_VALUE"""),"Hammer Zero Mercy Pearl 15 lb")</f>
        <v>Hammer Zero Mercy Pearl 15 lb</v>
      </c>
      <c r="F269" s="39"/>
      <c r="G269" s="52"/>
      <c r="H269" s="49" t="str">
        <f>IFERROR(__xludf.DUMMYFUNCTION("""COMPUTED_VALUE"""),"na")</f>
        <v>na</v>
      </c>
      <c r="I269" s="49" t="str">
        <f>IFERROR(__xludf.DUMMYFUNCTION("""COMPUTED_VALUE"""),"na")</f>
        <v>na</v>
      </c>
      <c r="J269" s="49"/>
      <c r="K269" s="49"/>
      <c r="L269" s="49"/>
    </row>
    <row r="270">
      <c r="A270" s="49" t="str">
        <f>IFERROR(__xludf.DUMMYFUNCTION("""COMPUTED_VALUE"""),"---")</f>
        <v>---</v>
      </c>
      <c r="B270" s="49" t="str">
        <f>IFERROR(__xludf.DUMMYFUNCTION("""COMPUTED_VALUE"""),"---")</f>
        <v>---</v>
      </c>
      <c r="C270" s="49" t="str">
        <f>IFERROR(__xludf.DUMMYFUNCTION("""COMPUTED_VALUE"""),"Stock")</f>
        <v>Stock</v>
      </c>
      <c r="D270" s="399"/>
      <c r="E270" s="39" t="str">
        <f>IFERROR(__xludf.DUMMYFUNCTION("""COMPUTED_VALUE"""),"C300 Piranha 15 lb")</f>
        <v>C300 Piranha 15 lb</v>
      </c>
      <c r="F270" s="39"/>
      <c r="G270" s="52"/>
      <c r="H270" s="49" t="str">
        <f>IFERROR(__xludf.DUMMYFUNCTION("""COMPUTED_VALUE"""),"Y")</f>
        <v>Y</v>
      </c>
      <c r="I270" s="49" t="str">
        <f>IFERROR(__xludf.DUMMYFUNCTION("""COMPUTED_VALUE"""),"Y")</f>
        <v>Y</v>
      </c>
      <c r="J270" s="49"/>
      <c r="K270" s="49"/>
      <c r="L270" s="49"/>
    </row>
    <row r="271">
      <c r="A271" s="49" t="str">
        <f>IFERROR(__xludf.DUMMYFUNCTION("""COMPUTED_VALUE"""),"---")</f>
        <v>---</v>
      </c>
      <c r="B271" s="49" t="str">
        <f>IFERROR(__xludf.DUMMYFUNCTION("""COMPUTED_VALUE"""),"---")</f>
        <v>---</v>
      </c>
      <c r="C271" s="49" t="str">
        <f>IFERROR(__xludf.DUMMYFUNCTION("""COMPUTED_VALUE"""),"Stock")</f>
        <v>Stock</v>
      </c>
      <c r="D271" s="399"/>
      <c r="E271" s="39" t="str">
        <f>IFERROR(__xludf.DUMMYFUNCTION("""COMPUTED_VALUE"""),"Hammer Zero Mercy Solid 15 lb")</f>
        <v>Hammer Zero Mercy Solid 15 lb</v>
      </c>
      <c r="F271" s="39"/>
      <c r="G271" s="52"/>
      <c r="H271" s="49" t="str">
        <f>IFERROR(__xludf.DUMMYFUNCTION("""COMPUTED_VALUE"""),"na")</f>
        <v>na</v>
      </c>
      <c r="I271" s="49" t="str">
        <f>IFERROR(__xludf.DUMMYFUNCTION("""COMPUTED_VALUE"""),"na")</f>
        <v>na</v>
      </c>
      <c r="J271" s="49"/>
      <c r="K271" s="49"/>
      <c r="L271" s="49"/>
    </row>
    <row r="272">
      <c r="A272" s="49" t="str">
        <f>IFERROR(__xludf.DUMMYFUNCTION("""COMPUTED_VALUE"""),"---")</f>
        <v>---</v>
      </c>
      <c r="B272" s="49" t="str">
        <f>IFERROR(__xludf.DUMMYFUNCTION("""COMPUTED_VALUE"""),"---")</f>
        <v>---</v>
      </c>
      <c r="C272" s="49" t="str">
        <f>IFERROR(__xludf.DUMMYFUNCTION("""COMPUTED_VALUE"""),"Charlie Azarsky")</f>
        <v>Charlie Azarsky</v>
      </c>
      <c r="D272" s="399" t="str">
        <f>IFERROR(__xludf.DUMMYFUNCTION("""COMPUTED_VALUE"""),"South")</f>
        <v>South</v>
      </c>
      <c r="E272" s="39" t="str">
        <f>IFERROR(__xludf.DUMMYFUNCTION("""COMPUTED_VALUE"""),"Hammer Zero Mercy Solid 15 lb")</f>
        <v>Hammer Zero Mercy Solid 15 lb</v>
      </c>
      <c r="F272" s="39"/>
      <c r="G272" s="52"/>
      <c r="H272" s="49" t="str">
        <f>IFERROR(__xludf.DUMMYFUNCTION("""COMPUTED_VALUE"""),"Y")</f>
        <v>Y</v>
      </c>
      <c r="I272" s="49" t="str">
        <f>IFERROR(__xludf.DUMMYFUNCTION("""COMPUTED_VALUE"""),"Y")</f>
        <v>Y</v>
      </c>
      <c r="J272" s="49"/>
      <c r="K272" s="49"/>
      <c r="L272" s="49"/>
    </row>
    <row r="273">
      <c r="A273" s="49" t="str">
        <f>IFERROR(__xludf.DUMMYFUNCTION("""COMPUTED_VALUE"""),"---")</f>
        <v>---</v>
      </c>
      <c r="B273" s="49" t="str">
        <f>IFERROR(__xludf.DUMMYFUNCTION("""COMPUTED_VALUE"""),"---")</f>
        <v>---</v>
      </c>
      <c r="C273" s="49" t="str">
        <f>IFERROR(__xludf.DUMMYFUNCTION("""COMPUTED_VALUE"""),"Stock")</f>
        <v>Stock</v>
      </c>
      <c r="D273" s="399" t="str">
        <f>IFERROR(__xludf.DUMMYFUNCTION("""COMPUTED_VALUE"""),"Valley")</f>
        <v>Valley</v>
      </c>
      <c r="E273" s="39" t="str">
        <f>IFERROR(__xludf.DUMMYFUNCTION("""COMPUTED_VALUE"""),"Hammer Zero Mercy Solid 15 lb")</f>
        <v>Hammer Zero Mercy Solid 15 lb</v>
      </c>
      <c r="F273" s="39"/>
      <c r="G273" s="52"/>
      <c r="H273" s="49" t="str">
        <f>IFERROR(__xludf.DUMMYFUNCTION("""COMPUTED_VALUE"""),"na")</f>
        <v>na</v>
      </c>
      <c r="I273" s="49" t="str">
        <f>IFERROR(__xludf.DUMMYFUNCTION("""COMPUTED_VALUE"""),"na")</f>
        <v>na</v>
      </c>
      <c r="J273" s="49"/>
      <c r="K273" s="49"/>
      <c r="L273" s="49"/>
    </row>
    <row r="274">
      <c r="A274" s="49" t="str">
        <f>IFERROR(__xludf.DUMMYFUNCTION("""COMPUTED_VALUE"""),"---")</f>
        <v>---</v>
      </c>
      <c r="B274" s="49" t="str">
        <f>IFERROR(__xludf.DUMMYFUNCTION("""COMPUTED_VALUE"""),"---")</f>
        <v>---</v>
      </c>
      <c r="C274" s="49" t="str">
        <f>IFERROR(__xludf.DUMMYFUNCTION("""COMPUTED_VALUE"""),"Kyle Recicar")</f>
        <v>Kyle Recicar</v>
      </c>
      <c r="D274" s="399" t="str">
        <f>IFERROR(__xludf.DUMMYFUNCTION("""COMPUTED_VALUE"""),"South")</f>
        <v>South</v>
      </c>
      <c r="E274" s="39" t="str">
        <f>IFERROR(__xludf.DUMMYFUNCTION("""COMPUTED_VALUE"""),"Hammer Zero Mercy Solid 15 lb")</f>
        <v>Hammer Zero Mercy Solid 15 lb</v>
      </c>
      <c r="F274" s="39"/>
      <c r="G274" s="52"/>
      <c r="H274" s="49" t="str">
        <f>IFERROR(__xludf.DUMMYFUNCTION("""COMPUTED_VALUE"""),"Y")</f>
        <v>Y</v>
      </c>
      <c r="I274" s="49" t="str">
        <f>IFERROR(__xludf.DUMMYFUNCTION("""COMPUTED_VALUE"""),"Y")</f>
        <v>Y</v>
      </c>
      <c r="J274" s="49"/>
      <c r="K274" s="49"/>
      <c r="L274" s="49"/>
    </row>
    <row r="275">
      <c r="A275" s="49" t="str">
        <f>IFERROR(__xludf.DUMMYFUNCTION("""COMPUTED_VALUE"""),"---")</f>
        <v>---</v>
      </c>
      <c r="B275" s="49" t="str">
        <f>IFERROR(__xludf.DUMMYFUNCTION("""COMPUTED_VALUE"""),"---")</f>
        <v>---</v>
      </c>
      <c r="C275" s="49" t="str">
        <f>IFERROR(__xludf.DUMMYFUNCTION("""COMPUTED_VALUE"""),"Gary Richard Spencer")</f>
        <v>Gary Richard Spencer</v>
      </c>
      <c r="D275" s="399" t="str">
        <f>IFERROR(__xludf.DUMMYFUNCTION("""COMPUTED_VALUE"""),"South")</f>
        <v>South</v>
      </c>
      <c r="E275" s="39" t="str">
        <f>IFERROR(__xludf.DUMMYFUNCTION("""COMPUTED_VALUE"""),"Hammer Zero Mercy Solid 14 lb")</f>
        <v>Hammer Zero Mercy Solid 14 lb</v>
      </c>
      <c r="F275" s="39"/>
      <c r="G275" s="52"/>
      <c r="H275" s="49" t="str">
        <f>IFERROR(__xludf.DUMMYFUNCTION("""COMPUTED_VALUE"""),"Y")</f>
        <v>Y</v>
      </c>
      <c r="I275" s="49" t="str">
        <f>IFERROR(__xludf.DUMMYFUNCTION("""COMPUTED_VALUE"""),"Y")</f>
        <v>Y</v>
      </c>
      <c r="J275" s="49"/>
      <c r="K275" s="49"/>
      <c r="L275" s="49"/>
    </row>
    <row r="276">
      <c r="A276" s="49" t="str">
        <f>IFERROR(__xludf.DUMMYFUNCTION("""COMPUTED_VALUE"""),"---")</f>
        <v>---</v>
      </c>
      <c r="B276" s="49" t="str">
        <f>IFERROR(__xludf.DUMMYFUNCTION("""COMPUTED_VALUE"""),"---")</f>
        <v>---</v>
      </c>
      <c r="C276" s="49" t="str">
        <f>IFERROR(__xludf.DUMMYFUNCTION("""COMPUTED_VALUE"""),"Stock")</f>
        <v>Stock</v>
      </c>
      <c r="D276" s="399"/>
      <c r="E276" s="39" t="str">
        <f>IFERROR(__xludf.DUMMYFUNCTION("""COMPUTED_VALUE"""),"TG blue 25")</f>
        <v>TG blue 25</v>
      </c>
      <c r="F276" s="39"/>
      <c r="G276" s="52"/>
      <c r="H276" s="49" t="str">
        <f>IFERROR(__xludf.DUMMYFUNCTION("""COMPUTED_VALUE"""),"na")</f>
        <v>na</v>
      </c>
      <c r="I276" s="49" t="str">
        <f>IFERROR(__xludf.DUMMYFUNCTION("""COMPUTED_VALUE"""),"na")</f>
        <v>na</v>
      </c>
      <c r="J276" s="49"/>
      <c r="K276" s="49"/>
      <c r="L276" s="49"/>
    </row>
    <row r="277">
      <c r="A277" s="49" t="str">
        <f>IFERROR(__xludf.DUMMYFUNCTION("""COMPUTED_VALUE"""),"---")</f>
        <v>---</v>
      </c>
      <c r="B277" s="49" t="str">
        <f>IFERROR(__xludf.DUMMYFUNCTION("""COMPUTED_VALUE"""),"---")</f>
        <v>---</v>
      </c>
      <c r="C277" s="49" t="str">
        <f>IFERROR(__xludf.DUMMYFUNCTION("""COMPUTED_VALUE"""),"Stock")</f>
        <v>Stock</v>
      </c>
      <c r="D277" s="399"/>
      <c r="E277" s="39" t="str">
        <f>IFERROR(__xludf.DUMMYFUNCTION("""COMPUTED_VALUE"""),"TG blue 21")</f>
        <v>TG blue 21</v>
      </c>
      <c r="F277" s="39"/>
      <c r="G277" s="52"/>
      <c r="H277" s="49" t="str">
        <f>IFERROR(__xludf.DUMMYFUNCTION("""COMPUTED_VALUE"""),"na")</f>
        <v>na</v>
      </c>
      <c r="I277" s="49" t="str">
        <f>IFERROR(__xludf.DUMMYFUNCTION("""COMPUTED_VALUE"""),"na")</f>
        <v>na</v>
      </c>
      <c r="J277" s="49"/>
      <c r="K277" s="49"/>
      <c r="L277" s="49"/>
    </row>
    <row r="278">
      <c r="A278" s="49" t="str">
        <f>IFERROR(__xludf.DUMMYFUNCTION("""COMPUTED_VALUE"""),"---")</f>
        <v>---</v>
      </c>
      <c r="B278" s="49" t="str">
        <f>IFERROR(__xludf.DUMMYFUNCTION("""COMPUTED_VALUE"""),"---")</f>
        <v>---</v>
      </c>
      <c r="C278" s="49" t="str">
        <f>IFERROR(__xludf.DUMMYFUNCTION("""COMPUTED_VALUE"""),"Stock")</f>
        <v>Stock</v>
      </c>
      <c r="D278" s="399"/>
      <c r="E278" s="39" t="str">
        <f>IFERROR(__xludf.DUMMYFUNCTION("""COMPUTED_VALUE"""),"TG blue 41")</f>
        <v>TG blue 41</v>
      </c>
      <c r="F278" s="39"/>
      <c r="G278" s="52"/>
      <c r="H278" s="49" t="str">
        <f>IFERROR(__xludf.DUMMYFUNCTION("""COMPUTED_VALUE"""),"na")</f>
        <v>na</v>
      </c>
      <c r="I278" s="49" t="str">
        <f>IFERROR(__xludf.DUMMYFUNCTION("""COMPUTED_VALUE"""),"na")</f>
        <v>na</v>
      </c>
      <c r="J278" s="49"/>
      <c r="K278" s="49"/>
      <c r="L278" s="49"/>
    </row>
    <row r="279">
      <c r="A279" s="49" t="str">
        <f>IFERROR(__xludf.DUMMYFUNCTION("""COMPUTED_VALUE"""),"---")</f>
        <v>---</v>
      </c>
      <c r="B279" s="49" t="str">
        <f>IFERROR(__xludf.DUMMYFUNCTION("""COMPUTED_VALUE"""),"---")</f>
        <v>---</v>
      </c>
      <c r="C279" s="49" t="str">
        <f>IFERROR(__xludf.DUMMYFUNCTION("""COMPUTED_VALUE"""),"Stock")</f>
        <v>Stock</v>
      </c>
      <c r="D279" s="399"/>
      <c r="E279" s="39" t="str">
        <f>IFERROR(__xludf.DUMMYFUNCTION("""COMPUTED_VALUE"""),"TG blue 45")</f>
        <v>TG blue 45</v>
      </c>
      <c r="F279" s="39"/>
      <c r="G279" s="52"/>
      <c r="H279" s="49" t="str">
        <f>IFERROR(__xludf.DUMMYFUNCTION("""COMPUTED_VALUE"""),"na")</f>
        <v>na</v>
      </c>
      <c r="I279" s="49" t="str">
        <f>IFERROR(__xludf.DUMMYFUNCTION("""COMPUTED_VALUE"""),"na")</f>
        <v>na</v>
      </c>
      <c r="J279" s="49"/>
      <c r="K279" s="49"/>
      <c r="L279" s="49"/>
    </row>
    <row r="280">
      <c r="A280" s="49" t="str">
        <f>IFERROR(__xludf.DUMMYFUNCTION("""COMPUTED_VALUE"""),"---")</f>
        <v>---</v>
      </c>
      <c r="B280" s="49" t="str">
        <f>IFERROR(__xludf.DUMMYFUNCTION("""COMPUTED_VALUE"""),"---")</f>
        <v>---</v>
      </c>
      <c r="C280" s="49" t="str">
        <f>IFERROR(__xludf.DUMMYFUNCTION("""COMPUTED_VALUE"""),"Stock")</f>
        <v>Stock</v>
      </c>
      <c r="D280" s="399"/>
      <c r="E280" s="39" t="str">
        <f>IFERROR(__xludf.DUMMYFUNCTION("""COMPUTED_VALUE"""),"TG orange 47")</f>
        <v>TG orange 47</v>
      </c>
      <c r="F280" s="39"/>
      <c r="G280" s="52"/>
      <c r="H280" s="49" t="str">
        <f>IFERROR(__xludf.DUMMYFUNCTION("""COMPUTED_VALUE"""),"na")</f>
        <v>na</v>
      </c>
      <c r="I280" s="49" t="str">
        <f>IFERROR(__xludf.DUMMYFUNCTION("""COMPUTED_VALUE"""),"na")</f>
        <v>na</v>
      </c>
      <c r="J280" s="49"/>
      <c r="K280" s="49"/>
      <c r="L280" s="49"/>
    </row>
    <row r="281">
      <c r="A281" s="49" t="str">
        <f>IFERROR(__xludf.DUMMYFUNCTION("""COMPUTED_VALUE"""),"---")</f>
        <v>---</v>
      </c>
      <c r="B281" s="49" t="str">
        <f>IFERROR(__xludf.DUMMYFUNCTION("""COMPUTED_VALUE"""),"---")</f>
        <v>---</v>
      </c>
      <c r="C281" s="49" t="str">
        <f>IFERROR(__xludf.DUMMYFUNCTION("""COMPUTED_VALUE"""),"Stock")</f>
        <v>Stock</v>
      </c>
      <c r="D281" s="399"/>
      <c r="E281" s="39" t="str">
        <f>IFERROR(__xludf.DUMMYFUNCTION("""COMPUTED_VALUE"""),"TG purple 23")</f>
        <v>TG purple 23</v>
      </c>
      <c r="F281" s="39"/>
      <c r="G281" s="52"/>
      <c r="H281" s="49" t="str">
        <f>IFERROR(__xludf.DUMMYFUNCTION("""COMPUTED_VALUE"""),"na")</f>
        <v>na</v>
      </c>
      <c r="I281" s="49" t="str">
        <f>IFERROR(__xludf.DUMMYFUNCTION("""COMPUTED_VALUE"""),"na")</f>
        <v>na</v>
      </c>
      <c r="J281" s="49"/>
      <c r="K281" s="49"/>
      <c r="L281" s="49"/>
    </row>
    <row r="282">
      <c r="A282" s="49" t="str">
        <f>IFERROR(__xludf.DUMMYFUNCTION("""COMPUTED_VALUE"""),"---")</f>
        <v>---</v>
      </c>
      <c r="B282" s="49" t="str">
        <f>IFERROR(__xludf.DUMMYFUNCTION("""COMPUTED_VALUE"""),"---")</f>
        <v>---</v>
      </c>
      <c r="C282" s="49" t="str">
        <f>IFERROR(__xludf.DUMMYFUNCTION("""COMPUTED_VALUE"""),"Stock")</f>
        <v>Stock</v>
      </c>
      <c r="D282" s="399"/>
      <c r="E282" s="39" t="str">
        <f>IFERROR(__xludf.DUMMYFUNCTION("""COMPUTED_VALUE"""),"TG purple 25")</f>
        <v>TG purple 25</v>
      </c>
      <c r="F282" s="39"/>
      <c r="G282" s="52"/>
      <c r="H282" s="49" t="str">
        <f>IFERROR(__xludf.DUMMYFUNCTION("""COMPUTED_VALUE"""),"na")</f>
        <v>na</v>
      </c>
      <c r="I282" s="49" t="str">
        <f>IFERROR(__xludf.DUMMYFUNCTION("""COMPUTED_VALUE"""),"na")</f>
        <v>na</v>
      </c>
      <c r="J282" s="49"/>
      <c r="K282" s="49"/>
      <c r="L282" s="49"/>
    </row>
    <row r="283">
      <c r="A283" s="49" t="str">
        <f>IFERROR(__xludf.DUMMYFUNCTION("""COMPUTED_VALUE"""),"---")</f>
        <v>---</v>
      </c>
      <c r="B283" s="49" t="str">
        <f>IFERROR(__xludf.DUMMYFUNCTION("""COMPUTED_VALUE"""),"---")</f>
        <v>---</v>
      </c>
      <c r="C283" s="49" t="str">
        <f>IFERROR(__xludf.DUMMYFUNCTION("""COMPUTED_VALUE"""),"Stock")</f>
        <v>Stock</v>
      </c>
      <c r="D283" s="399"/>
      <c r="E283" s="39" t="str">
        <f>IFERROR(__xludf.DUMMYFUNCTION("""COMPUTED_VALUE"""),"TG yellow 21")</f>
        <v>TG yellow 21</v>
      </c>
      <c r="F283" s="39"/>
      <c r="G283" s="52"/>
      <c r="H283" s="49" t="str">
        <f>IFERROR(__xludf.DUMMYFUNCTION("""COMPUTED_VALUE"""),"na")</f>
        <v>na</v>
      </c>
      <c r="I283" s="49" t="str">
        <f>IFERROR(__xludf.DUMMYFUNCTION("""COMPUTED_VALUE"""),"na")</f>
        <v>na</v>
      </c>
      <c r="J283" s="49"/>
      <c r="K283" s="49"/>
      <c r="L283" s="49"/>
    </row>
    <row r="284">
      <c r="A284" s="49" t="str">
        <f>IFERROR(__xludf.DUMMYFUNCTION("""COMPUTED_VALUE"""),"---")</f>
        <v>---</v>
      </c>
      <c r="B284" s="49" t="str">
        <f>IFERROR(__xludf.DUMMYFUNCTION("""COMPUTED_VALUE"""),"---")</f>
        <v>---</v>
      </c>
      <c r="C284" s="49" t="str">
        <f>IFERROR(__xludf.DUMMYFUNCTION("""COMPUTED_VALUE"""),"Stock")</f>
        <v>Stock</v>
      </c>
      <c r="D284" s="399"/>
      <c r="E284" s="39" t="str">
        <f>IFERROR(__xludf.DUMMYFUNCTION("""COMPUTED_VALUE"""),"TG yellow 43")</f>
        <v>TG yellow 43</v>
      </c>
      <c r="F284" s="39"/>
      <c r="G284" s="52"/>
      <c r="H284" s="49" t="str">
        <f>IFERROR(__xludf.DUMMYFUNCTION("""COMPUTED_VALUE"""),"na")</f>
        <v>na</v>
      </c>
      <c r="I284" s="49" t="str">
        <f>IFERROR(__xludf.DUMMYFUNCTION("""COMPUTED_VALUE"""),"na")</f>
        <v>na</v>
      </c>
      <c r="J284" s="49"/>
      <c r="K284" s="49"/>
      <c r="L284" s="49"/>
    </row>
    <row r="285">
      <c r="A285" s="49" t="str">
        <f>IFERROR(__xludf.DUMMYFUNCTION("""COMPUTED_VALUE"""),"---")</f>
        <v>---</v>
      </c>
      <c r="B285" s="49" t="str">
        <f>IFERROR(__xludf.DUMMYFUNCTION("""COMPUTED_VALUE"""),"---")</f>
        <v>---</v>
      </c>
      <c r="C285" s="49" t="str">
        <f>IFERROR(__xludf.DUMMYFUNCTION("""COMPUTED_VALUE"""),"Stock")</f>
        <v>Stock</v>
      </c>
      <c r="D285" s="399"/>
      <c r="E285" s="39" t="str">
        <f>IFERROR(__xludf.DUMMYFUNCTION("""COMPUTED_VALUE"""),"TG red 3")</f>
        <v>TG red 3</v>
      </c>
      <c r="F285" s="39"/>
      <c r="G285" s="52"/>
      <c r="H285" s="49" t="str">
        <f>IFERROR(__xludf.DUMMYFUNCTION("""COMPUTED_VALUE"""),"na")</f>
        <v>na</v>
      </c>
      <c r="I285" s="49" t="str">
        <f>IFERROR(__xludf.DUMMYFUNCTION("""COMPUTED_VALUE"""),"na")</f>
        <v>na</v>
      </c>
      <c r="J285" s="49"/>
      <c r="K285" s="49"/>
      <c r="L285" s="49"/>
    </row>
    <row r="286">
      <c r="A286" s="49" t="str">
        <f>IFERROR(__xludf.DUMMYFUNCTION("""COMPUTED_VALUE"""),"---")</f>
        <v>---</v>
      </c>
      <c r="B286" s="49" t="str">
        <f>IFERROR(__xludf.DUMMYFUNCTION("""COMPUTED_VALUE"""),"---")</f>
        <v>---</v>
      </c>
      <c r="C286" s="49" t="str">
        <f>IFERROR(__xludf.DUMMYFUNCTION("""COMPUTED_VALUE"""),"Stock")</f>
        <v>Stock</v>
      </c>
      <c r="D286" s="399"/>
      <c r="E286" s="39" t="str">
        <f>IFERROR(__xludf.DUMMYFUNCTION("""COMPUTED_VALUE"""),"TG red 45")</f>
        <v>TG red 45</v>
      </c>
      <c r="F286" s="39"/>
      <c r="G286" s="52"/>
      <c r="H286" s="49" t="str">
        <f>IFERROR(__xludf.DUMMYFUNCTION("""COMPUTED_VALUE"""),"na")</f>
        <v>na</v>
      </c>
      <c r="I286" s="49" t="str">
        <f>IFERROR(__xludf.DUMMYFUNCTION("""COMPUTED_VALUE"""),"na")</f>
        <v>na</v>
      </c>
      <c r="J286" s="49"/>
      <c r="K286" s="49"/>
      <c r="L286" s="49"/>
    </row>
    <row r="287">
      <c r="A287" s="49" t="str">
        <f>IFERROR(__xludf.DUMMYFUNCTION("""COMPUTED_VALUE"""),"---")</f>
        <v>---</v>
      </c>
      <c r="B287" s="49" t="str">
        <f>IFERROR(__xludf.DUMMYFUNCTION("""COMPUTED_VALUE"""),"---")</f>
        <v>---</v>
      </c>
      <c r="C287" s="49" t="str">
        <f>IFERROR(__xludf.DUMMYFUNCTION("""COMPUTED_VALUE"""),"Stock")</f>
        <v>Stock</v>
      </c>
      <c r="D287" s="399"/>
      <c r="E287" s="39" t="str">
        <f>IFERROR(__xludf.DUMMYFUNCTION("""COMPUTED_VALUE"""),"TG red 21")</f>
        <v>TG red 21</v>
      </c>
      <c r="F287" s="39"/>
      <c r="G287" s="52"/>
      <c r="H287" s="49" t="str">
        <f>IFERROR(__xludf.DUMMYFUNCTION("""COMPUTED_VALUE"""),"na")</f>
        <v>na</v>
      </c>
      <c r="I287" s="49" t="str">
        <f>IFERROR(__xludf.DUMMYFUNCTION("""COMPUTED_VALUE"""),"na")</f>
        <v>na</v>
      </c>
      <c r="J287" s="49"/>
      <c r="K287" s="49"/>
      <c r="L287" s="49"/>
    </row>
    <row r="288">
      <c r="A288" s="49" t="str">
        <f>IFERROR(__xludf.DUMMYFUNCTION("""COMPUTED_VALUE"""),"---")</f>
        <v>---</v>
      </c>
      <c r="B288" s="49" t="str">
        <f>IFERROR(__xludf.DUMMYFUNCTION("""COMPUTED_VALUE"""),"---")</f>
        <v>---</v>
      </c>
      <c r="C288" s="49" t="str">
        <f>IFERROR(__xludf.DUMMYFUNCTION("""COMPUTED_VALUE"""),"Stock")</f>
        <v>Stock</v>
      </c>
      <c r="D288" s="399"/>
      <c r="E288" s="39" t="str">
        <f>IFERROR(__xludf.DUMMYFUNCTION("""COMPUTED_VALUE"""),"TG red 25")</f>
        <v>TG red 25</v>
      </c>
      <c r="F288" s="39"/>
      <c r="G288" s="52"/>
      <c r="H288" s="49" t="str">
        <f>IFERROR(__xludf.DUMMYFUNCTION("""COMPUTED_VALUE"""),"na")</f>
        <v>na</v>
      </c>
      <c r="I288" s="49" t="str">
        <f>IFERROR(__xludf.DUMMYFUNCTION("""COMPUTED_VALUE"""),"na")</f>
        <v>na</v>
      </c>
      <c r="J288" s="49"/>
      <c r="K288" s="49"/>
      <c r="L288" s="49"/>
    </row>
    <row r="289">
      <c r="A289" s="49" t="str">
        <f>IFERROR(__xludf.DUMMYFUNCTION("""COMPUTED_VALUE"""),"---")</f>
        <v>---</v>
      </c>
      <c r="B289" s="49" t="str">
        <f>IFERROR(__xludf.DUMMYFUNCTION("""COMPUTED_VALUE"""),"---")</f>
        <v>---</v>
      </c>
      <c r="C289" s="49" t="str">
        <f>IFERROR(__xludf.DUMMYFUNCTION("""COMPUTED_VALUE"""),"Stock")</f>
        <v>Stock</v>
      </c>
      <c r="D289" s="399"/>
      <c r="E289" s="39" t="str">
        <f>IFERROR(__xludf.DUMMYFUNCTION("""COMPUTED_VALUE"""),"TG red 27")</f>
        <v>TG red 27</v>
      </c>
      <c r="F289" s="39"/>
      <c r="G289" s="52"/>
      <c r="H289" s="49" t="str">
        <f>IFERROR(__xludf.DUMMYFUNCTION("""COMPUTED_VALUE"""),"na")</f>
        <v>na</v>
      </c>
      <c r="I289" s="49" t="str">
        <f>IFERROR(__xludf.DUMMYFUNCTION("""COMPUTED_VALUE"""),"na")</f>
        <v>na</v>
      </c>
      <c r="J289" s="49"/>
      <c r="K289" s="49"/>
      <c r="L289" s="49"/>
    </row>
    <row r="290">
      <c r="A290" s="49" t="str">
        <f>IFERROR(__xludf.DUMMYFUNCTION("""COMPUTED_VALUE"""),"---")</f>
        <v>---</v>
      </c>
      <c r="B290" s="49" t="str">
        <f>IFERROR(__xludf.DUMMYFUNCTION("""COMPUTED_VALUE"""),"---")</f>
        <v>---</v>
      </c>
      <c r="C290" s="49" t="str">
        <f>IFERROR(__xludf.DUMMYFUNCTION("""COMPUTED_VALUE"""),"Stock")</f>
        <v>Stock</v>
      </c>
      <c r="D290" s="399"/>
      <c r="E290" s="39" t="str">
        <f>IFERROR(__xludf.DUMMYFUNCTION("""COMPUTED_VALUE"""),"TG black 21")</f>
        <v>TG black 21</v>
      </c>
      <c r="F290" s="39"/>
      <c r="G290" s="52"/>
      <c r="H290" s="49" t="str">
        <f>IFERROR(__xludf.DUMMYFUNCTION("""COMPUTED_VALUE"""),"na")</f>
        <v>na</v>
      </c>
      <c r="I290" s="49" t="str">
        <f>IFERROR(__xludf.DUMMYFUNCTION("""COMPUTED_VALUE"""),"na")</f>
        <v>na</v>
      </c>
      <c r="J290" s="49"/>
      <c r="K290" s="49"/>
      <c r="L290" s="49"/>
    </row>
    <row r="291">
      <c r="A291" s="49" t="str">
        <f>IFERROR(__xludf.DUMMYFUNCTION("""COMPUTED_VALUE"""),"---")</f>
        <v>---</v>
      </c>
      <c r="B291" s="49" t="str">
        <f>IFERROR(__xludf.DUMMYFUNCTION("""COMPUTED_VALUE"""),"---")</f>
        <v>---</v>
      </c>
      <c r="C291" s="49" t="str">
        <f>IFERROR(__xludf.DUMMYFUNCTION("""COMPUTED_VALUE"""),"Stock")</f>
        <v>Stock</v>
      </c>
      <c r="D291" s="399"/>
      <c r="E291" s="39" t="str">
        <f>IFERROR(__xludf.DUMMYFUNCTION("""COMPUTED_VALUE"""),"TG black 39")</f>
        <v>TG black 39</v>
      </c>
      <c r="F291" s="39"/>
      <c r="G291" s="52"/>
      <c r="H291" s="49" t="str">
        <f>IFERROR(__xludf.DUMMYFUNCTION("""COMPUTED_VALUE"""),"na")</f>
        <v>na</v>
      </c>
      <c r="I291" s="49" t="str">
        <f>IFERROR(__xludf.DUMMYFUNCTION("""COMPUTED_VALUE"""),"na")</f>
        <v>na</v>
      </c>
      <c r="J291" s="49"/>
      <c r="K291" s="49"/>
      <c r="L291" s="49"/>
    </row>
    <row r="292">
      <c r="A292" s="49" t="str">
        <f>IFERROR(__xludf.DUMMYFUNCTION("""COMPUTED_VALUE"""),"---")</f>
        <v>---</v>
      </c>
      <c r="B292" s="49" t="str">
        <f>IFERROR(__xludf.DUMMYFUNCTION("""COMPUTED_VALUE"""),"---")</f>
        <v>---</v>
      </c>
      <c r="C292" s="49" t="str">
        <f>IFERROR(__xludf.DUMMYFUNCTION("""COMPUTED_VALUE"""),"Stock")</f>
        <v>Stock</v>
      </c>
      <c r="D292" s="399"/>
      <c r="E292" s="39" t="str">
        <f>IFERROR(__xludf.DUMMYFUNCTION("""COMPUTED_VALUE"""),"TG white 7")</f>
        <v>TG white 7</v>
      </c>
      <c r="F292" s="39"/>
      <c r="G292" s="52"/>
      <c r="H292" s="49" t="str">
        <f>IFERROR(__xludf.DUMMYFUNCTION("""COMPUTED_VALUE"""),"na")</f>
        <v>na</v>
      </c>
      <c r="I292" s="49" t="str">
        <f>IFERROR(__xludf.DUMMYFUNCTION("""COMPUTED_VALUE"""),"na")</f>
        <v>na</v>
      </c>
      <c r="J292" s="49"/>
      <c r="K292" s="49"/>
      <c r="L292" s="49"/>
    </row>
    <row r="293">
      <c r="A293" s="49" t="str">
        <f>IFERROR(__xludf.DUMMYFUNCTION("""COMPUTED_VALUE"""),"---")</f>
        <v>---</v>
      </c>
      <c r="B293" s="49" t="str">
        <f>IFERROR(__xludf.DUMMYFUNCTION("""COMPUTED_VALUE"""),"---")</f>
        <v>---</v>
      </c>
      <c r="C293" s="49" t="str">
        <f>IFERROR(__xludf.DUMMYFUNCTION("""COMPUTED_VALUE"""),"Stock")</f>
        <v>Stock</v>
      </c>
      <c r="D293" s="399"/>
      <c r="E293" s="39" t="str">
        <f>IFERROR(__xludf.DUMMYFUNCTION("""COMPUTED_VALUE"""),"TG white 21")</f>
        <v>TG white 21</v>
      </c>
      <c r="F293" s="39"/>
      <c r="G293" s="52"/>
      <c r="H293" s="49" t="str">
        <f>IFERROR(__xludf.DUMMYFUNCTION("""COMPUTED_VALUE"""),"na")</f>
        <v>na</v>
      </c>
      <c r="I293" s="49" t="str">
        <f>IFERROR(__xludf.DUMMYFUNCTION("""COMPUTED_VALUE"""),"na")</f>
        <v>na</v>
      </c>
      <c r="J293" s="49"/>
      <c r="K293" s="49"/>
      <c r="L293" s="49"/>
    </row>
    <row r="294">
      <c r="A294" s="49" t="str">
        <f>IFERROR(__xludf.DUMMYFUNCTION("""COMPUTED_VALUE"""),"---")</f>
        <v>---</v>
      </c>
      <c r="B294" s="49" t="str">
        <f>IFERROR(__xludf.DUMMYFUNCTION("""COMPUTED_VALUE"""),"---")</f>
        <v>---</v>
      </c>
      <c r="C294" s="49" t="str">
        <f>IFERROR(__xludf.DUMMYFUNCTION("""COMPUTED_VALUE"""),"Stock")</f>
        <v>Stock</v>
      </c>
      <c r="D294" s="399"/>
      <c r="E294" s="39" t="str">
        <f>IFERROR(__xludf.DUMMYFUNCTION("""COMPUTED_VALUE"""),"TG white 23")</f>
        <v>TG white 23</v>
      </c>
      <c r="F294" s="39"/>
      <c r="G294" s="52"/>
      <c r="H294" s="49" t="str">
        <f>IFERROR(__xludf.DUMMYFUNCTION("""COMPUTED_VALUE"""),"na")</f>
        <v>na</v>
      </c>
      <c r="I294" s="49" t="str">
        <f>IFERROR(__xludf.DUMMYFUNCTION("""COMPUTED_VALUE"""),"na")</f>
        <v>na</v>
      </c>
      <c r="J294" s="49"/>
      <c r="K294" s="49"/>
      <c r="L294" s="49"/>
    </row>
    <row r="295">
      <c r="A295" s="49" t="str">
        <f>IFERROR(__xludf.DUMMYFUNCTION("""COMPUTED_VALUE"""),"---")</f>
        <v>---</v>
      </c>
      <c r="B295" s="49" t="str">
        <f>IFERROR(__xludf.DUMMYFUNCTION("""COMPUTED_VALUE"""),"---")</f>
        <v>---</v>
      </c>
      <c r="C295" s="49" t="str">
        <f>IFERROR(__xludf.DUMMYFUNCTION("""COMPUTED_VALUE"""),"Stock")</f>
        <v>Stock</v>
      </c>
      <c r="D295" s="399"/>
      <c r="E295" s="39" t="str">
        <f>IFERROR(__xludf.DUMMYFUNCTION("""COMPUTED_VALUE"""),"TG white 45")</f>
        <v>TG white 45</v>
      </c>
      <c r="F295" s="39"/>
      <c r="G295" s="52"/>
      <c r="H295" s="49" t="str">
        <f>IFERROR(__xludf.DUMMYFUNCTION("""COMPUTED_VALUE"""),"na")</f>
        <v>na</v>
      </c>
      <c r="I295" s="49" t="str">
        <f>IFERROR(__xludf.DUMMYFUNCTION("""COMPUTED_VALUE"""),"na")</f>
        <v>na</v>
      </c>
      <c r="J295" s="49"/>
      <c r="K295" s="49"/>
      <c r="L295" s="49"/>
    </row>
    <row r="296">
      <c r="A296" s="49" t="str">
        <f>IFERROR(__xludf.DUMMYFUNCTION("""COMPUTED_VALUE"""),"---")</f>
        <v>---</v>
      </c>
      <c r="B296" s="49" t="str">
        <f>IFERROR(__xludf.DUMMYFUNCTION("""COMPUTED_VALUE"""),"---")</f>
        <v>---</v>
      </c>
      <c r="C296" s="49" t="str">
        <f>IFERROR(__xludf.DUMMYFUNCTION("""COMPUTED_VALUE"""),"Stock")</f>
        <v>Stock</v>
      </c>
      <c r="D296" s="399"/>
      <c r="E296" s="39" t="str">
        <f>IFERROR(__xludf.DUMMYFUNCTION("""COMPUTED_VALUE"""),"TG white 49")</f>
        <v>TG white 49</v>
      </c>
      <c r="F296" s="39"/>
      <c r="G296" s="52"/>
      <c r="H296" s="49" t="str">
        <f>IFERROR(__xludf.DUMMYFUNCTION("""COMPUTED_VALUE"""),"na")</f>
        <v>na</v>
      </c>
      <c r="I296" s="49" t="str">
        <f>IFERROR(__xludf.DUMMYFUNCTION("""COMPUTED_VALUE"""),"na")</f>
        <v>na</v>
      </c>
      <c r="J296" s="49"/>
      <c r="K296" s="49"/>
      <c r="L296" s="49"/>
    </row>
    <row r="297">
      <c r="A297" s="49" t="str">
        <f>IFERROR(__xludf.DUMMYFUNCTION("""COMPUTED_VALUE"""),"---")</f>
        <v>---</v>
      </c>
      <c r="B297" s="49" t="str">
        <f>IFERROR(__xludf.DUMMYFUNCTION("""COMPUTED_VALUE"""),"---")</f>
        <v>---</v>
      </c>
      <c r="C297" s="49" t="str">
        <f>IFERROR(__xludf.DUMMYFUNCTION("""COMPUTED_VALUE"""),"Stock")</f>
        <v>Stock</v>
      </c>
      <c r="D297" s="399" t="str">
        <f>IFERROR(__xludf.DUMMYFUNCTION("""COMPUTED_VALUE"""),"Valley")</f>
        <v>Valley</v>
      </c>
      <c r="E297" s="39" t="str">
        <f>IFERROR(__xludf.DUMMYFUNCTION("""COMPUTED_VALUE"""),"Wristmaster II RH M")</f>
        <v>Wristmaster II RH M</v>
      </c>
      <c r="F297" s="39"/>
      <c r="G297" s="52"/>
      <c r="H297" s="49" t="str">
        <f>IFERROR(__xludf.DUMMYFUNCTION("""COMPUTED_VALUE"""),"na")</f>
        <v>na</v>
      </c>
      <c r="I297" s="49" t="str">
        <f>IFERROR(__xludf.DUMMYFUNCTION("""COMPUTED_VALUE"""),"na")</f>
        <v>na</v>
      </c>
      <c r="J297" s="49"/>
      <c r="K297" s="49"/>
      <c r="L297" s="49"/>
    </row>
    <row r="298">
      <c r="A298" s="49" t="str">
        <f>IFERROR(__xludf.DUMMYFUNCTION("""COMPUTED_VALUE"""),"---")</f>
        <v>---</v>
      </c>
      <c r="B298" s="49" t="str">
        <f>IFERROR(__xludf.DUMMYFUNCTION("""COMPUTED_VALUE"""),"---")</f>
        <v>---</v>
      </c>
      <c r="C298" s="49" t="str">
        <f>IFERROR(__xludf.DUMMYFUNCTION("""COMPUTED_VALUE"""),"Stock")</f>
        <v>Stock</v>
      </c>
      <c r="D298" s="399"/>
      <c r="E298" s="39" t="str">
        <f>IFERROR(__xludf.DUMMYFUNCTION("""COMPUTED_VALUE"""),"JoPo removal tool")</f>
        <v>JoPo removal tool</v>
      </c>
      <c r="F298" s="39"/>
      <c r="G298" s="52"/>
      <c r="H298" s="49" t="str">
        <f>IFERROR(__xludf.DUMMYFUNCTION("""COMPUTED_VALUE"""),"na")</f>
        <v>na</v>
      </c>
      <c r="I298" s="49" t="str">
        <f>IFERROR(__xludf.DUMMYFUNCTION("""COMPUTED_VALUE"""),"na")</f>
        <v>na</v>
      </c>
      <c r="J298" s="49"/>
      <c r="K298" s="49"/>
      <c r="L298" s="49"/>
    </row>
    <row r="299">
      <c r="A299" s="49" t="str">
        <f>IFERROR(__xludf.DUMMYFUNCTION("""COMPUTED_VALUE"""),"---")</f>
        <v>---</v>
      </c>
      <c r="B299" s="49" t="str">
        <f>IFERROR(__xludf.DUMMYFUNCTION("""COMPUTED_VALUE"""),"---")</f>
        <v>---</v>
      </c>
      <c r="C299" s="49" t="str">
        <f>IFERROR(__xludf.DUMMYFUNCTION("""COMPUTED_VALUE"""),"Stock")</f>
        <v>Stock</v>
      </c>
      <c r="D299" s="399"/>
      <c r="E299" s="39" t="str">
        <f>IFERROR(__xludf.DUMMYFUNCTION("""COMPUTED_VALUE"""),"JoPo Outer sleeves")</f>
        <v>JoPo Outer sleeves</v>
      </c>
      <c r="F299" s="39"/>
      <c r="G299" s="52"/>
      <c r="H299" s="49" t="str">
        <f>IFERROR(__xludf.DUMMYFUNCTION("""COMPUTED_VALUE"""),"na")</f>
        <v>na</v>
      </c>
      <c r="I299" s="49" t="str">
        <f>IFERROR(__xludf.DUMMYFUNCTION("""COMPUTED_VALUE"""),"na")</f>
        <v>na</v>
      </c>
      <c r="J299" s="49"/>
      <c r="K299" s="49"/>
      <c r="L299" s="49"/>
    </row>
    <row r="300">
      <c r="A300" s="49" t="str">
        <f>IFERROR(__xludf.DUMMYFUNCTION("""COMPUTED_VALUE"""),"---")</f>
        <v>---</v>
      </c>
      <c r="B300" s="49" t="str">
        <f>IFERROR(__xludf.DUMMYFUNCTION("""COMPUTED_VALUE"""),"---")</f>
        <v>---</v>
      </c>
      <c r="C300" s="49" t="str">
        <f>IFERROR(__xludf.DUMMYFUNCTION("""COMPUTED_VALUE"""),"Richie lei")</f>
        <v>Richie lei</v>
      </c>
      <c r="D300" s="399"/>
      <c r="E300" s="39" t="str">
        <f>IFERROR(__xludf.DUMMYFUNCTION("""COMPUTED_VALUE"""),"Storm Bionic 15 lb")</f>
        <v>Storm Bionic 15 lb</v>
      </c>
      <c r="F300" s="39"/>
      <c r="G300" s="52"/>
      <c r="H300" s="49" t="str">
        <f>IFERROR(__xludf.DUMMYFUNCTION("""COMPUTED_VALUE"""),"Y")</f>
        <v>Y</v>
      </c>
      <c r="I300" s="49" t="str">
        <f>IFERROR(__xludf.DUMMYFUNCTION("""COMPUTED_VALUE"""),"Y")</f>
        <v>Y</v>
      </c>
      <c r="J300" s="49"/>
      <c r="K300" s="49"/>
      <c r="L300" s="49"/>
    </row>
    <row r="301">
      <c r="A301" s="49" t="str">
        <f>IFERROR(__xludf.DUMMYFUNCTION("""COMPUTED_VALUE"""),"---")</f>
        <v>---</v>
      </c>
      <c r="B301" s="49" t="str">
        <f>IFERROR(__xludf.DUMMYFUNCTION("""COMPUTED_VALUE"""),"---")</f>
        <v>---</v>
      </c>
      <c r="C301" s="49" t="str">
        <f>IFERROR(__xludf.DUMMYFUNCTION("""COMPUTED_VALUE"""),"Debra Barno")</f>
        <v>Debra Barno</v>
      </c>
      <c r="D301" s="399" t="str">
        <f>IFERROR(__xludf.DUMMYFUNCTION("""COMPUTED_VALUE"""),"Valley")</f>
        <v>Valley</v>
      </c>
      <c r="E301" s="39" t="str">
        <f>IFERROR(__xludf.DUMMYFUNCTION("""COMPUTED_VALUE"""),"Brunswick Twist sky blue/pink/snow 10 lb")</f>
        <v>Brunswick Twist sky blue/pink/snow 10 lb</v>
      </c>
      <c r="F301" s="39"/>
      <c r="G301" s="52"/>
      <c r="H301" s="49" t="str">
        <f>IFERROR(__xludf.DUMMYFUNCTION("""COMPUTED_VALUE"""),"Y")</f>
        <v>Y</v>
      </c>
      <c r="I301" s="49" t="str">
        <f>IFERROR(__xludf.DUMMYFUNCTION("""COMPUTED_VALUE"""),"Y")</f>
        <v>Y</v>
      </c>
      <c r="J301" s="49"/>
      <c r="K301" s="49"/>
      <c r="L301" s="49"/>
    </row>
    <row r="302">
      <c r="A302" s="49" t="str">
        <f>IFERROR(__xludf.DUMMYFUNCTION("""COMPUTED_VALUE"""),"---")</f>
        <v>---</v>
      </c>
      <c r="B302" s="49" t="str">
        <f>IFERROR(__xludf.DUMMYFUNCTION("""COMPUTED_VALUE"""),"---")</f>
        <v>---</v>
      </c>
      <c r="C302" s="49" t="str">
        <f>IFERROR(__xludf.DUMMYFUNCTION("""COMPUTED_VALUE"""),"Michael Dinning")</f>
        <v>Michael Dinning</v>
      </c>
      <c r="D302" s="399" t="str">
        <f>IFERROR(__xludf.DUMMYFUNCTION("""COMPUTED_VALUE"""),"Valley")</f>
        <v>Valley</v>
      </c>
      <c r="E302" s="39" t="str">
        <f>IFERROR(__xludf.DUMMYFUNCTION("""COMPUTED_VALUE"""),"Storm Concept - 15 lbs")</f>
        <v>Storm Concept - 15 lbs</v>
      </c>
      <c r="F302" s="39"/>
      <c r="G302" s="52"/>
      <c r="H302" s="49" t="str">
        <f>IFERROR(__xludf.DUMMYFUNCTION("""COMPUTED_VALUE"""),"Y")</f>
        <v>Y</v>
      </c>
      <c r="I302" s="49" t="str">
        <f>IFERROR(__xludf.DUMMYFUNCTION("""COMPUTED_VALUE"""),"Y")</f>
        <v>Y</v>
      </c>
      <c r="J302" s="49"/>
      <c r="K302" s="49"/>
      <c r="L302" s="49"/>
    </row>
    <row r="303">
      <c r="A303" s="49" t="str">
        <f>IFERROR(__xludf.DUMMYFUNCTION("""COMPUTED_VALUE"""),"---")</f>
        <v>---</v>
      </c>
      <c r="B303" s="49" t="str">
        <f>IFERROR(__xludf.DUMMYFUNCTION("""COMPUTED_VALUE"""),"---")</f>
        <v>---</v>
      </c>
      <c r="C303" s="49" t="str">
        <f>IFERROR(__xludf.DUMMYFUNCTION("""COMPUTED_VALUE"""),"Stock")</f>
        <v>Stock</v>
      </c>
      <c r="D303" s="399" t="str">
        <f>IFERROR(__xludf.DUMMYFUNCTION("""COMPUTED_VALUE"""),"Valley")</f>
        <v>Valley</v>
      </c>
      <c r="E303" s="39" t="str">
        <f>IFERROR(__xludf.DUMMYFUNCTION("""COMPUTED_VALUE"""),"Brunswick Move size 8.5")</f>
        <v>Brunswick Move size 8.5</v>
      </c>
      <c r="F303" s="39"/>
      <c r="G303" s="52"/>
      <c r="H303" s="49" t="str">
        <f>IFERROR(__xludf.DUMMYFUNCTION("""COMPUTED_VALUE"""),"na")</f>
        <v>na</v>
      </c>
      <c r="I303" s="49" t="str">
        <f>IFERROR(__xludf.DUMMYFUNCTION("""COMPUTED_VALUE"""),"na")</f>
        <v>na</v>
      </c>
      <c r="J303" s="49"/>
      <c r="K303" s="49"/>
      <c r="L303" s="49"/>
    </row>
    <row r="304">
      <c r="A304" s="49" t="str">
        <f>IFERROR(__xludf.DUMMYFUNCTION("""COMPUTED_VALUE"""),"---")</f>
        <v>---</v>
      </c>
      <c r="B304" s="49" t="str">
        <f>IFERROR(__xludf.DUMMYFUNCTION("""COMPUTED_VALUE"""),"---")</f>
        <v>---</v>
      </c>
      <c r="C304" s="49" t="str">
        <f>IFERROR(__xludf.DUMMYFUNCTION("""COMPUTED_VALUE"""),"Stock")</f>
        <v>Stock</v>
      </c>
      <c r="D304" s="399" t="str">
        <f>IFERROR(__xludf.DUMMYFUNCTION("""COMPUTED_VALUE"""),"South")</f>
        <v>South</v>
      </c>
      <c r="E304" s="39" t="str">
        <f>IFERROR(__xludf.DUMMYFUNCTION("""COMPUTED_VALUE"""),"Brunswick Prism size 13")</f>
        <v>Brunswick Prism size 13</v>
      </c>
      <c r="F304" s="39"/>
      <c r="G304" s="52"/>
      <c r="H304" s="49" t="str">
        <f>IFERROR(__xludf.DUMMYFUNCTION("""COMPUTED_VALUE"""),"na")</f>
        <v>na</v>
      </c>
      <c r="I304" s="49" t="str">
        <f>IFERROR(__xludf.DUMMYFUNCTION("""COMPUTED_VALUE"""),"na")</f>
        <v>na</v>
      </c>
      <c r="J304" s="49"/>
      <c r="K304" s="49"/>
      <c r="L304" s="49"/>
    </row>
    <row r="305">
      <c r="A305" s="49" t="str">
        <f>IFERROR(__xludf.DUMMYFUNCTION("""COMPUTED_VALUE"""),"---")</f>
        <v>---</v>
      </c>
      <c r="B305" s="49" t="str">
        <f>IFERROR(__xludf.DUMMYFUNCTION("""COMPUTED_VALUE"""),"---")</f>
        <v>---</v>
      </c>
      <c r="C305" s="49" t="str">
        <f>IFERROR(__xludf.DUMMYFUNCTION("""COMPUTED_VALUE"""),"Stock")</f>
        <v>Stock</v>
      </c>
      <c r="D305" s="399" t="str">
        <f>IFERROR(__xludf.DUMMYFUNCTION("""COMPUTED_VALUE"""),"Valley")</f>
        <v>Valley</v>
      </c>
      <c r="E305" s="39" t="str">
        <f>IFERROR(__xludf.DUMMYFUNCTION("""COMPUTED_VALUE"""),"Brunswick Prism size 12")</f>
        <v>Brunswick Prism size 12</v>
      </c>
      <c r="F305" s="39"/>
      <c r="G305" s="52"/>
      <c r="H305" s="49" t="str">
        <f>IFERROR(__xludf.DUMMYFUNCTION("""COMPUTED_VALUE"""),"na")</f>
        <v>na</v>
      </c>
      <c r="I305" s="49" t="str">
        <f>IFERROR(__xludf.DUMMYFUNCTION("""COMPUTED_VALUE"""),"na")</f>
        <v>na</v>
      </c>
      <c r="J305" s="49"/>
      <c r="K305" s="49"/>
      <c r="L305" s="49"/>
    </row>
    <row r="306">
      <c r="A306" s="49" t="str">
        <f>IFERROR(__xludf.DUMMYFUNCTION("""COMPUTED_VALUE"""),"---")</f>
        <v>---</v>
      </c>
      <c r="B306" s="49" t="str">
        <f>IFERROR(__xludf.DUMMYFUNCTION("""COMPUTED_VALUE"""),"---")</f>
        <v>---</v>
      </c>
      <c r="C306" s="49" t="str">
        <f>IFERROR(__xludf.DUMMYFUNCTION("""COMPUTED_VALUE"""),"Stock")</f>
        <v>Stock</v>
      </c>
      <c r="D306" s="399" t="str">
        <f>IFERROR(__xludf.DUMMYFUNCTION("""COMPUTED_VALUE"""),"South")</f>
        <v>South</v>
      </c>
      <c r="E306" s="39" t="str">
        <f>IFERROR(__xludf.DUMMYFUNCTION("""COMPUTED_VALUE"""),"Brunswick Prism size 11")</f>
        <v>Brunswick Prism size 11</v>
      </c>
      <c r="F306" s="39"/>
      <c r="G306" s="52"/>
      <c r="H306" s="49" t="str">
        <f>IFERROR(__xludf.DUMMYFUNCTION("""COMPUTED_VALUE"""),"na")</f>
        <v>na</v>
      </c>
      <c r="I306" s="49" t="str">
        <f>IFERROR(__xludf.DUMMYFUNCTION("""COMPUTED_VALUE"""),"na")</f>
        <v>na</v>
      </c>
      <c r="J306" s="49"/>
      <c r="K306" s="49"/>
      <c r="L306" s="49"/>
    </row>
    <row r="307">
      <c r="A307" s="49" t="str">
        <f>IFERROR(__xludf.DUMMYFUNCTION("""COMPUTED_VALUE"""),"---")</f>
        <v>---</v>
      </c>
      <c r="B307" s="49" t="str">
        <f>IFERROR(__xludf.DUMMYFUNCTION("""COMPUTED_VALUE"""),"---")</f>
        <v>---</v>
      </c>
      <c r="C307" s="49" t="str">
        <f>IFERROR(__xludf.DUMMYFUNCTION("""COMPUTED_VALUE"""),"Stock")</f>
        <v>Stock</v>
      </c>
      <c r="D307" s="399" t="str">
        <f>IFERROR(__xludf.DUMMYFUNCTION("""COMPUTED_VALUE"""),"South")</f>
        <v>South</v>
      </c>
      <c r="E307" s="39" t="str">
        <f>IFERROR(__xludf.DUMMYFUNCTION("""COMPUTED_VALUE"""),"Brunswick Prism size 11.5")</f>
        <v>Brunswick Prism size 11.5</v>
      </c>
      <c r="F307" s="39"/>
      <c r="G307" s="52"/>
      <c r="H307" s="49" t="str">
        <f>IFERROR(__xludf.DUMMYFUNCTION("""COMPUTED_VALUE"""),"na")</f>
        <v>na</v>
      </c>
      <c r="I307" s="49" t="str">
        <f>IFERROR(__xludf.DUMMYFUNCTION("""COMPUTED_VALUE"""),"na")</f>
        <v>na</v>
      </c>
      <c r="J307" s="49"/>
      <c r="K307" s="49"/>
      <c r="L307" s="49"/>
    </row>
    <row r="308">
      <c r="A308" s="49" t="str">
        <f>IFERROR(__xludf.DUMMYFUNCTION("""COMPUTED_VALUE"""),"---")</f>
        <v>---</v>
      </c>
      <c r="B308" s="49" t="str">
        <f>IFERROR(__xludf.DUMMYFUNCTION("""COMPUTED_VALUE"""),"---")</f>
        <v>---</v>
      </c>
      <c r="C308" s="49" t="str">
        <f>IFERROR(__xludf.DUMMYFUNCTION("""COMPUTED_VALUE"""),"Stock")</f>
        <v>Stock</v>
      </c>
      <c r="D308" s="399" t="str">
        <f>IFERROR(__xludf.DUMMYFUNCTION("""COMPUTED_VALUE"""),"South")</f>
        <v>South</v>
      </c>
      <c r="E308" s="39" t="str">
        <f>IFERROR(__xludf.DUMMYFUNCTION("""COMPUTED_VALUE"""),"Brunswick Prism size 10.5")</f>
        <v>Brunswick Prism size 10.5</v>
      </c>
      <c r="F308" s="39"/>
      <c r="G308" s="52"/>
      <c r="H308" s="49" t="str">
        <f>IFERROR(__xludf.DUMMYFUNCTION("""COMPUTED_VALUE"""),"na")</f>
        <v>na</v>
      </c>
      <c r="I308" s="49" t="str">
        <f>IFERROR(__xludf.DUMMYFUNCTION("""COMPUTED_VALUE"""),"na")</f>
        <v>na</v>
      </c>
      <c r="J308" s="49"/>
      <c r="K308" s="49"/>
      <c r="L308" s="49"/>
    </row>
    <row r="309">
      <c r="A309" s="49" t="str">
        <f>IFERROR(__xludf.DUMMYFUNCTION("""COMPUTED_VALUE"""),"---")</f>
        <v>---</v>
      </c>
      <c r="B309" s="49" t="str">
        <f>IFERROR(__xludf.DUMMYFUNCTION("""COMPUTED_VALUE"""),"---")</f>
        <v>---</v>
      </c>
      <c r="C309" s="49" t="str">
        <f>IFERROR(__xludf.DUMMYFUNCTION("""COMPUTED_VALUE"""),"Stock")</f>
        <v>Stock</v>
      </c>
      <c r="D309" s="399" t="str">
        <f>IFERROR(__xludf.DUMMYFUNCTION("""COMPUTED_VALUE"""),"South")</f>
        <v>South</v>
      </c>
      <c r="E309" s="39" t="str">
        <f>IFERROR(__xludf.DUMMYFUNCTION("""COMPUTED_VALUE"""),"Master Giant Rosin Bag")</f>
        <v>Master Giant Rosin Bag</v>
      </c>
      <c r="F309" s="39"/>
      <c r="G309" s="52"/>
      <c r="H309" s="49" t="str">
        <f>IFERROR(__xludf.DUMMYFUNCTION("""COMPUTED_VALUE"""),"na")</f>
        <v>na</v>
      </c>
      <c r="I309" s="49" t="str">
        <f>IFERROR(__xludf.DUMMYFUNCTION("""COMPUTED_VALUE"""),"na")</f>
        <v>na</v>
      </c>
      <c r="J309" s="49"/>
      <c r="K309" s="49"/>
      <c r="L309" s="49"/>
    </row>
    <row r="310">
      <c r="A310" s="49" t="str">
        <f>IFERROR(__xludf.DUMMYFUNCTION("""COMPUTED_VALUE"""),"---")</f>
        <v>---</v>
      </c>
      <c r="B310" s="49" t="str">
        <f>IFERROR(__xludf.DUMMYFUNCTION("""COMPUTED_VALUE"""),"---")</f>
        <v>---</v>
      </c>
      <c r="C310" s="49" t="str">
        <f>IFERROR(__xludf.DUMMYFUNCTION("""COMPUTED_VALUE"""),"Kenneth Petroziello")</f>
        <v>Kenneth Petroziello</v>
      </c>
      <c r="D310" s="399" t="str">
        <f>IFERROR(__xludf.DUMMYFUNCTION("""COMPUTED_VALUE"""),"South")</f>
        <v>South</v>
      </c>
      <c r="E310" s="39" t="str">
        <f>IFERROR(__xludf.DUMMYFUNCTION("""COMPUTED_VALUE"""),"Hammer zero mercy pearl 14 lb")</f>
        <v>Hammer zero mercy pearl 14 lb</v>
      </c>
      <c r="F310" s="39"/>
      <c r="G310" s="52"/>
      <c r="H310" s="49" t="str">
        <f>IFERROR(__xludf.DUMMYFUNCTION("""COMPUTED_VALUE"""),"Y")</f>
        <v>Y</v>
      </c>
      <c r="I310" s="49" t="str">
        <f>IFERROR(__xludf.DUMMYFUNCTION("""COMPUTED_VALUE"""),"Y")</f>
        <v>Y</v>
      </c>
      <c r="J310" s="49"/>
      <c r="K310" s="49"/>
      <c r="L310" s="49"/>
    </row>
    <row r="311">
      <c r="A311" s="49" t="str">
        <f>IFERROR(__xludf.DUMMYFUNCTION("""COMPUTED_VALUE"""),"---")</f>
        <v>---</v>
      </c>
      <c r="B311" s="49" t="str">
        <f>IFERROR(__xludf.DUMMYFUNCTION("""COMPUTED_VALUE"""),"---")</f>
        <v>---</v>
      </c>
      <c r="C311" s="49" t="str">
        <f>IFERROR(__xludf.DUMMYFUNCTION("""COMPUTED_VALUE"""),"Stock")</f>
        <v>Stock</v>
      </c>
      <c r="D311" s="399" t="str">
        <f>IFERROR(__xludf.DUMMYFUNCTION("""COMPUTED_VALUE"""),"South")</f>
        <v>South</v>
      </c>
      <c r="E311" s="39" t="str">
        <f>IFERROR(__xludf.DUMMYFUNCTION("""COMPUTED_VALUE"""),"C300 Piranha 15 lb")</f>
        <v>C300 Piranha 15 lb</v>
      </c>
      <c r="F311" s="39"/>
      <c r="G311" s="52"/>
      <c r="H311" s="49" t="str">
        <f>IFERROR(__xludf.DUMMYFUNCTION("""COMPUTED_VALUE"""),"na")</f>
        <v>na</v>
      </c>
      <c r="I311" s="49" t="str">
        <f>IFERROR(__xludf.DUMMYFUNCTION("""COMPUTED_VALUE"""),"na")</f>
        <v>na</v>
      </c>
      <c r="J311" s="49"/>
      <c r="K311" s="49"/>
      <c r="L311" s="49"/>
    </row>
    <row r="312">
      <c r="A312" s="49" t="str">
        <f>IFERROR(__xludf.DUMMYFUNCTION("""COMPUTED_VALUE"""),"---")</f>
        <v>---</v>
      </c>
      <c r="B312" s="49" t="str">
        <f>IFERROR(__xludf.DUMMYFUNCTION("""COMPUTED_VALUE"""),"---")</f>
        <v>---</v>
      </c>
      <c r="C312" s="49" t="str">
        <f>IFERROR(__xludf.DUMMYFUNCTION("""COMPUTED_VALUE"""),"Stock")</f>
        <v>Stock</v>
      </c>
      <c r="D312" s="399" t="str">
        <f>IFERROR(__xludf.DUMMYFUNCTION("""COMPUTED_VALUE"""),"Valley")</f>
        <v>Valley</v>
      </c>
      <c r="E312" s="39" t="str">
        <f>IFERROR(__xludf.DUMMYFUNCTION("""COMPUTED_VALUE"""),"C300 Piranha 15 lb")</f>
        <v>C300 Piranha 15 lb</v>
      </c>
      <c r="F312" s="39"/>
      <c r="G312" s="52"/>
      <c r="H312" s="49" t="str">
        <f>IFERROR(__xludf.DUMMYFUNCTION("""COMPUTED_VALUE"""),"na")</f>
        <v>na</v>
      </c>
      <c r="I312" s="49" t="str">
        <f>IFERROR(__xludf.DUMMYFUNCTION("""COMPUTED_VALUE"""),"na")</f>
        <v>na</v>
      </c>
      <c r="J312" s="49"/>
      <c r="K312" s="49"/>
      <c r="L312" s="49"/>
    </row>
    <row r="313">
      <c r="A313" s="49" t="str">
        <f>IFERROR(__xludf.DUMMYFUNCTION("""COMPUTED_VALUE"""),"---")</f>
        <v>---</v>
      </c>
      <c r="B313" s="49" t="str">
        <f>IFERROR(__xludf.DUMMYFUNCTION("""COMPUTED_VALUE"""),"---")</f>
        <v>---</v>
      </c>
      <c r="C313" s="49" t="str">
        <f>IFERROR(__xludf.DUMMYFUNCTION("""COMPUTED_VALUE"""),"Stock")</f>
        <v>Stock</v>
      </c>
      <c r="D313" s="399" t="str">
        <f>IFERROR(__xludf.DUMMYFUNCTION("""COMPUTED_VALUE"""),"Both")</f>
        <v>Both</v>
      </c>
      <c r="E313" s="39" t="str">
        <f>IFERROR(__xludf.DUMMYFUNCTION("""COMPUTED_VALUE"""),"Hammer Black Widow Dynasty 3.0 15 lb")</f>
        <v>Hammer Black Widow Dynasty 3.0 15 lb</v>
      </c>
      <c r="F313" s="39"/>
      <c r="G313" s="52"/>
      <c r="H313" s="49" t="str">
        <f>IFERROR(__xludf.DUMMYFUNCTION("""COMPUTED_VALUE"""),"na")</f>
        <v>na</v>
      </c>
      <c r="I313" s="49" t="str">
        <f>IFERROR(__xludf.DUMMYFUNCTION("""COMPUTED_VALUE"""),"na")</f>
        <v>na</v>
      </c>
      <c r="J313" s="49"/>
      <c r="K313" s="49"/>
      <c r="L313" s="49"/>
    </row>
    <row r="314">
      <c r="A314" s="49" t="str">
        <f>IFERROR(__xludf.DUMMYFUNCTION("""COMPUTED_VALUE"""),"---")</f>
        <v>---</v>
      </c>
      <c r="B314" s="49" t="str">
        <f>IFERROR(__xludf.DUMMYFUNCTION("""COMPUTED_VALUE"""),"---")</f>
        <v>---</v>
      </c>
      <c r="C314" s="49" t="str">
        <f>IFERROR(__xludf.DUMMYFUNCTION("""COMPUTED_VALUE"""),"Steven Furiosi")</f>
        <v>Steven Furiosi</v>
      </c>
      <c r="D314" s="399" t="str">
        <f>IFERROR(__xludf.DUMMYFUNCTION("""COMPUTED_VALUE"""),"South")</f>
        <v>South</v>
      </c>
      <c r="E314" s="39" t="str">
        <f>IFERROR(__xludf.DUMMYFUNCTION("""COMPUTED_VALUE"""),"Hammer Black Widow Dynasty 3.0 14 lb")</f>
        <v>Hammer Black Widow Dynasty 3.0 14 lb</v>
      </c>
      <c r="F314" s="39"/>
      <c r="G314" s="52"/>
      <c r="H314" s="49" t="str">
        <f>IFERROR(__xludf.DUMMYFUNCTION("""COMPUTED_VALUE"""),"Y")</f>
        <v>Y</v>
      </c>
      <c r="I314" s="49" t="str">
        <f>IFERROR(__xludf.DUMMYFUNCTION("""COMPUTED_VALUE"""),"Y")</f>
        <v>Y</v>
      </c>
      <c r="J314" s="49"/>
      <c r="K314" s="49"/>
      <c r="L314" s="49"/>
    </row>
    <row r="315">
      <c r="A315" s="49" t="str">
        <f>IFERROR(__xludf.DUMMYFUNCTION("""COMPUTED_VALUE"""),"---")</f>
        <v>---</v>
      </c>
      <c r="B315" s="49" t="str">
        <f>IFERROR(__xludf.DUMMYFUNCTION("""COMPUTED_VALUE"""),"---")</f>
        <v>---</v>
      </c>
      <c r="C315" s="49" t="str">
        <f>IFERROR(__xludf.DUMMYFUNCTION("""COMPUTED_VALUE"""),"Ed Slick")</f>
        <v>Ed Slick</v>
      </c>
      <c r="D315" s="399" t="str">
        <f>IFERROR(__xludf.DUMMYFUNCTION("""COMPUTED_VALUE"""),"Valley")</f>
        <v>Valley</v>
      </c>
      <c r="E315" s="39" t="str">
        <f>IFERROR(__xludf.DUMMYFUNCTION("""COMPUTED_VALUE"""),"Brunswick Crown Victory Pearl 15 lb")</f>
        <v>Brunswick Crown Victory Pearl 15 lb</v>
      </c>
      <c r="F315" s="39"/>
      <c r="G315" s="52"/>
      <c r="H315" s="49" t="str">
        <f>IFERROR(__xludf.DUMMYFUNCTION("""COMPUTED_VALUE"""),"Y")</f>
        <v>Y</v>
      </c>
      <c r="I315" s="49" t="str">
        <f>IFERROR(__xludf.DUMMYFUNCTION("""COMPUTED_VALUE"""),"Y")</f>
        <v>Y</v>
      </c>
      <c r="J315" s="49"/>
      <c r="K315" s="49"/>
      <c r="L315" s="49"/>
    </row>
    <row r="316">
      <c r="A316" s="49" t="str">
        <f>IFERROR(__xludf.DUMMYFUNCTION("""COMPUTED_VALUE"""),"---")</f>
        <v>---</v>
      </c>
      <c r="B316" s="49" t="str">
        <f>IFERROR(__xludf.DUMMYFUNCTION("""COMPUTED_VALUE"""),"---")</f>
        <v>---</v>
      </c>
      <c r="C316" s="49" t="str">
        <f>IFERROR(__xludf.DUMMYFUNCTION("""COMPUTED_VALUE"""),"Gary Ladomirak Jr")</f>
        <v>Gary Ladomirak Jr</v>
      </c>
      <c r="D316" s="399" t="str">
        <f>IFERROR(__xludf.DUMMYFUNCTION("""COMPUTED_VALUE"""),"Valley")</f>
        <v>Valley</v>
      </c>
      <c r="E316" s="39" t="str">
        <f>IFERROR(__xludf.DUMMYFUNCTION("""COMPUTED_VALUE"""),"Storm Bionic 15 lb")</f>
        <v>Storm Bionic 15 lb</v>
      </c>
      <c r="F316" s="39"/>
      <c r="G316" s="52"/>
      <c r="H316" s="49" t="str">
        <f>IFERROR(__xludf.DUMMYFUNCTION("""COMPUTED_VALUE"""),"Y")</f>
        <v>Y</v>
      </c>
      <c r="I316" s="49" t="str">
        <f>IFERROR(__xludf.DUMMYFUNCTION("""COMPUTED_VALUE"""),"Y")</f>
        <v>Y</v>
      </c>
      <c r="J316" s="49"/>
      <c r="K316" s="49"/>
      <c r="L316" s="49"/>
    </row>
    <row r="317">
      <c r="A317" s="49" t="str">
        <f>IFERROR(__xludf.DUMMYFUNCTION("""COMPUTED_VALUE"""),"---")</f>
        <v>---</v>
      </c>
      <c r="B317" s="49" t="str">
        <f>IFERROR(__xludf.DUMMYFUNCTION("""COMPUTED_VALUE"""),"---")</f>
        <v>---</v>
      </c>
      <c r="C317" s="49" t="str">
        <f>IFERROR(__xludf.DUMMYFUNCTION("""COMPUTED_VALUE"""),"Stephanie Sheridan")</f>
        <v>Stephanie Sheridan</v>
      </c>
      <c r="D317" s="399" t="str">
        <f>IFERROR(__xludf.DUMMYFUNCTION("""COMPUTED_VALUE"""),"South")</f>
        <v>South</v>
      </c>
      <c r="E317" s="39" t="str">
        <f>IFERROR(__xludf.DUMMYFUNCTION("""COMPUTED_VALUE"""),"Hammer Dye Sub Triple Tote Pink Arrows")</f>
        <v>Hammer Dye Sub Triple Tote Pink Arrows</v>
      </c>
      <c r="F317" s="39"/>
      <c r="G317" s="52"/>
      <c r="H317" s="49" t="str">
        <f>IFERROR(__xludf.DUMMYFUNCTION("""COMPUTED_VALUE"""),"Y")</f>
        <v>Y</v>
      </c>
      <c r="I317" s="49" t="str">
        <f>IFERROR(__xludf.DUMMYFUNCTION("""COMPUTED_VALUE"""),"Y")</f>
        <v>Y</v>
      </c>
      <c r="J317" s="49"/>
      <c r="K317" s="49"/>
      <c r="L317" s="49"/>
    </row>
    <row r="318">
      <c r="A318" s="49" t="str">
        <f>IFERROR(__xludf.DUMMYFUNCTION("""COMPUTED_VALUE"""),"---")</f>
        <v>---</v>
      </c>
      <c r="B318" s="49" t="str">
        <f>IFERROR(__xludf.DUMMYFUNCTION("""COMPUTED_VALUE"""),"---")</f>
        <v>---</v>
      </c>
      <c r="C318" s="49" t="str">
        <f>IFERROR(__xludf.DUMMYFUNCTION("""COMPUTED_VALUE"""),"Stock")</f>
        <v>Stock</v>
      </c>
      <c r="D318" s="399" t="str">
        <f>IFERROR(__xludf.DUMMYFUNCTION("""COMPUTED_VALUE"""),"South")</f>
        <v>South</v>
      </c>
      <c r="E318" s="39" t="str">
        <f>IFERROR(__xludf.DUMMYFUNCTION("""COMPUTED_VALUE"""),"Storm Phaze II Pearl 15 lb")</f>
        <v>Storm Phaze II Pearl 15 lb</v>
      </c>
      <c r="F318" s="39"/>
      <c r="G318" s="52"/>
      <c r="H318" s="49" t="str">
        <f>IFERROR(__xludf.DUMMYFUNCTION("""COMPUTED_VALUE"""),"na")</f>
        <v>na</v>
      </c>
      <c r="I318" s="49" t="str">
        <f>IFERROR(__xludf.DUMMYFUNCTION("""COMPUTED_VALUE"""),"na")</f>
        <v>na</v>
      </c>
      <c r="J318" s="49"/>
      <c r="K318" s="49"/>
      <c r="L318" s="49"/>
    </row>
    <row r="319">
      <c r="A319" s="49" t="str">
        <f>IFERROR(__xludf.DUMMYFUNCTION("""COMPUTED_VALUE"""),"---")</f>
        <v>---</v>
      </c>
      <c r="B319" s="49" t="str">
        <f>IFERROR(__xludf.DUMMYFUNCTION("""COMPUTED_VALUE"""),"---")</f>
        <v>---</v>
      </c>
      <c r="C319" s="49" t="str">
        <f>IFERROR(__xludf.DUMMYFUNCTION("""COMPUTED_VALUE"""),"Mike Roberts")</f>
        <v>Mike Roberts</v>
      </c>
      <c r="D319" s="399" t="str">
        <f>IFERROR(__xludf.DUMMYFUNCTION("""COMPUTED_VALUE"""),"South")</f>
        <v>South</v>
      </c>
      <c r="E319" s="39" t="str">
        <f>IFERROR(__xludf.DUMMYFUNCTION("""COMPUTED_VALUE"""),"Hammer NU 2.0 16 lb")</f>
        <v>Hammer NU 2.0 16 lb</v>
      </c>
      <c r="F319" s="39"/>
      <c r="G319" s="52"/>
      <c r="H319" s="49" t="str">
        <f>IFERROR(__xludf.DUMMYFUNCTION("""COMPUTED_VALUE"""),"Y")</f>
        <v>Y</v>
      </c>
      <c r="I319" s="49" t="str">
        <f>IFERROR(__xludf.DUMMYFUNCTION("""COMPUTED_VALUE"""),"Y")</f>
        <v>Y</v>
      </c>
      <c r="J319" s="49"/>
      <c r="K319" s="49"/>
      <c r="L319" s="49"/>
    </row>
    <row r="320">
      <c r="A320" s="49" t="str">
        <f>IFERROR(__xludf.DUMMYFUNCTION("""COMPUTED_VALUE"""),"---")</f>
        <v>---</v>
      </c>
      <c r="B320" s="49" t="str">
        <f>IFERROR(__xludf.DUMMYFUNCTION("""COMPUTED_VALUE"""),"---")</f>
        <v>---</v>
      </c>
      <c r="C320" s="49" t="str">
        <f>IFERROR(__xludf.DUMMYFUNCTION("""COMPUTED_VALUE"""),"Vito Mecca")</f>
        <v>Vito Mecca</v>
      </c>
      <c r="D320" s="399" t="str">
        <f>IFERROR(__xludf.DUMMYFUNCTION("""COMPUTED_VALUE"""),"South")</f>
        <v>South</v>
      </c>
      <c r="E320" s="39" t="str">
        <f>IFERROR(__xludf.DUMMYFUNCTION("""COMPUTED_VALUE"""),"Hammer NU 2.0 14 lb")</f>
        <v>Hammer NU 2.0 14 lb</v>
      </c>
      <c r="F320" s="39"/>
      <c r="G320" s="52"/>
      <c r="H320" s="49" t="str">
        <f>IFERROR(__xludf.DUMMYFUNCTION("""COMPUTED_VALUE"""),"Y")</f>
        <v>Y</v>
      </c>
      <c r="I320" s="49" t="str">
        <f>IFERROR(__xludf.DUMMYFUNCTION("""COMPUTED_VALUE"""),"Y")</f>
        <v>Y</v>
      </c>
      <c r="J320" s="49"/>
      <c r="K320" s="49"/>
      <c r="L320" s="49"/>
    </row>
    <row r="321">
      <c r="A321" s="49" t="str">
        <f>IFERROR(__xludf.DUMMYFUNCTION("""COMPUTED_VALUE"""),"---")</f>
        <v>---</v>
      </c>
      <c r="B321" s="49" t="str">
        <f>IFERROR(__xludf.DUMMYFUNCTION("""COMPUTED_VALUE"""),"---")</f>
        <v>---</v>
      </c>
      <c r="C321" s="49" t="str">
        <f>IFERROR(__xludf.DUMMYFUNCTION("""COMPUTED_VALUE"""),"Stock")</f>
        <v>Stock</v>
      </c>
      <c r="D321" s="399" t="str">
        <f>IFERROR(__xludf.DUMMYFUNCTION("""COMPUTED_VALUE"""),"South")</f>
        <v>South</v>
      </c>
      <c r="E321" s="39" t="str">
        <f>IFERROR(__xludf.DUMMYFUNCTION("""COMPUTED_VALUE"""),"Brunswick Sidekick Tote")</f>
        <v>Brunswick Sidekick Tote</v>
      </c>
      <c r="F321" s="39"/>
      <c r="G321" s="52"/>
      <c r="H321" s="49" t="str">
        <f>IFERROR(__xludf.DUMMYFUNCTION("""COMPUTED_VALUE"""),"na")</f>
        <v>na</v>
      </c>
      <c r="I321" s="49" t="str">
        <f>IFERROR(__xludf.DUMMYFUNCTION("""COMPUTED_VALUE"""),"na")</f>
        <v>na</v>
      </c>
      <c r="J321" s="49"/>
      <c r="K321" s="49"/>
      <c r="L321" s="49"/>
    </row>
    <row r="322">
      <c r="A322" s="49" t="str">
        <f>IFERROR(__xludf.DUMMYFUNCTION("""COMPUTED_VALUE"""),"---")</f>
        <v>---</v>
      </c>
      <c r="B322" s="49" t="str">
        <f>IFERROR(__xludf.DUMMYFUNCTION("""COMPUTED_VALUE"""),"---")</f>
        <v>---</v>
      </c>
      <c r="C322" s="49" t="str">
        <f>IFERROR(__xludf.DUMMYFUNCTION("""COMPUTED_VALUE"""),"Austin Bicking")</f>
        <v>Austin Bicking</v>
      </c>
      <c r="D322" s="399" t="str">
        <f>IFERROR(__xludf.DUMMYFUNCTION("""COMPUTED_VALUE"""),"South")</f>
        <v>South</v>
      </c>
      <c r="E322" s="39" t="str">
        <f>IFERROR(__xludf.DUMMYFUNCTION("""COMPUTED_VALUE"""),"Storm Phaze II Pearl 15 lb")</f>
        <v>Storm Phaze II Pearl 15 lb</v>
      </c>
      <c r="F322" s="39"/>
      <c r="G322" s="52"/>
      <c r="H322" s="49" t="str">
        <f>IFERROR(__xludf.DUMMYFUNCTION("""COMPUTED_VALUE"""),"Y")</f>
        <v>Y</v>
      </c>
      <c r="I322" s="49" t="str">
        <f>IFERROR(__xludf.DUMMYFUNCTION("""COMPUTED_VALUE"""),"Y")</f>
        <v>Y</v>
      </c>
      <c r="J322" s="49"/>
      <c r="K322" s="49"/>
      <c r="L322" s="49"/>
    </row>
    <row r="323">
      <c r="A323" s="49" t="str">
        <f>IFERROR(__xludf.DUMMYFUNCTION("""COMPUTED_VALUE"""),"---")</f>
        <v>---</v>
      </c>
      <c r="B323" s="49" t="str">
        <f>IFERROR(__xludf.DUMMYFUNCTION("""COMPUTED_VALUE"""),"---")</f>
        <v>---</v>
      </c>
      <c r="C323" s="49" t="str">
        <f>IFERROR(__xludf.DUMMYFUNCTION("""COMPUTED_VALUE"""),"Stock")</f>
        <v>Stock</v>
      </c>
      <c r="D323" s="399"/>
      <c r="E323" s="39" t="str">
        <f>IFERROR(__xludf.DUMMYFUNCTION("""COMPUTED_VALUE"""),"Hammer Full Effect 14 lb")</f>
        <v>Hammer Full Effect 14 lb</v>
      </c>
      <c r="F323" s="39"/>
      <c r="G323" s="52"/>
      <c r="H323" s="49" t="str">
        <f>IFERROR(__xludf.DUMMYFUNCTION("""COMPUTED_VALUE"""),"na")</f>
        <v>na</v>
      </c>
      <c r="I323" s="49" t="str">
        <f>IFERROR(__xludf.DUMMYFUNCTION("""COMPUTED_VALUE"""),"na")</f>
        <v>na</v>
      </c>
      <c r="J323" s="49"/>
      <c r="K323" s="49"/>
      <c r="L323" s="49"/>
    </row>
    <row r="324">
      <c r="A324" s="49" t="str">
        <f>IFERROR(__xludf.DUMMYFUNCTION("""COMPUTED_VALUE"""),"---")</f>
        <v>---</v>
      </c>
      <c r="B324" s="49" t="str">
        <f>IFERROR(__xludf.DUMMYFUNCTION("""COMPUTED_VALUE"""),"---")</f>
        <v>---</v>
      </c>
      <c r="C324" s="49" t="str">
        <f>IFERROR(__xludf.DUMMYFUNCTION("""COMPUTED_VALUE"""),"Billy Bernavage")</f>
        <v>Billy Bernavage</v>
      </c>
      <c r="D324" s="399"/>
      <c r="E324" s="39" t="str">
        <f>IFERROR(__xludf.DUMMYFUNCTION("""COMPUTED_VALUE"""),"Hammer Full Effect 15 lb")</f>
        <v>Hammer Full Effect 15 lb</v>
      </c>
      <c r="F324" s="39"/>
      <c r="G324" s="52"/>
      <c r="H324" s="49" t="str">
        <f>IFERROR(__xludf.DUMMYFUNCTION("""COMPUTED_VALUE"""),"Y")</f>
        <v>Y</v>
      </c>
      <c r="I324" s="49" t="str">
        <f>IFERROR(__xludf.DUMMYFUNCTION("""COMPUTED_VALUE"""),"Y")</f>
        <v>Y</v>
      </c>
      <c r="J324" s="49"/>
      <c r="K324" s="49"/>
      <c r="L324" s="49"/>
    </row>
    <row r="325">
      <c r="A325" s="49" t="str">
        <f>IFERROR(__xludf.DUMMYFUNCTION("""COMPUTED_VALUE"""),"---")</f>
        <v>---</v>
      </c>
      <c r="B325" s="49" t="str">
        <f>IFERROR(__xludf.DUMMYFUNCTION("""COMPUTED_VALUE"""),"---")</f>
        <v>---</v>
      </c>
      <c r="C325" s="49" t="str">
        <f>IFERROR(__xludf.DUMMYFUNCTION("""COMPUTED_VALUE"""),"Stock")</f>
        <v>Stock</v>
      </c>
      <c r="D325" s="399"/>
      <c r="E325" s="39" t="str">
        <f>IFERROR(__xludf.DUMMYFUNCTION("""COMPUTED_VALUE"""),"Hammer Purple Pearl Urethane 78D 14 lb")</f>
        <v>Hammer Purple Pearl Urethane 78D 14 lb</v>
      </c>
      <c r="F325" s="39"/>
      <c r="G325" s="52"/>
      <c r="H325" s="49" t="str">
        <f>IFERROR(__xludf.DUMMYFUNCTION("""COMPUTED_VALUE"""),"na")</f>
        <v>na</v>
      </c>
      <c r="I325" s="49" t="str">
        <f>IFERROR(__xludf.DUMMYFUNCTION("""COMPUTED_VALUE"""),"na")</f>
        <v>na</v>
      </c>
      <c r="J325" s="49"/>
      <c r="K325" s="49"/>
      <c r="L325" s="49"/>
    </row>
    <row r="326">
      <c r="A326" s="49" t="str">
        <f>IFERROR(__xludf.DUMMYFUNCTION("""COMPUTED_VALUE"""),"---")</f>
        <v>---</v>
      </c>
      <c r="B326" s="49" t="str">
        <f>IFERROR(__xludf.DUMMYFUNCTION("""COMPUTED_VALUE"""),"---")</f>
        <v>---</v>
      </c>
      <c r="C326" s="49" t="str">
        <f>IFERROR(__xludf.DUMMYFUNCTION("""COMPUTED_VALUE"""),"Stock")</f>
        <v>Stock</v>
      </c>
      <c r="D326" s="399"/>
      <c r="E326" s="39" t="str">
        <f>IFERROR(__xludf.DUMMYFUNCTION("""COMPUTED_VALUE"""),"Hammer Purple Pearl Urethane 78D 15 lb")</f>
        <v>Hammer Purple Pearl Urethane 78D 15 lb</v>
      </c>
      <c r="F326" s="39"/>
      <c r="G326" s="52"/>
      <c r="H326" s="49" t="str">
        <f>IFERROR(__xludf.DUMMYFUNCTION("""COMPUTED_VALUE"""),"na")</f>
        <v>na</v>
      </c>
      <c r="I326" s="49" t="str">
        <f>IFERROR(__xludf.DUMMYFUNCTION("""COMPUTED_VALUE"""),"na")</f>
        <v>na</v>
      </c>
      <c r="J326" s="49"/>
      <c r="K326" s="49"/>
      <c r="L326" s="49"/>
    </row>
    <row r="327">
      <c r="A327" s="49" t="str">
        <f>IFERROR(__xludf.DUMMYFUNCTION("""COMPUTED_VALUE"""),"---")</f>
        <v>---</v>
      </c>
      <c r="B327" s="49" t="str">
        <f>IFERROR(__xludf.DUMMYFUNCTION("""COMPUTED_VALUE"""),"---")</f>
        <v>---</v>
      </c>
      <c r="C327" s="49" t="str">
        <f>IFERROR(__xludf.DUMMYFUNCTION("""COMPUTED_VALUE"""),"Stock")</f>
        <v>Stock</v>
      </c>
      <c r="D327" s="399" t="str">
        <f>IFERROR(__xludf.DUMMYFUNCTION("""COMPUTED_VALUE"""),"South")</f>
        <v>South</v>
      </c>
      <c r="E327" s="39" t="str">
        <f>IFERROR(__xludf.DUMMYFUNCTION("""COMPUTED_VALUE"""),"Motiv Supra 15 lb")</f>
        <v>Motiv Supra 15 lb</v>
      </c>
      <c r="F327" s="39"/>
      <c r="G327" s="52"/>
      <c r="H327" s="49" t="str">
        <f>IFERROR(__xludf.DUMMYFUNCTION("""COMPUTED_VALUE"""),"na")</f>
        <v>na</v>
      </c>
      <c r="I327" s="49" t="str">
        <f>IFERROR(__xludf.DUMMYFUNCTION("""COMPUTED_VALUE"""),"na")</f>
        <v>na</v>
      </c>
      <c r="J327" s="49"/>
      <c r="K327" s="49"/>
      <c r="L327" s="49"/>
    </row>
    <row r="328">
      <c r="A328" s="49" t="str">
        <f>IFERROR(__xludf.DUMMYFUNCTION("""COMPUTED_VALUE"""),"---")</f>
        <v>---</v>
      </c>
      <c r="B328" s="49" t="str">
        <f>IFERROR(__xludf.DUMMYFUNCTION("""COMPUTED_VALUE"""),"---")</f>
        <v>---</v>
      </c>
      <c r="C328" s="49" t="str">
        <f>IFERROR(__xludf.DUMMYFUNCTION("""COMPUTED_VALUE"""),"Stock")</f>
        <v>Stock</v>
      </c>
      <c r="D328" s="399" t="str">
        <f>IFERROR(__xludf.DUMMYFUNCTION("""COMPUTED_VALUE"""),"South")</f>
        <v>South</v>
      </c>
      <c r="E328" s="39" t="str">
        <f>IFERROR(__xludf.DUMMYFUNCTION("""COMPUTED_VALUE"""),"Motiv Nebula 15 lb")</f>
        <v>Motiv Nebula 15 lb</v>
      </c>
      <c r="F328" s="39"/>
      <c r="G328" s="52"/>
      <c r="H328" s="49" t="str">
        <f>IFERROR(__xludf.DUMMYFUNCTION("""COMPUTED_VALUE"""),"na")</f>
        <v>na</v>
      </c>
      <c r="I328" s="49" t="str">
        <f>IFERROR(__xludf.DUMMYFUNCTION("""COMPUTED_VALUE"""),"na")</f>
        <v>na</v>
      </c>
      <c r="J328" s="49"/>
      <c r="K328" s="49"/>
      <c r="L328" s="49"/>
    </row>
    <row r="329">
      <c r="A329" s="49" t="str">
        <f>IFERROR(__xludf.DUMMYFUNCTION("""COMPUTED_VALUE"""),"---")</f>
        <v>---</v>
      </c>
      <c r="B329" s="49" t="str">
        <f>IFERROR(__xludf.DUMMYFUNCTION("""COMPUTED_VALUE"""),"---")</f>
        <v>---</v>
      </c>
      <c r="C329" s="49" t="str">
        <f>IFERROR(__xludf.DUMMYFUNCTION("""COMPUTED_VALUE"""),"Stock")</f>
        <v>Stock</v>
      </c>
      <c r="D329" s="399" t="str">
        <f>IFERROR(__xludf.DUMMYFUNCTION("""COMPUTED_VALUE"""),"South")</f>
        <v>South</v>
      </c>
      <c r="E329" s="39" t="str">
        <f>IFERROR(__xludf.DUMMYFUNCTION("""COMPUTED_VALUE"""),"Motiv Hyper Venom 15 lm")</f>
        <v>Motiv Hyper Venom 15 lm</v>
      </c>
      <c r="F329" s="39"/>
      <c r="G329" s="52"/>
      <c r="H329" s="49" t="str">
        <f>IFERROR(__xludf.DUMMYFUNCTION("""COMPUTED_VALUE"""),"na")</f>
        <v>na</v>
      </c>
      <c r="I329" s="49" t="str">
        <f>IFERROR(__xludf.DUMMYFUNCTION("""COMPUTED_VALUE"""),"na")</f>
        <v>na</v>
      </c>
      <c r="J329" s="49"/>
      <c r="K329" s="49"/>
      <c r="L329" s="49"/>
    </row>
    <row r="330">
      <c r="A330" s="49" t="str">
        <f>IFERROR(__xludf.DUMMYFUNCTION("""COMPUTED_VALUE"""),"---")</f>
        <v>---</v>
      </c>
      <c r="B330" s="49" t="str">
        <f>IFERROR(__xludf.DUMMYFUNCTION("""COMPUTED_VALUE"""),"---")</f>
        <v>---</v>
      </c>
      <c r="C330" s="49" t="str">
        <f>IFERROR(__xludf.DUMMYFUNCTION("""COMPUTED_VALUE"""),"Stock")</f>
        <v>Stock</v>
      </c>
      <c r="D330" s="399" t="str">
        <f>IFERROR(__xludf.DUMMYFUNCTION("""COMPUTED_VALUE"""),"South")</f>
        <v>South</v>
      </c>
      <c r="E330" s="39" t="str">
        <f>IFERROR(__xludf.DUMMYFUNCTION("""COMPUTED_VALUE"""),"Motiv Max Thrill Hybrid 15 lb")</f>
        <v>Motiv Max Thrill Hybrid 15 lb</v>
      </c>
      <c r="F330" s="39"/>
      <c r="G330" s="52"/>
      <c r="H330" s="49" t="str">
        <f>IFERROR(__xludf.DUMMYFUNCTION("""COMPUTED_VALUE"""),"na")</f>
        <v>na</v>
      </c>
      <c r="I330" s="49" t="str">
        <f>IFERROR(__xludf.DUMMYFUNCTION("""COMPUTED_VALUE"""),"na")</f>
        <v>na</v>
      </c>
      <c r="J330" s="49"/>
      <c r="K330" s="49"/>
      <c r="L330" s="49"/>
    </row>
    <row r="331">
      <c r="A331" s="49" t="str">
        <f>IFERROR(__xludf.DUMMYFUNCTION("""COMPUTED_VALUE"""),"---")</f>
        <v>---</v>
      </c>
      <c r="B331" s="49" t="str">
        <f>IFERROR(__xludf.DUMMYFUNCTION("""COMPUTED_VALUE"""),"---")</f>
        <v>---</v>
      </c>
      <c r="C331" s="49" t="str">
        <f>IFERROR(__xludf.DUMMYFUNCTION("""COMPUTED_VALUE"""),"Stock")</f>
        <v>Stock</v>
      </c>
      <c r="D331" s="399"/>
      <c r="E331" s="39" t="str">
        <f>IFERROR(__xludf.DUMMYFUNCTION("""COMPUTED_VALUE"""),"TG orange 45")</f>
        <v>TG orange 45</v>
      </c>
      <c r="F331" s="39"/>
      <c r="G331" s="52"/>
      <c r="H331" s="49" t="str">
        <f>IFERROR(__xludf.DUMMYFUNCTION("""COMPUTED_VALUE"""),"na")</f>
        <v>na</v>
      </c>
      <c r="I331" s="49" t="str">
        <f>IFERROR(__xludf.DUMMYFUNCTION("""COMPUTED_VALUE"""),"na")</f>
        <v>na</v>
      </c>
      <c r="J331" s="49"/>
      <c r="K331" s="49"/>
      <c r="L331" s="49"/>
    </row>
    <row r="332">
      <c r="A332" s="49" t="str">
        <f>IFERROR(__xludf.DUMMYFUNCTION("""COMPUTED_VALUE"""),"---")</f>
        <v>---</v>
      </c>
      <c r="B332" s="49" t="str">
        <f>IFERROR(__xludf.DUMMYFUNCTION("""COMPUTED_VALUE"""),"---")</f>
        <v>---</v>
      </c>
      <c r="C332" s="49" t="str">
        <f>IFERROR(__xludf.DUMMYFUNCTION("""COMPUTED_VALUE"""),"Cody Wilcox")</f>
        <v>Cody Wilcox</v>
      </c>
      <c r="D332" s="399" t="str">
        <f>IFERROR(__xludf.DUMMYFUNCTION("""COMPUTED_VALUE"""),"Valley")</f>
        <v>Valley</v>
      </c>
      <c r="E332" s="39" t="str">
        <f>IFERROR(__xludf.DUMMYFUNCTION("""COMPUTED_VALUE"""),"Roto Grip Gremlin Tour X 15lbs")</f>
        <v>Roto Grip Gremlin Tour X 15lbs</v>
      </c>
      <c r="F332" s="39"/>
      <c r="G332" s="52"/>
      <c r="H332" s="49" t="str">
        <f>IFERROR(__xludf.DUMMYFUNCTION("""COMPUTED_VALUE"""),"Y")</f>
        <v>Y</v>
      </c>
      <c r="I332" s="49" t="str">
        <f>IFERROR(__xludf.DUMMYFUNCTION("""COMPUTED_VALUE"""),"Y")</f>
        <v>Y</v>
      </c>
      <c r="J332" s="49"/>
      <c r="K332" s="49"/>
      <c r="L332" s="49"/>
    </row>
    <row r="333">
      <c r="A333" s="49" t="str">
        <f>IFERROR(__xludf.DUMMYFUNCTION("""COMPUTED_VALUE"""),"---")</f>
        <v>---</v>
      </c>
      <c r="B333" s="49" t="str">
        <f>IFERROR(__xludf.DUMMYFUNCTION("""COMPUTED_VALUE"""),"---")</f>
        <v>---</v>
      </c>
      <c r="C333" s="49" t="str">
        <f>IFERROR(__xludf.DUMMYFUNCTION("""COMPUTED_VALUE"""),"Gail Thomas")</f>
        <v>Gail Thomas</v>
      </c>
      <c r="D333" s="399" t="str">
        <f>IFERROR(__xludf.DUMMYFUNCTION("""COMPUTED_VALUE"""),"South")</f>
        <v>South</v>
      </c>
      <c r="E333" s="39" t="str">
        <f>IFERROR(__xludf.DUMMYFUNCTION("""COMPUTED_VALUE"""),"KR Hybrid single roller pink")</f>
        <v>KR Hybrid single roller pink</v>
      </c>
      <c r="F333" s="39"/>
      <c r="G333" s="52"/>
      <c r="H333" s="49" t="str">
        <f>IFERROR(__xludf.DUMMYFUNCTION("""COMPUTED_VALUE"""),"na")</f>
        <v>na</v>
      </c>
      <c r="I333" s="49" t="str">
        <f>IFERROR(__xludf.DUMMYFUNCTION("""COMPUTED_VALUE"""),"na")</f>
        <v>na</v>
      </c>
      <c r="J333" s="49"/>
      <c r="K333" s="49"/>
      <c r="L333" s="49"/>
    </row>
    <row r="334">
      <c r="A334" s="49" t="str">
        <f>IFERROR(__xludf.DUMMYFUNCTION("""COMPUTED_VALUE"""),"---")</f>
        <v>---</v>
      </c>
      <c r="B334" s="49" t="str">
        <f>IFERROR(__xludf.DUMMYFUNCTION("""COMPUTED_VALUE"""),"---")</f>
        <v>---</v>
      </c>
      <c r="C334" s="49" t="str">
        <f>IFERROR(__xludf.DUMMYFUNCTION("""COMPUTED_VALUE"""),"Emily Reklaitis")</f>
        <v>Emily Reklaitis</v>
      </c>
      <c r="D334" s="399" t="str">
        <f>IFERROR(__xludf.DUMMYFUNCTION("""COMPUTED_VALUE"""),"South")</f>
        <v>South</v>
      </c>
      <c r="E334" s="39" t="str">
        <f>IFERROR(__xludf.DUMMYFUNCTION("""COMPUTED_VALUE"""),"C300 White Dot wild orchid 10 lbs")</f>
        <v>C300 White Dot wild orchid 10 lbs</v>
      </c>
      <c r="F334" s="39"/>
      <c r="G334" s="52"/>
      <c r="H334" s="49" t="str">
        <f>IFERROR(__xludf.DUMMYFUNCTION("""COMPUTED_VALUE"""),"Y")</f>
        <v>Y</v>
      </c>
      <c r="I334" s="49" t="str">
        <f>IFERROR(__xludf.DUMMYFUNCTION("""COMPUTED_VALUE"""),"Y")</f>
        <v>Y</v>
      </c>
      <c r="J334" s="49"/>
      <c r="K334" s="49"/>
      <c r="L334" s="49"/>
    </row>
    <row r="335">
      <c r="A335" s="49" t="str">
        <f>IFERROR(__xludf.DUMMYFUNCTION("""COMPUTED_VALUE"""),"---")</f>
        <v>---</v>
      </c>
      <c r="B335" s="49" t="str">
        <f>IFERROR(__xludf.DUMMYFUNCTION("""COMPUTED_VALUE"""),"---")</f>
        <v>---</v>
      </c>
      <c r="C335" s="49" t="str">
        <f>IFERROR(__xludf.DUMMYFUNCTION("""COMPUTED_VALUE"""),"Stock")</f>
        <v>Stock</v>
      </c>
      <c r="D335" s="399" t="str">
        <f>IFERROR(__xludf.DUMMYFUNCTION("""COMPUTED_VALUE"""),"South")</f>
        <v>South</v>
      </c>
      <c r="E335" s="39" t="str">
        <f>IFERROR(__xludf.DUMMYFUNCTION("""COMPUTED_VALUE"""),"Brunswick Prism 8.5")</f>
        <v>Brunswick Prism 8.5</v>
      </c>
      <c r="F335" s="39"/>
      <c r="G335" s="52"/>
      <c r="H335" s="49" t="str">
        <f>IFERROR(__xludf.DUMMYFUNCTION("""COMPUTED_VALUE"""),"na")</f>
        <v>na</v>
      </c>
      <c r="I335" s="49" t="str">
        <f>IFERROR(__xludf.DUMMYFUNCTION("""COMPUTED_VALUE"""),"na")</f>
        <v>na</v>
      </c>
      <c r="J335" s="49"/>
      <c r="K335" s="49"/>
      <c r="L335" s="49"/>
    </row>
    <row r="336">
      <c r="A336" s="49" t="str">
        <f>IFERROR(__xludf.DUMMYFUNCTION("""COMPUTED_VALUE"""),"---")</f>
        <v>---</v>
      </c>
      <c r="B336" s="49" t="str">
        <f>IFERROR(__xludf.DUMMYFUNCTION("""COMPUTED_VALUE"""),"---")</f>
        <v>---</v>
      </c>
      <c r="C336" s="49" t="str">
        <f>IFERROR(__xludf.DUMMYFUNCTION("""COMPUTED_VALUE"""),"Stock")</f>
        <v>Stock</v>
      </c>
      <c r="D336" s="399" t="str">
        <f>IFERROR(__xludf.DUMMYFUNCTION("""COMPUTED_VALUE"""),"South")</f>
        <v>South</v>
      </c>
      <c r="E336" s="39" t="str">
        <f>IFERROR(__xludf.DUMMYFUNCTION("""COMPUTED_VALUE"""),"Brunswick Prism 12")</f>
        <v>Brunswick Prism 12</v>
      </c>
      <c r="F336" s="39"/>
      <c r="G336" s="52"/>
      <c r="H336" s="49" t="str">
        <f>IFERROR(__xludf.DUMMYFUNCTION("""COMPUTED_VALUE"""),"na")</f>
        <v>na</v>
      </c>
      <c r="I336" s="49" t="str">
        <f>IFERROR(__xludf.DUMMYFUNCTION("""COMPUTED_VALUE"""),"na")</f>
        <v>na</v>
      </c>
      <c r="J336" s="49"/>
      <c r="K336" s="49"/>
      <c r="L336" s="49"/>
    </row>
    <row r="337">
      <c r="A337" s="49" t="str">
        <f>IFERROR(__xludf.DUMMYFUNCTION("""COMPUTED_VALUE"""),"---")</f>
        <v>---</v>
      </c>
      <c r="B337" s="49" t="str">
        <f>IFERROR(__xludf.DUMMYFUNCTION("""COMPUTED_VALUE"""),"---")</f>
        <v>---</v>
      </c>
      <c r="C337" s="49" t="str">
        <f>IFERROR(__xludf.DUMMYFUNCTION("""COMPUTED_VALUE"""),"Stock")</f>
        <v>Stock</v>
      </c>
      <c r="D337" s="399" t="str">
        <f>IFERROR(__xludf.DUMMYFUNCTION("""COMPUTED_VALUE"""),"Valley")</f>
        <v>Valley</v>
      </c>
      <c r="E337" s="39" t="str">
        <f>IFERROR(__xludf.DUMMYFUNCTION("""COMPUTED_VALUE"""),"Storm arc ruler")</f>
        <v>Storm arc ruler</v>
      </c>
      <c r="F337" s="39"/>
      <c r="G337" s="52"/>
      <c r="H337" s="49" t="str">
        <f>IFERROR(__xludf.DUMMYFUNCTION("""COMPUTED_VALUE"""),"na")</f>
        <v>na</v>
      </c>
      <c r="I337" s="49" t="str">
        <f>IFERROR(__xludf.DUMMYFUNCTION("""COMPUTED_VALUE"""),"na")</f>
        <v>na</v>
      </c>
      <c r="J337" s="49"/>
      <c r="K337" s="49"/>
      <c r="L337" s="49"/>
    </row>
    <row r="338">
      <c r="A338" s="49" t="str">
        <f>IFERROR(__xludf.DUMMYFUNCTION("""COMPUTED_VALUE"""),"---")</f>
        <v>---</v>
      </c>
      <c r="B338" s="49" t="str">
        <f>IFERROR(__xludf.DUMMYFUNCTION("""COMPUTED_VALUE"""),"---")</f>
        <v>---</v>
      </c>
      <c r="C338" s="49" t="str">
        <f>IFERROR(__xludf.DUMMYFUNCTION("""COMPUTED_VALUE"""),"Stock")</f>
        <v>Stock</v>
      </c>
      <c r="D338" s="399" t="str">
        <f>IFERROR(__xludf.DUMMYFUNCTION("""COMPUTED_VALUE"""),"Valley")</f>
        <v>Valley</v>
      </c>
      <c r="E338" s="39" t="str">
        <f>IFERROR(__xludf.DUMMYFUNCTION("""COMPUTED_VALUE"""),"Hammer Zero Mercy Solid 15 lb")</f>
        <v>Hammer Zero Mercy Solid 15 lb</v>
      </c>
      <c r="F338" s="39"/>
      <c r="G338" s="52"/>
      <c r="H338" s="49" t="str">
        <f>IFERROR(__xludf.DUMMYFUNCTION("""COMPUTED_VALUE"""),"na")</f>
        <v>na</v>
      </c>
      <c r="I338" s="49" t="str">
        <f>IFERROR(__xludf.DUMMYFUNCTION("""COMPUTED_VALUE"""),"na")</f>
        <v>na</v>
      </c>
      <c r="J338" s="49"/>
      <c r="K338" s="49"/>
      <c r="L338" s="49"/>
    </row>
    <row r="339">
      <c r="A339" s="49" t="str">
        <f>IFERROR(__xludf.DUMMYFUNCTION("""COMPUTED_VALUE"""),"---")</f>
        <v>---</v>
      </c>
      <c r="B339" s="49" t="str">
        <f>IFERROR(__xludf.DUMMYFUNCTION("""COMPUTED_VALUE"""),"---")</f>
        <v>---</v>
      </c>
      <c r="C339" s="49" t="str">
        <f>IFERROR(__xludf.DUMMYFUNCTION("""COMPUTED_VALUE"""),"Stock")</f>
        <v>Stock</v>
      </c>
      <c r="D339" s="399" t="str">
        <f>IFERROR(__xludf.DUMMYFUNCTION("""COMPUTED_VALUE"""),"South")</f>
        <v>South</v>
      </c>
      <c r="E339" s="39" t="str">
        <f>IFERROR(__xludf.DUMMYFUNCTION("""COMPUTED_VALUE"""),"Hammer Zero Mercy Pearl 15 lb")</f>
        <v>Hammer Zero Mercy Pearl 15 lb</v>
      </c>
      <c r="F339" s="39"/>
      <c r="G339" s="52"/>
      <c r="H339" s="49" t="str">
        <f>IFERROR(__xludf.DUMMYFUNCTION("""COMPUTED_VALUE"""),"na")</f>
        <v>na</v>
      </c>
      <c r="I339" s="49" t="str">
        <f>IFERROR(__xludf.DUMMYFUNCTION("""COMPUTED_VALUE"""),"na")</f>
        <v>na</v>
      </c>
      <c r="J339" s="49"/>
      <c r="K339" s="49"/>
      <c r="L339" s="49"/>
    </row>
    <row r="340">
      <c r="A340" s="49" t="str">
        <f>IFERROR(__xludf.DUMMYFUNCTION("""COMPUTED_VALUE"""),"---")</f>
        <v>---</v>
      </c>
      <c r="B340" s="49" t="str">
        <f>IFERROR(__xludf.DUMMYFUNCTION("""COMPUTED_VALUE"""),"---")</f>
        <v>---</v>
      </c>
      <c r="C340" s="49" t="str">
        <f>IFERROR(__xludf.DUMMYFUNCTION("""COMPUTED_VALUE"""),"Hector Cruz")</f>
        <v>Hector Cruz</v>
      </c>
      <c r="D340" s="399" t="str">
        <f>IFERROR(__xludf.DUMMYFUNCTION("""COMPUTED_VALUE"""),"South")</f>
        <v>South</v>
      </c>
      <c r="E340" s="39" t="str">
        <f>IFERROR(__xludf.DUMMYFUNCTION("""COMPUTED_VALUE"""),"Brunswick Move black size 9")</f>
        <v>Brunswick Move black size 9</v>
      </c>
      <c r="F340" s="39"/>
      <c r="G340" s="52"/>
      <c r="H340" s="49" t="str">
        <f>IFERROR(__xludf.DUMMYFUNCTION("""COMPUTED_VALUE"""),"Y")</f>
        <v>Y</v>
      </c>
      <c r="I340" s="49" t="str">
        <f>IFERROR(__xludf.DUMMYFUNCTION("""COMPUTED_VALUE"""),"Y")</f>
        <v>Y</v>
      </c>
      <c r="J340" s="49"/>
      <c r="K340" s="49"/>
      <c r="L340" s="49"/>
    </row>
    <row r="341">
      <c r="A341" s="49" t="str">
        <f>IFERROR(__xludf.DUMMYFUNCTION("""COMPUTED_VALUE"""),"---")</f>
        <v>---</v>
      </c>
      <c r="B341" s="49" t="str">
        <f>IFERROR(__xludf.DUMMYFUNCTION("""COMPUTED_VALUE"""),"---")</f>
        <v>---</v>
      </c>
      <c r="C341" s="49" t="str">
        <f>IFERROR(__xludf.DUMMYFUNCTION("""COMPUTED_VALUE"""),"Stock")</f>
        <v>Stock</v>
      </c>
      <c r="D341" s="399" t="str">
        <f>IFERROR(__xludf.DUMMYFUNCTION("""COMPUTED_VALUE"""),"Valley")</f>
        <v>Valley</v>
      </c>
      <c r="E341" s="39" t="str">
        <f>IFERROR(__xludf.DUMMYFUNCTION("""COMPUTED_VALUE"""),"Brunswick Move periwinkle size 7")</f>
        <v>Brunswick Move periwinkle size 7</v>
      </c>
      <c r="F341" s="39"/>
      <c r="G341" s="52"/>
      <c r="H341" s="49" t="str">
        <f>IFERROR(__xludf.DUMMYFUNCTION("""COMPUTED_VALUE"""),"na")</f>
        <v>na</v>
      </c>
      <c r="I341" s="49" t="str">
        <f>IFERROR(__xludf.DUMMYFUNCTION("""COMPUTED_VALUE"""),"na")</f>
        <v>na</v>
      </c>
      <c r="J341" s="49"/>
      <c r="K341" s="49"/>
      <c r="L341" s="49"/>
    </row>
    <row r="342">
      <c r="A342" s="49" t="str">
        <f>IFERROR(__xludf.DUMMYFUNCTION("""COMPUTED_VALUE"""),"---")</f>
        <v>---</v>
      </c>
      <c r="B342" s="49" t="str">
        <f>IFERROR(__xludf.DUMMYFUNCTION("""COMPUTED_VALUE"""),"---")</f>
        <v>---</v>
      </c>
      <c r="C342" s="49" t="str">
        <f>IFERROR(__xludf.DUMMYFUNCTION("""COMPUTED_VALUE"""),"Stock")</f>
        <v>Stock</v>
      </c>
      <c r="D342" s="399" t="str">
        <f>IFERROR(__xludf.DUMMYFUNCTION("""COMPUTED_VALUE"""),"Valley")</f>
        <v>Valley</v>
      </c>
      <c r="E342" s="39" t="str">
        <f>IFERROR(__xludf.DUMMYFUNCTION("""COMPUTED_VALUE"""),"Dexter #6 sole")</f>
        <v>Dexter #6 sole</v>
      </c>
      <c r="F342" s="39"/>
      <c r="G342" s="52"/>
      <c r="H342" s="49" t="str">
        <f>IFERROR(__xludf.DUMMYFUNCTION("""COMPUTED_VALUE"""),"na")</f>
        <v>na</v>
      </c>
      <c r="I342" s="49" t="str">
        <f>IFERROR(__xludf.DUMMYFUNCTION("""COMPUTED_VALUE"""),"na")</f>
        <v>na</v>
      </c>
      <c r="J342" s="49"/>
      <c r="K342" s="49"/>
      <c r="L342" s="49"/>
    </row>
    <row r="343">
      <c r="A343" s="49" t="str">
        <f>IFERROR(__xludf.DUMMYFUNCTION("""COMPUTED_VALUE"""),"---")</f>
        <v>---</v>
      </c>
      <c r="B343" s="49" t="str">
        <f>IFERROR(__xludf.DUMMYFUNCTION("""COMPUTED_VALUE"""),"---")</f>
        <v>---</v>
      </c>
      <c r="C343" s="49" t="str">
        <f>IFERROR(__xludf.DUMMYFUNCTION("""COMPUTED_VALUE"""),"Mackenzie Celuck")</f>
        <v>Mackenzie Celuck</v>
      </c>
      <c r="D343" s="399" t="str">
        <f>IFERROR(__xludf.DUMMYFUNCTION("""COMPUTED_VALUE"""),"South")</f>
        <v>South</v>
      </c>
      <c r="E343" s="39" t="str">
        <f>IFERROR(__xludf.DUMMYFUNCTION("""COMPUTED_VALUE"""),"Hammer Black Widow Dynasty 3.0 12 lb")</f>
        <v>Hammer Black Widow Dynasty 3.0 12 lb</v>
      </c>
      <c r="F343" s="39"/>
      <c r="G343" s="52"/>
      <c r="H343" s="49" t="str">
        <f>IFERROR(__xludf.DUMMYFUNCTION("""COMPUTED_VALUE"""),"Y")</f>
        <v>Y</v>
      </c>
      <c r="I343" s="49" t="str">
        <f>IFERROR(__xludf.DUMMYFUNCTION("""COMPUTED_VALUE"""),"Y")</f>
        <v>Y</v>
      </c>
      <c r="J343" s="49"/>
      <c r="K343" s="49"/>
      <c r="L343" s="49"/>
    </row>
    <row r="344">
      <c r="A344" s="49" t="str">
        <f>IFERROR(__xludf.DUMMYFUNCTION("""COMPUTED_VALUE"""),"---")</f>
        <v>---</v>
      </c>
      <c r="B344" s="49" t="str">
        <f>IFERROR(__xludf.DUMMYFUNCTION("""COMPUTED_VALUE"""),"---")</f>
        <v>---</v>
      </c>
      <c r="C344" s="49" t="str">
        <f>IFERROR(__xludf.DUMMYFUNCTION("""COMPUTED_VALUE"""),"Stock")</f>
        <v>Stock</v>
      </c>
      <c r="D344" s="399" t="str">
        <f>IFERROR(__xludf.DUMMYFUNCTION("""COMPUTED_VALUE"""),"Valley")</f>
        <v>Valley</v>
      </c>
      <c r="E344" s="39" t="str">
        <f>IFERROR(__xludf.DUMMYFUNCTION("""COMPUTED_VALUE"""),"Hammer Zero Mercy Solid 15 lb")</f>
        <v>Hammer Zero Mercy Solid 15 lb</v>
      </c>
      <c r="F344" s="39"/>
      <c r="G344" s="52"/>
      <c r="H344" s="49" t="str">
        <f>IFERROR(__xludf.DUMMYFUNCTION("""COMPUTED_VALUE"""),"na")</f>
        <v>na</v>
      </c>
      <c r="I344" s="49" t="str">
        <f>IFERROR(__xludf.DUMMYFUNCTION("""COMPUTED_VALUE"""),"na")</f>
        <v>na</v>
      </c>
      <c r="J344" s="49"/>
      <c r="K344" s="49"/>
      <c r="L344" s="49"/>
    </row>
    <row r="345">
      <c r="A345" s="49" t="str">
        <f>IFERROR(__xludf.DUMMYFUNCTION("""COMPUTED_VALUE"""),"---")</f>
        <v>---</v>
      </c>
      <c r="B345" s="49" t="str">
        <f>IFERROR(__xludf.DUMMYFUNCTION("""COMPUTED_VALUE"""),"---")</f>
        <v>---</v>
      </c>
      <c r="C345" s="49" t="str">
        <f>IFERROR(__xludf.DUMMYFUNCTION("""COMPUTED_VALUE"""),"Kevin Davis")</f>
        <v>Kevin Davis</v>
      </c>
      <c r="D345" s="399" t="str">
        <f>IFERROR(__xludf.DUMMYFUNCTION("""COMPUTED_VALUE"""),"Valley")</f>
        <v>Valley</v>
      </c>
      <c r="E345" s="39" t="str">
        <f>IFERROR(__xludf.DUMMYFUNCTION("""COMPUTED_VALUE"""),"Hammer Zero Mercy Pearl 15 lbs")</f>
        <v>Hammer Zero Mercy Pearl 15 lbs</v>
      </c>
      <c r="F345" s="39"/>
      <c r="G345" s="52"/>
      <c r="H345" s="49" t="str">
        <f>IFERROR(__xludf.DUMMYFUNCTION("""COMPUTED_VALUE"""),"Y")</f>
        <v>Y</v>
      </c>
      <c r="I345" s="49" t="str">
        <f>IFERROR(__xludf.DUMMYFUNCTION("""COMPUTED_VALUE"""),"Y")</f>
        <v>Y</v>
      </c>
      <c r="J345" s="49"/>
      <c r="K345" s="49"/>
      <c r="L345" s="49"/>
    </row>
    <row r="346">
      <c r="A346" s="49" t="str">
        <f>IFERROR(__xludf.DUMMYFUNCTION("""COMPUTED_VALUE"""),"---")</f>
        <v>---</v>
      </c>
      <c r="B346" s="49" t="str">
        <f>IFERROR(__xludf.DUMMYFUNCTION("""COMPUTED_VALUE"""),"---")</f>
        <v>---</v>
      </c>
      <c r="C346" s="49" t="str">
        <f>IFERROR(__xludf.DUMMYFUNCTION("""COMPUTED_VALUE"""),"Christopher Fallon")</f>
        <v>Christopher Fallon</v>
      </c>
      <c r="D346" s="399" t="str">
        <f>IFERROR(__xludf.DUMMYFUNCTION("""COMPUTED_VALUE"""),"Valley")</f>
        <v>Valley</v>
      </c>
      <c r="E346" s="39" t="str">
        <f>IFERROR(__xludf.DUMMYFUNCTION("""COMPUTED_VALUE"""),"Rhino Red Black Gold 14 lb.")</f>
        <v>Rhino Red Black Gold 14 lb.</v>
      </c>
      <c r="F346" s="39"/>
      <c r="G346" s="52"/>
      <c r="H346" s="49" t="str">
        <f>IFERROR(__xludf.DUMMYFUNCTION("""COMPUTED_VALUE"""),"Y")</f>
        <v>Y</v>
      </c>
      <c r="I346" s="49" t="str">
        <f>IFERROR(__xludf.DUMMYFUNCTION("""COMPUTED_VALUE"""),"Y")</f>
        <v>Y</v>
      </c>
      <c r="J346" s="49"/>
      <c r="K346" s="49"/>
      <c r="L346" s="49"/>
    </row>
    <row r="347">
      <c r="A347" s="49" t="str">
        <f>IFERROR(__xludf.DUMMYFUNCTION("""COMPUTED_VALUE"""),"---")</f>
        <v>---</v>
      </c>
      <c r="B347" s="49" t="str">
        <f>IFERROR(__xludf.DUMMYFUNCTION("""COMPUTED_VALUE"""),"---")</f>
        <v>---</v>
      </c>
      <c r="C347" s="49" t="str">
        <f>IFERROR(__xludf.DUMMYFUNCTION("""COMPUTED_VALUE"""),"Stock")</f>
        <v>Stock</v>
      </c>
      <c r="D347" s="399" t="str">
        <f>IFERROR(__xludf.DUMMYFUNCTION("""COMPUTED_VALUE"""),"Valley")</f>
        <v>Valley</v>
      </c>
      <c r="E347" s="39" t="str">
        <f>IFERROR(__xludf.DUMMYFUNCTION("""COMPUTED_VALUE"""),"Hammer Zero Mercy Pearl 15 lb")</f>
        <v>Hammer Zero Mercy Pearl 15 lb</v>
      </c>
      <c r="F347" s="39"/>
      <c r="G347" s="52"/>
      <c r="H347" s="49" t="str">
        <f>IFERROR(__xludf.DUMMYFUNCTION("""COMPUTED_VALUE"""),"na")</f>
        <v>na</v>
      </c>
      <c r="I347" s="49" t="str">
        <f>IFERROR(__xludf.DUMMYFUNCTION("""COMPUTED_VALUE"""),"na")</f>
        <v>na</v>
      </c>
      <c r="J347" s="49"/>
      <c r="K347" s="49"/>
      <c r="L347" s="49"/>
    </row>
    <row r="348">
      <c r="A348" s="49" t="str">
        <f>IFERROR(__xludf.DUMMYFUNCTION("""COMPUTED_VALUE"""),"---")</f>
        <v>---</v>
      </c>
      <c r="B348" s="49" t="str">
        <f>IFERROR(__xludf.DUMMYFUNCTION("""COMPUTED_VALUE"""),"---")</f>
        <v>---</v>
      </c>
      <c r="C348" s="49" t="str">
        <f>IFERROR(__xludf.DUMMYFUNCTION("""COMPUTED_VALUE"""),"Stock")</f>
        <v>Stock</v>
      </c>
      <c r="D348" s="399" t="str">
        <f>IFERROR(__xludf.DUMMYFUNCTION("""COMPUTED_VALUE"""),"Valley")</f>
        <v>Valley</v>
      </c>
      <c r="E348" s="39" t="str">
        <f>IFERROR(__xludf.DUMMYFUNCTION("""COMPUTED_VALUE"""),"C300 Piranha 15 lb")</f>
        <v>C300 Piranha 15 lb</v>
      </c>
      <c r="F348" s="39"/>
      <c r="G348" s="52"/>
      <c r="H348" s="49" t="str">
        <f>IFERROR(__xludf.DUMMYFUNCTION("""COMPUTED_VALUE"""),"na")</f>
        <v>na</v>
      </c>
      <c r="I348" s="49" t="str">
        <f>IFERROR(__xludf.DUMMYFUNCTION("""COMPUTED_VALUE"""),"na")</f>
        <v>na</v>
      </c>
      <c r="J348" s="49"/>
      <c r="K348" s="49"/>
      <c r="L348" s="49"/>
    </row>
    <row r="349">
      <c r="A349" s="49" t="str">
        <f>IFERROR(__xludf.DUMMYFUNCTION("""COMPUTED_VALUE"""),"---")</f>
        <v>---</v>
      </c>
      <c r="B349" s="49" t="str">
        <f>IFERROR(__xludf.DUMMYFUNCTION("""COMPUTED_VALUE"""),"---")</f>
        <v>---</v>
      </c>
      <c r="C349" s="49" t="str">
        <f>IFERROR(__xludf.DUMMYFUNCTION("""COMPUTED_VALUE"""),"Stock")</f>
        <v>Stock</v>
      </c>
      <c r="D349" s="399"/>
      <c r="E349" s="39" t="str">
        <f>IFERROR(__xludf.DUMMYFUNCTION("""COMPUTED_VALUE"""),"Brunswick Big B ball cleaner")</f>
        <v>Brunswick Big B ball cleaner</v>
      </c>
      <c r="F349" s="39"/>
      <c r="G349" s="52"/>
      <c r="H349" s="49" t="str">
        <f>IFERROR(__xludf.DUMMYFUNCTION("""COMPUTED_VALUE"""),"na")</f>
        <v>na</v>
      </c>
      <c r="I349" s="49" t="str">
        <f>IFERROR(__xludf.DUMMYFUNCTION("""COMPUTED_VALUE"""),"na")</f>
        <v>na</v>
      </c>
      <c r="J349" s="49"/>
      <c r="K349" s="49"/>
      <c r="L349" s="49"/>
    </row>
    <row r="350">
      <c r="A350" s="49" t="str">
        <f>IFERROR(__xludf.DUMMYFUNCTION("""COMPUTED_VALUE"""),"---")</f>
        <v>---</v>
      </c>
      <c r="B350" s="49" t="str">
        <f>IFERROR(__xludf.DUMMYFUNCTION("""COMPUTED_VALUE"""),"---")</f>
        <v>---</v>
      </c>
      <c r="C350" s="49" t="str">
        <f>IFERROR(__xludf.DUMMYFUNCTION("""COMPUTED_VALUE"""),"Stock")</f>
        <v>Stock</v>
      </c>
      <c r="D350" s="399"/>
      <c r="E350" s="39" t="str">
        <f>IFERROR(__xludf.DUMMYFUNCTION("""COMPUTED_VALUE"""),"KR shoe cover L")</f>
        <v>KR shoe cover L</v>
      </c>
      <c r="F350" s="39"/>
      <c r="G350" s="52"/>
      <c r="H350" s="49" t="str">
        <f>IFERROR(__xludf.DUMMYFUNCTION("""COMPUTED_VALUE"""),"na")</f>
        <v>na</v>
      </c>
      <c r="I350" s="49" t="str">
        <f>IFERROR(__xludf.DUMMYFUNCTION("""COMPUTED_VALUE"""),"na")</f>
        <v>na</v>
      </c>
      <c r="J350" s="49"/>
      <c r="K350" s="49"/>
      <c r="L350" s="49"/>
    </row>
    <row r="351">
      <c r="A351" s="49" t="str">
        <f>IFERROR(__xludf.DUMMYFUNCTION("""COMPUTED_VALUE"""),"---")</f>
        <v>---</v>
      </c>
      <c r="B351" s="49" t="str">
        <f>IFERROR(__xludf.DUMMYFUNCTION("""COMPUTED_VALUE"""),"---")</f>
        <v>---</v>
      </c>
      <c r="C351" s="49" t="str">
        <f>IFERROR(__xludf.DUMMYFUNCTION("""COMPUTED_VALUE"""),"Joe Pica")</f>
        <v>Joe Pica</v>
      </c>
      <c r="D351" s="399"/>
      <c r="E351" s="39" t="str">
        <f>IFERROR(__xludf.DUMMYFUNCTION("""COMPUTED_VALUE"""),"KR shoe cover XXL")</f>
        <v>KR shoe cover XXL</v>
      </c>
      <c r="F351" s="39"/>
      <c r="G351" s="52"/>
      <c r="H351" s="49"/>
      <c r="I351" s="49"/>
      <c r="J351" s="49"/>
      <c r="K351" s="49"/>
      <c r="L351" s="49"/>
    </row>
    <row r="352">
      <c r="A352" s="49" t="str">
        <f>IFERROR(__xludf.DUMMYFUNCTION("""COMPUTED_VALUE"""),"---")</f>
        <v>---</v>
      </c>
      <c r="B352" s="49" t="str">
        <f>IFERROR(__xludf.DUMMYFUNCTION("""COMPUTED_VALUE"""),"---")</f>
        <v>---</v>
      </c>
      <c r="C352" s="49" t="str">
        <f>IFERROR(__xludf.DUMMYFUNCTION("""COMPUTED_VALUE"""),"Stock")</f>
        <v>Stock</v>
      </c>
      <c r="D352" s="399"/>
      <c r="E352" s="39" t="str">
        <f>IFERROR(__xludf.DUMMYFUNCTION("""COMPUTED_VALUE"""),"wrist support M")</f>
        <v>wrist support M</v>
      </c>
      <c r="F352" s="39"/>
      <c r="G352" s="52"/>
      <c r="H352" s="49" t="str">
        <f>IFERROR(__xludf.DUMMYFUNCTION("""COMPUTED_VALUE"""),"na")</f>
        <v>na</v>
      </c>
      <c r="I352" s="49" t="str">
        <f>IFERROR(__xludf.DUMMYFUNCTION("""COMPUTED_VALUE"""),"na")</f>
        <v>na</v>
      </c>
      <c r="J352" s="49"/>
      <c r="K352" s="49"/>
      <c r="L352" s="49"/>
    </row>
    <row r="353">
      <c r="A353" s="49" t="str">
        <f>IFERROR(__xludf.DUMMYFUNCTION("""COMPUTED_VALUE"""),"---")</f>
        <v>---</v>
      </c>
      <c r="B353" s="49" t="str">
        <f>IFERROR(__xludf.DUMMYFUNCTION("""COMPUTED_VALUE"""),"---")</f>
        <v>---</v>
      </c>
      <c r="C353" s="49" t="str">
        <f>IFERROR(__xludf.DUMMYFUNCTION("""COMPUTED_VALUE"""),"Debra")</f>
        <v>Debra</v>
      </c>
      <c r="D353" s="399" t="str">
        <f>IFERROR(__xludf.DUMMYFUNCTION("""COMPUTED_VALUE"""),"Valley")</f>
        <v>Valley</v>
      </c>
      <c r="E353" s="39" t="str">
        <f>IFERROR(__xludf.DUMMYFUNCTION("""COMPUTED_VALUE"""),"Brunswick T-zone indigo swirl 11 lb")</f>
        <v>Brunswick T-zone indigo swirl 11 lb</v>
      </c>
      <c r="F353" s="39"/>
      <c r="G353" s="52"/>
      <c r="H353" s="49" t="str">
        <f>IFERROR(__xludf.DUMMYFUNCTION("""COMPUTED_VALUE"""),"Y")</f>
        <v>Y</v>
      </c>
      <c r="I353" s="49" t="str">
        <f>IFERROR(__xludf.DUMMYFUNCTION("""COMPUTED_VALUE"""),"Y")</f>
        <v>Y</v>
      </c>
      <c r="J353" s="49"/>
      <c r="K353" s="49"/>
      <c r="L353" s="49"/>
    </row>
    <row r="354">
      <c r="A354" s="49" t="str">
        <f>IFERROR(__xludf.DUMMYFUNCTION("""COMPUTED_VALUE"""),"---")</f>
        <v>---</v>
      </c>
      <c r="B354" s="49" t="str">
        <f>IFERROR(__xludf.DUMMYFUNCTION("""COMPUTED_VALUE"""),"---")</f>
        <v>---</v>
      </c>
      <c r="C354" s="49" t="str">
        <f>IFERROR(__xludf.DUMMYFUNCTION("""COMPUTED_VALUE"""),"Stephanie Kemmerer")</f>
        <v>Stephanie Kemmerer</v>
      </c>
      <c r="D354" s="399" t="str">
        <f>IFERROR(__xludf.DUMMYFUNCTION("""COMPUTED_VALUE"""),"Valley")</f>
        <v>Valley</v>
      </c>
      <c r="E354" s="39" t="str">
        <f>IFERROR(__xludf.DUMMYFUNCTION("""COMPUTED_VALUE"""),"C300 White Dot black/purple/silver 11 lb")</f>
        <v>C300 White Dot black/purple/silver 11 lb</v>
      </c>
      <c r="F354" s="39"/>
      <c r="G354" s="52"/>
      <c r="H354" s="49" t="str">
        <f>IFERROR(__xludf.DUMMYFUNCTION("""COMPUTED_VALUE"""),"Y")</f>
        <v>Y</v>
      </c>
      <c r="I354" s="49" t="str">
        <f>IFERROR(__xludf.DUMMYFUNCTION("""COMPUTED_VALUE"""),"Y")</f>
        <v>Y</v>
      </c>
      <c r="J354" s="49"/>
      <c r="K354" s="49"/>
      <c r="L354" s="49"/>
    </row>
    <row r="355">
      <c r="A355" s="49" t="str">
        <f>IFERROR(__xludf.DUMMYFUNCTION("""COMPUTED_VALUE"""),"---")</f>
        <v>---</v>
      </c>
      <c r="B355" s="49" t="str">
        <f>IFERROR(__xludf.DUMMYFUNCTION("""COMPUTED_VALUE"""),"---")</f>
        <v>---</v>
      </c>
      <c r="C355" s="49" t="str">
        <f>IFERROR(__xludf.DUMMYFUNCTION("""COMPUTED_VALUE"""),"Nicole Schott")</f>
        <v>Nicole Schott</v>
      </c>
      <c r="D355" s="399" t="str">
        <f>IFERROR(__xludf.DUMMYFUNCTION("""COMPUTED_VALUE"""),"Valley")</f>
        <v>Valley</v>
      </c>
      <c r="E355" s="39" t="str">
        <f>IFERROR(__xludf.DUMMYFUNCTION("""COMPUTED_VALUE"""),"Synthesis Track - 15lbs")</f>
        <v>Synthesis Track - 15lbs</v>
      </c>
      <c r="F355" s="39"/>
      <c r="G355" s="52"/>
      <c r="H355" s="49" t="str">
        <f>IFERROR(__xludf.DUMMYFUNCTION("""COMPUTED_VALUE"""),"Y")</f>
        <v>Y</v>
      </c>
      <c r="I355" s="49" t="str">
        <f>IFERROR(__xludf.DUMMYFUNCTION("""COMPUTED_VALUE"""),"Y")</f>
        <v>Y</v>
      </c>
      <c r="J355" s="49"/>
      <c r="K355" s="49"/>
      <c r="L355" s="49"/>
    </row>
    <row r="356">
      <c r="A356" s="49" t="str">
        <f>IFERROR(__xludf.DUMMYFUNCTION("""COMPUTED_VALUE"""),"3/15/2026 20:45:02")</f>
        <v>3/15/2026 20:45:02</v>
      </c>
      <c r="B356" s="49" t="str">
        <f>IFERROR(__xludf.DUMMYFUNCTION("""COMPUTED_VALUE"""),"christian.halliday@icloud.com")</f>
        <v>christian.halliday@icloud.com</v>
      </c>
      <c r="C356" s="49" t="str">
        <f>IFERROR(__xludf.DUMMYFUNCTION("""COMPUTED_VALUE"""),"Christian Halliday")</f>
        <v>Christian Halliday</v>
      </c>
      <c r="D356" s="399" t="str">
        <f>IFERROR(__xludf.DUMMYFUNCTION("""COMPUTED_VALUE"""),"South")</f>
        <v>South</v>
      </c>
      <c r="E356" s="39" t="str">
        <f>IFERROR(__xludf.DUMMYFUNCTION("""COMPUTED_VALUE"""),"Roto Grip Transformer 15 lb")</f>
        <v>Roto Grip Transformer 15 lb</v>
      </c>
      <c r="F356" s="39"/>
      <c r="G356" s="52"/>
      <c r="H356" s="49" t="str">
        <f>IFERROR(__xludf.DUMMYFUNCTION("""COMPUTED_VALUE"""),"Y")</f>
        <v>Y</v>
      </c>
      <c r="I356" s="49" t="str">
        <f>IFERROR(__xludf.DUMMYFUNCTION("""COMPUTED_VALUE"""),"Y")</f>
        <v>Y</v>
      </c>
      <c r="J356" s="49"/>
      <c r="K356" s="49"/>
      <c r="L356" s="49"/>
    </row>
    <row r="357">
      <c r="A357" s="49" t="str">
        <f>IFERROR(__xludf.DUMMYFUNCTION("""COMPUTED_VALUE"""),"3/9/2026 12:48:04")</f>
        <v>3/9/2026 12:48:04</v>
      </c>
      <c r="B357" s="49" t="str">
        <f>IFERROR(__xludf.DUMMYFUNCTION("""COMPUTED_VALUE"""),"tomknierim@hotmail.com")</f>
        <v>tomknierim@hotmail.com</v>
      </c>
      <c r="C357" s="49" t="str">
        <f>IFERROR(__xludf.DUMMYFUNCTION("""COMPUTED_VALUE"""),"Thomas Knierim")</f>
        <v>Thomas Knierim</v>
      </c>
      <c r="D357" s="399" t="str">
        <f>IFERROR(__xludf.DUMMYFUNCTION("""COMPUTED_VALUE"""),"South")</f>
        <v>South</v>
      </c>
      <c r="E357" s="39" t="str">
        <f>IFERROR(__xludf.DUMMYFUNCTION("""COMPUTED_VALUE"""),"Ball: Storm Bionic 14 lb. ")</f>
        <v>Ball: Storm Bionic 14 lb. </v>
      </c>
      <c r="F357" s="39"/>
      <c r="G357" s="52"/>
      <c r="H357" s="49" t="str">
        <f>IFERROR(__xludf.DUMMYFUNCTION("""COMPUTED_VALUE"""),"Y")</f>
        <v>Y</v>
      </c>
      <c r="I357" s="49" t="str">
        <f>IFERROR(__xludf.DUMMYFUNCTION("""COMPUTED_VALUE"""),"Y")</f>
        <v>Y</v>
      </c>
      <c r="J357" s="49"/>
      <c r="K357" s="49"/>
      <c r="L357" s="49"/>
    </row>
    <row r="358">
      <c r="A358" s="49" t="str">
        <f>IFERROR(__xludf.DUMMYFUNCTION("""COMPUTED_VALUE"""),"---")</f>
        <v>---</v>
      </c>
      <c r="B358" s="49" t="str">
        <f>IFERROR(__xludf.DUMMYFUNCTION("""COMPUTED_VALUE"""),"---")</f>
        <v>---</v>
      </c>
      <c r="C358" s="49" t="str">
        <f>IFERROR(__xludf.DUMMYFUNCTION("""COMPUTED_VALUE"""),"Stock")</f>
        <v>Stock</v>
      </c>
      <c r="D358" s="399" t="str">
        <f>IFERROR(__xludf.DUMMYFUNCTION("""COMPUTED_VALUE"""),"Valley")</f>
        <v>Valley</v>
      </c>
      <c r="E358" s="39" t="str">
        <f>IFERROR(__xludf.DUMMYFUNCTION("""COMPUTED_VALUE"""),"Storm accessory bag")</f>
        <v>Storm accessory bag</v>
      </c>
      <c r="F358" s="39"/>
      <c r="G358" s="52"/>
      <c r="H358" s="49" t="str">
        <f>IFERROR(__xludf.DUMMYFUNCTION("""COMPUTED_VALUE"""),"na")</f>
        <v>na</v>
      </c>
      <c r="I358" s="49" t="str">
        <f>IFERROR(__xludf.DUMMYFUNCTION("""COMPUTED_VALUE"""),"na")</f>
        <v>na</v>
      </c>
      <c r="J358" s="49"/>
      <c r="K358" s="49"/>
      <c r="L358" s="49"/>
    </row>
    <row r="359">
      <c r="A359" s="49" t="str">
        <f>IFERROR(__xludf.DUMMYFUNCTION("""COMPUTED_VALUE"""),"3/9/2026 18:07:57")</f>
        <v>3/9/2026 18:07:57</v>
      </c>
      <c r="B359" s="49" t="str">
        <f>IFERROR(__xludf.DUMMYFUNCTION("""COMPUTED_VALUE"""),"tsromovski@gmail.com")</f>
        <v>tsromovski@gmail.com</v>
      </c>
      <c r="C359" s="49" t="str">
        <f>IFERROR(__xludf.DUMMYFUNCTION("""COMPUTED_VALUE"""),"Anthony Sromovski")</f>
        <v>Anthony Sromovski</v>
      </c>
      <c r="D359" s="399" t="str">
        <f>IFERROR(__xludf.DUMMYFUNCTION("""COMPUTED_VALUE"""),"South")</f>
        <v>South</v>
      </c>
      <c r="E359" s="39" t="str">
        <f>IFERROR(__xludf.DUMMYFUNCTION("""COMPUTED_VALUE"""),"2 - 15 lb Phase 2 original balls.  I need one drilled for me and 1 drilled for Chloe.  ")</f>
        <v>2 - 15 lb Phase 2 original balls.  I need one drilled for me and 1 drilled for Chloe.  </v>
      </c>
      <c r="F359" s="39"/>
      <c r="G359" s="52"/>
      <c r="H359" s="49" t="str">
        <f>IFERROR(__xludf.DUMMYFUNCTION("""COMPUTED_VALUE"""),"Y")</f>
        <v>Y</v>
      </c>
      <c r="I359" s="49" t="str">
        <f>IFERROR(__xludf.DUMMYFUNCTION("""COMPUTED_VALUE"""),"Y")</f>
        <v>Y</v>
      </c>
      <c r="J359" s="49"/>
      <c r="K359" s="49"/>
      <c r="L359" s="49"/>
    </row>
    <row r="360">
      <c r="A360" s="49" t="str">
        <f>IFERROR(__xludf.DUMMYFUNCTION("""COMPUTED_VALUE"""),"3/14/2026 10:55:54")</f>
        <v>3/14/2026 10:55:54</v>
      </c>
      <c r="B360" s="49" t="str">
        <f>IFERROR(__xludf.DUMMYFUNCTION("""COMPUTED_VALUE"""),"christian.halliday@icloud.com")</f>
        <v>christian.halliday@icloud.com</v>
      </c>
      <c r="C360" s="49" t="str">
        <f>IFERROR(__xludf.DUMMYFUNCTION("""COMPUTED_VALUE"""),"Ryan Simon")</f>
        <v>Ryan Simon</v>
      </c>
      <c r="D360" s="399" t="str">
        <f>IFERROR(__xludf.DUMMYFUNCTION("""COMPUTED_VALUE"""),"Idle Hours South")</f>
        <v>Idle Hours South</v>
      </c>
      <c r="E360" s="39" t="str">
        <f>IFERROR(__xludf.DUMMYFUNCTION("""COMPUTED_VALUE"""),"Hammer purple pearl 78D urethane 15lb")</f>
        <v>Hammer purple pearl 78D urethane 15lb</v>
      </c>
      <c r="F360" s="39"/>
      <c r="G360" s="52"/>
      <c r="H360" s="49" t="str">
        <f>IFERROR(__xludf.DUMMYFUNCTION("""COMPUTED_VALUE"""),"Y")</f>
        <v>Y</v>
      </c>
      <c r="I360" s="49" t="str">
        <f>IFERROR(__xludf.DUMMYFUNCTION("""COMPUTED_VALUE"""),"Y")</f>
        <v>Y</v>
      </c>
      <c r="J360" s="49"/>
      <c r="K360" s="49"/>
      <c r="L360" s="49"/>
    </row>
    <row r="361">
      <c r="A361" s="49" t="str">
        <f>IFERROR(__xludf.DUMMYFUNCTION("""COMPUTED_VALUE"""),"3/14/2026 14:10:19")</f>
        <v>3/14/2026 14:10:19</v>
      </c>
      <c r="B361" s="49" t="str">
        <f>IFERROR(__xludf.DUMMYFUNCTION("""COMPUTED_VALUE"""),"kyle.dittus@gmail.com")</f>
        <v>kyle.dittus@gmail.com</v>
      </c>
      <c r="C361" s="49" t="str">
        <f>IFERROR(__xludf.DUMMYFUNCTION("""COMPUTED_VALUE"""),"Kyle dittus")</f>
        <v>Kyle dittus</v>
      </c>
      <c r="D361" s="399" t="str">
        <f>IFERROR(__xludf.DUMMYFUNCTION("""COMPUTED_VALUE"""),"Idle Hours South")</f>
        <v>Idle Hours South</v>
      </c>
      <c r="E361" s="39" t="str">
        <f>IFERROR(__xludf.DUMMYFUNCTION("""COMPUTED_VALUE"""),"Storm Bionic 14 LB")</f>
        <v>Storm Bionic 14 LB</v>
      </c>
      <c r="F361" s="39"/>
      <c r="G361" s="52"/>
      <c r="H361" s="49" t="str">
        <f>IFERROR(__xludf.DUMMYFUNCTION("""COMPUTED_VALUE"""),"Y")</f>
        <v>Y</v>
      </c>
      <c r="I361" s="49" t="str">
        <f>IFERROR(__xludf.DUMMYFUNCTION("""COMPUTED_VALUE"""),"Y")</f>
        <v>Y</v>
      </c>
      <c r="J361" s="49"/>
      <c r="K361" s="49"/>
      <c r="L361" s="49"/>
    </row>
    <row r="362">
      <c r="A362" s="49" t="str">
        <f>IFERROR(__xludf.DUMMYFUNCTION("""COMPUTED_VALUE"""),"3/14/2026 14:10:19")</f>
        <v>3/14/2026 14:10:19</v>
      </c>
      <c r="B362" s="49" t="str">
        <f>IFERROR(__xludf.DUMMYFUNCTION("""COMPUTED_VALUE"""),"kyle.dittus@gmail.com")</f>
        <v>kyle.dittus@gmail.com</v>
      </c>
      <c r="C362" s="49" t="str">
        <f>IFERROR(__xludf.DUMMYFUNCTION("""COMPUTED_VALUE"""),"Kyle dittus")</f>
        <v>Kyle dittus</v>
      </c>
      <c r="D362" s="399" t="str">
        <f>IFERROR(__xludf.DUMMYFUNCTION("""COMPUTED_VALUE"""),"Idle Hours South")</f>
        <v>Idle Hours South</v>
      </c>
      <c r="E362" s="39" t="str">
        <f>IFERROR(__xludf.DUMMYFUNCTION("""COMPUTED_VALUE"""),"Storm Concept 14lbs")</f>
        <v>Storm Concept 14lbs</v>
      </c>
      <c r="F362" s="39"/>
      <c r="G362" s="52"/>
      <c r="H362" s="49" t="str">
        <f>IFERROR(__xludf.DUMMYFUNCTION("""COMPUTED_VALUE"""),"Y")</f>
        <v>Y</v>
      </c>
      <c r="I362" s="49" t="str">
        <f>IFERROR(__xludf.DUMMYFUNCTION("""COMPUTED_VALUE"""),"Y")</f>
        <v>Y</v>
      </c>
      <c r="J362" s="49"/>
      <c r="K362" s="49"/>
      <c r="L362" s="49"/>
    </row>
    <row r="363">
      <c r="A363" s="49" t="str">
        <f>IFERROR(__xludf.DUMMYFUNCTION("""COMPUTED_VALUE"""),"3/15/2026 19:49:13")</f>
        <v>3/15/2026 19:49:13</v>
      </c>
      <c r="B363" s="49" t="str">
        <f>IFERROR(__xludf.DUMMYFUNCTION("""COMPUTED_VALUE"""),"test@gmail.com")</f>
        <v>test@gmail.com</v>
      </c>
      <c r="C363" s="49" t="str">
        <f>IFERROR(__xludf.DUMMYFUNCTION("""COMPUTED_VALUE"""),"Ken Lillie")</f>
        <v>Ken Lillie</v>
      </c>
      <c r="D363" s="399" t="str">
        <f>IFERROR(__xludf.DUMMYFUNCTION("""COMPUTED_VALUE"""),"Valley")</f>
        <v>Valley</v>
      </c>
      <c r="E363" s="39" t="str">
        <f>IFERROR(__xludf.DUMMYFUNCTION("""COMPUTED_VALUE"""),"Roto Grip Transformer - 15lbs")</f>
        <v>Roto Grip Transformer - 15lbs</v>
      </c>
      <c r="F363" s="39"/>
      <c r="G363" s="52"/>
      <c r="H363" s="49" t="str">
        <f>IFERROR(__xludf.DUMMYFUNCTION("""COMPUTED_VALUE"""),"Y")</f>
        <v>Y</v>
      </c>
      <c r="I363" s="49" t="str">
        <f>IFERROR(__xludf.DUMMYFUNCTION("""COMPUTED_VALUE"""),"Y")</f>
        <v>Y</v>
      </c>
      <c r="J363" s="49"/>
      <c r="K363" s="49"/>
      <c r="L363" s="49"/>
    </row>
    <row r="364">
      <c r="A364" s="49" t="str">
        <f>IFERROR(__xludf.DUMMYFUNCTION("""COMPUTED_VALUE"""),"3/15/2026 20:03:37")</f>
        <v>3/15/2026 20:03:37</v>
      </c>
      <c r="B364" s="49" t="str">
        <f>IFERROR(__xludf.DUMMYFUNCTION("""COMPUTED_VALUE"""),"ssorrells21@gmail.com")</f>
        <v>ssorrells21@gmail.com</v>
      </c>
      <c r="C364" s="49" t="str">
        <f>IFERROR(__xludf.DUMMYFUNCTION("""COMPUTED_VALUE"""),"Sarah Sorrells")</f>
        <v>Sarah Sorrells</v>
      </c>
      <c r="D364" s="399" t="str">
        <f>IFERROR(__xludf.DUMMYFUNCTION("""COMPUTED_VALUE"""),"Valley")</f>
        <v>Valley</v>
      </c>
      <c r="E364" s="39" t="str">
        <f>IFERROR(__xludf.DUMMYFUNCTION("""COMPUTED_VALUE"""),"900 global viking 14 lb")</f>
        <v>900 global viking 14 lb</v>
      </c>
      <c r="F364" s="39"/>
      <c r="G364" s="52"/>
      <c r="H364" s="49" t="str">
        <f>IFERROR(__xludf.DUMMYFUNCTION("""COMPUTED_VALUE"""),"Y")</f>
        <v>Y</v>
      </c>
      <c r="I364" s="49" t="str">
        <f>IFERROR(__xludf.DUMMYFUNCTION("""COMPUTED_VALUE"""),"Y")</f>
        <v>Y</v>
      </c>
      <c r="J364" s="49"/>
      <c r="K364" s="49"/>
      <c r="L364" s="49"/>
    </row>
    <row r="365">
      <c r="A365" s="49" t="str">
        <f>IFERROR(__xludf.DUMMYFUNCTION("""COMPUTED_VALUE"""),"---")</f>
        <v>---</v>
      </c>
      <c r="B365" s="49" t="str">
        <f>IFERROR(__xludf.DUMMYFUNCTION("""COMPUTED_VALUE"""),"---")</f>
        <v>---</v>
      </c>
      <c r="C365" s="49" t="str">
        <f>IFERROR(__xludf.DUMMYFUNCTION("""COMPUTED_VALUE"""),"Stock")</f>
        <v>Stock</v>
      </c>
      <c r="D365" s="399" t="str">
        <f>IFERROR(__xludf.DUMMYFUNCTION("""COMPUTED_VALUE"""),"South")</f>
        <v>South</v>
      </c>
      <c r="E365" s="39" t="str">
        <f>IFERROR(__xludf.DUMMYFUNCTION("""COMPUTED_VALUE"""),"Wristmaster II RH XL")</f>
        <v>Wristmaster II RH XL</v>
      </c>
      <c r="F365" s="39"/>
      <c r="G365" s="52"/>
      <c r="H365" s="49" t="str">
        <f>IFERROR(__xludf.DUMMYFUNCTION("""COMPUTED_VALUE"""),"na")</f>
        <v>na</v>
      </c>
      <c r="I365" s="49" t="str">
        <f>IFERROR(__xludf.DUMMYFUNCTION("""COMPUTED_VALUE"""),"na")</f>
        <v>na</v>
      </c>
      <c r="J365" s="49"/>
      <c r="K365" s="49"/>
      <c r="L365" s="49"/>
    </row>
    <row r="366">
      <c r="A366" s="49" t="str">
        <f>IFERROR(__xludf.DUMMYFUNCTION("""COMPUTED_VALUE"""),"---")</f>
        <v>---</v>
      </c>
      <c r="B366" s="49" t="str">
        <f>IFERROR(__xludf.DUMMYFUNCTION("""COMPUTED_VALUE"""),"---")</f>
        <v>---</v>
      </c>
      <c r="C366" s="49" t="str">
        <f>IFERROR(__xludf.DUMMYFUNCTION("""COMPUTED_VALUE"""),"Stock")</f>
        <v>Stock</v>
      </c>
      <c r="D366" s="399"/>
      <c r="E366" s="39" t="str">
        <f>IFERROR(__xludf.DUMMYFUNCTION("""COMPUTED_VALUE"""),"1 1/4"" thumb slug white/pink")</f>
        <v>1 1/4" thumb slug white/pink</v>
      </c>
      <c r="F366" s="39"/>
      <c r="G366" s="52"/>
      <c r="H366" s="49" t="str">
        <f>IFERROR(__xludf.DUMMYFUNCTION("""COMPUTED_VALUE"""),"na")</f>
        <v>na</v>
      </c>
      <c r="I366" s="49" t="str">
        <f>IFERROR(__xludf.DUMMYFUNCTION("""COMPUTED_VALUE"""),"na")</f>
        <v>na</v>
      </c>
      <c r="J366" s="49"/>
      <c r="K366" s="49"/>
      <c r="L366" s="49"/>
    </row>
    <row r="367">
      <c r="A367" s="49" t="str">
        <f>IFERROR(__xludf.DUMMYFUNCTION("""COMPUTED_VALUE"""),"---")</f>
        <v>---</v>
      </c>
      <c r="B367" s="49" t="str">
        <f>IFERROR(__xludf.DUMMYFUNCTION("""COMPUTED_VALUE"""),"---")</f>
        <v>---</v>
      </c>
      <c r="C367" s="49" t="str">
        <f>IFERROR(__xludf.DUMMYFUNCTION("""COMPUTED_VALUE"""),"Stock")</f>
        <v>Stock</v>
      </c>
      <c r="D367" s="399"/>
      <c r="E367" s="39" t="str">
        <f>IFERROR(__xludf.DUMMYFUNCTION("""COMPUTED_VALUE"""),"1 1/4"" thumb slug orange/yellow")</f>
        <v>1 1/4" thumb slug orange/yellow</v>
      </c>
      <c r="F367" s="39"/>
      <c r="G367" s="52"/>
      <c r="H367" s="49" t="str">
        <f>IFERROR(__xludf.DUMMYFUNCTION("""COMPUTED_VALUE"""),"na")</f>
        <v>na</v>
      </c>
      <c r="I367" s="49" t="str">
        <f>IFERROR(__xludf.DUMMYFUNCTION("""COMPUTED_VALUE"""),"na")</f>
        <v>na</v>
      </c>
      <c r="J367" s="49"/>
      <c r="K367" s="49"/>
      <c r="L367" s="49"/>
    </row>
    <row r="368">
      <c r="A368" s="49" t="str">
        <f>IFERROR(__xludf.DUMMYFUNCTION("""COMPUTED_VALUE"""),"3/17/2026 11:04:53")</f>
        <v>3/17/2026 11:04:53</v>
      </c>
      <c r="B368" s="49" t="str">
        <f>IFERROR(__xludf.DUMMYFUNCTION("""COMPUTED_VALUE"""),"millermike18@aol.com")</f>
        <v>millermike18@aol.com</v>
      </c>
      <c r="C368" s="49" t="str">
        <f>IFERROR(__xludf.DUMMYFUNCTION("""COMPUTED_VALUE"""),"Michael Miller")</f>
        <v>Michael Miller</v>
      </c>
      <c r="D368" s="399" t="str">
        <f>IFERROR(__xludf.DUMMYFUNCTION("""COMPUTED_VALUE"""),"South")</f>
        <v>South</v>
      </c>
      <c r="E368" s="39" t="str">
        <f>IFERROR(__xludf.DUMMYFUNCTION("""COMPUTED_VALUE"""),"Hammer Full Effect 15Ib")</f>
        <v>Hammer Full Effect 15Ib</v>
      </c>
      <c r="F368" s="39"/>
      <c r="G368" s="52"/>
      <c r="H368" s="49" t="str">
        <f>IFERROR(__xludf.DUMMYFUNCTION("""COMPUTED_VALUE"""),"Y")</f>
        <v>Y</v>
      </c>
      <c r="I368" s="49" t="str">
        <f>IFERROR(__xludf.DUMMYFUNCTION("""COMPUTED_VALUE"""),"Y")</f>
        <v>Y</v>
      </c>
      <c r="J368" s="49"/>
      <c r="K368" s="49"/>
      <c r="L368" s="49"/>
    </row>
    <row r="369">
      <c r="A369" s="49" t="str">
        <f>IFERROR(__xludf.DUMMYFUNCTION("""COMPUTED_VALUE"""),"3/18/2026 21:00:37")</f>
        <v>3/18/2026 21:00:37</v>
      </c>
      <c r="B369" s="49" t="str">
        <f>IFERROR(__xludf.DUMMYFUNCTION("""COMPUTED_VALUE"""),"njckid84@gmail.com")</f>
        <v>njckid84@gmail.com</v>
      </c>
      <c r="C369" s="49" t="str">
        <f>IFERROR(__xludf.DUMMYFUNCTION("""COMPUTED_VALUE"""),"Chris Santopietro ")</f>
        <v>Chris Santopietro </v>
      </c>
      <c r="D369" s="399" t="str">
        <f>IFERROR(__xludf.DUMMYFUNCTION("""COMPUTED_VALUE"""),"South")</f>
        <v>South</v>
      </c>
      <c r="E369" s="39" t="str">
        <f>IFERROR(__xludf.DUMMYFUNCTION("""COMPUTED_VALUE"""),"Hammer Full Effect 14 lb(for my dad)")</f>
        <v>Hammer Full Effect 14 lb(for my dad)</v>
      </c>
      <c r="F369" s="39"/>
      <c r="G369" s="52"/>
      <c r="H369" s="49" t="str">
        <f>IFERROR(__xludf.DUMMYFUNCTION("""COMPUTED_VALUE"""),"Y")</f>
        <v>Y</v>
      </c>
      <c r="I369" s="49" t="str">
        <f>IFERROR(__xludf.DUMMYFUNCTION("""COMPUTED_VALUE"""),"Y")</f>
        <v>Y</v>
      </c>
      <c r="J369" s="49"/>
      <c r="K369" s="49"/>
      <c r="L369" s="49"/>
    </row>
    <row r="370">
      <c r="A370" s="49" t="str">
        <f>IFERROR(__xludf.DUMMYFUNCTION("""COMPUTED_VALUE"""),"3/17/2026 12:00:21")</f>
        <v>3/17/2026 12:00:21</v>
      </c>
      <c r="B370" s="49" t="str">
        <f>IFERROR(__xludf.DUMMYFUNCTION("""COMPUTED_VALUE"""),"hpgen24@gmail.com")</f>
        <v>hpgen24@gmail.com</v>
      </c>
      <c r="C370" s="49" t="str">
        <f>IFERROR(__xludf.DUMMYFUNCTION("""COMPUTED_VALUE"""),"Ryan Richmond")</f>
        <v>Ryan Richmond</v>
      </c>
      <c r="D370" s="399" t="str">
        <f>IFERROR(__xludf.DUMMYFUNCTION("""COMPUTED_VALUE"""),"South")</f>
        <v>South</v>
      </c>
      <c r="E370" s="39" t="str">
        <f>IFERROR(__xludf.DUMMYFUNCTION("""COMPUTED_VALUE"""),"Storm concept 14lb.")</f>
        <v>Storm concept 14lb.</v>
      </c>
      <c r="F370" s="39"/>
      <c r="G370" s="52"/>
      <c r="H370" s="49"/>
      <c r="I370" s="49"/>
      <c r="J370" s="49"/>
      <c r="K370" s="49"/>
      <c r="L370" s="49"/>
    </row>
    <row r="371">
      <c r="A371" s="49" t="str">
        <f>IFERROR(__xludf.DUMMYFUNCTION("""COMPUTED_VALUE"""),"3/19/2026 18:53:51")</f>
        <v>3/19/2026 18:53:51</v>
      </c>
      <c r="B371" s="49" t="str">
        <f>IFERROR(__xludf.DUMMYFUNCTION("""COMPUTED_VALUE"""),"myamarie111303@icloud.com")</f>
        <v>myamarie111303@icloud.com</v>
      </c>
      <c r="C371" s="49" t="str">
        <f>IFERROR(__xludf.DUMMYFUNCTION("""COMPUTED_VALUE"""),"Mya Scintilla")</f>
        <v>Mya Scintilla</v>
      </c>
      <c r="D371" s="399" t="str">
        <f>IFERROR(__xludf.DUMMYFUNCTION("""COMPUTED_VALUE"""),"Valley")</f>
        <v>Valley</v>
      </c>
      <c r="E371" s="39" t="str">
        <f>IFERROR(__xludf.DUMMYFUNCTION("""COMPUTED_VALUE"""),"15lb Strikeforce polyester (blue/black/silver)  ")</f>
        <v>15lb Strikeforce polyester (blue/black/silver)  </v>
      </c>
      <c r="F371" s="39"/>
      <c r="G371" s="52"/>
      <c r="H371" s="49" t="str">
        <f>IFERROR(__xludf.DUMMYFUNCTION("""COMPUTED_VALUE"""),"Y")</f>
        <v>Y</v>
      </c>
      <c r="I371" s="49" t="str">
        <f>IFERROR(__xludf.DUMMYFUNCTION("""COMPUTED_VALUE"""),"Y")</f>
        <v>Y</v>
      </c>
      <c r="J371" s="49"/>
      <c r="K371" s="49"/>
      <c r="L371" s="49"/>
    </row>
    <row r="372">
      <c r="A372" s="49" t="str">
        <f>IFERROR(__xludf.DUMMYFUNCTION("""COMPUTED_VALUE"""),"3/19/2026 18:53:51")</f>
        <v>3/19/2026 18:53:51</v>
      </c>
      <c r="B372" s="49" t="str">
        <f>IFERROR(__xludf.DUMMYFUNCTION("""COMPUTED_VALUE"""),"myamarie111303@icloud.com")</f>
        <v>myamarie111303@icloud.com</v>
      </c>
      <c r="C372" s="49" t="str">
        <f>IFERROR(__xludf.DUMMYFUNCTION("""COMPUTED_VALUE"""),"Mya Scintilla")</f>
        <v>Mya Scintilla</v>
      </c>
      <c r="D372" s="399" t="str">
        <f>IFERROR(__xludf.DUMMYFUNCTION("""COMPUTED_VALUE"""),"Valley")</f>
        <v>Valley</v>
      </c>
      <c r="E372" s="39" t="str">
        <f>IFERROR(__xludf.DUMMYFUNCTION("""COMPUTED_VALUE"""),"15lb Strikeforce polyester (purple/royal/silver)")</f>
        <v>15lb Strikeforce polyester (purple/royal/silver)</v>
      </c>
      <c r="F372" s="39"/>
      <c r="G372" s="52"/>
      <c r="H372" s="49" t="str">
        <f>IFERROR(__xludf.DUMMYFUNCTION("""COMPUTED_VALUE"""),"Y")</f>
        <v>Y</v>
      </c>
      <c r="I372" s="49" t="str">
        <f>IFERROR(__xludf.DUMMYFUNCTION("""COMPUTED_VALUE"""),"Y")</f>
        <v>Y</v>
      </c>
      <c r="J372" s="49"/>
      <c r="K372" s="49"/>
      <c r="L372" s="49"/>
    </row>
    <row r="373">
      <c r="A373" s="49" t="str">
        <f>IFERROR(__xludf.DUMMYFUNCTION("""COMPUTED_VALUE"""),"3/21/2026 15:41:52")</f>
        <v>3/21/2026 15:41:52</v>
      </c>
      <c r="B373" s="49" t="str">
        <f>IFERROR(__xludf.DUMMYFUNCTION("""COMPUTED_VALUE"""),"Perfexxxxionproshop@gmail.com")</f>
        <v>Perfexxxxionproshop@gmail.com</v>
      </c>
      <c r="C373" s="49" t="str">
        <f>IFERROR(__xludf.DUMMYFUNCTION("""COMPUTED_VALUE"""),"Danielle Knittle")</f>
        <v>Danielle Knittle</v>
      </c>
      <c r="D373" s="399" t="str">
        <f>IFERROR(__xludf.DUMMYFUNCTION("""COMPUTED_VALUE"""),"South")</f>
        <v>South</v>
      </c>
      <c r="E373" s="39" t="str">
        <f>IFERROR(__xludf.DUMMYFUNCTION("""COMPUTED_VALUE"""),"Stealth Mode Hybrid 14 lbs")</f>
        <v>Stealth Mode Hybrid 14 lbs</v>
      </c>
      <c r="F373" s="39"/>
      <c r="G373" s="52"/>
      <c r="H373" s="49" t="str">
        <f>IFERROR(__xludf.DUMMYFUNCTION("""COMPUTED_VALUE"""),"Y")</f>
        <v>Y</v>
      </c>
      <c r="I373" s="49" t="str">
        <f>IFERROR(__xludf.DUMMYFUNCTION("""COMPUTED_VALUE"""),"Y")</f>
        <v>Y</v>
      </c>
      <c r="J373" s="49"/>
      <c r="K373" s="49"/>
      <c r="L373" s="49"/>
    </row>
    <row r="374">
      <c r="A374" s="49" t="str">
        <f>IFERROR(__xludf.DUMMYFUNCTION("""COMPUTED_VALUE"""),"3/21/2026 15:41:52")</f>
        <v>3/21/2026 15:41:52</v>
      </c>
      <c r="B374" s="49" t="str">
        <f>IFERROR(__xludf.DUMMYFUNCTION("""COMPUTED_VALUE"""),"Perfexxxxionproshop@gmail.com")</f>
        <v>Perfexxxxionproshop@gmail.com</v>
      </c>
      <c r="C374" s="49" t="str">
        <f>IFERROR(__xludf.DUMMYFUNCTION("""COMPUTED_VALUE"""),"Danielle Knittle")</f>
        <v>Danielle Knittle</v>
      </c>
      <c r="D374" s="399" t="str">
        <f>IFERROR(__xludf.DUMMYFUNCTION("""COMPUTED_VALUE"""),"South")</f>
        <v>South</v>
      </c>
      <c r="E374" s="39" t="str">
        <f>IFERROR(__xludf.DUMMYFUNCTION("""COMPUTED_VALUE"""),"Hammer HammerHead Pearl 14 lbs")</f>
        <v>Hammer HammerHead Pearl 14 lbs</v>
      </c>
      <c r="F374" s="39"/>
      <c r="G374" s="52"/>
      <c r="H374" s="49" t="str">
        <f>IFERROR(__xludf.DUMMYFUNCTION("""COMPUTED_VALUE"""),"Y")</f>
        <v>Y</v>
      </c>
      <c r="I374" s="49" t="str">
        <f>IFERROR(__xludf.DUMMYFUNCTION("""COMPUTED_VALUE"""),"Y")</f>
        <v>Y</v>
      </c>
      <c r="J374" s="49"/>
      <c r="K374" s="49"/>
      <c r="L374" s="49"/>
    </row>
    <row r="375">
      <c r="A375" s="49" t="str">
        <f>IFERROR(__xludf.DUMMYFUNCTION("""COMPUTED_VALUE"""),"3/22/2026 21:56:12")</f>
        <v>3/22/2026 21:56:12</v>
      </c>
      <c r="B375" s="49" t="str">
        <f>IFERROR(__xludf.DUMMYFUNCTION("""COMPUTED_VALUE"""),"Perfexxxxionproshop@gmail.com")</f>
        <v>Perfexxxxionproshop@gmail.com</v>
      </c>
      <c r="C375" s="49" t="str">
        <f>IFERROR(__xludf.DUMMYFUNCTION("""COMPUTED_VALUE"""),"Christian Halliday")</f>
        <v>Christian Halliday</v>
      </c>
      <c r="D375" s="399" t="str">
        <f>IFERROR(__xludf.DUMMYFUNCTION("""COMPUTED_VALUE"""),"South")</f>
        <v>South</v>
      </c>
      <c r="E375" s="39" t="str">
        <f>IFERROR(__xludf.DUMMYFUNCTION("""COMPUTED_VALUE"""),"Hammer purple 78d 15 lb")</f>
        <v>Hammer purple 78d 15 lb</v>
      </c>
      <c r="F375" s="39"/>
      <c r="G375" s="52"/>
      <c r="H375" s="49" t="str">
        <f>IFERROR(__xludf.DUMMYFUNCTION("""COMPUTED_VALUE"""),"Y")</f>
        <v>Y</v>
      </c>
      <c r="I375" s="49" t="str">
        <f>IFERROR(__xludf.DUMMYFUNCTION("""COMPUTED_VALUE"""),"Y")</f>
        <v>Y</v>
      </c>
      <c r="J375" s="49"/>
      <c r="K375" s="49"/>
      <c r="L375" s="49"/>
    </row>
    <row r="376">
      <c r="A376" s="49" t="str">
        <f>IFERROR(__xludf.DUMMYFUNCTION("""COMPUTED_VALUE"""),"3/22/2026 21:54:17")</f>
        <v>3/22/2026 21:54:17</v>
      </c>
      <c r="B376" s="49" t="str">
        <f>IFERROR(__xludf.DUMMYFUNCTION("""COMPUTED_VALUE"""),"Perfexxxxionproshop@gmail.com")</f>
        <v>Perfexxxxionproshop@gmail.com</v>
      </c>
      <c r="C376" s="49" t="str">
        <f>IFERROR(__xludf.DUMMYFUNCTION("""COMPUTED_VALUE"""),"Kevin Walsh")</f>
        <v>Kevin Walsh</v>
      </c>
      <c r="D376" s="399" t="str">
        <f>IFERROR(__xludf.DUMMYFUNCTION("""COMPUTED_VALUE"""),"South")</f>
        <v>South</v>
      </c>
      <c r="E376" s="39" t="str">
        <f>IFERROR(__xludf.DUMMYFUNCTION("""COMPUTED_VALUE"""),"Motiv Max Thrill Hybrid 14 (blue purple)")</f>
        <v>Motiv Max Thrill Hybrid 14 (blue purple)</v>
      </c>
      <c r="F376" s="39"/>
      <c r="G376" s="52"/>
      <c r="H376" s="49" t="str">
        <f>IFERROR(__xludf.DUMMYFUNCTION("""COMPUTED_VALUE"""),"Y")</f>
        <v>Y</v>
      </c>
      <c r="I376" s="49" t="str">
        <f>IFERROR(__xludf.DUMMYFUNCTION("""COMPUTED_VALUE"""),"Y")</f>
        <v>Y</v>
      </c>
      <c r="J376" s="49"/>
      <c r="K376" s="49"/>
      <c r="L376" s="49"/>
    </row>
    <row r="377">
      <c r="A377" s="49" t="str">
        <f>IFERROR(__xludf.DUMMYFUNCTION("""COMPUTED_VALUE"""),"3/26/2026 19:09:35")</f>
        <v>3/26/2026 19:09:35</v>
      </c>
      <c r="B377" s="49" t="str">
        <f>IFERROR(__xludf.DUMMYFUNCTION("""COMPUTED_VALUE"""),"tcalpin@iw404.org")</f>
        <v>tcalpin@iw404.org</v>
      </c>
      <c r="C377" s="49" t="str">
        <f>IFERROR(__xludf.DUMMYFUNCTION("""COMPUTED_VALUE"""),"Tommy Calpin")</f>
        <v>Tommy Calpin</v>
      </c>
      <c r="D377" s="399" t="str">
        <f>IFERROR(__xludf.DUMMYFUNCTION("""COMPUTED_VALUE"""),"South")</f>
        <v>South</v>
      </c>
      <c r="E377" s="39" t="str">
        <f>IFERROR(__xludf.DUMMYFUNCTION("""COMPUTED_VALUE"""),"Hammer Effect Tour - 16 Pounds")</f>
        <v>Hammer Effect Tour - 16 Pounds</v>
      </c>
      <c r="F377" s="39"/>
      <c r="G377" s="52"/>
      <c r="H377" s="49" t="str">
        <f>IFERROR(__xludf.DUMMYFUNCTION("""COMPUTED_VALUE"""),"Y")</f>
        <v>Y</v>
      </c>
      <c r="I377" s="49" t="str">
        <f>IFERROR(__xludf.DUMMYFUNCTION("""COMPUTED_VALUE"""),"Y")</f>
        <v>Y</v>
      </c>
      <c r="J377" s="49"/>
      <c r="K377" s="49"/>
      <c r="L377" s="49"/>
    </row>
    <row r="378">
      <c r="A378" s="49" t="str">
        <f>IFERROR(__xludf.DUMMYFUNCTION("""COMPUTED_VALUE"""),"3/26/2026 19:11:19")</f>
        <v>3/26/2026 19:11:19</v>
      </c>
      <c r="B378" s="49" t="str">
        <f>IFERROR(__xludf.DUMMYFUNCTION("""COMPUTED_VALUE"""),"thepierced16987@gmail.com")</f>
        <v>thepierced16987@gmail.com</v>
      </c>
      <c r="C378" s="49" t="str">
        <f>IFERROR(__xludf.DUMMYFUNCTION("""COMPUTED_VALUE"""),"Brad dutter ")</f>
        <v>Brad dutter </v>
      </c>
      <c r="D378" s="399" t="str">
        <f>IFERROR(__xludf.DUMMYFUNCTION("""COMPUTED_VALUE"""),"South")</f>
        <v>South</v>
      </c>
      <c r="E378" s="39" t="str">
        <f>IFERROR(__xludf.DUMMYFUNCTION("""COMPUTED_VALUE"""),"Black widow 3.0 dynasty 16lb")</f>
        <v>Black widow 3.0 dynasty 16lb</v>
      </c>
      <c r="F378" s="39"/>
      <c r="G378" s="52"/>
      <c r="H378" s="49" t="str">
        <f>IFERROR(__xludf.DUMMYFUNCTION("""COMPUTED_VALUE"""),"Y")</f>
        <v>Y</v>
      </c>
      <c r="I378" s="49" t="str">
        <f>IFERROR(__xludf.DUMMYFUNCTION("""COMPUTED_VALUE"""),"Y")</f>
        <v>Y</v>
      </c>
      <c r="J378" s="49"/>
      <c r="K378" s="49"/>
      <c r="L378" s="49"/>
    </row>
    <row r="379">
      <c r="A379" s="49" t="str">
        <f>IFERROR(__xludf.DUMMYFUNCTION("""COMPUTED_VALUE"""),"3/25/2026 18:28:12")</f>
        <v>3/25/2026 18:28:12</v>
      </c>
      <c r="B379" s="49" t="str">
        <f>IFERROR(__xludf.DUMMYFUNCTION("""COMPUTED_VALUE"""),"zcorum2012@gmail.com")</f>
        <v>zcorum2012@gmail.com</v>
      </c>
      <c r="C379" s="49" t="str">
        <f>IFERROR(__xludf.DUMMYFUNCTION("""COMPUTED_VALUE"""),"Zach Corum")</f>
        <v>Zach Corum</v>
      </c>
      <c r="D379" s="399" t="str">
        <f>IFERROR(__xludf.DUMMYFUNCTION("""COMPUTED_VALUE"""),"Valley")</f>
        <v>Valley</v>
      </c>
      <c r="E379" s="39" t="str">
        <f>IFERROR(__xludf.DUMMYFUNCTION("""COMPUTED_VALUE"""),"Tzone night sky 15lbs")</f>
        <v>Tzone night sky 15lbs</v>
      </c>
      <c r="F379" s="39"/>
      <c r="G379" s="52"/>
      <c r="H379" s="49" t="str">
        <f>IFERROR(__xludf.DUMMYFUNCTION("""COMPUTED_VALUE"""),"Y")</f>
        <v>Y</v>
      </c>
      <c r="I379" s="49" t="str">
        <f>IFERROR(__xludf.DUMMYFUNCTION("""COMPUTED_VALUE"""),"Y")</f>
        <v>Y</v>
      </c>
      <c r="J379" s="49"/>
      <c r="K379" s="49"/>
      <c r="L379" s="49"/>
    </row>
    <row r="380">
      <c r="A380" s="49" t="str">
        <f>IFERROR(__xludf.DUMMYFUNCTION("""COMPUTED_VALUE"""),"3/23/2026 15:56:23")</f>
        <v>3/23/2026 15:56:23</v>
      </c>
      <c r="B380" s="49" t="str">
        <f>IFERROR(__xludf.DUMMYFUNCTION("""COMPUTED_VALUE"""),"gregmaty@gmail.com")</f>
        <v>gregmaty@gmail.com</v>
      </c>
      <c r="C380" s="49" t="str">
        <f>IFERROR(__xludf.DUMMYFUNCTION("""COMPUTED_VALUE"""),"Greg Matyjevich")</f>
        <v>Greg Matyjevich</v>
      </c>
      <c r="D380" s="399" t="str">
        <f>IFERROR(__xludf.DUMMYFUNCTION("""COMPUTED_VALUE"""),"South")</f>
        <v>South</v>
      </c>
      <c r="E380" s="39" t="str">
        <f>IFERROR(__xludf.DUMMYFUNCTION("""COMPUTED_VALUE"""),"Track Stealth Mode Hybrid 14lb")</f>
        <v>Track Stealth Mode Hybrid 14lb</v>
      </c>
      <c r="F380" s="39"/>
      <c r="G380" s="52"/>
      <c r="H380" s="49" t="str">
        <f>IFERROR(__xludf.DUMMYFUNCTION("""COMPUTED_VALUE"""),"Y")</f>
        <v>Y</v>
      </c>
      <c r="I380" s="49" t="str">
        <f>IFERROR(__xludf.DUMMYFUNCTION("""COMPUTED_VALUE"""),"No")</f>
        <v>No</v>
      </c>
      <c r="J380" s="49"/>
      <c r="K380" s="49"/>
      <c r="L380" s="49"/>
    </row>
    <row r="381">
      <c r="A381" s="49" t="str">
        <f>IFERROR(__xludf.DUMMYFUNCTION("""COMPUTED_VALUE"""),"3/28/2026 15:10:31")</f>
        <v>3/28/2026 15:10:31</v>
      </c>
      <c r="B381" s="49" t="str">
        <f>IFERROR(__xludf.DUMMYFUNCTION("""COMPUTED_VALUE"""),"twheeler@elitenepa.com")</f>
        <v>twheeler@elitenepa.com</v>
      </c>
      <c r="C381" s="49" t="str">
        <f>IFERROR(__xludf.DUMMYFUNCTION("""COMPUTED_VALUE"""),"Thomas Wheeler")</f>
        <v>Thomas Wheeler</v>
      </c>
      <c r="D381" s="399" t="str">
        <f>IFERROR(__xludf.DUMMYFUNCTION("""COMPUTED_VALUE"""),"South")</f>
        <v>South</v>
      </c>
      <c r="E381" s="39" t="str">
        <f>IFERROR(__xludf.DUMMYFUNCTION("""COMPUTED_VALUE"""),"Hammer tour v1 14lb")</f>
        <v>Hammer tour v1 14lb</v>
      </c>
      <c r="F381" s="39"/>
      <c r="G381" s="52"/>
      <c r="H381" s="49" t="str">
        <f>IFERROR(__xludf.DUMMYFUNCTION("""COMPUTED_VALUE"""),"Y")</f>
        <v>Y</v>
      </c>
      <c r="I381" s="49" t="str">
        <f>IFERROR(__xludf.DUMMYFUNCTION("""COMPUTED_VALUE"""),"Y")</f>
        <v>Y</v>
      </c>
      <c r="J381" s="49"/>
      <c r="K381" s="49"/>
      <c r="L381" s="49"/>
    </row>
    <row r="382">
      <c r="A382" s="49" t="str">
        <f>IFERROR(__xludf.DUMMYFUNCTION("""COMPUTED_VALUE"""),"3/29/2026 15:51:50")</f>
        <v>3/29/2026 15:51:50</v>
      </c>
      <c r="B382" s="49" t="str">
        <f>IFERROR(__xludf.DUMMYFUNCTION("""COMPUTED_VALUE"""),"keith.danielowski@gmail.com")</f>
        <v>keith.danielowski@gmail.com</v>
      </c>
      <c r="C382" s="49" t="str">
        <f>IFERROR(__xludf.DUMMYFUNCTION("""COMPUTED_VALUE"""),"Scott Holtzman")</f>
        <v>Scott Holtzman</v>
      </c>
      <c r="D382" s="399" t="str">
        <f>IFERROR(__xludf.DUMMYFUNCTION("""COMPUTED_VALUE"""),"South")</f>
        <v>South</v>
      </c>
      <c r="E382" s="39" t="str">
        <f>IFERROR(__xludf.DUMMYFUNCTION("""COMPUTED_VALUE"""),"Hammer zero mercy pearl 14")</f>
        <v>Hammer zero mercy pearl 14</v>
      </c>
      <c r="F382" s="39"/>
      <c r="G382" s="52"/>
      <c r="H382" s="49" t="str">
        <f>IFERROR(__xludf.DUMMYFUNCTION("""COMPUTED_VALUE"""),"Y")</f>
        <v>Y</v>
      </c>
      <c r="I382" s="49" t="str">
        <f>IFERROR(__xludf.DUMMYFUNCTION("""COMPUTED_VALUE"""),"Y")</f>
        <v>Y</v>
      </c>
      <c r="J382" s="49"/>
      <c r="K382" s="49"/>
      <c r="L382" s="49"/>
    </row>
    <row r="383">
      <c r="A383" s="49" t="str">
        <f>IFERROR(__xludf.DUMMYFUNCTION("""COMPUTED_VALUE"""),"3/22/2026 21:49:48")</f>
        <v>3/22/2026 21:49:48</v>
      </c>
      <c r="B383" s="49" t="str">
        <f>IFERROR(__xludf.DUMMYFUNCTION("""COMPUTED_VALUE"""),"Perfexxxxionproshop@gmail.com")</f>
        <v>Perfexxxxionproshop@gmail.com</v>
      </c>
      <c r="C383" s="49" t="str">
        <f>IFERROR(__xludf.DUMMYFUNCTION("""COMPUTED_VALUE"""),"Richie Lei")</f>
        <v>Richie Lei</v>
      </c>
      <c r="D383" s="399" t="str">
        <f>IFERROR(__xludf.DUMMYFUNCTION("""COMPUTED_VALUE"""),"Valley")</f>
        <v>Valley</v>
      </c>
      <c r="E383" s="39" t="str">
        <f>IFERROR(__xludf.DUMMYFUNCTION("""COMPUTED_VALUE"""),"Storm Concept 15 lbs")</f>
        <v>Storm Concept 15 lbs</v>
      </c>
      <c r="F383" s="39"/>
      <c r="G383" s="52"/>
      <c r="H383" s="49" t="str">
        <f>IFERROR(__xludf.DUMMYFUNCTION("""COMPUTED_VALUE"""),"Y")</f>
        <v>Y</v>
      </c>
      <c r="I383" s="49" t="str">
        <f>IFERROR(__xludf.DUMMYFUNCTION("""COMPUTED_VALUE"""),"Y")</f>
        <v>Y</v>
      </c>
      <c r="J383" s="49"/>
      <c r="K383" s="49"/>
      <c r="L383" s="49"/>
    </row>
    <row r="384">
      <c r="A384" s="49" t="str">
        <f>IFERROR(__xludf.DUMMYFUNCTION("""COMPUTED_VALUE"""),"3/29/2026 13:39:07")</f>
        <v>3/29/2026 13:39:07</v>
      </c>
      <c r="B384" s="49" t="str">
        <f>IFERROR(__xludf.DUMMYFUNCTION("""COMPUTED_VALUE"""),"marshallwrd@gmail.com")</f>
        <v>marshallwrd@gmail.com</v>
      </c>
      <c r="C384" s="49" t="str">
        <f>IFERROR(__xludf.DUMMYFUNCTION("""COMPUTED_VALUE"""),"Marshall Ward")</f>
        <v>Marshall Ward</v>
      </c>
      <c r="D384" s="399" t="str">
        <f>IFERROR(__xludf.DUMMYFUNCTION("""COMPUTED_VALUE"""),"Valley")</f>
        <v>Valley</v>
      </c>
      <c r="E384" s="39" t="str">
        <f>IFERROR(__xludf.DUMMYFUNCTION("""COMPUTED_VALUE""")," Radical Snapshot Hybrid 14 lb")</f>
        <v> Radical Snapshot Hybrid 14 lb</v>
      </c>
      <c r="F384" s="39"/>
      <c r="G384" s="52"/>
      <c r="H384" s="49" t="str">
        <f>IFERROR(__xludf.DUMMYFUNCTION("""COMPUTED_VALUE"""),"Y")</f>
        <v>Y</v>
      </c>
      <c r="I384" s="49" t="str">
        <f>IFERROR(__xludf.DUMMYFUNCTION("""COMPUTED_VALUE"""),"Y")</f>
        <v>Y</v>
      </c>
      <c r="J384" s="49"/>
      <c r="K384" s="49"/>
      <c r="L384" s="49"/>
    </row>
    <row r="385">
      <c r="A385" s="49" t="str">
        <f>IFERROR(__xludf.DUMMYFUNCTION("""COMPUTED_VALUE"""),"20260119-1KKD")</f>
        <v>20260119-1KKD</v>
      </c>
      <c r="B385" s="49" t="str">
        <f>IFERROR(__xludf.DUMMYFUNCTION("""COMPUTED_VALUE"""),"Chris Weldon")</f>
        <v>Chris Weldon</v>
      </c>
      <c r="C385" s="49"/>
      <c r="D385" s="399" t="str">
        <f>IFERROR(__xludf.DUMMYFUNCTION("""COMPUTED_VALUE"""),"Black widow 3000 grit")</f>
        <v>Black widow 3000 grit</v>
      </c>
      <c r="E385" s="39" t="str">
        <f>IFERROR(__xludf.DUMMYFUNCTION("""COMPUTED_VALUE"""),"Valley Lanes")</f>
        <v>Valley Lanes</v>
      </c>
      <c r="F385" s="39" t="str">
        <f>IFERROR(__xludf.DUMMYFUNCTION("""COMPUTED_VALUE"""),"1/22/2026")</f>
        <v>1/22/2026</v>
      </c>
      <c r="G385" s="52">
        <f>IFERROR(__xludf.DUMMYFUNCTION("""COMPUTED_VALUE"""),46041.0)</f>
        <v>46041</v>
      </c>
      <c r="H385" s="49" t="str">
        <f>IFERROR(__xludf.DUMMYFUNCTION("""COMPUTED_VALUE"""),"Yes")</f>
        <v>Yes</v>
      </c>
      <c r="I385" s="49" t="str">
        <f>IFERROR(__xludf.DUMMYFUNCTION("""COMPUTED_VALUE"""),"Yes")</f>
        <v>Yes</v>
      </c>
      <c r="J385" s="49"/>
      <c r="K385" s="49"/>
      <c r="L385" s="49"/>
    </row>
    <row r="386">
      <c r="A386" s="49" t="str">
        <f>IFERROR(__xludf.DUMMYFUNCTION("""COMPUTED_VALUE"""),"20251229-8343")</f>
        <v>20251229-8343</v>
      </c>
      <c r="B386" s="49" t="str">
        <f>IFERROR(__xludf.DUMMYFUNCTION("""COMPUTED_VALUE"""),"Phil Rempe")</f>
        <v>Phil Rempe</v>
      </c>
      <c r="C386" s="49" t="str">
        <f>IFERROR(__xludf.DUMMYFUNCTION("""COMPUTED_VALUE"""),"(570) 371-9441")</f>
        <v>(570) 371-9441</v>
      </c>
      <c r="D386" s="399" t="str">
        <f>IFERROR(__xludf.DUMMYFUNCTION("""COMPUTED_VALUE"""),"Plugged thumb at Valley. Needs ball completed and picked up at South side")</f>
        <v>Plugged thumb at Valley. Needs ball completed and picked up at South side</v>
      </c>
      <c r="E386" s="39" t="str">
        <f>IFERROR(__xludf.DUMMYFUNCTION("""COMPUTED_VALUE"""),"Valley Lanes")</f>
        <v>Valley Lanes</v>
      </c>
      <c r="F386" s="39" t="str">
        <f>IFERROR(__xludf.DUMMYFUNCTION("""COMPUTED_VALUE"""),"1/3/2026")</f>
        <v>1/3/2026</v>
      </c>
      <c r="G386" s="52">
        <f>IFERROR(__xludf.DUMMYFUNCTION("""COMPUTED_VALUE"""),46020.0)</f>
        <v>46020</v>
      </c>
      <c r="H386" s="49" t="str">
        <f>IFERROR(__xludf.DUMMYFUNCTION("""COMPUTED_VALUE"""),"Yes")</f>
        <v>Yes</v>
      </c>
      <c r="I386" s="49" t="str">
        <f>IFERROR(__xludf.DUMMYFUNCTION("""COMPUTED_VALUE"""),"Yes")</f>
        <v>Yes</v>
      </c>
      <c r="J386" s="49"/>
      <c r="K386" s="49"/>
      <c r="L386" s="49"/>
    </row>
    <row r="387">
      <c r="A387" s="49" t="str">
        <f>IFERROR(__xludf.DUMMYFUNCTION("""COMPUTED_VALUE"""),"20251210-34J9")</f>
        <v>20251210-34J9</v>
      </c>
      <c r="B387" s="49" t="str">
        <f>IFERROR(__xludf.DUMMYFUNCTION("""COMPUTED_VALUE"""),"Michael Dinning")</f>
        <v>Michael Dinning</v>
      </c>
      <c r="C387" s="49"/>
      <c r="D387" s="399" t="str">
        <f>IFERROR(__xludf.DUMMYFUNCTION("""COMPUTED_VALUE"""),"Drill pitched from bw 3.0 into hammer effect")</f>
        <v>Drill pitched from bw 3.0 into hammer effect</v>
      </c>
      <c r="E387" s="39" t="str">
        <f>IFERROR(__xludf.DUMMYFUNCTION("""COMPUTED_VALUE"""),"Valley")</f>
        <v>Valley</v>
      </c>
      <c r="F387" s="39" t="str">
        <f>IFERROR(__xludf.DUMMYFUNCTION("""COMPUTED_VALUE"""),"12/10/2025")</f>
        <v>12/10/2025</v>
      </c>
      <c r="G387" s="52">
        <f>IFERROR(__xludf.DUMMYFUNCTION("""COMPUTED_VALUE"""),46001.0)</f>
        <v>46001</v>
      </c>
      <c r="H387" s="49" t="str">
        <f>IFERROR(__xludf.DUMMYFUNCTION("""COMPUTED_VALUE"""),"Yes")</f>
        <v>Yes</v>
      </c>
      <c r="I387" s="49" t="str">
        <f>IFERROR(__xludf.DUMMYFUNCTION("""COMPUTED_VALUE"""),"Yes")</f>
        <v>Yes</v>
      </c>
      <c r="J387" s="49"/>
      <c r="K387" s="49"/>
      <c r="L387" s="49"/>
    </row>
    <row r="388">
      <c r="A388" s="49" t="str">
        <f>IFERROR(__xludf.DUMMYFUNCTION("""COMPUTED_VALUE"""),"20251210-1ZL6")</f>
        <v>20251210-1ZL6</v>
      </c>
      <c r="B388" s="49" t="str">
        <f>IFERROR(__xludf.DUMMYFUNCTION("""COMPUTED_VALUE"""),"Chris Weldon")</f>
        <v>Chris Weldon</v>
      </c>
      <c r="C388" s="49"/>
      <c r="D388" s="399" t="str">
        <f>IFERROR(__xludf.DUMMYFUNCTION("""COMPUTED_VALUE"""),"Bake and Resurface Black Widow 2.0")</f>
        <v>Bake and Resurface Black Widow 2.0</v>
      </c>
      <c r="E388" s="39" t="str">
        <f>IFERROR(__xludf.DUMMYFUNCTION("""COMPUTED_VALUE"""),"Valley")</f>
        <v>Valley</v>
      </c>
      <c r="F388" s="39" t="str">
        <f>IFERROR(__xludf.DUMMYFUNCTION("""COMPUTED_VALUE"""),"12/15/2025")</f>
        <v>12/15/2025</v>
      </c>
      <c r="G388" s="52">
        <f>IFERROR(__xludf.DUMMYFUNCTION("""COMPUTED_VALUE"""),46001.0)</f>
        <v>46001</v>
      </c>
      <c r="H388" s="49" t="str">
        <f>IFERROR(__xludf.DUMMYFUNCTION("""COMPUTED_VALUE"""),"Yes")</f>
        <v>Yes</v>
      </c>
      <c r="I388" s="49" t="str">
        <f>IFERROR(__xludf.DUMMYFUNCTION("""COMPUTED_VALUE"""),"Yes")</f>
        <v>Yes</v>
      </c>
      <c r="J388" s="49"/>
      <c r="K388" s="49"/>
      <c r="L388" s="49"/>
    </row>
    <row r="389">
      <c r="A389" s="49" t="str">
        <f>IFERROR(__xludf.DUMMYFUNCTION("""COMPUTED_VALUE"""),"20251210-1GG4")</f>
        <v>20251210-1GG4</v>
      </c>
      <c r="B389" s="49" t="str">
        <f>IFERROR(__xludf.DUMMYFUNCTION("""COMPUTED_VALUE"""),"Gary Watson")</f>
        <v>Gary Watson</v>
      </c>
      <c r="C389" s="49"/>
      <c r="D389" s="399" t="str">
        <f>IFERROR(__xludf.DUMMYFUNCTION("""COMPUTED_VALUE"""),"Plug and Redrill Infinite Physix")</f>
        <v>Plug and Redrill Infinite Physix</v>
      </c>
      <c r="E389" s="39"/>
      <c r="F389" s="39" t="str">
        <f>IFERROR(__xludf.DUMMYFUNCTION("""COMPUTED_VALUE"""),"12/16/2025")</f>
        <v>12/16/2025</v>
      </c>
      <c r="G389" s="52">
        <f>IFERROR(__xludf.DUMMYFUNCTION("""COMPUTED_VALUE"""),46001.0)</f>
        <v>46001</v>
      </c>
      <c r="H389" s="49" t="str">
        <f>IFERROR(__xludf.DUMMYFUNCTION("""COMPUTED_VALUE"""),"Yes")</f>
        <v>Yes</v>
      </c>
      <c r="I389" s="49" t="str">
        <f>IFERROR(__xludf.DUMMYFUNCTION("""COMPUTED_VALUE"""),"Yes")</f>
        <v>Yes</v>
      </c>
      <c r="J389" s="49"/>
      <c r="K389" s="49"/>
      <c r="L389" s="49"/>
    </row>
    <row r="390">
      <c r="A390" s="49" t="str">
        <f>IFERROR(__xludf.DUMMYFUNCTION("""COMPUTED_VALUE"""),"20251221-2BWG")</f>
        <v>20251221-2BWG</v>
      </c>
      <c r="B390" s="49" t="str">
        <f>IFERROR(__xludf.DUMMYFUNCTION("""COMPUTED_VALUE"""),"Doug Smith")</f>
        <v>Doug Smith</v>
      </c>
      <c r="C390" s="49" t="str">
        <f>IFERROR(__xludf.DUMMYFUNCTION("""COMPUTED_VALUE"""),"(555) 555-5555")</f>
        <v>(555) 555-5555</v>
      </c>
      <c r="D390" s="399" t="str">
        <f>IFERROR(__xludf.DUMMYFUNCTION("""COMPUTED_VALUE"""),"Plug and Drill test ball")</f>
        <v>Plug and Drill test ball</v>
      </c>
      <c r="E390" s="39" t="str">
        <f>IFERROR(__xludf.DUMMYFUNCTION("""COMPUTED_VALUE"""),"Valley Lanes")</f>
        <v>Valley Lanes</v>
      </c>
      <c r="F390" s="39" t="str">
        <f>IFERROR(__xludf.DUMMYFUNCTION("""COMPUTED_VALUE"""),"12/28/2025")</f>
        <v>12/28/2025</v>
      </c>
      <c r="G390" s="52">
        <f>IFERROR(__xludf.DUMMYFUNCTION("""COMPUTED_VALUE"""),46012.0)</f>
        <v>46012</v>
      </c>
      <c r="H390" s="49" t="str">
        <f>IFERROR(__xludf.DUMMYFUNCTION("""COMPUTED_VALUE"""),"Yes")</f>
        <v>Yes</v>
      </c>
      <c r="I390" s="49" t="str">
        <f>IFERROR(__xludf.DUMMYFUNCTION("""COMPUTED_VALUE"""),"Yes")</f>
        <v>Yes</v>
      </c>
      <c r="J390" s="49"/>
      <c r="K390" s="49"/>
      <c r="L390" s="49"/>
    </row>
    <row r="391">
      <c r="A391" s="49" t="str">
        <f>IFERROR(__xludf.DUMMYFUNCTION("""COMPUTED_VALUE"""),"20251221-1K51")</f>
        <v>20251221-1K51</v>
      </c>
      <c r="B391" s="49" t="str">
        <f>IFERROR(__xludf.DUMMYFUNCTION("""COMPUTED_VALUE"""),"Jade Hoakes ")</f>
        <v>Jade Hoakes </v>
      </c>
      <c r="C391" s="49" t="str">
        <f>IFERROR(__xludf.DUMMYFUNCTION("""COMPUTED_VALUE"""),"570-815-1482")</f>
        <v>570-815-1482</v>
      </c>
      <c r="D391" s="399" t="str">
        <f>IFERROR(__xludf.DUMMYFUNCTION("""COMPUTED_VALUE"""),"Motiv Apex Jackyl 14 lb")</f>
        <v>Motiv Apex Jackyl 14 lb</v>
      </c>
      <c r="E391" s="39" t="str">
        <f>IFERROR(__xludf.DUMMYFUNCTION("""COMPUTED_VALUE"""),"South")</f>
        <v>South</v>
      </c>
      <c r="F391" s="39" t="str">
        <f>IFERROR(__xludf.DUMMYFUNCTION("""COMPUTED_VALUE"""),"2025-12-28")</f>
        <v>2025-12-28</v>
      </c>
      <c r="G391" s="52">
        <f>IFERROR(__xludf.DUMMYFUNCTION("""COMPUTED_VALUE"""),46012.0)</f>
        <v>46012</v>
      </c>
      <c r="H391" s="49"/>
      <c r="I391" s="49"/>
      <c r="J391" s="49"/>
      <c r="K391" s="49"/>
      <c r="L391" s="49"/>
    </row>
    <row r="392">
      <c r="A392" s="49" t="str">
        <f>IFERROR(__xludf.DUMMYFUNCTION("""COMPUTED_VALUE"""),"20251223-T6F")</f>
        <v>20251223-T6F</v>
      </c>
      <c r="B392" s="49" t="str">
        <f>IFERROR(__xludf.DUMMYFUNCTION("""COMPUTED_VALUE"""),"Preston")</f>
        <v>Preston</v>
      </c>
      <c r="C392" s="49" t="str">
        <f>IFERROR(__xludf.DUMMYFUNCTION("""COMPUTED_VALUE"""),"215-801-0490")</f>
        <v>215-801-0490</v>
      </c>
      <c r="D392" s="399" t="str">
        <f>IFERROR(__xludf.DUMMYFUNCTION("""COMPUTED_VALUE"""),"IQ tour - 15lbs")</f>
        <v>IQ tour - 15lbs</v>
      </c>
      <c r="E392" s="39" t="str">
        <f>IFERROR(__xludf.DUMMYFUNCTION("""COMPUTED_VALUE"""),"Valley ")</f>
        <v>Valley </v>
      </c>
      <c r="F392" s="39" t="str">
        <f>IFERROR(__xludf.DUMMYFUNCTION("""COMPUTED_VALUE"""),"2025-12-28")</f>
        <v>2025-12-28</v>
      </c>
      <c r="G392" s="52">
        <f>IFERROR(__xludf.DUMMYFUNCTION("""COMPUTED_VALUE"""),46014.0)</f>
        <v>46014</v>
      </c>
      <c r="H392" s="49"/>
      <c r="I392" s="49"/>
      <c r="J392" s="49"/>
      <c r="K392" s="49"/>
      <c r="L392" s="49"/>
    </row>
    <row r="393">
      <c r="A393" s="49" t="str">
        <f>IFERROR(__xludf.DUMMYFUNCTION("""COMPUTED_VALUE"""),"20251223-2YDJ")</f>
        <v>20251223-2YDJ</v>
      </c>
      <c r="B393" s="49" t="str">
        <f>IFERROR(__xludf.DUMMYFUNCTION("""COMPUTED_VALUE"""),"Preston")</f>
        <v>Preston</v>
      </c>
      <c r="C393" s="49" t="str">
        <f>IFERROR(__xludf.DUMMYFUNCTION("""COMPUTED_VALUE"""),"215-801-0490")</f>
        <v>215-801-0490</v>
      </c>
      <c r="D393" s="399" t="str">
        <f>IFERROR(__xludf.DUMMYFUNCTION("""COMPUTED_VALUE"""),"KR strikeforce Avatiors - Size 8 - Male - Blue")</f>
        <v>KR strikeforce Avatiors - Size 8 - Male - Blue</v>
      </c>
      <c r="E393" s="39" t="str">
        <f>IFERROR(__xludf.DUMMYFUNCTION("""COMPUTED_VALUE"""),"Valley ")</f>
        <v>Valley </v>
      </c>
      <c r="F393" s="39" t="str">
        <f>IFERROR(__xludf.DUMMYFUNCTION("""COMPUTED_VALUE"""),"2025-12-28")</f>
        <v>2025-12-28</v>
      </c>
      <c r="G393" s="52">
        <f>IFERROR(__xludf.DUMMYFUNCTION("""COMPUTED_VALUE"""),46014.0)</f>
        <v>46014</v>
      </c>
      <c r="H393" s="49"/>
      <c r="I393" s="49"/>
      <c r="J393" s="49"/>
      <c r="K393" s="49"/>
      <c r="L393" s="49"/>
    </row>
    <row r="394">
      <c r="A394" s="49" t="str">
        <f>IFERROR(__xludf.DUMMYFUNCTION("""COMPUTED_VALUE"""),"20251221-2G2D")</f>
        <v>20251221-2G2D</v>
      </c>
      <c r="B394" s="49" t="str">
        <f>IFERROR(__xludf.DUMMYFUNCTION("""COMPUTED_VALUE"""),"Austin Goble")</f>
        <v>Austin Goble</v>
      </c>
      <c r="C394" s="49" t="str">
        <f>IFERROR(__xludf.DUMMYFUNCTION("""COMPUTED_VALUE"""),"5702676102")</f>
        <v>5702676102</v>
      </c>
      <c r="D394" s="399" t="str">
        <f>IFERROR(__xludf.DUMMYFUNCTION("""COMPUTED_VALUE"""),"Dexter Pro BOA - Size 10.5 - Red/black")</f>
        <v>Dexter Pro BOA - Size 10.5 - Red/black</v>
      </c>
      <c r="E394" s="39" t="str">
        <f>IFERROR(__xludf.DUMMYFUNCTION("""COMPUTED_VALUE"""),"Valley ")</f>
        <v>Valley </v>
      </c>
      <c r="F394" s="39" t="str">
        <f>IFERROR(__xludf.DUMMYFUNCTION("""COMPUTED_VALUE"""),"2025-12-28")</f>
        <v>2025-12-28</v>
      </c>
      <c r="G394" s="52">
        <f>IFERROR(__xludf.DUMMYFUNCTION("""COMPUTED_VALUE"""),46012.0)</f>
        <v>46012</v>
      </c>
      <c r="H394" s="49"/>
      <c r="I394" s="49" t="str">
        <f>IFERROR(__xludf.DUMMYFUNCTION("""COMPUTED_VALUE"""),"Invoiced but not received")</f>
        <v>Invoiced but not received</v>
      </c>
      <c r="J394" s="49"/>
      <c r="K394" s="49"/>
      <c r="L394" s="49"/>
    </row>
    <row r="395">
      <c r="A395" s="49" t="str">
        <f>IFERROR(__xludf.DUMMYFUNCTION("""COMPUTED_VALUE"""),"20251221-2SG2")</f>
        <v>20251221-2SG2</v>
      </c>
      <c r="B395" s="49" t="str">
        <f>IFERROR(__xludf.DUMMYFUNCTION("""COMPUTED_VALUE"""),"Jon Born")</f>
        <v>Jon Born</v>
      </c>
      <c r="C395" s="49" t="str">
        <f>IFERROR(__xludf.DUMMYFUNCTION("""COMPUTED_VALUE"""),"5702804981")</f>
        <v>5702804981</v>
      </c>
      <c r="D395" s="399" t="str">
        <f>IFERROR(__xludf.DUMMYFUNCTION("""COMPUTED_VALUE"""),"Dexter pro boas - Size 10 - Male - White/grey")</f>
        <v>Dexter pro boas - Size 10 - Male - White/grey</v>
      </c>
      <c r="E395" s="39" t="str">
        <f>IFERROR(__xludf.DUMMYFUNCTION("""COMPUTED_VALUE"""),"Valley ")</f>
        <v>Valley </v>
      </c>
      <c r="F395" s="39" t="str">
        <f>IFERROR(__xludf.DUMMYFUNCTION("""COMPUTED_VALUE"""),"2025-12-28")</f>
        <v>2025-12-28</v>
      </c>
      <c r="G395" s="52">
        <f>IFERROR(__xludf.DUMMYFUNCTION("""COMPUTED_VALUE"""),46012.0)</f>
        <v>46012</v>
      </c>
      <c r="H395" s="49"/>
      <c r="I395" s="49" t="str">
        <f>IFERROR(__xludf.DUMMYFUNCTION("""COMPUTED_VALUE"""),"Invoiced but not received")</f>
        <v>Invoiced but not received</v>
      </c>
      <c r="J395" s="49"/>
      <c r="K395" s="49"/>
      <c r="L395" s="49"/>
    </row>
    <row r="396">
      <c r="A396" s="49" t="str">
        <f>IFERROR(__xludf.DUMMYFUNCTION("""COMPUTED_VALUE"""),"20260307-1IZH")</f>
        <v>20260307-1IZH</v>
      </c>
      <c r="B396" s="49" t="str">
        <f>IFERROR(__xludf.DUMMYFUNCTION("""COMPUTED_VALUE"""),"David Dalykls")</f>
        <v>David Dalykls</v>
      </c>
      <c r="C396" s="49" t="str">
        <f>IFERROR(__xludf.DUMMYFUNCTION("""COMPUTED_VALUE"""),"(937) 536-4076")</f>
        <v>(937) 536-4076</v>
      </c>
      <c r="D396" s="399" t="str">
        <f>IFERROR(__xludf.DUMMYFUNCTION("""COMPUTED_VALUE"""),"Plug thumb")</f>
        <v>Plug thumb</v>
      </c>
      <c r="E396" s="39" t="str">
        <f>IFERROR(__xludf.DUMMYFUNCTION("""COMPUTED_VALUE"""),"Valley Lanes")</f>
        <v>Valley Lanes</v>
      </c>
      <c r="F396" s="39" t="str">
        <f>IFERROR(__xludf.DUMMYFUNCTION("""COMPUTED_VALUE"""),"3/14/2026")</f>
        <v>3/14/2026</v>
      </c>
      <c r="G396" s="52">
        <f>IFERROR(__xludf.DUMMYFUNCTION("""COMPUTED_VALUE"""),46088.0)</f>
        <v>46088</v>
      </c>
      <c r="H396" s="49" t="str">
        <f>IFERROR(__xludf.DUMMYFUNCTION("""COMPUTED_VALUE"""),"No")</f>
        <v>No</v>
      </c>
      <c r="I396" s="49"/>
      <c r="J396" s="49"/>
      <c r="K396" s="49"/>
      <c r="L396" s="49"/>
    </row>
    <row r="397">
      <c r="A397" s="49" t="str">
        <f>IFERROR(__xludf.DUMMYFUNCTION("""COMPUTED_VALUE"""),"20260309-3W7X")</f>
        <v>20260309-3W7X</v>
      </c>
      <c r="B397" s="49" t="str">
        <f>IFERROR(__xludf.DUMMYFUNCTION("""COMPUTED_VALUE"""),"Alex Diakayos")</f>
        <v>Alex Diakayos</v>
      </c>
      <c r="C397" s="49" t="str">
        <f>IFERROR(__xludf.DUMMYFUNCTION("""COMPUTED_VALUE"""),"(570) 878-5963")</f>
        <v>(570) 878-5963</v>
      </c>
      <c r="D397" s="399" t="str">
        <f>IFERROR(__xludf.DUMMYFUNCTION("""COMPUTED_VALUE"""),"Original Envy - bake and resurface 3000")</f>
        <v>Original Envy - bake and resurface 3000</v>
      </c>
      <c r="E397" s="39" t="str">
        <f>IFERROR(__xludf.DUMMYFUNCTION("""COMPUTED_VALUE"""),"Valley Lanes")</f>
        <v>Valley Lanes</v>
      </c>
      <c r="F397" s="39" t="str">
        <f>IFERROR(__xludf.DUMMYFUNCTION("""COMPUTED_VALUE"""),"3/16/2026")</f>
        <v>3/16/2026</v>
      </c>
      <c r="G397" s="52">
        <f>IFERROR(__xludf.DUMMYFUNCTION("""COMPUTED_VALUE"""),46090.0)</f>
        <v>46090</v>
      </c>
      <c r="H397" s="49" t="str">
        <f>IFERROR(__xludf.DUMMYFUNCTION("""COMPUTED_VALUE"""),"No")</f>
        <v>No</v>
      </c>
      <c r="I397" s="49"/>
      <c r="J397" s="49"/>
      <c r="K397" s="49"/>
      <c r="L397" s="49"/>
    </row>
    <row r="398">
      <c r="A398" s="49" t="str">
        <f>IFERROR(__xludf.DUMMYFUNCTION("""COMPUTED_VALUE"""),"---")</f>
        <v>---</v>
      </c>
      <c r="B398" s="49" t="str">
        <f>IFERROR(__xludf.DUMMYFUNCTION("""COMPUTED_VALUE"""),"---")</f>
        <v>---</v>
      </c>
      <c r="C398" s="49" t="str">
        <f>IFERROR(__xludf.DUMMYFUNCTION("""COMPUTED_VALUE"""),"Kevin Williams")</f>
        <v>Kevin Williams</v>
      </c>
      <c r="D398" s="399" t="str">
        <f>IFERROR(__xludf.DUMMYFUNCTION("""COMPUTED_VALUE"""),"South")</f>
        <v>South</v>
      </c>
      <c r="E398" s="39" t="str">
        <f>IFERROR(__xludf.DUMMYFUNCTION("""COMPUTED_VALUE"""),"KR Flyer Mesh Lite black/royal size 10.5 W")</f>
        <v>KR Flyer Mesh Lite black/royal size 10.5 W</v>
      </c>
      <c r="F398" s="39" t="str">
        <f>IFERROR(__xludf.DUMMYFUNCTION("""COMPUTED_VALUE"""),"cancelled with Steve 1/14/26")</f>
        <v>cancelled with Steve 1/14/26</v>
      </c>
      <c r="G398" s="52"/>
      <c r="H398" s="49" t="str">
        <f>IFERROR(__xludf.DUMMYFUNCTION("""COMPUTED_VALUE"""),"na")</f>
        <v>na</v>
      </c>
      <c r="I398" s="49" t="str">
        <f>IFERROR(__xludf.DUMMYFUNCTION("""COMPUTED_VALUE"""),"na")</f>
        <v>na</v>
      </c>
      <c r="J398" s="49"/>
      <c r="K398" s="49"/>
      <c r="L398" s="49"/>
    </row>
    <row r="399">
      <c r="A399" s="49" t="str">
        <f>IFERROR(__xludf.DUMMYFUNCTION("""COMPUTED_VALUE"""),"---")</f>
        <v>---</v>
      </c>
      <c r="B399" s="49" t="str">
        <f>IFERROR(__xludf.DUMMYFUNCTION("""COMPUTED_VALUE"""),"---")</f>
        <v>---</v>
      </c>
      <c r="C399" s="49" t="str">
        <f>IFERROR(__xludf.DUMMYFUNCTION("""COMPUTED_VALUE"""),"Christian Halliday")</f>
        <v>Christian Halliday</v>
      </c>
      <c r="D399" s="399" t="str">
        <f>IFERROR(__xludf.DUMMYFUNCTION("""COMPUTED_VALUE"""),"South")</f>
        <v>South</v>
      </c>
      <c r="E399" s="39" t="str">
        <f>IFERROR(__xludf.DUMMYFUNCTION("""COMPUTED_VALUE"""),"Dexter women’s pro boa light grey/blue size 9.5")</f>
        <v>Dexter women’s pro boa light grey/blue size 9.5</v>
      </c>
      <c r="F399" s="39" t="str">
        <f>IFERROR(__xludf.DUMMYFUNCTION("""COMPUTED_VALUE"""),"cancelled with Steve 1/14/26")</f>
        <v>cancelled with Steve 1/14/26</v>
      </c>
      <c r="G399" s="52"/>
      <c r="H399" s="49" t="str">
        <f>IFERROR(__xludf.DUMMYFUNCTION("""COMPUTED_VALUE"""),"na")</f>
        <v>na</v>
      </c>
      <c r="I399" s="49" t="str">
        <f>IFERROR(__xludf.DUMMYFUNCTION("""COMPUTED_VALUE"""),"na")</f>
        <v>na</v>
      </c>
      <c r="J399" s="49"/>
      <c r="K399" s="49"/>
      <c r="L399" s="49"/>
    </row>
    <row r="400">
      <c r="A400" s="49" t="str">
        <f>IFERROR(__xludf.DUMMYFUNCTION("""COMPUTED_VALUE"""),"---")</f>
        <v>---</v>
      </c>
      <c r="B400" s="49" t="str">
        <f>IFERROR(__xludf.DUMMYFUNCTION("""COMPUTED_VALUE"""),"---")</f>
        <v>---</v>
      </c>
      <c r="C400" s="49" t="str">
        <f>IFERROR(__xludf.DUMMYFUNCTION("""COMPUTED_VALUE"""),"Marie Caporali")</f>
        <v>Marie Caporali</v>
      </c>
      <c r="D400" s="399" t="str">
        <f>IFERROR(__xludf.DUMMYFUNCTION("""COMPUTED_VALUE"""),"Valley")</f>
        <v>Valley</v>
      </c>
      <c r="E400" s="39" t="str">
        <f>IFERROR(__xludf.DUMMYFUNCTION("""COMPUTED_VALUE"""),"Brunswick Strikezone White/Teal size 2")</f>
        <v>Brunswick Strikezone White/Teal size 2</v>
      </c>
      <c r="F400" s="39" t="str">
        <f>IFERROR(__xludf.DUMMYFUNCTION("""COMPUTED_VALUE"""),"CM51250991264")</f>
        <v>CM51250991264</v>
      </c>
      <c r="G400" s="52"/>
      <c r="H400" s="49" t="str">
        <f>IFERROR(__xludf.DUMMYFUNCTION("""COMPUTED_VALUE"""),"Y")</f>
        <v>Y</v>
      </c>
      <c r="I400" s="49" t="str">
        <f>IFERROR(__xludf.DUMMYFUNCTION("""COMPUTED_VALUE"""),"Y")</f>
        <v>Y</v>
      </c>
      <c r="J400" s="49"/>
      <c r="K400" s="49"/>
      <c r="L400" s="49"/>
    </row>
    <row r="401">
      <c r="A401" s="49" t="str">
        <f>IFERROR(__xludf.DUMMYFUNCTION("""COMPUTED_VALUE"""),"---")</f>
        <v>---</v>
      </c>
      <c r="B401" s="49" t="str">
        <f>IFERROR(__xludf.DUMMYFUNCTION("""COMPUTED_VALUE"""),"---")</f>
        <v>---</v>
      </c>
      <c r="C401" s="49" t="str">
        <f>IFERROR(__xludf.DUMMYFUNCTION("""COMPUTED_VALUE"""),"Stock")</f>
        <v>Stock</v>
      </c>
      <c r="D401" s="399"/>
      <c r="E401" s="39" t="str">
        <f>IFERROR(__xludf.DUMMYFUNCTION("""COMPUTED_VALUE"""),"C300 Piranha 15 lb")</f>
        <v>C300 Piranha 15 lb</v>
      </c>
      <c r="F401" s="39" t="str">
        <f>IFERROR(__xludf.DUMMYFUNCTION("""COMPUTED_VALUE"""),"free with 8 balls")</f>
        <v>free with 8 balls</v>
      </c>
      <c r="G401" s="52"/>
      <c r="H401" s="49" t="str">
        <f>IFERROR(__xludf.DUMMYFUNCTION("""COMPUTED_VALUE"""),"na")</f>
        <v>na</v>
      </c>
      <c r="I401" s="49" t="str">
        <f>IFERROR(__xludf.DUMMYFUNCTION("""COMPUTED_VALUE"""),"na")</f>
        <v>na</v>
      </c>
      <c r="J401" s="49"/>
      <c r="K401" s="49"/>
      <c r="L401" s="49"/>
    </row>
    <row r="402">
      <c r="A402" s="49" t="str">
        <f>IFERROR(__xludf.DUMMYFUNCTION("""COMPUTED_VALUE"""),"3/15/2026 19:13:37")</f>
        <v>3/15/2026 19:13:37</v>
      </c>
      <c r="B402" s="49" t="str">
        <f>IFERROR(__xludf.DUMMYFUNCTION("""COMPUTED_VALUE"""),"osterhoutalex@gmail.com")</f>
        <v>osterhoutalex@gmail.com</v>
      </c>
      <c r="C402" s="49" t="str">
        <f>IFERROR(__xludf.DUMMYFUNCTION("""COMPUTED_VALUE"""),"Alex osterhaut")</f>
        <v>Alex osterhaut</v>
      </c>
      <c r="D402" s="399" t="str">
        <f>IFERROR(__xludf.DUMMYFUNCTION("""COMPUTED_VALUE"""),"Valley")</f>
        <v>Valley</v>
      </c>
      <c r="E402" s="39" t="str">
        <f>IFERROR(__xludf.DUMMYFUNCTION("""COMPUTED_VALUE"""),"Storm Concept 15 lb")</f>
        <v>Storm Concept 15 lb</v>
      </c>
      <c r="F402" s="39" t="str">
        <f>IFERROR(__xludf.DUMMYFUNCTION("""COMPUTED_VALUE"""),"paid")</f>
        <v>paid</v>
      </c>
      <c r="G402" s="52"/>
      <c r="H402" s="49" t="str">
        <f>IFERROR(__xludf.DUMMYFUNCTION("""COMPUTED_VALUE"""),"Y")</f>
        <v>Y</v>
      </c>
      <c r="I402" s="49" t="str">
        <f>IFERROR(__xludf.DUMMYFUNCTION("""COMPUTED_VALUE"""),"Y")</f>
        <v>Y</v>
      </c>
      <c r="J402" s="49"/>
      <c r="K402" s="49"/>
      <c r="L402" s="49"/>
    </row>
    <row r="403">
      <c r="A403" s="49" t="str">
        <f>IFERROR(__xludf.DUMMYFUNCTION("""COMPUTED_VALUE"""),"3/14/2026 13:23:40")</f>
        <v>3/14/2026 13:23:40</v>
      </c>
      <c r="B403" s="49" t="str">
        <f>IFERROR(__xludf.DUMMYFUNCTION("""COMPUTED_VALUE"""),"atthelanes@outlook.com")</f>
        <v>atthelanes@outlook.com</v>
      </c>
      <c r="C403" s="49" t="str">
        <f>IFERROR(__xludf.DUMMYFUNCTION("""COMPUTED_VALUE"""),"Michael Marinelli")</f>
        <v>Michael Marinelli</v>
      </c>
      <c r="D403" s="399" t="str">
        <f>IFERROR(__xludf.DUMMYFUNCTION("""COMPUTED_VALUE"""),"Valley Lanes")</f>
        <v>Valley Lanes</v>
      </c>
      <c r="E403" s="39" t="str">
        <f>IFERROR(__xludf.DUMMYFUNCTION("""COMPUTED_VALUE"""),"Storm Bionic 14 LB")</f>
        <v>Storm Bionic 14 LB</v>
      </c>
      <c r="F403" s="39" t="str">
        <f>IFERROR(__xludf.DUMMYFUNCTION("""COMPUTED_VALUE"""),"paid")</f>
        <v>paid</v>
      </c>
      <c r="G403" s="52"/>
      <c r="H403" s="49" t="str">
        <f>IFERROR(__xludf.DUMMYFUNCTION("""COMPUTED_VALUE"""),"Y")</f>
        <v>Y</v>
      </c>
      <c r="I403" s="49" t="str">
        <f>IFERROR(__xludf.DUMMYFUNCTION("""COMPUTED_VALUE"""),"Y")</f>
        <v>Y</v>
      </c>
      <c r="J403" s="49"/>
      <c r="K403" s="49"/>
      <c r="L403" s="49"/>
    </row>
    <row r="404">
      <c r="A404" s="49" t="str">
        <f>IFERROR(__xludf.DUMMYFUNCTION("""COMPUTED_VALUE"""),"3/14/2026 13:39:16")</f>
        <v>3/14/2026 13:39:16</v>
      </c>
      <c r="B404" s="49" t="str">
        <f>IFERROR(__xludf.DUMMYFUNCTION("""COMPUTED_VALUE"""),"gattoa864@gmail.com")</f>
        <v>gattoa864@gmail.com</v>
      </c>
      <c r="C404" s="49" t="str">
        <f>IFERROR(__xludf.DUMMYFUNCTION("""COMPUTED_VALUE"""),"Andrew Gatto")</f>
        <v>Andrew Gatto</v>
      </c>
      <c r="D404" s="399" t="str">
        <f>IFERROR(__xludf.DUMMYFUNCTION("""COMPUTED_VALUE"""),"Valley Lanes")</f>
        <v>Valley Lanes</v>
      </c>
      <c r="E404" s="39" t="str">
        <f>IFERROR(__xludf.DUMMYFUNCTION("""COMPUTED_VALUE"""),"Storm Concept 14lbs")</f>
        <v>Storm Concept 14lbs</v>
      </c>
      <c r="F404" s="39" t="str">
        <f>IFERROR(__xludf.DUMMYFUNCTION("""COMPUTED_VALUE"""),"paid")</f>
        <v>paid</v>
      </c>
      <c r="G404" s="52"/>
      <c r="H404" s="49" t="str">
        <f>IFERROR(__xludf.DUMMYFUNCTION("""COMPUTED_VALUE"""),"Y")</f>
        <v>Y</v>
      </c>
      <c r="I404" s="49" t="str">
        <f>IFERROR(__xludf.DUMMYFUNCTION("""COMPUTED_VALUE"""),"Y")</f>
        <v>Y</v>
      </c>
      <c r="J404" s="49"/>
      <c r="K404" s="49"/>
      <c r="L404" s="49"/>
    </row>
    <row r="405">
      <c r="A405" s="49" t="str">
        <f>IFERROR(__xludf.DUMMYFUNCTION("""COMPUTED_VALUE"""),"3/14/2026 14:09:40")</f>
        <v>3/14/2026 14:09:40</v>
      </c>
      <c r="B405" s="49" t="str">
        <f>IFERROR(__xludf.DUMMYFUNCTION("""COMPUTED_VALUE"""),"chaseeva2345@yahoo.com")</f>
        <v>chaseeva2345@yahoo.com</v>
      </c>
      <c r="C405" s="49" t="str">
        <f>IFERROR(__xludf.DUMMYFUNCTION("""COMPUTED_VALUE"""),"Chase Evangelista ")</f>
        <v>Chase Evangelista </v>
      </c>
      <c r="D405" s="399" t="str">
        <f>IFERROR(__xludf.DUMMYFUNCTION("""COMPUTED_VALUE"""),"Valley Lanes")</f>
        <v>Valley Lanes</v>
      </c>
      <c r="E405" s="39" t="str">
        <f>IFERROR(__xludf.DUMMYFUNCTION("""COMPUTED_VALUE"""),"Roto Gremlin Tour X 14 lb")</f>
        <v>Roto Gremlin Tour X 14 lb</v>
      </c>
      <c r="F405" s="39" t="str">
        <f>IFERROR(__xludf.DUMMYFUNCTION("""COMPUTED_VALUE"""),"paid")</f>
        <v>paid</v>
      </c>
      <c r="G405" s="52"/>
      <c r="H405" s="49" t="str">
        <f>IFERROR(__xludf.DUMMYFUNCTION("""COMPUTED_VALUE"""),"Y")</f>
        <v>Y</v>
      </c>
      <c r="I405" s="49" t="str">
        <f>IFERROR(__xludf.DUMMYFUNCTION("""COMPUTED_VALUE"""),"Y")</f>
        <v>Y</v>
      </c>
      <c r="J405" s="49"/>
      <c r="K405" s="49"/>
      <c r="L405" s="49"/>
    </row>
    <row r="406">
      <c r="A406" s="49" t="str">
        <f>IFERROR(__xludf.DUMMYFUNCTION("""COMPUTED_VALUE"""),"3/15/2026 12:15:34")</f>
        <v>3/15/2026 12:15:34</v>
      </c>
      <c r="B406" s="49" t="str">
        <f>IFERROR(__xludf.DUMMYFUNCTION("""COMPUTED_VALUE"""),"kim.mecca@gmail.com")</f>
        <v>kim.mecca@gmail.com</v>
      </c>
      <c r="C406" s="49" t="str">
        <f>IFERROR(__xludf.DUMMYFUNCTION("""COMPUTED_VALUE"""),"Kim Mecca ")</f>
        <v>Kim Mecca </v>
      </c>
      <c r="D406" s="399" t="str">
        <f>IFERROR(__xludf.DUMMYFUNCTION("""COMPUTED_VALUE"""),"Idle Hours South")</f>
        <v>Idle Hours South</v>
      </c>
      <c r="E406" s="39" t="str">
        <f>IFERROR(__xludf.DUMMYFUNCTION("""COMPUTED_VALUE"""),"Motiv VENOM SHOCK 14lb")</f>
        <v>Motiv VENOM SHOCK 14lb</v>
      </c>
      <c r="F406" s="39" t="str">
        <f>IFERROR(__xludf.DUMMYFUNCTION("""COMPUTED_VALUE"""),"paid")</f>
        <v>paid</v>
      </c>
      <c r="G406" s="52"/>
      <c r="H406" s="49" t="str">
        <f>IFERROR(__xludf.DUMMYFUNCTION("""COMPUTED_VALUE"""),"Y")</f>
        <v>Y</v>
      </c>
      <c r="I406" s="49" t="str">
        <f>IFERROR(__xludf.DUMMYFUNCTION("""COMPUTED_VALUE"""),"Y")</f>
        <v>Y</v>
      </c>
      <c r="J406" s="49"/>
      <c r="K406" s="49"/>
      <c r="L406" s="49"/>
    </row>
    <row r="407">
      <c r="A407" s="49" t="str">
        <f>IFERROR(__xludf.DUMMYFUNCTION("""COMPUTED_VALUE"""),"3/15/2026 19:57:02")</f>
        <v>3/15/2026 19:57:02</v>
      </c>
      <c r="B407" s="49" t="str">
        <f>IFERROR(__xludf.DUMMYFUNCTION("""COMPUTED_VALUE"""),"tfarrell1381@gmail.com")</f>
        <v>tfarrell1381@gmail.com</v>
      </c>
      <c r="C407" s="49" t="str">
        <f>IFERROR(__xludf.DUMMYFUNCTION("""COMPUTED_VALUE"""),"Tim Farrell")</f>
        <v>Tim Farrell</v>
      </c>
      <c r="D407" s="399" t="str">
        <f>IFERROR(__xludf.DUMMYFUNCTION("""COMPUTED_VALUE"""),"Valley")</f>
        <v>Valley</v>
      </c>
      <c r="E407" s="39" t="str">
        <f>IFERROR(__xludf.DUMMYFUNCTION("""COMPUTED_VALUE"""),"Storm bionic 16 lb")</f>
        <v>Storm bionic 16 lb</v>
      </c>
      <c r="F407" s="39" t="str">
        <f>IFERROR(__xludf.DUMMYFUNCTION("""COMPUTED_VALUE"""),"paid")</f>
        <v>paid</v>
      </c>
      <c r="G407" s="52"/>
      <c r="H407" s="49" t="str">
        <f>IFERROR(__xludf.DUMMYFUNCTION("""COMPUTED_VALUE"""),"Y")</f>
        <v>Y</v>
      </c>
      <c r="I407" s="49" t="str">
        <f>IFERROR(__xludf.DUMMYFUNCTION("""COMPUTED_VALUE"""),"Y")</f>
        <v>Y</v>
      </c>
      <c r="J407" s="49"/>
      <c r="K407" s="49"/>
      <c r="L407" s="49"/>
    </row>
    <row r="408">
      <c r="A408" s="49" t="str">
        <f>IFERROR(__xludf.DUMMYFUNCTION("""COMPUTED_VALUE"""),"---")</f>
        <v>---</v>
      </c>
      <c r="B408" s="49" t="str">
        <f>IFERROR(__xludf.DUMMYFUNCTION("""COMPUTED_VALUE"""),"---")</f>
        <v>---</v>
      </c>
      <c r="C408" s="49" t="str">
        <f>IFERROR(__xludf.DUMMYFUNCTION("""COMPUTED_VALUE"""),"Andrew Vaughan")</f>
        <v>Andrew Vaughan</v>
      </c>
      <c r="D408" s="399" t="str">
        <f>IFERROR(__xludf.DUMMYFUNCTION("""COMPUTED_VALUE"""),"Valley")</f>
        <v>Valley</v>
      </c>
      <c r="E408" s="39" t="str">
        <f>IFERROR(__xludf.DUMMYFUNCTION("""COMPUTED_VALUE"""),"Danger zone solid - 13lbs")</f>
        <v>Danger zone solid - 13lbs</v>
      </c>
      <c r="F408" s="39" t="str">
        <f>IFERROR(__xludf.DUMMYFUNCTION("""COMPUTED_VALUE"""),"returned")</f>
        <v>returned</v>
      </c>
      <c r="G408" s="52"/>
      <c r="H408" s="49" t="str">
        <f>IFERROR(__xludf.DUMMYFUNCTION("""COMPUTED_VALUE"""),"na")</f>
        <v>na</v>
      </c>
      <c r="I408" s="49" t="str">
        <f>IFERROR(__xludf.DUMMYFUNCTION("""COMPUTED_VALUE"""),"na")</f>
        <v>na</v>
      </c>
      <c r="J408" s="49"/>
      <c r="K408" s="49"/>
      <c r="L408" s="49"/>
    </row>
    <row r="409">
      <c r="A409" s="49" t="str">
        <f>IFERROR(__xludf.DUMMYFUNCTION("""COMPUTED_VALUE"""),"---")</f>
        <v>---</v>
      </c>
      <c r="B409" s="49" t="str">
        <f>IFERROR(__xludf.DUMMYFUNCTION("""COMPUTED_VALUE"""),"---")</f>
        <v>---</v>
      </c>
      <c r="C409" s="49" t="str">
        <f>IFERROR(__xludf.DUMMYFUNCTION("""COMPUTED_VALUE"""),"Kevin Williams")</f>
        <v>Kevin Williams</v>
      </c>
      <c r="D409" s="399" t="str">
        <f>IFERROR(__xludf.DUMMYFUNCTION("""COMPUTED_VALUE"""),"South")</f>
        <v>South</v>
      </c>
      <c r="E409" s="39" t="str">
        <f>IFERROR(__xludf.DUMMYFUNCTION("""COMPUTED_VALUE"""),"KR OPP Lite black size 10.5")</f>
        <v>KR OPP Lite black size 10.5</v>
      </c>
      <c r="F409" s="39" t="str">
        <f>IFERROR(__xludf.DUMMYFUNCTION("""COMPUTED_VALUE"""),"returned - ordered regular by mistake")</f>
        <v>returned - ordered regular by mistake</v>
      </c>
      <c r="G409" s="52"/>
      <c r="H409" s="49" t="str">
        <f>IFERROR(__xludf.DUMMYFUNCTION("""COMPUTED_VALUE"""),"na")</f>
        <v>na</v>
      </c>
      <c r="I409" s="49" t="str">
        <f>IFERROR(__xludf.DUMMYFUNCTION("""COMPUTED_VALUE"""),"na")</f>
        <v>na</v>
      </c>
      <c r="J409" s="49"/>
      <c r="K409" s="49"/>
      <c r="L409" s="49"/>
    </row>
    <row r="410">
      <c r="A410" s="49" t="str">
        <f>IFERROR(__xludf.DUMMYFUNCTION("""COMPUTED_VALUE"""),"---")</f>
        <v>---</v>
      </c>
      <c r="B410" s="49" t="str">
        <f>IFERROR(__xludf.DUMMYFUNCTION("""COMPUTED_VALUE"""),"---")</f>
        <v>---</v>
      </c>
      <c r="C410" s="49" t="str">
        <f>IFERROR(__xludf.DUMMYFUNCTION("""COMPUTED_VALUE"""),"Christopher Fallon")</f>
        <v>Christopher Fallon</v>
      </c>
      <c r="D410" s="399" t="str">
        <f>IFERROR(__xludf.DUMMYFUNCTION("""COMPUTED_VALUE"""),"Valley")</f>
        <v>Valley</v>
      </c>
      <c r="E410" s="39" t="str">
        <f>IFERROR(__xludf.DUMMYFUNCTION("""COMPUTED_VALUE"""),"Brunswick Rhino Red Black Gold 12 lb")</f>
        <v>Brunswick Rhino Red Black Gold 12 lb</v>
      </c>
      <c r="F410" s="39" t="str">
        <f>IFERROR(__xludf.DUMMYFUNCTION("""COMPUTED_VALUE"""),"returned 4/21/26")</f>
        <v>returned 4/21/26</v>
      </c>
      <c r="G410" s="52"/>
      <c r="H410" s="49" t="str">
        <f>IFERROR(__xludf.DUMMYFUNCTION("""COMPUTED_VALUE"""),"na")</f>
        <v>na</v>
      </c>
      <c r="I410" s="49" t="str">
        <f>IFERROR(__xludf.DUMMYFUNCTION("""COMPUTED_VALUE"""),"na")</f>
        <v>na</v>
      </c>
      <c r="J410" s="49"/>
      <c r="K410" s="49"/>
      <c r="L410" s="49"/>
    </row>
    <row r="411">
      <c r="D411" s="399"/>
      <c r="E411" s="39"/>
      <c r="F411" s="39"/>
    </row>
    <row r="412">
      <c r="D412" s="399"/>
      <c r="E412" s="39"/>
      <c r="F412" s="39"/>
    </row>
    <row r="413">
      <c r="D413" s="399"/>
      <c r="E413" s="39"/>
      <c r="F413" s="39"/>
    </row>
    <row r="414">
      <c r="D414" s="399"/>
      <c r="E414" s="39"/>
      <c r="F414" s="39"/>
    </row>
    <row r="415">
      <c r="D415" s="399"/>
      <c r="E415" s="39"/>
      <c r="F415" s="39"/>
    </row>
    <row r="416">
      <c r="D416" s="399"/>
      <c r="E416" s="39"/>
      <c r="F416" s="39"/>
    </row>
    <row r="417">
      <c r="D417" s="399"/>
      <c r="E417" s="39"/>
      <c r="F417" s="39"/>
    </row>
    <row r="418">
      <c r="D418" s="399"/>
      <c r="E418" s="39"/>
      <c r="F418" s="39"/>
    </row>
    <row r="419">
      <c r="D419" s="399"/>
      <c r="E419" s="39"/>
      <c r="F419" s="39"/>
    </row>
    <row r="420">
      <c r="D420" s="399"/>
      <c r="E420" s="39"/>
      <c r="F420" s="39"/>
    </row>
    <row r="421">
      <c r="D421" s="399"/>
      <c r="E421" s="39"/>
      <c r="F421" s="39"/>
    </row>
    <row r="422">
      <c r="D422" s="399"/>
      <c r="E422" s="39"/>
      <c r="F422" s="39"/>
    </row>
    <row r="423">
      <c r="D423" s="399"/>
      <c r="E423" s="39"/>
      <c r="F423" s="39"/>
    </row>
    <row r="424">
      <c r="D424" s="399"/>
      <c r="E424" s="39"/>
      <c r="F424" s="39"/>
    </row>
    <row r="425">
      <c r="D425" s="399"/>
      <c r="E425" s="39"/>
      <c r="F425" s="39"/>
    </row>
    <row r="426">
      <c r="D426" s="399"/>
      <c r="E426" s="39"/>
      <c r="F426" s="39"/>
    </row>
    <row r="427">
      <c r="D427" s="399"/>
      <c r="E427" s="39"/>
      <c r="F427" s="39"/>
    </row>
    <row r="428">
      <c r="D428" s="399"/>
      <c r="E428" s="39"/>
      <c r="F428" s="39"/>
    </row>
    <row r="429">
      <c r="D429" s="399"/>
      <c r="E429" s="39"/>
      <c r="F429" s="39"/>
    </row>
    <row r="430">
      <c r="D430" s="399"/>
      <c r="E430" s="39"/>
      <c r="F430" s="39"/>
    </row>
    <row r="431">
      <c r="D431" s="399"/>
      <c r="E431" s="39"/>
      <c r="F431" s="39"/>
    </row>
    <row r="432">
      <c r="D432" s="399"/>
      <c r="E432" s="39"/>
      <c r="F432" s="39"/>
    </row>
    <row r="433">
      <c r="D433" s="399"/>
      <c r="E433" s="39"/>
      <c r="F433" s="39"/>
    </row>
    <row r="434">
      <c r="D434" s="399"/>
      <c r="E434" s="39"/>
      <c r="F434" s="39"/>
    </row>
    <row r="435">
      <c r="D435" s="399"/>
      <c r="E435" s="39"/>
      <c r="F435" s="39"/>
    </row>
    <row r="436">
      <c r="D436" s="399"/>
      <c r="E436" s="39"/>
      <c r="F436" s="39"/>
    </row>
    <row r="437">
      <c r="D437" s="399"/>
      <c r="E437" s="39"/>
      <c r="F437" s="39"/>
    </row>
    <row r="438">
      <c r="D438" s="399"/>
      <c r="E438" s="39"/>
      <c r="F438" s="39"/>
    </row>
    <row r="439">
      <c r="D439" s="399"/>
      <c r="E439" s="39"/>
      <c r="F439" s="39"/>
    </row>
    <row r="440">
      <c r="D440" s="399"/>
      <c r="E440" s="39"/>
      <c r="F440" s="39"/>
    </row>
    <row r="441">
      <c r="D441" s="399"/>
      <c r="E441" s="39"/>
      <c r="F441" s="39"/>
    </row>
    <row r="442">
      <c r="D442" s="399"/>
      <c r="E442" s="39"/>
      <c r="F442" s="39"/>
    </row>
    <row r="443">
      <c r="D443" s="399"/>
      <c r="E443" s="39"/>
      <c r="F443" s="39"/>
    </row>
    <row r="444">
      <c r="D444" s="399"/>
      <c r="E444" s="39"/>
      <c r="F444" s="39"/>
    </row>
    <row r="445">
      <c r="D445" s="399"/>
      <c r="E445" s="39"/>
      <c r="F445" s="39"/>
    </row>
    <row r="446">
      <c r="D446" s="399"/>
      <c r="E446" s="39"/>
      <c r="F446" s="39"/>
    </row>
    <row r="447">
      <c r="D447" s="399"/>
      <c r="E447" s="39"/>
      <c r="F447" s="39"/>
    </row>
    <row r="448">
      <c r="D448" s="399"/>
      <c r="E448" s="39"/>
      <c r="F448" s="39"/>
    </row>
    <row r="449">
      <c r="D449" s="399"/>
      <c r="E449" s="39"/>
      <c r="F449" s="39"/>
    </row>
    <row r="450">
      <c r="D450" s="399"/>
      <c r="E450" s="39"/>
      <c r="F450" s="39"/>
    </row>
    <row r="451">
      <c r="D451" s="399"/>
      <c r="E451" s="39"/>
      <c r="F451" s="39"/>
    </row>
    <row r="452">
      <c r="D452" s="399"/>
      <c r="E452" s="39"/>
      <c r="F452" s="39"/>
    </row>
    <row r="453">
      <c r="D453" s="399"/>
      <c r="E453" s="39"/>
      <c r="F453" s="39"/>
    </row>
    <row r="454">
      <c r="D454" s="399"/>
      <c r="E454" s="39"/>
      <c r="F454" s="39"/>
    </row>
    <row r="455">
      <c r="D455" s="399"/>
      <c r="E455" s="39"/>
      <c r="F455" s="39"/>
    </row>
    <row r="456">
      <c r="D456" s="399"/>
      <c r="E456" s="39"/>
      <c r="F456" s="39"/>
    </row>
    <row r="457">
      <c r="D457" s="399"/>
      <c r="E457" s="39"/>
      <c r="F457" s="39"/>
    </row>
    <row r="458">
      <c r="D458" s="399"/>
      <c r="E458" s="39"/>
      <c r="F458" s="39"/>
    </row>
    <row r="459">
      <c r="D459" s="399"/>
      <c r="E459" s="39"/>
      <c r="F459" s="39"/>
    </row>
    <row r="460">
      <c r="D460" s="399"/>
      <c r="E460" s="39"/>
      <c r="F460" s="39"/>
    </row>
    <row r="461">
      <c r="D461" s="399"/>
      <c r="E461" s="39"/>
      <c r="F461" s="39"/>
    </row>
    <row r="462">
      <c r="D462" s="399"/>
      <c r="E462" s="39"/>
      <c r="F462" s="39"/>
    </row>
    <row r="463">
      <c r="D463" s="399"/>
      <c r="E463" s="39"/>
      <c r="F463" s="39"/>
    </row>
    <row r="464">
      <c r="D464" s="399"/>
      <c r="E464" s="39"/>
      <c r="F464" s="39"/>
    </row>
    <row r="465">
      <c r="D465" s="399"/>
      <c r="E465" s="39"/>
      <c r="F465" s="39"/>
    </row>
    <row r="466">
      <c r="D466" s="399"/>
      <c r="E466" s="39"/>
      <c r="F466" s="39"/>
    </row>
    <row r="467">
      <c r="D467" s="399"/>
      <c r="E467" s="39"/>
      <c r="F467" s="39"/>
    </row>
    <row r="468">
      <c r="D468" s="399"/>
      <c r="E468" s="39"/>
      <c r="F468" s="39"/>
    </row>
    <row r="469">
      <c r="D469" s="399"/>
      <c r="E469" s="39"/>
      <c r="F469" s="39"/>
    </row>
    <row r="470">
      <c r="D470" s="399"/>
      <c r="E470" s="39"/>
      <c r="F470" s="39"/>
    </row>
    <row r="471">
      <c r="D471" s="399"/>
      <c r="E471" s="39"/>
      <c r="F471" s="39"/>
    </row>
    <row r="472">
      <c r="D472" s="399"/>
      <c r="E472" s="39"/>
      <c r="F472" s="39"/>
    </row>
    <row r="473">
      <c r="D473" s="399"/>
      <c r="E473" s="39"/>
      <c r="F473" s="39"/>
    </row>
    <row r="474">
      <c r="D474" s="399"/>
      <c r="E474" s="39"/>
      <c r="F474" s="39"/>
    </row>
    <row r="475">
      <c r="D475" s="399"/>
      <c r="E475" s="39"/>
      <c r="F475" s="39"/>
    </row>
    <row r="476">
      <c r="D476" s="399"/>
      <c r="E476" s="39"/>
      <c r="F476" s="39"/>
    </row>
    <row r="477">
      <c r="D477" s="399"/>
      <c r="E477" s="39"/>
      <c r="F477" s="39"/>
    </row>
    <row r="478">
      <c r="D478" s="399"/>
      <c r="E478" s="39"/>
      <c r="F478" s="39"/>
    </row>
    <row r="479">
      <c r="D479" s="399"/>
      <c r="E479" s="39"/>
      <c r="F479" s="39"/>
    </row>
    <row r="480">
      <c r="D480" s="399"/>
      <c r="E480" s="39"/>
      <c r="F480" s="39"/>
    </row>
    <row r="481">
      <c r="D481" s="399"/>
      <c r="E481" s="39"/>
      <c r="F481" s="39"/>
    </row>
    <row r="482">
      <c r="D482" s="399"/>
      <c r="E482" s="39"/>
      <c r="F482" s="39"/>
    </row>
    <row r="483">
      <c r="D483" s="399"/>
      <c r="E483" s="39"/>
      <c r="F483" s="39"/>
    </row>
    <row r="484">
      <c r="D484" s="399"/>
      <c r="E484" s="39"/>
      <c r="F484" s="39"/>
    </row>
    <row r="485">
      <c r="D485" s="399"/>
      <c r="E485" s="39"/>
      <c r="F485" s="39"/>
    </row>
    <row r="486">
      <c r="D486" s="399"/>
      <c r="E486" s="39"/>
      <c r="F486" s="39"/>
    </row>
    <row r="487">
      <c r="D487" s="399"/>
      <c r="E487" s="39"/>
      <c r="F487" s="39"/>
    </row>
    <row r="488">
      <c r="D488" s="399"/>
      <c r="E488" s="39"/>
      <c r="F488" s="39"/>
    </row>
    <row r="489">
      <c r="D489" s="399"/>
      <c r="E489" s="39"/>
      <c r="F489" s="39"/>
    </row>
    <row r="490">
      <c r="D490" s="399"/>
      <c r="E490" s="39"/>
      <c r="F490" s="39"/>
    </row>
    <row r="491">
      <c r="D491" s="399"/>
      <c r="E491" s="39"/>
      <c r="F491" s="39"/>
    </row>
    <row r="492">
      <c r="D492" s="399"/>
      <c r="E492" s="39"/>
      <c r="F492" s="39"/>
    </row>
    <row r="493">
      <c r="D493" s="399"/>
      <c r="E493" s="39"/>
      <c r="F493" s="39"/>
    </row>
    <row r="494">
      <c r="D494" s="399"/>
      <c r="E494" s="39"/>
      <c r="F494" s="39"/>
    </row>
    <row r="495">
      <c r="D495" s="399"/>
      <c r="E495" s="39"/>
      <c r="F495" s="39"/>
    </row>
    <row r="496">
      <c r="D496" s="399"/>
      <c r="E496" s="39"/>
      <c r="F496" s="39"/>
    </row>
    <row r="497">
      <c r="D497" s="399"/>
      <c r="E497" s="39"/>
      <c r="F497" s="39"/>
    </row>
    <row r="498">
      <c r="D498" s="399"/>
      <c r="E498" s="39"/>
      <c r="F498" s="39"/>
    </row>
    <row r="499">
      <c r="D499" s="399"/>
      <c r="E499" s="39"/>
      <c r="F499" s="39"/>
    </row>
    <row r="500">
      <c r="D500" s="399"/>
      <c r="E500" s="39"/>
      <c r="F500" s="39"/>
    </row>
    <row r="501">
      <c r="D501" s="399"/>
      <c r="E501" s="39"/>
      <c r="F501" s="39"/>
    </row>
    <row r="502">
      <c r="D502" s="399"/>
      <c r="E502" s="39"/>
      <c r="F502" s="39"/>
    </row>
    <row r="503">
      <c r="D503" s="399"/>
      <c r="E503" s="39"/>
      <c r="F503" s="39"/>
    </row>
    <row r="504">
      <c r="D504" s="399"/>
      <c r="E504" s="39"/>
      <c r="F504" s="39"/>
    </row>
    <row r="505">
      <c r="D505" s="399"/>
      <c r="E505" s="39"/>
      <c r="F505" s="39"/>
    </row>
    <row r="506">
      <c r="D506" s="399"/>
      <c r="E506" s="39"/>
      <c r="F506" s="39"/>
    </row>
    <row r="507">
      <c r="D507" s="399"/>
      <c r="E507" s="39"/>
      <c r="F507" s="39"/>
    </row>
    <row r="508">
      <c r="D508" s="399"/>
      <c r="E508" s="39"/>
      <c r="F508" s="39"/>
    </row>
    <row r="509">
      <c r="D509" s="399"/>
      <c r="E509" s="39"/>
      <c r="F509" s="39"/>
    </row>
    <row r="510">
      <c r="D510" s="399"/>
      <c r="E510" s="39"/>
      <c r="F510" s="39"/>
    </row>
    <row r="511">
      <c r="D511" s="399"/>
      <c r="E511" s="39"/>
      <c r="F511" s="39"/>
    </row>
    <row r="512">
      <c r="D512" s="399"/>
      <c r="E512" s="39"/>
      <c r="F512" s="39"/>
    </row>
    <row r="513">
      <c r="D513" s="399"/>
      <c r="E513" s="39"/>
      <c r="F513" s="39"/>
    </row>
    <row r="514">
      <c r="D514" s="399"/>
      <c r="E514" s="39"/>
      <c r="F514" s="39"/>
    </row>
    <row r="515">
      <c r="D515" s="399"/>
      <c r="E515" s="39"/>
      <c r="F515" s="39"/>
    </row>
    <row r="516">
      <c r="D516" s="399"/>
      <c r="E516" s="39"/>
      <c r="F516" s="39"/>
    </row>
    <row r="517">
      <c r="D517" s="399"/>
      <c r="E517" s="39"/>
      <c r="F517" s="39"/>
    </row>
    <row r="518">
      <c r="D518" s="399"/>
      <c r="E518" s="39"/>
      <c r="F518" s="39"/>
    </row>
    <row r="519">
      <c r="D519" s="399"/>
      <c r="E519" s="39"/>
      <c r="F519" s="39"/>
    </row>
    <row r="520">
      <c r="D520" s="399"/>
      <c r="E520" s="39"/>
      <c r="F520" s="39"/>
    </row>
    <row r="521">
      <c r="D521" s="399"/>
      <c r="E521" s="39"/>
      <c r="F521" s="39"/>
    </row>
    <row r="522">
      <c r="D522" s="399"/>
      <c r="E522" s="39"/>
      <c r="F522" s="39"/>
    </row>
    <row r="523">
      <c r="D523" s="399"/>
      <c r="E523" s="39"/>
      <c r="F523" s="39"/>
    </row>
    <row r="524">
      <c r="D524" s="399"/>
      <c r="E524" s="39"/>
      <c r="F524" s="39"/>
    </row>
    <row r="525">
      <c r="D525" s="399"/>
      <c r="E525" s="39"/>
      <c r="F525" s="39"/>
    </row>
    <row r="526">
      <c r="D526" s="399"/>
      <c r="E526" s="39"/>
      <c r="F526" s="39"/>
    </row>
    <row r="527">
      <c r="D527" s="399"/>
      <c r="E527" s="39"/>
      <c r="F527" s="39"/>
    </row>
    <row r="528">
      <c r="D528" s="399"/>
      <c r="E528" s="39"/>
      <c r="F528" s="39"/>
    </row>
    <row r="529">
      <c r="D529" s="399"/>
      <c r="E529" s="39"/>
      <c r="F529" s="39"/>
    </row>
    <row r="530">
      <c r="D530" s="399"/>
      <c r="E530" s="39"/>
      <c r="F530" s="39"/>
    </row>
    <row r="531">
      <c r="D531" s="399"/>
      <c r="E531" s="39"/>
      <c r="F531" s="39"/>
    </row>
    <row r="532">
      <c r="D532" s="399"/>
      <c r="E532" s="39"/>
      <c r="F532" s="39"/>
    </row>
    <row r="533">
      <c r="D533" s="399"/>
      <c r="E533" s="39"/>
      <c r="F533" s="39"/>
    </row>
    <row r="534">
      <c r="D534" s="399"/>
      <c r="E534" s="39"/>
      <c r="F534" s="39"/>
    </row>
    <row r="535">
      <c r="D535" s="399"/>
      <c r="E535" s="39"/>
      <c r="F535" s="39"/>
    </row>
    <row r="536">
      <c r="D536" s="399"/>
      <c r="E536" s="39"/>
      <c r="F536" s="39"/>
    </row>
    <row r="537">
      <c r="D537" s="399"/>
      <c r="E537" s="39"/>
      <c r="F537" s="39"/>
    </row>
    <row r="538">
      <c r="D538" s="399"/>
      <c r="E538" s="39"/>
      <c r="F538" s="39"/>
    </row>
    <row r="539">
      <c r="D539" s="399"/>
      <c r="E539" s="39"/>
      <c r="F539" s="39"/>
    </row>
    <row r="540">
      <c r="D540" s="399"/>
      <c r="E540" s="39"/>
      <c r="F540" s="39"/>
    </row>
    <row r="541">
      <c r="D541" s="399"/>
      <c r="E541" s="39"/>
      <c r="F541" s="39"/>
    </row>
    <row r="542">
      <c r="D542" s="399"/>
      <c r="E542" s="39"/>
      <c r="F542" s="39"/>
    </row>
    <row r="543">
      <c r="D543" s="399"/>
      <c r="E543" s="39"/>
      <c r="F543" s="39"/>
    </row>
    <row r="544">
      <c r="D544" s="399"/>
      <c r="E544" s="39"/>
      <c r="F544" s="39"/>
    </row>
    <row r="545">
      <c r="D545" s="399"/>
      <c r="E545" s="39"/>
      <c r="F545" s="39"/>
    </row>
    <row r="546">
      <c r="D546" s="399"/>
      <c r="E546" s="39"/>
      <c r="F546" s="39"/>
    </row>
    <row r="547">
      <c r="D547" s="399"/>
      <c r="E547" s="39"/>
      <c r="F547" s="39"/>
    </row>
    <row r="548">
      <c r="D548" s="399"/>
      <c r="E548" s="39"/>
      <c r="F548" s="39"/>
    </row>
    <row r="549">
      <c r="D549" s="399"/>
      <c r="E549" s="39"/>
      <c r="F549" s="39"/>
    </row>
    <row r="550">
      <c r="D550" s="399"/>
      <c r="E550" s="39"/>
      <c r="F550" s="39"/>
    </row>
    <row r="551">
      <c r="D551" s="399"/>
      <c r="E551" s="39"/>
      <c r="F551" s="39"/>
    </row>
    <row r="552">
      <c r="D552" s="399"/>
      <c r="E552" s="39"/>
      <c r="F552" s="39"/>
    </row>
    <row r="553">
      <c r="D553" s="399"/>
      <c r="E553" s="39"/>
      <c r="F553" s="39"/>
    </row>
    <row r="554">
      <c r="D554" s="399"/>
      <c r="E554" s="39"/>
      <c r="F554" s="39"/>
    </row>
    <row r="555">
      <c r="D555" s="399"/>
      <c r="E555" s="39"/>
      <c r="F555" s="39"/>
    </row>
    <row r="556">
      <c r="D556" s="399"/>
      <c r="E556" s="39"/>
      <c r="F556" s="39"/>
    </row>
    <row r="557">
      <c r="D557" s="399"/>
      <c r="E557" s="39"/>
      <c r="F557" s="39"/>
    </row>
    <row r="558">
      <c r="D558" s="399"/>
      <c r="E558" s="39"/>
      <c r="F558" s="39"/>
    </row>
    <row r="559">
      <c r="D559" s="399"/>
      <c r="E559" s="39"/>
      <c r="F559" s="39"/>
    </row>
    <row r="560">
      <c r="D560" s="399"/>
      <c r="E560" s="39"/>
      <c r="F560" s="39"/>
    </row>
    <row r="561">
      <c r="D561" s="399"/>
      <c r="E561" s="39"/>
      <c r="F561" s="39"/>
    </row>
    <row r="562">
      <c r="D562" s="399"/>
      <c r="E562" s="39"/>
      <c r="F562" s="39"/>
    </row>
    <row r="563">
      <c r="D563" s="399"/>
      <c r="E563" s="39"/>
      <c r="F563" s="39"/>
    </row>
    <row r="564">
      <c r="D564" s="399"/>
      <c r="E564" s="39"/>
      <c r="F564" s="39"/>
    </row>
    <row r="565">
      <c r="D565" s="399"/>
      <c r="E565" s="39"/>
      <c r="F565" s="39"/>
    </row>
    <row r="566">
      <c r="D566" s="399"/>
      <c r="E566" s="39"/>
      <c r="F566" s="39"/>
    </row>
    <row r="567">
      <c r="D567" s="399"/>
      <c r="E567" s="39"/>
      <c r="F567" s="39"/>
    </row>
    <row r="568">
      <c r="D568" s="399"/>
      <c r="E568" s="39"/>
      <c r="F568" s="39"/>
    </row>
    <row r="569">
      <c r="D569" s="399"/>
      <c r="E569" s="39"/>
      <c r="F569" s="39"/>
    </row>
    <row r="570">
      <c r="D570" s="399"/>
      <c r="E570" s="39"/>
      <c r="F570" s="39"/>
    </row>
    <row r="571">
      <c r="D571" s="399"/>
      <c r="E571" s="39"/>
      <c r="F571" s="39"/>
    </row>
    <row r="572">
      <c r="D572" s="399"/>
      <c r="E572" s="39"/>
      <c r="F572" s="39"/>
    </row>
    <row r="573">
      <c r="D573" s="399"/>
      <c r="E573" s="39"/>
      <c r="F573" s="39"/>
    </row>
    <row r="574">
      <c r="D574" s="399"/>
      <c r="E574" s="39"/>
      <c r="F574" s="39"/>
    </row>
    <row r="575">
      <c r="D575" s="399"/>
      <c r="E575" s="39"/>
      <c r="F575" s="39"/>
    </row>
    <row r="576">
      <c r="D576" s="399"/>
      <c r="E576" s="39"/>
      <c r="F576" s="39"/>
    </row>
    <row r="577">
      <c r="D577" s="399"/>
      <c r="E577" s="39"/>
      <c r="F577" s="39"/>
    </row>
    <row r="578">
      <c r="D578" s="399"/>
      <c r="E578" s="39"/>
      <c r="F578" s="39"/>
    </row>
    <row r="579">
      <c r="D579" s="399"/>
      <c r="E579" s="39"/>
      <c r="F579" s="39"/>
    </row>
    <row r="580">
      <c r="D580" s="399"/>
      <c r="E580" s="39"/>
      <c r="F580" s="39"/>
    </row>
    <row r="581">
      <c r="D581" s="399"/>
      <c r="E581" s="39"/>
      <c r="F581" s="39"/>
    </row>
    <row r="582">
      <c r="D582" s="399"/>
      <c r="E582" s="39"/>
      <c r="F582" s="39"/>
    </row>
    <row r="583">
      <c r="D583" s="399"/>
      <c r="E583" s="39"/>
      <c r="F583" s="39"/>
    </row>
    <row r="584">
      <c r="D584" s="399"/>
      <c r="E584" s="39"/>
      <c r="F584" s="39"/>
    </row>
    <row r="585">
      <c r="D585" s="399"/>
      <c r="E585" s="39"/>
      <c r="F585" s="39"/>
    </row>
    <row r="586">
      <c r="D586" s="399"/>
      <c r="E586" s="39"/>
      <c r="F586" s="39"/>
    </row>
    <row r="587">
      <c r="D587" s="399"/>
      <c r="E587" s="39"/>
      <c r="F587" s="39"/>
    </row>
    <row r="588">
      <c r="D588" s="399"/>
      <c r="E588" s="39"/>
      <c r="F588" s="39"/>
    </row>
    <row r="589">
      <c r="D589" s="399"/>
      <c r="E589" s="39"/>
      <c r="F589" s="39"/>
    </row>
    <row r="590">
      <c r="D590" s="399"/>
      <c r="E590" s="39"/>
      <c r="F590" s="39"/>
    </row>
    <row r="591">
      <c r="D591" s="399"/>
      <c r="E591" s="39"/>
      <c r="F591" s="39"/>
    </row>
    <row r="592">
      <c r="D592" s="399"/>
      <c r="E592" s="39"/>
      <c r="F592" s="39"/>
    </row>
    <row r="593">
      <c r="D593" s="399"/>
      <c r="E593" s="39"/>
      <c r="F593" s="39"/>
    </row>
    <row r="594">
      <c r="D594" s="399"/>
      <c r="E594" s="39"/>
      <c r="F594" s="39"/>
    </row>
    <row r="595">
      <c r="D595" s="399"/>
      <c r="E595" s="39"/>
      <c r="F595" s="39"/>
    </row>
    <row r="596">
      <c r="D596" s="399"/>
      <c r="E596" s="39"/>
      <c r="F596" s="39"/>
    </row>
    <row r="597">
      <c r="D597" s="399"/>
      <c r="E597" s="39"/>
      <c r="F597" s="39"/>
    </row>
    <row r="598">
      <c r="D598" s="399"/>
      <c r="E598" s="39"/>
      <c r="F598" s="39"/>
    </row>
    <row r="599">
      <c r="D599" s="399"/>
      <c r="E599" s="39"/>
      <c r="F599" s="39"/>
    </row>
    <row r="600">
      <c r="D600" s="399"/>
      <c r="E600" s="39"/>
      <c r="F600" s="39"/>
    </row>
    <row r="601">
      <c r="D601" s="399"/>
      <c r="E601" s="39"/>
      <c r="F601" s="39"/>
    </row>
    <row r="602">
      <c r="D602" s="399"/>
      <c r="E602" s="39"/>
      <c r="F602" s="39"/>
    </row>
    <row r="603">
      <c r="D603" s="399"/>
      <c r="E603" s="39"/>
      <c r="F603" s="39"/>
    </row>
    <row r="604">
      <c r="D604" s="399"/>
      <c r="E604" s="39"/>
      <c r="F604" s="39"/>
    </row>
    <row r="605">
      <c r="D605" s="399"/>
      <c r="E605" s="39"/>
      <c r="F605" s="39"/>
    </row>
    <row r="606">
      <c r="D606" s="399"/>
      <c r="E606" s="39"/>
      <c r="F606" s="39"/>
    </row>
    <row r="607">
      <c r="D607" s="399"/>
      <c r="E607" s="39"/>
      <c r="F607" s="39"/>
    </row>
    <row r="608">
      <c r="D608" s="399"/>
      <c r="E608" s="39"/>
      <c r="F608" s="39"/>
    </row>
    <row r="609">
      <c r="D609" s="399"/>
      <c r="E609" s="39"/>
      <c r="F609" s="39"/>
    </row>
    <row r="610">
      <c r="D610" s="399"/>
      <c r="E610" s="39"/>
      <c r="F610" s="39"/>
    </row>
    <row r="611">
      <c r="D611" s="399"/>
      <c r="E611" s="39"/>
      <c r="F611" s="39"/>
    </row>
    <row r="612">
      <c r="D612" s="399"/>
      <c r="E612" s="39"/>
      <c r="F612" s="39"/>
    </row>
    <row r="613">
      <c r="D613" s="399"/>
      <c r="E613" s="39"/>
      <c r="F613" s="39"/>
    </row>
    <row r="614">
      <c r="D614" s="399"/>
      <c r="E614" s="39"/>
      <c r="F614" s="39"/>
    </row>
    <row r="615">
      <c r="D615" s="399"/>
      <c r="E615" s="39"/>
      <c r="F615" s="39"/>
    </row>
    <row r="616">
      <c r="D616" s="399"/>
      <c r="E616" s="39"/>
      <c r="F616" s="39"/>
    </row>
    <row r="617">
      <c r="D617" s="399"/>
      <c r="E617" s="39"/>
      <c r="F617" s="39"/>
    </row>
    <row r="618">
      <c r="D618" s="399"/>
      <c r="E618" s="39"/>
      <c r="F618" s="39"/>
    </row>
    <row r="619">
      <c r="D619" s="399"/>
      <c r="E619" s="39"/>
      <c r="F619" s="39"/>
    </row>
    <row r="620">
      <c r="D620" s="399"/>
      <c r="E620" s="39"/>
      <c r="F620" s="39"/>
    </row>
    <row r="621">
      <c r="D621" s="399"/>
      <c r="E621" s="39"/>
      <c r="F621" s="39"/>
    </row>
    <row r="622">
      <c r="D622" s="399"/>
      <c r="E622" s="39"/>
      <c r="F622" s="39"/>
    </row>
    <row r="623">
      <c r="D623" s="399"/>
      <c r="E623" s="39"/>
      <c r="F623" s="39"/>
    </row>
    <row r="624">
      <c r="D624" s="399"/>
      <c r="E624" s="39"/>
      <c r="F624" s="39"/>
    </row>
    <row r="625">
      <c r="D625" s="399"/>
      <c r="E625" s="39"/>
      <c r="F625" s="39"/>
    </row>
    <row r="626">
      <c r="D626" s="399"/>
      <c r="E626" s="39"/>
      <c r="F626" s="39"/>
    </row>
    <row r="627">
      <c r="D627" s="399"/>
      <c r="E627" s="39"/>
      <c r="F627" s="39"/>
    </row>
    <row r="628">
      <c r="D628" s="399"/>
      <c r="E628" s="39"/>
      <c r="F628" s="39"/>
    </row>
    <row r="629">
      <c r="D629" s="399"/>
      <c r="E629" s="39"/>
      <c r="F629" s="39"/>
    </row>
    <row r="630">
      <c r="D630" s="399"/>
      <c r="E630" s="39"/>
      <c r="F630" s="39"/>
    </row>
    <row r="631">
      <c r="D631" s="399"/>
      <c r="E631" s="39"/>
      <c r="F631" s="39"/>
    </row>
    <row r="632">
      <c r="D632" s="399"/>
      <c r="E632" s="39"/>
      <c r="F632" s="39"/>
    </row>
    <row r="633">
      <c r="D633" s="399"/>
      <c r="E633" s="39"/>
      <c r="F633" s="39"/>
    </row>
    <row r="634">
      <c r="D634" s="399"/>
      <c r="E634" s="39"/>
      <c r="F634" s="39"/>
    </row>
    <row r="635">
      <c r="D635" s="399"/>
      <c r="E635" s="39"/>
      <c r="F635" s="39"/>
    </row>
    <row r="636">
      <c r="D636" s="399"/>
      <c r="E636" s="39"/>
      <c r="F636" s="39"/>
    </row>
    <row r="637">
      <c r="D637" s="399"/>
      <c r="E637" s="39"/>
      <c r="F637" s="39"/>
    </row>
    <row r="638">
      <c r="D638" s="399"/>
      <c r="E638" s="39"/>
      <c r="F638" s="39"/>
    </row>
    <row r="639">
      <c r="D639" s="399"/>
      <c r="E639" s="39"/>
      <c r="F639" s="39"/>
    </row>
    <row r="640">
      <c r="D640" s="399"/>
      <c r="E640" s="39"/>
      <c r="F640" s="39"/>
    </row>
    <row r="641">
      <c r="D641" s="399"/>
      <c r="E641" s="39"/>
      <c r="F641" s="39"/>
    </row>
    <row r="642">
      <c r="D642" s="399"/>
      <c r="E642" s="39"/>
      <c r="F642" s="39"/>
    </row>
    <row r="643">
      <c r="D643" s="399"/>
      <c r="E643" s="39"/>
      <c r="F643" s="39"/>
    </row>
    <row r="644">
      <c r="D644" s="399"/>
      <c r="E644" s="39"/>
      <c r="F644" s="39"/>
    </row>
    <row r="645">
      <c r="D645" s="399"/>
      <c r="E645" s="39"/>
      <c r="F645" s="39"/>
    </row>
    <row r="646">
      <c r="D646" s="399"/>
      <c r="E646" s="39"/>
      <c r="F646" s="39"/>
    </row>
    <row r="647">
      <c r="D647" s="399"/>
      <c r="E647" s="39"/>
      <c r="F647" s="39"/>
    </row>
    <row r="648">
      <c r="D648" s="399"/>
      <c r="E648" s="39"/>
      <c r="F648" s="39"/>
    </row>
    <row r="649">
      <c r="D649" s="399"/>
      <c r="E649" s="39"/>
      <c r="F649" s="39"/>
    </row>
    <row r="650">
      <c r="D650" s="399"/>
      <c r="E650" s="39"/>
      <c r="F650" s="39"/>
    </row>
    <row r="651">
      <c r="D651" s="399"/>
      <c r="E651" s="39"/>
      <c r="F651" s="39"/>
    </row>
    <row r="652">
      <c r="D652" s="399"/>
      <c r="E652" s="39"/>
      <c r="F652" s="39"/>
    </row>
    <row r="653">
      <c r="D653" s="399"/>
      <c r="E653" s="39"/>
      <c r="F653" s="39"/>
    </row>
    <row r="654">
      <c r="D654" s="399"/>
      <c r="E654" s="39"/>
      <c r="F654" s="39"/>
    </row>
    <row r="655">
      <c r="D655" s="399"/>
      <c r="E655" s="39"/>
      <c r="F655" s="39"/>
    </row>
    <row r="656">
      <c r="D656" s="399"/>
      <c r="E656" s="39"/>
      <c r="F656" s="39"/>
    </row>
    <row r="657">
      <c r="D657" s="399"/>
      <c r="E657" s="39"/>
      <c r="F657" s="39"/>
    </row>
    <row r="658">
      <c r="D658" s="399"/>
      <c r="E658" s="39"/>
      <c r="F658" s="39"/>
    </row>
    <row r="659">
      <c r="D659" s="399"/>
      <c r="E659" s="39"/>
      <c r="F659" s="39"/>
    </row>
    <row r="660">
      <c r="D660" s="399"/>
      <c r="E660" s="39"/>
      <c r="F660" s="39"/>
    </row>
    <row r="661">
      <c r="D661" s="399"/>
      <c r="E661" s="39"/>
      <c r="F661" s="39"/>
    </row>
    <row r="662">
      <c r="D662" s="399"/>
      <c r="E662" s="39"/>
      <c r="F662" s="39"/>
    </row>
    <row r="663">
      <c r="D663" s="399"/>
      <c r="E663" s="39"/>
      <c r="F663" s="39"/>
    </row>
    <row r="664">
      <c r="D664" s="399"/>
      <c r="E664" s="39"/>
      <c r="F664" s="39"/>
    </row>
    <row r="665">
      <c r="D665" s="399"/>
      <c r="E665" s="39"/>
      <c r="F665" s="39"/>
    </row>
    <row r="666">
      <c r="D666" s="399"/>
      <c r="E666" s="39"/>
      <c r="F666" s="39"/>
    </row>
    <row r="667">
      <c r="D667" s="399"/>
      <c r="E667" s="39"/>
      <c r="F667" s="39"/>
    </row>
    <row r="668">
      <c r="D668" s="399"/>
      <c r="E668" s="39"/>
      <c r="F668" s="39"/>
    </row>
    <row r="669">
      <c r="D669" s="399"/>
      <c r="E669" s="39"/>
      <c r="F669" s="39"/>
    </row>
    <row r="670">
      <c r="D670" s="399"/>
      <c r="E670" s="39"/>
      <c r="F670" s="39"/>
    </row>
    <row r="671">
      <c r="D671" s="399"/>
      <c r="E671" s="39"/>
      <c r="F671" s="39"/>
    </row>
    <row r="672">
      <c r="D672" s="399"/>
      <c r="E672" s="39"/>
      <c r="F672" s="39"/>
    </row>
    <row r="673">
      <c r="D673" s="399"/>
      <c r="E673" s="39"/>
      <c r="F673" s="39"/>
    </row>
    <row r="674">
      <c r="D674" s="399"/>
      <c r="E674" s="39"/>
      <c r="F674" s="39"/>
    </row>
    <row r="675">
      <c r="D675" s="399"/>
      <c r="E675" s="39"/>
      <c r="F675" s="39"/>
    </row>
    <row r="676">
      <c r="D676" s="399"/>
      <c r="E676" s="39"/>
      <c r="F676" s="39"/>
    </row>
    <row r="677">
      <c r="D677" s="399"/>
      <c r="E677" s="39"/>
      <c r="F677" s="39"/>
    </row>
    <row r="678">
      <c r="D678" s="399"/>
      <c r="E678" s="39"/>
      <c r="F678" s="39"/>
    </row>
    <row r="679">
      <c r="D679" s="399"/>
      <c r="E679" s="39"/>
      <c r="F679" s="39"/>
    </row>
    <row r="680">
      <c r="D680" s="399"/>
      <c r="E680" s="39"/>
      <c r="F680" s="39"/>
    </row>
    <row r="681">
      <c r="D681" s="399"/>
      <c r="E681" s="39"/>
      <c r="F681" s="39"/>
    </row>
    <row r="682">
      <c r="D682" s="399"/>
      <c r="E682" s="39"/>
      <c r="F682" s="39"/>
    </row>
    <row r="683">
      <c r="D683" s="399"/>
      <c r="E683" s="39"/>
      <c r="F683" s="39"/>
    </row>
    <row r="684">
      <c r="D684" s="399"/>
      <c r="E684" s="39"/>
      <c r="F684" s="39"/>
    </row>
    <row r="685">
      <c r="D685" s="399"/>
      <c r="E685" s="39"/>
      <c r="F685" s="39"/>
    </row>
    <row r="686">
      <c r="D686" s="399"/>
      <c r="E686" s="39"/>
      <c r="F686" s="39"/>
    </row>
    <row r="687">
      <c r="D687" s="399"/>
      <c r="E687" s="39"/>
      <c r="F687" s="39"/>
    </row>
    <row r="688">
      <c r="D688" s="399"/>
      <c r="E688" s="39"/>
      <c r="F688" s="39"/>
    </row>
    <row r="689">
      <c r="D689" s="399"/>
      <c r="E689" s="39"/>
      <c r="F689" s="39"/>
    </row>
    <row r="690">
      <c r="D690" s="399"/>
      <c r="E690" s="39"/>
      <c r="F690" s="39"/>
    </row>
    <row r="691">
      <c r="D691" s="399"/>
      <c r="E691" s="39"/>
      <c r="F691" s="39"/>
    </row>
    <row r="692">
      <c r="D692" s="399"/>
      <c r="E692" s="39"/>
      <c r="F692" s="39"/>
    </row>
    <row r="693">
      <c r="D693" s="399"/>
      <c r="E693" s="39"/>
      <c r="F693" s="39"/>
    </row>
    <row r="694">
      <c r="D694" s="399"/>
      <c r="E694" s="39"/>
      <c r="F694" s="39"/>
    </row>
    <row r="695">
      <c r="D695" s="399"/>
      <c r="E695" s="39"/>
      <c r="F695" s="39"/>
    </row>
    <row r="696">
      <c r="D696" s="399"/>
      <c r="E696" s="39"/>
      <c r="F696" s="39"/>
    </row>
    <row r="697">
      <c r="D697" s="399"/>
      <c r="E697" s="39"/>
      <c r="F697" s="39"/>
    </row>
    <row r="698">
      <c r="D698" s="399"/>
      <c r="E698" s="39"/>
      <c r="F698" s="39"/>
    </row>
    <row r="699">
      <c r="D699" s="399"/>
      <c r="E699" s="39"/>
      <c r="F699" s="39"/>
    </row>
    <row r="700">
      <c r="D700" s="399"/>
      <c r="E700" s="39"/>
      <c r="F700" s="39"/>
    </row>
    <row r="701">
      <c r="D701" s="399"/>
      <c r="E701" s="39"/>
      <c r="F701" s="39"/>
    </row>
    <row r="702">
      <c r="D702" s="399"/>
      <c r="E702" s="39"/>
      <c r="F702" s="39"/>
    </row>
    <row r="703">
      <c r="D703" s="399"/>
      <c r="E703" s="39"/>
      <c r="F703" s="39"/>
    </row>
    <row r="704">
      <c r="D704" s="399"/>
      <c r="E704" s="39"/>
      <c r="F704" s="39"/>
    </row>
    <row r="705">
      <c r="D705" s="399"/>
      <c r="E705" s="39"/>
      <c r="F705" s="39"/>
    </row>
    <row r="706">
      <c r="D706" s="399"/>
      <c r="E706" s="39"/>
      <c r="F706" s="39"/>
    </row>
    <row r="707">
      <c r="D707" s="399"/>
      <c r="E707" s="39"/>
      <c r="F707" s="39"/>
    </row>
    <row r="708">
      <c r="D708" s="399"/>
      <c r="E708" s="39"/>
      <c r="F708" s="39"/>
    </row>
    <row r="709">
      <c r="D709" s="399"/>
      <c r="E709" s="39"/>
      <c r="F709" s="39"/>
    </row>
    <row r="710">
      <c r="D710" s="399"/>
      <c r="E710" s="39"/>
      <c r="F710" s="39"/>
    </row>
    <row r="711">
      <c r="D711" s="399"/>
      <c r="E711" s="39"/>
      <c r="F711" s="39"/>
    </row>
    <row r="712">
      <c r="D712" s="399"/>
      <c r="E712" s="39"/>
      <c r="F712" s="39"/>
    </row>
    <row r="713">
      <c r="D713" s="399"/>
      <c r="E713" s="39"/>
      <c r="F713" s="39"/>
    </row>
    <row r="714">
      <c r="D714" s="399"/>
      <c r="E714" s="39"/>
      <c r="F714" s="39"/>
    </row>
    <row r="715">
      <c r="D715" s="399"/>
      <c r="E715" s="39"/>
      <c r="F715" s="39"/>
    </row>
    <row r="716">
      <c r="D716" s="399"/>
      <c r="E716" s="39"/>
      <c r="F716" s="39"/>
    </row>
    <row r="717">
      <c r="D717" s="399"/>
      <c r="E717" s="39"/>
      <c r="F717" s="39"/>
    </row>
    <row r="718">
      <c r="D718" s="399"/>
      <c r="E718" s="39"/>
      <c r="F718" s="39"/>
    </row>
    <row r="719">
      <c r="D719" s="399"/>
      <c r="E719" s="39"/>
      <c r="F719" s="39"/>
    </row>
    <row r="720">
      <c r="D720" s="399"/>
      <c r="E720" s="39"/>
      <c r="F720" s="39"/>
    </row>
    <row r="721">
      <c r="D721" s="399"/>
      <c r="E721" s="39"/>
      <c r="F721" s="39"/>
    </row>
    <row r="722">
      <c r="D722" s="399"/>
      <c r="E722" s="39"/>
      <c r="F722" s="39"/>
    </row>
    <row r="723">
      <c r="D723" s="399"/>
      <c r="E723" s="39"/>
      <c r="F723" s="39"/>
    </row>
    <row r="724">
      <c r="D724" s="399"/>
      <c r="E724" s="39"/>
      <c r="F724" s="39"/>
    </row>
    <row r="725">
      <c r="D725" s="399"/>
      <c r="E725" s="39"/>
      <c r="F725" s="39"/>
    </row>
    <row r="726">
      <c r="D726" s="399"/>
      <c r="E726" s="39"/>
      <c r="F726" s="39"/>
    </row>
    <row r="727">
      <c r="D727" s="399"/>
      <c r="E727" s="39"/>
      <c r="F727" s="39"/>
    </row>
    <row r="728">
      <c r="D728" s="399"/>
      <c r="E728" s="39"/>
      <c r="F728" s="39"/>
    </row>
    <row r="729">
      <c r="D729" s="399"/>
      <c r="E729" s="39"/>
      <c r="F729" s="39"/>
    </row>
    <row r="730">
      <c r="D730" s="399"/>
      <c r="E730" s="39"/>
      <c r="F730" s="39"/>
    </row>
    <row r="731">
      <c r="D731" s="399"/>
      <c r="E731" s="39"/>
      <c r="F731" s="39"/>
    </row>
    <row r="732">
      <c r="D732" s="399"/>
      <c r="E732" s="39"/>
      <c r="F732" s="39"/>
    </row>
    <row r="733">
      <c r="D733" s="399"/>
      <c r="E733" s="39"/>
      <c r="F733" s="39"/>
    </row>
    <row r="734">
      <c r="D734" s="399"/>
      <c r="E734" s="39"/>
      <c r="F734" s="39"/>
    </row>
    <row r="735">
      <c r="D735" s="399"/>
      <c r="E735" s="39"/>
      <c r="F735" s="39"/>
    </row>
    <row r="736">
      <c r="D736" s="399"/>
      <c r="E736" s="39"/>
      <c r="F736" s="39"/>
    </row>
    <row r="737">
      <c r="D737" s="399"/>
      <c r="E737" s="39"/>
      <c r="F737" s="39"/>
    </row>
    <row r="738">
      <c r="D738" s="399"/>
      <c r="E738" s="39"/>
      <c r="F738" s="39"/>
    </row>
    <row r="739">
      <c r="D739" s="399"/>
      <c r="E739" s="39"/>
      <c r="F739" s="39"/>
    </row>
    <row r="740">
      <c r="D740" s="399"/>
      <c r="E740" s="39"/>
      <c r="F740" s="39"/>
    </row>
    <row r="741">
      <c r="D741" s="399"/>
      <c r="E741" s="39"/>
      <c r="F741" s="39"/>
    </row>
    <row r="742">
      <c r="D742" s="399"/>
      <c r="E742" s="39"/>
      <c r="F742" s="39"/>
    </row>
    <row r="743">
      <c r="D743" s="399"/>
      <c r="E743" s="39"/>
      <c r="F743" s="39"/>
    </row>
    <row r="744">
      <c r="D744" s="399"/>
      <c r="E744" s="39"/>
      <c r="F744" s="39"/>
    </row>
    <row r="745">
      <c r="D745" s="399"/>
      <c r="E745" s="39"/>
      <c r="F745" s="39"/>
    </row>
    <row r="746">
      <c r="D746" s="399"/>
      <c r="E746" s="39"/>
      <c r="F746" s="39"/>
    </row>
    <row r="747">
      <c r="D747" s="399"/>
      <c r="E747" s="39"/>
      <c r="F747" s="39"/>
    </row>
    <row r="748">
      <c r="D748" s="399"/>
      <c r="E748" s="39"/>
      <c r="F748" s="39"/>
    </row>
    <row r="749">
      <c r="D749" s="399"/>
      <c r="E749" s="39"/>
      <c r="F749" s="39"/>
    </row>
    <row r="750">
      <c r="D750" s="399"/>
      <c r="E750" s="39"/>
      <c r="F750" s="39"/>
    </row>
    <row r="751">
      <c r="D751" s="399"/>
      <c r="E751" s="39"/>
      <c r="F751" s="39"/>
    </row>
    <row r="752">
      <c r="D752" s="399"/>
      <c r="E752" s="39"/>
      <c r="F752" s="39"/>
    </row>
    <row r="753">
      <c r="D753" s="399"/>
      <c r="E753" s="39"/>
      <c r="F753" s="39"/>
    </row>
    <row r="754">
      <c r="D754" s="399"/>
      <c r="E754" s="39"/>
      <c r="F754" s="39"/>
    </row>
    <row r="755">
      <c r="D755" s="399"/>
      <c r="E755" s="39"/>
      <c r="F755" s="39"/>
    </row>
    <row r="756">
      <c r="D756" s="399"/>
      <c r="E756" s="39"/>
      <c r="F756" s="39"/>
    </row>
    <row r="757">
      <c r="D757" s="399"/>
      <c r="E757" s="39"/>
      <c r="F757" s="39"/>
    </row>
    <row r="758">
      <c r="D758" s="399"/>
      <c r="E758" s="39"/>
      <c r="F758" s="39"/>
    </row>
    <row r="759">
      <c r="D759" s="399"/>
      <c r="E759" s="39"/>
      <c r="F759" s="39"/>
    </row>
    <row r="760">
      <c r="D760" s="399"/>
      <c r="E760" s="39"/>
      <c r="F760" s="39"/>
    </row>
    <row r="761">
      <c r="D761" s="399"/>
      <c r="E761" s="39"/>
      <c r="F761" s="39"/>
    </row>
    <row r="762">
      <c r="D762" s="399"/>
      <c r="E762" s="39"/>
      <c r="F762" s="39"/>
    </row>
    <row r="763">
      <c r="D763" s="399"/>
      <c r="E763" s="39"/>
      <c r="F763" s="39"/>
    </row>
    <row r="764">
      <c r="D764" s="399"/>
      <c r="E764" s="39"/>
      <c r="F764" s="39"/>
    </row>
    <row r="765">
      <c r="D765" s="399"/>
      <c r="E765" s="39"/>
      <c r="F765" s="39"/>
    </row>
    <row r="766">
      <c r="D766" s="399"/>
      <c r="E766" s="39"/>
      <c r="F766" s="39"/>
    </row>
    <row r="767">
      <c r="D767" s="399"/>
      <c r="E767" s="39"/>
      <c r="F767" s="39"/>
    </row>
    <row r="768">
      <c r="D768" s="399"/>
      <c r="E768" s="39"/>
      <c r="F768" s="39"/>
    </row>
    <row r="769">
      <c r="D769" s="399"/>
      <c r="E769" s="39"/>
      <c r="F769" s="39"/>
    </row>
    <row r="770">
      <c r="D770" s="399"/>
      <c r="E770" s="39"/>
      <c r="F770" s="39"/>
    </row>
    <row r="771">
      <c r="D771" s="399"/>
      <c r="E771" s="39"/>
      <c r="F771" s="39"/>
    </row>
    <row r="772">
      <c r="D772" s="399"/>
      <c r="E772" s="39"/>
      <c r="F772" s="39"/>
    </row>
    <row r="773">
      <c r="D773" s="399"/>
      <c r="E773" s="39"/>
      <c r="F773" s="39"/>
    </row>
    <row r="774">
      <c r="D774" s="399"/>
      <c r="E774" s="39"/>
      <c r="F774" s="39"/>
    </row>
    <row r="775">
      <c r="D775" s="399"/>
      <c r="E775" s="39"/>
      <c r="F775" s="39"/>
    </row>
    <row r="776">
      <c r="D776" s="399"/>
      <c r="E776" s="39"/>
      <c r="F776" s="39"/>
    </row>
    <row r="777">
      <c r="D777" s="399"/>
      <c r="E777" s="39"/>
      <c r="F777" s="39"/>
    </row>
    <row r="778">
      <c r="D778" s="399"/>
      <c r="E778" s="39"/>
      <c r="F778" s="39"/>
    </row>
    <row r="779">
      <c r="D779" s="399"/>
      <c r="E779" s="39"/>
      <c r="F779" s="39"/>
    </row>
    <row r="780">
      <c r="D780" s="399"/>
      <c r="E780" s="39"/>
      <c r="F780" s="39"/>
    </row>
    <row r="781">
      <c r="D781" s="399"/>
      <c r="E781" s="39"/>
      <c r="F781" s="39"/>
    </row>
    <row r="782">
      <c r="D782" s="399"/>
      <c r="E782" s="39"/>
      <c r="F782" s="39"/>
    </row>
    <row r="783">
      <c r="D783" s="399"/>
      <c r="E783" s="39"/>
      <c r="F783" s="39"/>
    </row>
    <row r="784">
      <c r="D784" s="399"/>
      <c r="E784" s="39"/>
      <c r="F784" s="39"/>
    </row>
    <row r="785">
      <c r="D785" s="399"/>
      <c r="E785" s="39"/>
      <c r="F785" s="39"/>
    </row>
    <row r="786">
      <c r="D786" s="399"/>
      <c r="E786" s="39"/>
      <c r="F786" s="39"/>
    </row>
    <row r="787">
      <c r="D787" s="399"/>
      <c r="E787" s="39"/>
      <c r="F787" s="39"/>
    </row>
    <row r="788">
      <c r="D788" s="399"/>
      <c r="E788" s="39"/>
      <c r="F788" s="39"/>
    </row>
    <row r="789">
      <c r="D789" s="399"/>
      <c r="E789" s="39"/>
      <c r="F789" s="39"/>
    </row>
    <row r="790">
      <c r="D790" s="399"/>
      <c r="E790" s="39"/>
      <c r="F790" s="39"/>
    </row>
    <row r="791">
      <c r="D791" s="399"/>
      <c r="E791" s="39"/>
      <c r="F791" s="39"/>
    </row>
    <row r="792">
      <c r="D792" s="399"/>
      <c r="E792" s="39"/>
      <c r="F792" s="39"/>
    </row>
    <row r="793">
      <c r="D793" s="399"/>
      <c r="E793" s="39"/>
      <c r="F793" s="39"/>
    </row>
    <row r="794">
      <c r="D794" s="399"/>
      <c r="E794" s="39"/>
      <c r="F794" s="39"/>
    </row>
    <row r="795">
      <c r="D795" s="399"/>
      <c r="E795" s="39"/>
      <c r="F795" s="39"/>
    </row>
    <row r="796">
      <c r="D796" s="399"/>
      <c r="E796" s="39"/>
      <c r="F796" s="39"/>
    </row>
    <row r="797">
      <c r="D797" s="399"/>
      <c r="E797" s="39"/>
      <c r="F797" s="39"/>
    </row>
    <row r="798">
      <c r="D798" s="399"/>
      <c r="E798" s="39"/>
      <c r="F798" s="39"/>
    </row>
    <row r="799">
      <c r="D799" s="399"/>
      <c r="E799" s="39"/>
      <c r="F799" s="39"/>
    </row>
    <row r="800">
      <c r="D800" s="399"/>
      <c r="E800" s="39"/>
      <c r="F800" s="39"/>
    </row>
    <row r="801">
      <c r="D801" s="399"/>
      <c r="E801" s="39"/>
      <c r="F801" s="39"/>
    </row>
    <row r="802">
      <c r="D802" s="399"/>
      <c r="E802" s="39"/>
      <c r="F802" s="39"/>
    </row>
    <row r="803">
      <c r="D803" s="399"/>
      <c r="E803" s="39"/>
      <c r="F803" s="39"/>
    </row>
    <row r="804">
      <c r="D804" s="399"/>
      <c r="E804" s="39"/>
      <c r="F804" s="39"/>
    </row>
    <row r="805">
      <c r="D805" s="399"/>
      <c r="E805" s="39"/>
      <c r="F805" s="39"/>
    </row>
    <row r="806">
      <c r="D806" s="399"/>
      <c r="E806" s="39"/>
      <c r="F806" s="39"/>
    </row>
    <row r="807">
      <c r="D807" s="399"/>
      <c r="E807" s="39"/>
      <c r="F807" s="39"/>
    </row>
    <row r="808">
      <c r="D808" s="399"/>
      <c r="E808" s="39"/>
      <c r="F808" s="39"/>
    </row>
    <row r="809">
      <c r="D809" s="399"/>
      <c r="E809" s="39"/>
      <c r="F809" s="39"/>
    </row>
    <row r="810">
      <c r="D810" s="399"/>
      <c r="E810" s="39"/>
      <c r="F810" s="39"/>
    </row>
    <row r="811">
      <c r="D811" s="399"/>
      <c r="E811" s="39"/>
      <c r="F811" s="39"/>
    </row>
    <row r="812">
      <c r="D812" s="399"/>
      <c r="E812" s="39"/>
      <c r="F812" s="39"/>
    </row>
    <row r="813">
      <c r="D813" s="399"/>
      <c r="E813" s="39"/>
      <c r="F813" s="39"/>
    </row>
    <row r="814">
      <c r="D814" s="399"/>
      <c r="E814" s="39"/>
      <c r="F814" s="39"/>
    </row>
    <row r="815">
      <c r="D815" s="399"/>
      <c r="E815" s="39"/>
      <c r="F815" s="39"/>
    </row>
    <row r="816">
      <c r="D816" s="399"/>
      <c r="E816" s="39"/>
      <c r="F816" s="39"/>
    </row>
    <row r="817">
      <c r="D817" s="399"/>
      <c r="E817" s="39"/>
      <c r="F817" s="39"/>
    </row>
    <row r="818">
      <c r="D818" s="399"/>
      <c r="E818" s="39"/>
      <c r="F818" s="39"/>
    </row>
    <row r="819">
      <c r="D819" s="399"/>
      <c r="E819" s="39"/>
      <c r="F819" s="39"/>
    </row>
    <row r="820">
      <c r="D820" s="399"/>
      <c r="E820" s="39"/>
      <c r="F820" s="39"/>
    </row>
    <row r="821">
      <c r="D821" s="399"/>
      <c r="E821" s="39"/>
      <c r="F821" s="39"/>
    </row>
    <row r="822">
      <c r="D822" s="399"/>
      <c r="E822" s="39"/>
      <c r="F822" s="39"/>
    </row>
    <row r="823">
      <c r="D823" s="399"/>
      <c r="E823" s="39"/>
      <c r="F823" s="39"/>
    </row>
    <row r="824">
      <c r="D824" s="399"/>
      <c r="E824" s="39"/>
      <c r="F824" s="39"/>
    </row>
    <row r="825">
      <c r="D825" s="399"/>
      <c r="E825" s="39"/>
      <c r="F825" s="39"/>
    </row>
    <row r="826">
      <c r="D826" s="399"/>
      <c r="E826" s="39"/>
      <c r="F826" s="39"/>
    </row>
    <row r="827">
      <c r="D827" s="399"/>
      <c r="E827" s="39"/>
      <c r="F827" s="39"/>
    </row>
    <row r="828">
      <c r="D828" s="399"/>
      <c r="E828" s="39"/>
      <c r="F828" s="39"/>
    </row>
    <row r="829">
      <c r="D829" s="399"/>
      <c r="E829" s="39"/>
      <c r="F829" s="39"/>
    </row>
    <row r="830">
      <c r="D830" s="399"/>
      <c r="E830" s="39"/>
      <c r="F830" s="39"/>
    </row>
    <row r="831">
      <c r="D831" s="399"/>
      <c r="E831" s="39"/>
      <c r="F831" s="39"/>
    </row>
    <row r="832">
      <c r="D832" s="399"/>
      <c r="E832" s="39"/>
      <c r="F832" s="39"/>
    </row>
    <row r="833">
      <c r="D833" s="399"/>
      <c r="E833" s="39"/>
      <c r="F833" s="39"/>
    </row>
    <row r="834">
      <c r="D834" s="399"/>
      <c r="E834" s="39"/>
      <c r="F834" s="39"/>
    </row>
    <row r="835">
      <c r="D835" s="399"/>
      <c r="E835" s="39"/>
      <c r="F835" s="39"/>
    </row>
    <row r="836">
      <c r="D836" s="399"/>
      <c r="E836" s="39"/>
      <c r="F836" s="39"/>
    </row>
    <row r="837">
      <c r="D837" s="399"/>
      <c r="E837" s="39"/>
      <c r="F837" s="39"/>
    </row>
    <row r="838">
      <c r="D838" s="399"/>
      <c r="E838" s="39"/>
      <c r="F838" s="39"/>
    </row>
    <row r="839">
      <c r="D839" s="399"/>
      <c r="E839" s="39"/>
      <c r="F839" s="39"/>
    </row>
    <row r="840">
      <c r="D840" s="399"/>
      <c r="E840" s="39"/>
      <c r="F840" s="39"/>
    </row>
    <row r="841">
      <c r="D841" s="399"/>
      <c r="E841" s="39"/>
      <c r="F841" s="39"/>
    </row>
    <row r="842">
      <c r="D842" s="399"/>
      <c r="E842" s="39"/>
      <c r="F842" s="39"/>
    </row>
    <row r="843">
      <c r="D843" s="399"/>
      <c r="E843" s="39"/>
      <c r="F843" s="39"/>
    </row>
    <row r="844">
      <c r="D844" s="399"/>
      <c r="E844" s="39"/>
      <c r="F844" s="39"/>
    </row>
    <row r="845">
      <c r="D845" s="399"/>
      <c r="E845" s="39"/>
      <c r="F845" s="39"/>
    </row>
    <row r="846">
      <c r="D846" s="399"/>
      <c r="E846" s="39"/>
      <c r="F846" s="39"/>
    </row>
    <row r="847">
      <c r="D847" s="399"/>
      <c r="E847" s="39"/>
      <c r="F847" s="39"/>
    </row>
    <row r="848">
      <c r="D848" s="399"/>
      <c r="E848" s="39"/>
      <c r="F848" s="39"/>
    </row>
    <row r="849">
      <c r="D849" s="399"/>
      <c r="E849" s="39"/>
      <c r="F849" s="39"/>
    </row>
    <row r="850">
      <c r="D850" s="399"/>
      <c r="E850" s="39"/>
      <c r="F850" s="39"/>
    </row>
    <row r="851">
      <c r="D851" s="399"/>
      <c r="E851" s="39"/>
      <c r="F851" s="39"/>
    </row>
    <row r="852">
      <c r="D852" s="399"/>
      <c r="E852" s="39"/>
      <c r="F852" s="39"/>
    </row>
    <row r="853">
      <c r="D853" s="399"/>
      <c r="E853" s="39"/>
      <c r="F853" s="39"/>
    </row>
    <row r="854">
      <c r="D854" s="399"/>
      <c r="E854" s="39"/>
      <c r="F854" s="39"/>
    </row>
    <row r="855">
      <c r="D855" s="399"/>
      <c r="E855" s="39"/>
      <c r="F855" s="39"/>
    </row>
    <row r="856">
      <c r="D856" s="399"/>
      <c r="E856" s="39"/>
      <c r="F856" s="39"/>
    </row>
    <row r="857">
      <c r="D857" s="399"/>
      <c r="E857" s="39"/>
      <c r="F857" s="39"/>
    </row>
    <row r="858">
      <c r="D858" s="399"/>
      <c r="E858" s="39"/>
      <c r="F858" s="39"/>
    </row>
    <row r="859">
      <c r="D859" s="399"/>
      <c r="E859" s="39"/>
      <c r="F859" s="39"/>
    </row>
    <row r="860">
      <c r="D860" s="399"/>
      <c r="E860" s="39"/>
      <c r="F860" s="39"/>
    </row>
    <row r="861">
      <c r="D861" s="399"/>
      <c r="E861" s="39"/>
      <c r="F861" s="39"/>
    </row>
    <row r="862">
      <c r="D862" s="399"/>
      <c r="E862" s="39"/>
      <c r="F862" s="39"/>
    </row>
    <row r="863">
      <c r="D863" s="399"/>
      <c r="E863" s="39"/>
      <c r="F863" s="39"/>
    </row>
    <row r="864">
      <c r="D864" s="399"/>
      <c r="E864" s="39"/>
      <c r="F864" s="39"/>
    </row>
    <row r="865">
      <c r="D865" s="399"/>
      <c r="E865" s="39"/>
      <c r="F865" s="39"/>
    </row>
    <row r="866">
      <c r="D866" s="399"/>
      <c r="E866" s="39"/>
      <c r="F866" s="39"/>
    </row>
    <row r="867">
      <c r="D867" s="399"/>
      <c r="E867" s="39"/>
      <c r="F867" s="39"/>
    </row>
    <row r="868">
      <c r="D868" s="399"/>
      <c r="E868" s="39"/>
      <c r="F868" s="39"/>
    </row>
    <row r="869">
      <c r="D869" s="399"/>
      <c r="E869" s="39"/>
      <c r="F869" s="39"/>
    </row>
    <row r="870">
      <c r="D870" s="399"/>
      <c r="E870" s="39"/>
      <c r="F870" s="39"/>
    </row>
    <row r="871">
      <c r="D871" s="399"/>
      <c r="E871" s="39"/>
      <c r="F871" s="39"/>
    </row>
    <row r="872">
      <c r="D872" s="399"/>
      <c r="E872" s="39"/>
      <c r="F872" s="39"/>
    </row>
    <row r="873">
      <c r="D873" s="399"/>
      <c r="E873" s="39"/>
      <c r="F873" s="39"/>
    </row>
    <row r="874">
      <c r="D874" s="399"/>
      <c r="E874" s="39"/>
      <c r="F874" s="39"/>
    </row>
    <row r="875">
      <c r="D875" s="399"/>
      <c r="E875" s="39"/>
      <c r="F875" s="39"/>
    </row>
    <row r="876">
      <c r="D876" s="399"/>
      <c r="E876" s="39"/>
      <c r="F876" s="39"/>
    </row>
    <row r="877">
      <c r="D877" s="399"/>
      <c r="E877" s="39"/>
      <c r="F877" s="39"/>
    </row>
    <row r="878">
      <c r="D878" s="399"/>
      <c r="E878" s="39"/>
      <c r="F878" s="39"/>
    </row>
    <row r="879">
      <c r="D879" s="399"/>
      <c r="E879" s="39"/>
      <c r="F879" s="39"/>
    </row>
    <row r="880">
      <c r="D880" s="399"/>
      <c r="E880" s="39"/>
      <c r="F880" s="39"/>
    </row>
    <row r="881">
      <c r="D881" s="399"/>
      <c r="E881" s="39"/>
      <c r="F881" s="39"/>
    </row>
    <row r="882">
      <c r="D882" s="399"/>
      <c r="E882" s="39"/>
      <c r="F882" s="39"/>
    </row>
    <row r="883">
      <c r="D883" s="399"/>
      <c r="E883" s="39"/>
      <c r="F883" s="39"/>
    </row>
    <row r="884">
      <c r="D884" s="399"/>
      <c r="E884" s="39"/>
      <c r="F884" s="39"/>
    </row>
    <row r="885">
      <c r="D885" s="399"/>
      <c r="E885" s="39"/>
      <c r="F885" s="39"/>
    </row>
    <row r="886">
      <c r="D886" s="399"/>
      <c r="E886" s="39"/>
      <c r="F886" s="39"/>
    </row>
    <row r="887">
      <c r="D887" s="399"/>
      <c r="E887" s="39"/>
      <c r="F887" s="39"/>
    </row>
    <row r="888">
      <c r="D888" s="399"/>
      <c r="E888" s="39"/>
      <c r="F888" s="39"/>
    </row>
    <row r="889">
      <c r="D889" s="399"/>
      <c r="E889" s="39"/>
      <c r="F889" s="39"/>
    </row>
    <row r="890">
      <c r="D890" s="399"/>
      <c r="E890" s="39"/>
      <c r="F890" s="39"/>
    </row>
    <row r="891">
      <c r="D891" s="399"/>
      <c r="E891" s="39"/>
      <c r="F891" s="39"/>
    </row>
    <row r="892">
      <c r="D892" s="399"/>
      <c r="E892" s="39"/>
      <c r="F892" s="39"/>
    </row>
    <row r="893">
      <c r="D893" s="399"/>
      <c r="E893" s="39"/>
      <c r="F893" s="39"/>
    </row>
    <row r="894">
      <c r="D894" s="399"/>
      <c r="E894" s="39"/>
      <c r="F894" s="39"/>
    </row>
    <row r="895">
      <c r="D895" s="399"/>
      <c r="E895" s="39"/>
      <c r="F895" s="39"/>
    </row>
    <row r="896">
      <c r="D896" s="399"/>
      <c r="E896" s="39"/>
      <c r="F896" s="39"/>
    </row>
    <row r="897">
      <c r="D897" s="399"/>
      <c r="E897" s="39"/>
      <c r="F897" s="39"/>
    </row>
    <row r="898">
      <c r="D898" s="399"/>
      <c r="E898" s="39"/>
      <c r="F898" s="39"/>
    </row>
    <row r="899">
      <c r="D899" s="399"/>
      <c r="E899" s="39"/>
      <c r="F899" s="39"/>
    </row>
    <row r="900">
      <c r="D900" s="399"/>
      <c r="E900" s="39"/>
      <c r="F900" s="39"/>
    </row>
    <row r="901">
      <c r="D901" s="399"/>
      <c r="E901" s="39"/>
      <c r="F901" s="39"/>
    </row>
    <row r="902">
      <c r="D902" s="399"/>
      <c r="E902" s="39"/>
      <c r="F902" s="39"/>
    </row>
    <row r="903">
      <c r="D903" s="399"/>
      <c r="E903" s="39"/>
      <c r="F903" s="39"/>
    </row>
    <row r="904">
      <c r="D904" s="399"/>
      <c r="E904" s="39"/>
      <c r="F904" s="39"/>
    </row>
    <row r="905">
      <c r="D905" s="399"/>
      <c r="E905" s="39"/>
      <c r="F905" s="39"/>
    </row>
    <row r="906">
      <c r="D906" s="399"/>
      <c r="E906" s="39"/>
      <c r="F906" s="39"/>
    </row>
    <row r="907">
      <c r="D907" s="399"/>
      <c r="E907" s="39"/>
      <c r="F907" s="39"/>
    </row>
    <row r="908">
      <c r="D908" s="399"/>
      <c r="E908" s="39"/>
      <c r="F908" s="39"/>
    </row>
    <row r="909">
      <c r="D909" s="399"/>
      <c r="E909" s="39"/>
      <c r="F909" s="39"/>
    </row>
    <row r="910">
      <c r="D910" s="399"/>
      <c r="E910" s="39"/>
      <c r="F910" s="39"/>
    </row>
    <row r="911">
      <c r="D911" s="399"/>
      <c r="E911" s="39"/>
      <c r="F911" s="39"/>
    </row>
    <row r="912">
      <c r="D912" s="399"/>
      <c r="E912" s="39"/>
      <c r="F912" s="39"/>
    </row>
    <row r="913">
      <c r="D913" s="399"/>
      <c r="E913" s="39"/>
      <c r="F913" s="39"/>
    </row>
    <row r="914">
      <c r="D914" s="399"/>
      <c r="E914" s="39"/>
      <c r="F914" s="39"/>
    </row>
    <row r="915">
      <c r="D915" s="399"/>
      <c r="E915" s="39"/>
      <c r="F915" s="39"/>
    </row>
    <row r="916">
      <c r="D916" s="399"/>
      <c r="E916" s="39"/>
      <c r="F916" s="39"/>
    </row>
    <row r="917">
      <c r="D917" s="399"/>
      <c r="E917" s="39"/>
      <c r="F917" s="39"/>
    </row>
    <row r="918">
      <c r="D918" s="399"/>
      <c r="E918" s="39"/>
      <c r="F918" s="39"/>
    </row>
    <row r="919">
      <c r="D919" s="399"/>
      <c r="E919" s="39"/>
      <c r="F919" s="39"/>
    </row>
    <row r="920">
      <c r="D920" s="399"/>
      <c r="E920" s="39"/>
      <c r="F920" s="39"/>
    </row>
    <row r="921">
      <c r="D921" s="399"/>
      <c r="E921" s="39"/>
      <c r="F921" s="39"/>
    </row>
    <row r="922">
      <c r="D922" s="399"/>
      <c r="E922" s="39"/>
      <c r="F922" s="39"/>
    </row>
    <row r="923">
      <c r="D923" s="399"/>
      <c r="E923" s="39"/>
      <c r="F923" s="39"/>
    </row>
    <row r="924">
      <c r="D924" s="399"/>
      <c r="E924" s="39"/>
      <c r="F924" s="39"/>
    </row>
    <row r="925">
      <c r="D925" s="399"/>
      <c r="E925" s="39"/>
      <c r="F925" s="39"/>
    </row>
    <row r="926">
      <c r="D926" s="399"/>
      <c r="E926" s="39"/>
      <c r="F926" s="39"/>
    </row>
    <row r="927">
      <c r="D927" s="399"/>
      <c r="E927" s="39"/>
      <c r="F927" s="39"/>
    </row>
    <row r="928">
      <c r="D928" s="399"/>
      <c r="E928" s="39"/>
      <c r="F928" s="39"/>
    </row>
    <row r="929">
      <c r="D929" s="399"/>
      <c r="E929" s="39"/>
      <c r="F929" s="39"/>
    </row>
    <row r="930">
      <c r="D930" s="399"/>
      <c r="E930" s="39"/>
      <c r="F930" s="39"/>
    </row>
    <row r="931">
      <c r="D931" s="399"/>
      <c r="E931" s="39"/>
      <c r="F931" s="39"/>
    </row>
    <row r="932">
      <c r="D932" s="399"/>
      <c r="E932" s="39"/>
      <c r="F932" s="39"/>
    </row>
    <row r="933">
      <c r="D933" s="399"/>
      <c r="E933" s="39"/>
      <c r="F933" s="39"/>
    </row>
    <row r="934">
      <c r="D934" s="399"/>
      <c r="E934" s="39"/>
      <c r="F934" s="39"/>
    </row>
    <row r="935">
      <c r="D935" s="399"/>
      <c r="E935" s="39"/>
      <c r="F935" s="39"/>
    </row>
    <row r="936">
      <c r="D936" s="399"/>
      <c r="E936" s="39"/>
      <c r="F936" s="39"/>
    </row>
    <row r="937">
      <c r="D937" s="399"/>
      <c r="E937" s="39"/>
      <c r="F937" s="39"/>
    </row>
    <row r="938">
      <c r="D938" s="399"/>
      <c r="E938" s="39"/>
      <c r="F938" s="39"/>
    </row>
    <row r="939">
      <c r="D939" s="399"/>
      <c r="E939" s="39"/>
      <c r="F939" s="39"/>
    </row>
    <row r="940">
      <c r="D940" s="399"/>
      <c r="E940" s="39"/>
      <c r="F940" s="39"/>
    </row>
    <row r="941">
      <c r="D941" s="399"/>
      <c r="E941" s="39"/>
      <c r="F941" s="39"/>
    </row>
    <row r="942">
      <c r="D942" s="399"/>
      <c r="E942" s="39"/>
      <c r="F942" s="39"/>
    </row>
    <row r="943">
      <c r="D943" s="399"/>
      <c r="E943" s="39"/>
      <c r="F943" s="39"/>
    </row>
    <row r="944">
      <c r="D944" s="399"/>
      <c r="E944" s="39"/>
      <c r="F944" s="39"/>
    </row>
    <row r="945">
      <c r="D945" s="399"/>
      <c r="E945" s="39"/>
      <c r="F945" s="39"/>
    </row>
    <row r="946">
      <c r="D946" s="399"/>
      <c r="E946" s="39"/>
      <c r="F946" s="39"/>
    </row>
    <row r="947">
      <c r="D947" s="399"/>
      <c r="E947" s="39"/>
      <c r="F947" s="39"/>
    </row>
    <row r="948">
      <c r="D948" s="399"/>
      <c r="E948" s="39"/>
      <c r="F948" s="39"/>
    </row>
    <row r="949">
      <c r="D949" s="399"/>
      <c r="E949" s="39"/>
      <c r="F949" s="39"/>
    </row>
    <row r="950">
      <c r="D950" s="399"/>
      <c r="E950" s="39"/>
      <c r="F950" s="39"/>
    </row>
    <row r="951">
      <c r="D951" s="399"/>
      <c r="E951" s="39"/>
      <c r="F951" s="39"/>
    </row>
    <row r="952">
      <c r="D952" s="399"/>
      <c r="E952" s="39"/>
      <c r="F952" s="39"/>
    </row>
    <row r="953">
      <c r="D953" s="399"/>
      <c r="E953" s="39"/>
      <c r="F953" s="39"/>
    </row>
    <row r="954">
      <c r="D954" s="399"/>
      <c r="E954" s="39"/>
      <c r="F954" s="39"/>
    </row>
    <row r="955">
      <c r="D955" s="399"/>
      <c r="E955" s="39"/>
      <c r="F955" s="39"/>
    </row>
    <row r="956">
      <c r="D956" s="399"/>
      <c r="E956" s="39"/>
      <c r="F956" s="39"/>
    </row>
    <row r="957">
      <c r="D957" s="399"/>
      <c r="E957" s="39"/>
      <c r="F957" s="39"/>
    </row>
    <row r="958">
      <c r="D958" s="399"/>
      <c r="E958" s="39"/>
      <c r="F958" s="39"/>
    </row>
    <row r="959">
      <c r="D959" s="399"/>
      <c r="E959" s="39"/>
      <c r="F959" s="39"/>
    </row>
    <row r="960">
      <c r="D960" s="399"/>
      <c r="E960" s="39"/>
      <c r="F960" s="39"/>
    </row>
    <row r="961">
      <c r="D961" s="399"/>
      <c r="E961" s="39"/>
      <c r="F961" s="39"/>
    </row>
    <row r="962">
      <c r="D962" s="399"/>
      <c r="E962" s="39"/>
      <c r="F962" s="39"/>
    </row>
    <row r="963">
      <c r="D963" s="399"/>
      <c r="E963" s="39"/>
      <c r="F963" s="39"/>
    </row>
    <row r="964">
      <c r="D964" s="399"/>
      <c r="E964" s="39"/>
      <c r="F964" s="39"/>
    </row>
    <row r="965">
      <c r="D965" s="399"/>
      <c r="E965" s="39"/>
      <c r="F965" s="39"/>
    </row>
    <row r="966">
      <c r="D966" s="399"/>
      <c r="E966" s="39"/>
      <c r="F966" s="39"/>
    </row>
    <row r="967">
      <c r="D967" s="399"/>
      <c r="E967" s="39"/>
      <c r="F967" s="39"/>
    </row>
    <row r="968">
      <c r="D968" s="399"/>
      <c r="E968" s="39"/>
      <c r="F968" s="39"/>
    </row>
    <row r="969">
      <c r="D969" s="399"/>
      <c r="E969" s="39"/>
      <c r="F969" s="39"/>
    </row>
    <row r="970">
      <c r="D970" s="399"/>
      <c r="E970" s="39"/>
      <c r="F970" s="39"/>
    </row>
    <row r="971">
      <c r="D971" s="399"/>
      <c r="E971" s="39"/>
      <c r="F971" s="39"/>
    </row>
    <row r="972">
      <c r="D972" s="399"/>
      <c r="E972" s="39"/>
      <c r="F972" s="39"/>
    </row>
    <row r="973">
      <c r="D973" s="399"/>
      <c r="E973" s="39"/>
      <c r="F973" s="39"/>
    </row>
    <row r="974">
      <c r="D974" s="399"/>
      <c r="E974" s="39"/>
      <c r="F974" s="39"/>
    </row>
    <row r="975">
      <c r="D975" s="399"/>
      <c r="E975" s="39"/>
      <c r="F975" s="39"/>
    </row>
    <row r="976">
      <c r="D976" s="399"/>
      <c r="E976" s="39"/>
      <c r="F976" s="39"/>
    </row>
    <row r="977">
      <c r="D977" s="399"/>
      <c r="E977" s="39"/>
      <c r="F977" s="39"/>
    </row>
    <row r="978">
      <c r="D978" s="399"/>
      <c r="E978" s="39"/>
      <c r="F978" s="39"/>
    </row>
    <row r="979">
      <c r="D979" s="399"/>
      <c r="E979" s="39"/>
      <c r="F979" s="39"/>
    </row>
    <row r="980">
      <c r="D980" s="399"/>
      <c r="E980" s="39"/>
      <c r="F980" s="39"/>
    </row>
    <row r="981">
      <c r="D981" s="399"/>
      <c r="E981" s="39"/>
      <c r="F981" s="39"/>
    </row>
    <row r="982">
      <c r="D982" s="399"/>
      <c r="E982" s="39"/>
      <c r="F982" s="39"/>
    </row>
    <row r="983">
      <c r="D983" s="399"/>
      <c r="E983" s="39"/>
      <c r="F983" s="39"/>
    </row>
    <row r="984">
      <c r="D984" s="399"/>
      <c r="E984" s="39"/>
      <c r="F984" s="39"/>
    </row>
    <row r="985">
      <c r="D985" s="399"/>
      <c r="E985" s="39"/>
      <c r="F985" s="39"/>
    </row>
    <row r="986">
      <c r="D986" s="399"/>
      <c r="E986" s="39"/>
      <c r="F986" s="39"/>
    </row>
    <row r="987">
      <c r="D987" s="399"/>
      <c r="E987" s="39"/>
      <c r="F987" s="39"/>
    </row>
    <row r="988">
      <c r="D988" s="399"/>
      <c r="E988" s="39"/>
      <c r="F988" s="39"/>
    </row>
    <row r="989">
      <c r="D989" s="399"/>
      <c r="E989" s="39"/>
      <c r="F989" s="39"/>
    </row>
    <row r="990">
      <c r="D990" s="399"/>
      <c r="E990" s="39"/>
      <c r="F990" s="39"/>
    </row>
    <row r="991">
      <c r="D991" s="399"/>
      <c r="E991" s="39"/>
      <c r="F991" s="39"/>
    </row>
    <row r="992">
      <c r="D992" s="399"/>
      <c r="E992" s="39"/>
      <c r="F992" s="39"/>
    </row>
    <row r="993">
      <c r="D993" s="399"/>
      <c r="E993" s="39"/>
      <c r="F993" s="39"/>
    </row>
    <row r="994">
      <c r="D994" s="399"/>
      <c r="E994" s="39"/>
      <c r="F994" s="39"/>
    </row>
    <row r="995">
      <c r="D995" s="399"/>
      <c r="E995" s="39"/>
      <c r="F995" s="39"/>
    </row>
    <row r="996">
      <c r="D996" s="399"/>
      <c r="E996" s="39"/>
      <c r="F996" s="39"/>
    </row>
    <row r="997">
      <c r="D997" s="399"/>
      <c r="E997" s="39"/>
      <c r="F997" s="39"/>
    </row>
    <row r="998">
      <c r="D998" s="399"/>
      <c r="E998" s="39"/>
      <c r="F998" s="39"/>
    </row>
    <row r="999">
      <c r="D999" s="399"/>
      <c r="E999" s="39"/>
      <c r="F999" s="39"/>
    </row>
    <row r="1000">
      <c r="D1000" s="399"/>
      <c r="E1000" s="39"/>
      <c r="F1000" s="39"/>
    </row>
  </sheetData>
  <drawing r:id="rId1"/>
</worksheet>
</file>